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8"/>
  <workbookPr defaultThemeVersion="166925"/>
  <xr:revisionPtr revIDLastSave="12895" documentId="11_9248B46DC1CBB2E3ED7FF6F9903E8C1851038383" xr6:coauthVersionLast="47" xr6:coauthVersionMax="47" xr10:uidLastSave="{D73D60E8-65FC-41B6-BF25-E4D9204856E1}"/>
  <bookViews>
    <workbookView xWindow="240" yWindow="105" windowWidth="14805" windowHeight="8010" xr2:uid="{00000000-000D-0000-FFFF-FFFF00000000}"/>
  </bookViews>
  <sheets>
    <sheet name="INFORME EXTERNOS" sheetId="1" r:id="rId1"/>
    <sheet name="INFORME INTERNAS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61" i="1" l="1"/>
  <c r="O679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31" i="1"/>
  <c r="Q652" i="1"/>
  <c r="G653" i="1"/>
  <c r="G654" i="1"/>
  <c r="G655" i="1"/>
  <c r="G656" i="1"/>
  <c r="G657" i="1"/>
  <c r="G652" i="1"/>
  <c r="G929" i="2"/>
  <c r="E929" i="2"/>
  <c r="E900" i="2"/>
  <c r="E892" i="2"/>
  <c r="E876" i="2"/>
  <c r="G863" i="2"/>
  <c r="E863" i="2"/>
  <c r="O757" i="1"/>
  <c r="G757" i="1"/>
  <c r="E757" i="1"/>
  <c r="G742" i="1"/>
  <c r="Q742" i="1" s="1"/>
  <c r="E742" i="1"/>
  <c r="G718" i="1"/>
  <c r="Q718" i="1" s="1"/>
  <c r="E718" i="1"/>
  <c r="G679" i="1"/>
  <c r="E679" i="1"/>
  <c r="E661" i="1"/>
  <c r="G661" i="1"/>
  <c r="Q661" i="1" s="1"/>
  <c r="E647" i="1"/>
  <c r="G647" i="1"/>
  <c r="Q647" i="1" s="1"/>
  <c r="Q571" i="1"/>
  <c r="O615" i="1"/>
  <c r="Q589" i="1"/>
  <c r="Q590" i="1"/>
  <c r="Q588" i="1"/>
  <c r="G589" i="1"/>
  <c r="G590" i="1"/>
  <c r="G591" i="1"/>
  <c r="G592" i="1"/>
  <c r="G593" i="1"/>
  <c r="G594" i="1"/>
  <c r="G595" i="1"/>
  <c r="G596" i="1"/>
  <c r="G588" i="1"/>
  <c r="Q570" i="1"/>
  <c r="G571" i="1"/>
  <c r="G572" i="1"/>
  <c r="G573" i="1"/>
  <c r="G574" i="1"/>
  <c r="G575" i="1"/>
  <c r="G576" i="1"/>
  <c r="G577" i="1"/>
  <c r="G578" i="1"/>
  <c r="G579" i="1"/>
  <c r="G580" i="1"/>
  <c r="G581" i="1"/>
  <c r="G570" i="1"/>
  <c r="G583" i="1" s="1"/>
  <c r="Q583" i="1" s="1"/>
  <c r="G843" i="2"/>
  <c r="E843" i="2"/>
  <c r="E813" i="2"/>
  <c r="E804" i="2"/>
  <c r="E791" i="2"/>
  <c r="G770" i="2"/>
  <c r="E770" i="2"/>
  <c r="E583" i="1"/>
  <c r="Q525" i="1"/>
  <c r="G523" i="1"/>
  <c r="G524" i="1"/>
  <c r="G525" i="1"/>
  <c r="G526" i="1"/>
  <c r="G527" i="1"/>
  <c r="G528" i="1"/>
  <c r="G529" i="1"/>
  <c r="G530" i="1"/>
  <c r="G531" i="1"/>
  <c r="G532" i="1"/>
  <c r="G533" i="1"/>
  <c r="G522" i="1"/>
  <c r="Q523" i="1"/>
  <c r="Q524" i="1"/>
  <c r="Q522" i="1"/>
  <c r="Q536" i="1" s="1"/>
  <c r="Q502" i="1"/>
  <c r="Q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01" i="1"/>
  <c r="O554" i="1"/>
  <c r="E599" i="1"/>
  <c r="G599" i="1"/>
  <c r="Q599" i="1" s="1"/>
  <c r="E615" i="1"/>
  <c r="G615" i="1"/>
  <c r="E618" i="1"/>
  <c r="E705" i="2"/>
  <c r="E695" i="2"/>
  <c r="G747" i="2"/>
  <c r="E747" i="2"/>
  <c r="E716" i="2"/>
  <c r="E678" i="2"/>
  <c r="G666" i="2"/>
  <c r="E666" i="2"/>
  <c r="Q458" i="1"/>
  <c r="Q459" i="1"/>
  <c r="O486" i="1"/>
  <c r="Q457" i="1"/>
  <c r="Q456" i="1"/>
  <c r="Q455" i="1"/>
  <c r="Q469" i="1" s="1"/>
  <c r="G456" i="1"/>
  <c r="G457" i="1"/>
  <c r="G458" i="1"/>
  <c r="G459" i="1"/>
  <c r="G460" i="1"/>
  <c r="G461" i="1"/>
  <c r="G462" i="1"/>
  <c r="G463" i="1"/>
  <c r="G464" i="1"/>
  <c r="G465" i="1"/>
  <c r="G455" i="1"/>
  <c r="G447" i="1"/>
  <c r="G439" i="1"/>
  <c r="G440" i="1"/>
  <c r="G441" i="1"/>
  <c r="G442" i="1"/>
  <c r="G443" i="1"/>
  <c r="G444" i="1"/>
  <c r="G445" i="1"/>
  <c r="G446" i="1"/>
  <c r="G438" i="1"/>
  <c r="Q438" i="1"/>
  <c r="G554" i="1"/>
  <c r="E554" i="1"/>
  <c r="G537" i="1"/>
  <c r="E537" i="1"/>
  <c r="G517" i="1"/>
  <c r="Q517" i="1" s="1"/>
  <c r="E517" i="1"/>
  <c r="E557" i="1" s="1"/>
  <c r="E575" i="2"/>
  <c r="E644" i="2"/>
  <c r="G644" i="2"/>
  <c r="E617" i="2"/>
  <c r="E604" i="2"/>
  <c r="E597" i="2"/>
  <c r="E587" i="2"/>
  <c r="G575" i="2"/>
  <c r="Q401" i="1"/>
  <c r="Q400" i="1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33" i="2"/>
  <c r="G551" i="2" s="1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493" i="2"/>
  <c r="G512" i="2" s="1"/>
  <c r="Q399" i="1"/>
  <c r="Q398" i="1"/>
  <c r="G399" i="1"/>
  <c r="G400" i="1"/>
  <c r="G401" i="1"/>
  <c r="G402" i="1"/>
  <c r="G403" i="1"/>
  <c r="G404" i="1"/>
  <c r="G405" i="1"/>
  <c r="G406" i="1"/>
  <c r="G407" i="1"/>
  <c r="G408" i="1"/>
  <c r="G398" i="1"/>
  <c r="Q384" i="1"/>
  <c r="Q383" i="1"/>
  <c r="G384" i="1"/>
  <c r="G385" i="1"/>
  <c r="G386" i="1"/>
  <c r="G387" i="1"/>
  <c r="G388" i="1"/>
  <c r="G389" i="1"/>
  <c r="G390" i="1"/>
  <c r="G383" i="1"/>
  <c r="O423" i="1"/>
  <c r="E551" i="2"/>
  <c r="G486" i="1"/>
  <c r="E486" i="1"/>
  <c r="G470" i="1"/>
  <c r="Q470" i="1" s="1"/>
  <c r="E470" i="1"/>
  <c r="G450" i="1"/>
  <c r="Q450" i="1" s="1"/>
  <c r="E450" i="1"/>
  <c r="E526" i="2"/>
  <c r="E512" i="2"/>
  <c r="Q340" i="1"/>
  <c r="E423" i="1"/>
  <c r="G423" i="1"/>
  <c r="E410" i="1"/>
  <c r="G410" i="1"/>
  <c r="Q410" i="1" s="1"/>
  <c r="E393" i="1"/>
  <c r="G393" i="1"/>
  <c r="Q393" i="1" s="1"/>
  <c r="Q353" i="1"/>
  <c r="E480" i="2"/>
  <c r="E370" i="1"/>
  <c r="E361" i="1"/>
  <c r="E438" i="2"/>
  <c r="E452" i="2"/>
  <c r="G444" i="2"/>
  <c r="G445" i="2"/>
  <c r="G446" i="2"/>
  <c r="G447" i="2"/>
  <c r="G448" i="2"/>
  <c r="G449" i="2"/>
  <c r="G450" i="2"/>
  <c r="G443" i="2"/>
  <c r="G452" i="2" s="1"/>
  <c r="G429" i="2"/>
  <c r="G430" i="2"/>
  <c r="G431" i="2"/>
  <c r="G432" i="2"/>
  <c r="G433" i="2"/>
  <c r="G434" i="2"/>
  <c r="G435" i="2"/>
  <c r="G436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63" i="2"/>
  <c r="G480" i="2" s="1"/>
  <c r="A373" i="1"/>
  <c r="G458" i="2"/>
  <c r="E458" i="2"/>
  <c r="O360" i="1"/>
  <c r="Q352" i="1"/>
  <c r="Q360" i="1" s="1"/>
  <c r="G366" i="1"/>
  <c r="G367" i="1"/>
  <c r="G368" i="1"/>
  <c r="G365" i="1"/>
  <c r="G353" i="1"/>
  <c r="G354" i="1"/>
  <c r="G355" i="1"/>
  <c r="G356" i="1"/>
  <c r="G357" i="1"/>
  <c r="G358" i="1"/>
  <c r="G352" i="1"/>
  <c r="G361" i="1" s="1"/>
  <c r="E347" i="1"/>
  <c r="G340" i="1"/>
  <c r="G341" i="1"/>
  <c r="G342" i="1"/>
  <c r="G343" i="1"/>
  <c r="G344" i="1"/>
  <c r="G420" i="2"/>
  <c r="E326" i="1"/>
  <c r="E316" i="1"/>
  <c r="E294" i="1"/>
  <c r="E422" i="2"/>
  <c r="E381" i="2"/>
  <c r="E359" i="2"/>
  <c r="G346" i="2"/>
  <c r="A329" i="1"/>
  <c r="E329" i="1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422" i="2" s="1"/>
  <c r="G379" i="2"/>
  <c r="G322" i="1"/>
  <c r="G323" i="1"/>
  <c r="G324" i="1"/>
  <c r="G378" i="2"/>
  <c r="G374" i="2"/>
  <c r="G365" i="2"/>
  <c r="G366" i="2"/>
  <c r="G367" i="2"/>
  <c r="G368" i="2"/>
  <c r="G369" i="2"/>
  <c r="G370" i="2"/>
  <c r="G371" i="2"/>
  <c r="G372" i="2"/>
  <c r="G373" i="2"/>
  <c r="G375" i="2"/>
  <c r="G376" i="2"/>
  <c r="G377" i="2"/>
  <c r="G364" i="2"/>
  <c r="G381" i="2" s="1"/>
  <c r="G347" i="2"/>
  <c r="G348" i="2"/>
  <c r="G349" i="2"/>
  <c r="G350" i="2"/>
  <c r="G351" i="2"/>
  <c r="G352" i="2"/>
  <c r="G353" i="2"/>
  <c r="G354" i="2"/>
  <c r="G355" i="2"/>
  <c r="G356" i="2"/>
  <c r="G357" i="2"/>
  <c r="G321" i="1"/>
  <c r="G320" i="1"/>
  <c r="G326" i="1" s="1"/>
  <c r="Q326" i="1" s="1"/>
  <c r="O315" i="1"/>
  <c r="Q299" i="1"/>
  <c r="Q315" i="1" s="1"/>
  <c r="G304" i="1"/>
  <c r="G305" i="1"/>
  <c r="G306" i="1"/>
  <c r="G307" i="1"/>
  <c r="G308" i="1"/>
  <c r="G309" i="1"/>
  <c r="G310" i="1"/>
  <c r="G311" i="1"/>
  <c r="G312" i="1"/>
  <c r="G313" i="1"/>
  <c r="G314" i="1"/>
  <c r="G303" i="1"/>
  <c r="G302" i="1"/>
  <c r="G301" i="1"/>
  <c r="G300" i="1"/>
  <c r="G299" i="1"/>
  <c r="G316" i="1" s="1"/>
  <c r="Q316" i="1" s="1"/>
  <c r="O369" i="1"/>
  <c r="E373" i="1"/>
  <c r="O346" i="1"/>
  <c r="Q346" i="1"/>
  <c r="G387" i="2"/>
  <c r="E387" i="2"/>
  <c r="O293" i="1"/>
  <c r="Q283" i="1"/>
  <c r="Q293" i="1" s="1"/>
  <c r="G291" i="1"/>
  <c r="G290" i="1"/>
  <c r="G289" i="1"/>
  <c r="G288" i="1"/>
  <c r="G287" i="1"/>
  <c r="G286" i="1"/>
  <c r="G285" i="1"/>
  <c r="G284" i="1"/>
  <c r="G283" i="1"/>
  <c r="G294" i="1" s="1"/>
  <c r="Q294" i="1" s="1"/>
  <c r="E263" i="1"/>
  <c r="E249" i="1"/>
  <c r="E309" i="2"/>
  <c r="E293" i="2"/>
  <c r="E339" i="2"/>
  <c r="O262" i="1"/>
  <c r="O248" i="1"/>
  <c r="Q231" i="1"/>
  <c r="Q248" i="1" s="1"/>
  <c r="G299" i="2"/>
  <c r="G300" i="2"/>
  <c r="G301" i="2"/>
  <c r="G302" i="2"/>
  <c r="G303" i="2"/>
  <c r="G304" i="2"/>
  <c r="G305" i="2"/>
  <c r="G306" i="2"/>
  <c r="G307" i="2"/>
  <c r="G298" i="2"/>
  <c r="G309" i="2" s="1"/>
  <c r="G284" i="2"/>
  <c r="G285" i="2"/>
  <c r="G286" i="2"/>
  <c r="G287" i="2"/>
  <c r="G288" i="2"/>
  <c r="G289" i="2"/>
  <c r="G290" i="2"/>
  <c r="G291" i="2"/>
  <c r="G283" i="2"/>
  <c r="G293" i="2" s="1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39" i="2" s="1"/>
  <c r="Q255" i="1"/>
  <c r="Q254" i="1"/>
  <c r="Q262" i="1" s="1"/>
  <c r="G255" i="1"/>
  <c r="G256" i="1"/>
  <c r="G257" i="1"/>
  <c r="G258" i="1"/>
  <c r="G259" i="1"/>
  <c r="G254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31" i="1"/>
  <c r="G249" i="1" s="1"/>
  <c r="A272" i="1"/>
  <c r="G315" i="2"/>
  <c r="E315" i="2"/>
  <c r="G269" i="1"/>
  <c r="Q269" i="1" s="1"/>
  <c r="E269" i="1"/>
  <c r="O268" i="1"/>
  <c r="E272" i="1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51" i="2"/>
  <c r="G230" i="2"/>
  <c r="G231" i="2"/>
  <c r="G232" i="2"/>
  <c r="G233" i="2"/>
  <c r="G234" i="2"/>
  <c r="G235" i="2"/>
  <c r="G236" i="2"/>
  <c r="G237" i="2"/>
  <c r="G238" i="2"/>
  <c r="G239" i="2"/>
  <c r="G240" i="2"/>
  <c r="G229" i="2"/>
  <c r="G218" i="2"/>
  <c r="G207" i="2"/>
  <c r="G208" i="2"/>
  <c r="G209" i="2"/>
  <c r="G210" i="2"/>
  <c r="G211" i="2"/>
  <c r="G212" i="2"/>
  <c r="G213" i="2"/>
  <c r="G214" i="2"/>
  <c r="G215" i="2"/>
  <c r="G216" i="2"/>
  <c r="G217" i="2"/>
  <c r="R211" i="1"/>
  <c r="R212" i="1"/>
  <c r="R210" i="1"/>
  <c r="R186" i="1"/>
  <c r="R198" i="1" s="1"/>
  <c r="R164" i="1"/>
  <c r="R173" i="1" s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86" i="1"/>
  <c r="G200" i="1" s="1"/>
  <c r="R200" i="1" s="1"/>
  <c r="G173" i="1"/>
  <c r="G165" i="1"/>
  <c r="G166" i="1"/>
  <c r="G167" i="1"/>
  <c r="G168" i="1"/>
  <c r="G169" i="1"/>
  <c r="G170" i="1"/>
  <c r="G171" i="1"/>
  <c r="G172" i="1"/>
  <c r="G164" i="1"/>
  <c r="G183" i="1" s="1"/>
  <c r="R183" i="1" s="1"/>
  <c r="E275" i="2"/>
  <c r="E206" i="1"/>
  <c r="E200" i="1"/>
  <c r="E225" i="2"/>
  <c r="E183" i="1"/>
  <c r="E246" i="2"/>
  <c r="G206" i="2"/>
  <c r="G132" i="2"/>
  <c r="G133" i="2"/>
  <c r="G134" i="2"/>
  <c r="G135" i="2"/>
  <c r="G136" i="2"/>
  <c r="G137" i="2"/>
  <c r="G138" i="2"/>
  <c r="G139" i="2"/>
  <c r="G140" i="2"/>
  <c r="G131" i="2"/>
  <c r="G18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66" i="2"/>
  <c r="G118" i="2"/>
  <c r="G119" i="2"/>
  <c r="G107" i="2"/>
  <c r="G108" i="2"/>
  <c r="G109" i="2"/>
  <c r="G110" i="2"/>
  <c r="G111" i="2"/>
  <c r="G112" i="2"/>
  <c r="G113" i="2"/>
  <c r="G114" i="2"/>
  <c r="G115" i="2"/>
  <c r="G106" i="2"/>
  <c r="R112" i="1"/>
  <c r="R113" i="1"/>
  <c r="E187" i="2"/>
  <c r="E116" i="2"/>
  <c r="G97" i="1"/>
  <c r="P129" i="1"/>
  <c r="P104" i="1"/>
  <c r="R90" i="1"/>
  <c r="R135" i="1"/>
  <c r="R137" i="1" s="1"/>
  <c r="R140" i="1"/>
  <c r="R141" i="1" s="1"/>
  <c r="R146" i="1"/>
  <c r="R145" i="1"/>
  <c r="R149" i="1" s="1"/>
  <c r="R111" i="1"/>
  <c r="R110" i="1"/>
  <c r="R126" i="1" s="1"/>
  <c r="R89" i="1"/>
  <c r="R102" i="1" s="1"/>
  <c r="G96" i="1"/>
  <c r="G111" i="1"/>
  <c r="G112" i="1"/>
  <c r="G113" i="1"/>
  <c r="G114" i="1"/>
  <c r="G115" i="1"/>
  <c r="G116" i="1"/>
  <c r="G117" i="1"/>
  <c r="G118" i="1"/>
  <c r="G119" i="1"/>
  <c r="G120" i="1"/>
  <c r="G121" i="1"/>
  <c r="G110" i="1"/>
  <c r="G129" i="1" s="1"/>
  <c r="R129" i="1" s="1"/>
  <c r="E129" i="1"/>
  <c r="G90" i="1"/>
  <c r="G91" i="1"/>
  <c r="G92" i="1"/>
  <c r="G93" i="1"/>
  <c r="G94" i="1"/>
  <c r="G95" i="1"/>
  <c r="G89" i="1"/>
  <c r="E153" i="2"/>
  <c r="E155" i="2" s="1"/>
  <c r="E104" i="1"/>
  <c r="D153" i="1" s="1"/>
  <c r="D157" i="1" s="1"/>
  <c r="E148" i="2"/>
  <c r="P22" i="1"/>
  <c r="R73" i="1"/>
  <c r="R75" i="1"/>
  <c r="E74" i="1"/>
  <c r="G74" i="1"/>
  <c r="G11" i="1"/>
  <c r="G12" i="1"/>
  <c r="G94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72" i="2"/>
  <c r="G96" i="2" s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9" i="2"/>
  <c r="G33" i="2"/>
  <c r="G34" i="2"/>
  <c r="G35" i="2"/>
  <c r="G36" i="2"/>
  <c r="G37" i="2"/>
  <c r="G38" i="2"/>
  <c r="G39" i="2"/>
  <c r="G40" i="2"/>
  <c r="G41" i="2"/>
  <c r="G147" i="2"/>
  <c r="G32" i="2"/>
  <c r="R63" i="1"/>
  <c r="R64" i="1"/>
  <c r="R65" i="1"/>
  <c r="R66" i="1"/>
  <c r="R67" i="1"/>
  <c r="R68" i="1"/>
  <c r="R69" i="1"/>
  <c r="R62" i="1"/>
  <c r="R70" i="1" s="1"/>
  <c r="G62" i="1"/>
  <c r="G56" i="1"/>
  <c r="G58" i="1" s="1"/>
  <c r="R26" i="1"/>
  <c r="R44" i="1" s="1"/>
  <c r="G27" i="1"/>
  <c r="G28" i="1"/>
  <c r="G29" i="1"/>
  <c r="G30" i="1"/>
  <c r="G31" i="1"/>
  <c r="G32" i="1"/>
  <c r="G33" i="1"/>
  <c r="G34" i="1"/>
  <c r="G35" i="1"/>
  <c r="G36" i="1"/>
  <c r="G37" i="1"/>
  <c r="G26" i="1"/>
  <c r="G45" i="1" s="1"/>
  <c r="R45" i="1" s="1"/>
  <c r="R6" i="1"/>
  <c r="R5" i="1"/>
  <c r="R20" i="1" s="1"/>
  <c r="G6" i="1"/>
  <c r="G7" i="1"/>
  <c r="G8" i="1"/>
  <c r="G9" i="1"/>
  <c r="G10" i="1"/>
  <c r="G13" i="1"/>
  <c r="G14" i="1"/>
  <c r="G15" i="1"/>
  <c r="G5" i="1"/>
  <c r="E96" i="2"/>
  <c r="E68" i="1"/>
  <c r="G50" i="1"/>
  <c r="G49" i="1"/>
  <c r="G52" i="1" s="1"/>
  <c r="R52" i="1" s="1"/>
  <c r="E53" i="2"/>
  <c r="E58" i="1"/>
  <c r="E52" i="1"/>
  <c r="E45" i="1"/>
  <c r="E47" i="2"/>
  <c r="E27" i="2"/>
  <c r="D61" i="2" s="1"/>
  <c r="E22" i="1"/>
  <c r="D77" i="1" s="1"/>
  <c r="E682" i="1" l="1"/>
  <c r="Q537" i="1"/>
  <c r="E489" i="1"/>
  <c r="G438" i="2"/>
  <c r="E426" i="1"/>
  <c r="G370" i="1"/>
  <c r="Q370" i="1" s="1"/>
  <c r="Q361" i="1"/>
  <c r="G347" i="1"/>
  <c r="Q347" i="1" s="1"/>
  <c r="G359" i="2"/>
  <c r="G263" i="1"/>
  <c r="Q263" i="1" s="1"/>
  <c r="Q249" i="1"/>
  <c r="G275" i="2"/>
  <c r="G246" i="2"/>
  <c r="G225" i="2"/>
  <c r="D215" i="1"/>
  <c r="D219" i="1" s="1"/>
  <c r="G120" i="2"/>
  <c r="G148" i="2"/>
  <c r="G187" i="2"/>
  <c r="E120" i="2"/>
  <c r="G104" i="1"/>
  <c r="R104" i="1" s="1"/>
  <c r="G47" i="2"/>
  <c r="G27" i="2"/>
  <c r="G22" i="1"/>
  <c r="R2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tc={D1B11556-7283-47B7-B376-C92BB660A750}</author>
    <author>tc={8B7760BA-02A6-4AED-983A-DE86CCD731F8}</author>
    <author>tc={08F9EF7C-AE12-437C-A7F4-573D85AB06CF}</author>
    <author>tc={2BF0101C-993C-487E-8837-49024E15609C}</author>
    <author>tc={9F7A132D-DA70-45CC-BCE5-C770E140A2CD}</author>
    <author>tc={326017F2-1D4E-43BD-98FE-3E8E2C93B1DE}</author>
    <author>tc={65E9F873-106A-4356-8FD6-FAA02D10DB25}</author>
    <author>tc={0A7DD0BE-EE2E-40BA-92D3-27AB392C143F}</author>
    <author>tc={E7C792DC-EB7B-4205-AC63-97A1705D44BA}</author>
  </authors>
  <commentList>
    <comment ref="D17" authorId="0" shapeId="0" xr:uid="{D1B11556-7283-47B7-B376-C92BB660A750}">
      <text>
        <t>[Threaded comment]
Your version of Excel allows you to read this threaded comment; however, any edits to it will get removed if the file is opened in a newer version of Excel. Learn more: https://go.microsoft.com/fwlink/?linkid=870924
Comment:
    DESISTE POR SER 3ERPISO SIN ASCENSOR PROBLEMAS EN LA COLUMNA</t>
      </text>
    </comment>
    <comment ref="D42" authorId="1" shapeId="0" xr:uid="{8B7760BA-02A6-4AED-983A-DE86CCD731F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CLIENTE DESISTE DSEA VER OTRAS ZONAS
</t>
      </text>
    </comment>
    <comment ref="D101" authorId="2" shapeId="0" xr:uid="{08F9EF7C-AE12-437C-A7F4-573D85AB06C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PROP ARRIENDA DIRECTO </t>
      </text>
    </comment>
    <comment ref="D103" authorId="3" shapeId="0" xr:uid="{2BF0101C-993C-487E-8837-49024E15609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CLIENTE NO POSEE CEDULA Y DICE NO HACER TRAMITE NI PARA SACAR LA DENUNCIA</t>
      </text>
    </comment>
    <comment ref="D244" authorId="4" shapeId="0" xr:uid="{9F7A132D-DA70-45CC-BCE5-C770E140A2CD}">
      <text>
        <t>[Threaded comment]
Your version of Excel allows you to read this threaded comment; however, any edits to it will get removed if the file is opened in a newer version of Excel. Learn more: https://go.microsoft.com/fwlink/?linkid=870924
Comment:
    DESISTE POR EL BALCON Y LA INSEGURIDAD</t>
      </text>
    </comment>
    <comment ref="D245" authorId="5" shapeId="0" xr:uid="{326017F2-1D4E-43BD-98FE-3E8E2C93B1DE}">
      <text>
        <t>[Threaded comment]
Your version of Excel allows you to read this threaded comment; however, any edits to it will get removed if the file is opened in a newer version of Excel. Learn more: https://go.microsoft.com/fwlink/?linkid=870924
Comment:
    APTO CON HUMEDAD</t>
      </text>
    </comment>
    <comment ref="D246" authorId="6" shapeId="0" xr:uid="{65E9F873-106A-4356-8FD6-FAA02D10DB25}">
      <text>
        <t>[Threaded comment]
Your version of Excel allows you to read this threaded comment; however, any edits to it will get removed if the file is opened in a newer version of Excel. Learn more: https://go.microsoft.com/fwlink/?linkid=870924
Comment:
    NECESITA PQ</t>
      </text>
    </comment>
    <comment ref="D260" authorId="7" shapeId="0" xr:uid="{0A7DD0BE-EE2E-40BA-92D3-27AB392C143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prop no esta deacuerdo con clausulas</t>
      </text>
    </comment>
    <comment ref="D261" authorId="8" shapeId="0" xr:uid="{E7C792DC-EB7B-4205-AC63-97A1705D44B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PROP LO ARRIENDA DIRECTO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tc={7EBA73C0-2381-418B-9CE2-FF7F81865666}</author>
    <author>tc={479DC359-E8B3-44FA-9A95-0F85295E27DE}</author>
    <author>tc={DB30F19B-9CC5-4199-8C58-FC1715911A01}</author>
    <author>tc={2C6F657E-2EB6-4CE2-974F-F90E0F1B3631}</author>
    <author>tc={B74A4EA7-05AB-4205-B3F5-C0FC3EADC6C4}</author>
    <author>tc={2DCECB35-6368-42B3-AB18-7FA30B532177}</author>
    <author>tc={EE9437EC-842E-454A-BC87-50E33CA56BF5}</author>
    <author>tc={D235E08D-9CE5-4DDB-8A7E-40153559F27A}</author>
    <author>tc={4B810525-36F2-457F-B332-7CC0B30A540F}</author>
    <author>tc={1030CDE2-1F46-4E55-9A09-87565D71E458}</author>
    <author>tc={B5E8A1CB-3295-427A-9FB4-DC389EC304DE}</author>
    <author>tc={9DC7DD7E-FA58-431E-A9A6-AA5D42D63F15}</author>
    <author>tc={0D347BAC-CD93-45B1-8292-F4A9DB579B56}</author>
    <author>tc={9F6F181B-2D65-4CCF-AA16-70C4FC881E51}</author>
    <author>tc={7B16DCC1-AF09-425F-BBBD-80EFE7424982}</author>
    <author>tc={4813D6E6-3E3A-4569-BDC5-690EC2E01251}</author>
    <author>tc={2DDA503D-E4C6-4813-94B6-8777492F881E}</author>
    <author>tc={379981BB-33C2-456A-AA3F-0D331051ECA7}</author>
    <author>tc={34E4FD2A-FD06-40E9-9ACD-335F9E5AEA7C}</author>
  </authors>
  <commentList>
    <comment ref="F11" authorId="0" shapeId="0" xr:uid="{7EBA73C0-2381-418B-9CE2-FF7F8186566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tiene portero 
</t>
      </text>
    </comment>
    <comment ref="C23" authorId="1" shapeId="0" xr:uid="{479DC359-E8B3-44FA-9A95-0F85295E27D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CLIENTE DESISTE DSEA VER OTRAS ZONAS
</t>
      </text>
    </comment>
    <comment ref="C24" authorId="2" shapeId="0" xr:uid="{DB30F19B-9CC5-4199-8C58-FC1715911A01}">
      <text>
        <t>[Threaded comment]
Your version of Excel allows you to read this threaded comment; however, any edits to it will get removed if the file is opened in a newer version of Excel. Learn more: https://go.microsoft.com/fwlink/?linkid=870924
Comment:
    SOLICITAN DEUDOR Y NO POSEE</t>
      </text>
    </comment>
    <comment ref="C25" authorId="3" shapeId="0" xr:uid="{2C6F657E-2EB6-4CE2-974F-F90E0F1B3631}">
      <text>
        <t>[Threaded comment]
Your version of Excel allows you to read this threaded comment; however, any edits to it will get removed if the file is opened in a newer version of Excel. Learn more: https://go.microsoft.com/fwlink/?linkid=870924
Comment:
    DESISTE POR SER INTERNO</t>
      </text>
    </comment>
    <comment ref="C26" authorId="4" shapeId="0" xr:uid="{B74A4EA7-05AB-4205-B3F5-C0FC3EADC6C4}">
      <text>
        <t>[Threaded comment]
Your version of Excel allows you to read this threaded comment; however, any edits to it will get removed if the file is opened in a newer version of Excel. Learn more: https://go.microsoft.com/fwlink/?linkid=870924
Comment:
    REQUIERE PQ</t>
      </text>
    </comment>
    <comment ref="C42" authorId="5" shapeId="0" xr:uid="{2DCECB35-6368-42B3-AB18-7FA30B532177}">
      <text>
        <t>[Threaded comment]
Your version of Excel allows you to read this threaded comment; however, any edits to it will get removed if the file is opened in a newer version of Excel. Learn more: https://go.microsoft.com/fwlink/?linkid=870924
Comment:
    DESISTE POR SER INTERNO</t>
      </text>
    </comment>
    <comment ref="C121" authorId="6" shapeId="0" xr:uid="{EE9437EC-842E-454A-BC87-50E33CA56BF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Cliente no desea tomar el inmueble por el estado actual</t>
      </text>
    </comment>
    <comment ref="C123" authorId="7" shapeId="0" xr:uid="{D235E08D-9CE5-4DDB-8A7E-40153559F27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CLIENTE DESISTE DEL PROCESO</t>
      </text>
    </comment>
    <comment ref="C124" authorId="8" shapeId="0" xr:uid="{4B810525-36F2-457F-B332-7CC0B30A540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ES APTO PARA REUBICAR</t>
      </text>
    </comment>
    <comment ref="C126" authorId="9" shapeId="0" xr:uid="{1030CDE2-1F46-4E55-9A09-87565D71E45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CLIENTE DESISTE DEL PROCESO</t>
      </text>
    </comment>
    <comment ref="C140" authorId="10" shapeId="0" xr:uid="{B5E8A1CB-3295-427A-9FB4-DC389EC304DE}">
      <text>
        <t>[Threaded comment]
Your version of Excel allows you to read this threaded comment; however, any edits to it will get removed if the file is opened in a newer version of Excel. Learn more: https://go.microsoft.com/fwlink/?linkid=870924
Comment:
    DESISTE EL ESPOSO NO QUIERE FIRMAR SIN VERLO Y SOLO PUEDE EL FIN DE SEMANA</t>
      </text>
    </comment>
    <comment ref="C141" authorId="11" shapeId="0" xr:uid="{9DC7DD7E-FA58-431E-A9A6-AA5D42D63F15}">
      <text>
        <t>[Threaded comment]
Your version of Excel allows you to read this threaded comment; however, any edits to it will get removed if the file is opened in a newer version of Excel. Learn more: https://go.microsoft.com/fwlink/?linkid=870924
Comment:
    DESISTE EL ESPOSO NO QUIERE FIRMAR SIN VERLO Y SOLO PUEDE EL FIN DE SEMANA</t>
      </text>
    </comment>
    <comment ref="C142" authorId="12" shapeId="0" xr:uid="{0D347BAC-CD93-45B1-8292-F4A9DB579B56}">
      <text>
        <t>[Threaded comment]
Your version of Excel allows you to read this threaded comment; however, any edits to it will get removed if the file is opened in a newer version of Excel. Learn more: https://go.microsoft.com/fwlink/?linkid=870924
Comment:
    negado por capacidad de endeudamiento</t>
      </text>
    </comment>
    <comment ref="C144" authorId="13" shapeId="0" xr:uid="{9F6F181B-2D65-4CCF-AA16-70C4FC881E5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prop arrienda propiedad directo</t>
      </text>
    </comment>
    <comment ref="C145" authorId="14" shapeId="0" xr:uid="{7B16DCC1-AF09-425F-BBBD-80EFE742498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DESISTE YA QUE NO POSEE MAS DEUDORES Y ES NECESARIO PARA EL LIBERTADOR </t>
      </text>
    </comment>
    <comment ref="C146" authorId="15" shapeId="0" xr:uid="{4813D6E6-3E3A-4569-BDC5-690EC2E0125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propietario incremnenta valor e inquilino no lo toma por ello</t>
      </text>
    </comment>
    <comment ref="C147" authorId="16" shapeId="0" xr:uid="{2DDA503D-E4C6-4813-94B6-8777492F881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CLIENTE NO POSEE CEDULA Y DICE NO HACER TRAMITE NI PARA SACAR LA DENUNCIA</t>
      </text>
    </comment>
    <comment ref="C154" authorId="17" shapeId="0" xr:uid="{379981BB-33C2-456A-AA3F-0D331051ECA7}">
      <text>
        <t>[Threaded comment]
Your version of Excel allows you to read this threaded comment; however, any edits to it will get removed if the file is opened in a newer version of Excel. Learn more: https://go.microsoft.com/fwlink/?linkid=870924
Comment:
    INQ DESISTE DEL PROCESO</t>
      </text>
    </comment>
    <comment ref="C185" authorId="18" shapeId="0" xr:uid="{34E4FD2A-FD06-40E9-9ACD-335F9E5AEA7C}">
      <text>
        <t>[Threaded comment]
Your version of Excel allows you to read this threaded comment; however, any edits to it will get removed if the file is opened in a newer version of Excel. Learn more: https://go.microsoft.com/fwlink/?linkid=870924
Comment:
    DESISTE EL ESPOSO NO QUIERE FIRMAR SIN VERLO Y SOLO PUEDE EL FIN DE SEMANA</t>
      </text>
    </comment>
  </commentList>
</comments>
</file>

<file path=xl/sharedStrings.xml><?xml version="1.0" encoding="utf-8"?>
<sst xmlns="http://schemas.openxmlformats.org/spreadsheetml/2006/main" count="3636" uniqueCount="640">
  <si>
    <t>ENERO 2022</t>
  </si>
  <si>
    <t>CARLOS VALLEJO</t>
  </si>
  <si>
    <t>POR CONSIGNACION</t>
  </si>
  <si>
    <t>CONSIGNACIONES</t>
  </si>
  <si>
    <t>CONTRATO</t>
  </si>
  <si>
    <t>%PROPIETARIO</t>
  </si>
  <si>
    <t>INMUEBLE</t>
  </si>
  <si>
    <t>CANON</t>
  </si>
  <si>
    <t>%</t>
  </si>
  <si>
    <t xml:space="preserve">comision </t>
  </si>
  <si>
    <t>ASESOR 2</t>
  </si>
  <si>
    <t>EJECUTIVA</t>
  </si>
  <si>
    <t>FACTURAR</t>
  </si>
  <si>
    <t>OBSERVACIONES</t>
  </si>
  <si>
    <t xml:space="preserve"> CANON</t>
  </si>
  <si>
    <t>COMISION</t>
  </si>
  <si>
    <t xml:space="preserve">OLIVENZA 2.100.000 </t>
  </si>
  <si>
    <t>CARLOS</t>
  </si>
  <si>
    <t xml:space="preserve">DANIELA </t>
  </si>
  <si>
    <t>OK</t>
  </si>
  <si>
    <t>AMANECERES 212 -1.300.000</t>
  </si>
  <si>
    <t>MONTEPARAISO AP 306 $1.250.000</t>
  </si>
  <si>
    <t>PORTADA</t>
  </si>
  <si>
    <t>MANUELA</t>
  </si>
  <si>
    <t>CALLE 65C 94 - 51 AP 101</t>
  </si>
  <si>
    <t> 13028</t>
  </si>
  <si>
    <t>PORTAL DE CALASANZ  503 $ 800.000</t>
  </si>
  <si>
    <t xml:space="preserve">MANUELA </t>
  </si>
  <si>
    <t>SENDEROS DE LA 80 APTO 1216 1.150.000</t>
  </si>
  <si>
    <t>JAPON 302 , $ 1.450.000</t>
  </si>
  <si>
    <t>CARRERA 81 N° 45E -22 TERCER PISO</t>
  </si>
  <si>
    <t>EDIFICIO ALCARAZ 401	 $900,000</t>
  </si>
  <si>
    <t>EDIFICIO ALCARAZ 403	 $1000000</t>
  </si>
  <si>
    <t xml:space="preserve">PORTAL DE LAS AMERICAS AP 206 $ 2.300.000 </t>
  </si>
  <si>
    <t>VICTOR</t>
  </si>
  <si>
    <t xml:space="preserve">13125
</t>
  </si>
  <si>
    <t>PUNTA LUNA 1204 -800-000</t>
  </si>
  <si>
    <t xml:space="preserve">EN FIRMAS </t>
  </si>
  <si>
    <t>CALASANIA DEL SOL 270 800.000</t>
  </si>
  <si>
    <t xml:space="preserve">DESISTE </t>
  </si>
  <si>
    <t>CALASANIA DEL SOL 800.000</t>
  </si>
  <si>
    <t>JAPON 302 , $ 1.400.000</t>
  </si>
  <si>
    <t>SAN JAVIER AP 303 $ 730.000</t>
  </si>
  <si>
    <t xml:space="preserve"> CALASANIA DEL SOL 270 800.000$</t>
  </si>
  <si>
    <t>CASA SAN JAVIER 1.900.000</t>
  </si>
  <si>
    <t>TOTAL</t>
  </si>
  <si>
    <t>IVON LOBO</t>
  </si>
  <si>
    <t>PORTAL DE CALASANZ 302  $1.300.000</t>
  </si>
  <si>
    <t>ORIGEN 1103 -1.850.000</t>
  </si>
  <si>
    <t>AMANCERES 1811 -1.250.000</t>
  </si>
  <si>
    <t>SOL NACIENTE 1918-1.600.000</t>
  </si>
  <si>
    <t xml:space="preserve">
12941</t>
  </si>
  <si>
    <t>SOL CRECIENTE 907 -1.700.000</t>
  </si>
  <si>
    <t>IVON</t>
  </si>
  <si>
    <t>CALASANZ AZUL AP 420 $ 1.300.000</t>
  </si>
  <si>
    <t>CASTILLO 501-1.000.000</t>
  </si>
  <si>
    <t>LUIS</t>
  </si>
  <si>
    <t>CALASANZ AZUL AP 1925 $ 1.250.000</t>
  </si>
  <si>
    <t>PLAZA FERRINI AP 101 $ 1.200.000</t>
  </si>
  <si>
    <t xml:space="preserve"> MONTEPARAISO 1102  1.200.000</t>
  </si>
  <si>
    <t>CARRERA 85 # 45C-13 $ 1.350.000</t>
  </si>
  <si>
    <t>CALASANZ AZUL 624- 1.200.000</t>
  </si>
  <si>
    <t xml:space="preserve">RACHED EMPALME 950.000 </t>
  </si>
  <si>
    <t>CALASANZ PLAZA 404- 1.200.000</t>
  </si>
  <si>
    <t>ESTUDIO</t>
  </si>
  <si>
    <t>PEND AMANECERES 1610-1.290.000</t>
  </si>
  <si>
    <t>PEND UBICAR</t>
  </si>
  <si>
    <t>NUEVO SOL 1003-1.900.000-</t>
  </si>
  <si>
    <t xml:space="preserve">JAPON 1.500.000 </t>
  </si>
  <si>
    <t xml:space="preserve"> INFINITO $ 1.700.000</t>
  </si>
  <si>
    <t xml:space="preserve">EL CASTILLO APTO 201  -1.200.000 </t>
  </si>
  <si>
    <t>CAMILO JURADO</t>
  </si>
  <si>
    <t>2+1</t>
  </si>
  <si>
    <t xml:space="preserve"> AMANECERES 508 1.000.000</t>
  </si>
  <si>
    <t>CAMILO</t>
  </si>
  <si>
    <t xml:space="preserve">SANTIAGO SANTA </t>
  </si>
  <si>
    <t>CALLE 47 F N° 94-60 AP 201-1.200.000</t>
  </si>
  <si>
    <t>VERONICA O</t>
  </si>
  <si>
    <t>BOTICCELLI 1201-1.742.730</t>
  </si>
  <si>
    <t>BOTICCELLI 1201-1.742.000</t>
  </si>
  <si>
    <t>LUIS CORREA</t>
  </si>
  <si>
    <t> 12990</t>
  </si>
  <si>
    <t>TOTAL FIRMADO</t>
  </si>
  <si>
    <t>TOTAL APROBADO EN FIRMAS</t>
  </si>
  <si>
    <t>TOTAL EN ESTUDIO</t>
  </si>
  <si>
    <t>DESISTIDOS</t>
  </si>
  <si>
    <t xml:space="preserve">TOTAL </t>
  </si>
  <si>
    <t xml:space="preserve">OJO!!! SEDE COLORES </t>
  </si>
  <si>
    <t>FEBRERO 2022</t>
  </si>
  <si>
    <t>3+20</t>
  </si>
  <si>
    <t>SOL CRECIENTE 1516</t>
  </si>
  <si>
    <t> 13289</t>
  </si>
  <si>
    <t xml:space="preserve">CARRERA 81B # 54-108 </t>
  </si>
  <si>
    <t> 13188</t>
  </si>
  <si>
    <t>CALASANIA DEL SOL 270</t>
  </si>
  <si>
    <t>BELMONTE 508</t>
  </si>
  <si>
    <t xml:space="preserve">CALLE 54 # 80-54 401 </t>
  </si>
  <si>
    <t>FARO VERDE 1701</t>
  </si>
  <si>
    <t>OCAMPO</t>
  </si>
  <si>
    <t xml:space="preserve">ERICKA </t>
  </si>
  <si>
    <t>NUEVO SOL 2410</t>
  </si>
  <si>
    <t xml:space="preserve">ED SAN MARTIN </t>
  </si>
  <si>
    <t> 13338</t>
  </si>
  <si>
    <t xml:space="preserve">CARRERA 90A 45-62 </t>
  </si>
  <si>
    <t>SANTIAGO</t>
  </si>
  <si>
    <t xml:space="preserve">CALASANZ PLAZA 604 </t>
  </si>
  <si>
    <t>EL ROSAL 1614- 1.850.000</t>
  </si>
  <si>
    <t>AMANECERES 211-1150.000</t>
  </si>
  <si>
    <t>EL ROSAL 1014- 1.800.000</t>
  </si>
  <si>
    <t xml:space="preserve">CR 83 # 50A 54 $ 3.800.000 </t>
  </si>
  <si>
    <t xml:space="preserve">CARRERA 81B N° 54-150 - 2.400.000 </t>
  </si>
  <si>
    <t xml:space="preserve">CALASANIA DEL SOL 270 800.000 </t>
  </si>
  <si>
    <t>RACHED 301</t>
  </si>
  <si>
    <t>DANIELA</t>
  </si>
  <si>
    <t>CALASANZ AZUL 624</t>
  </si>
  <si>
    <t>CALASANZ PLAZA 604</t>
  </si>
  <si>
    <t>CALASANZ PLAZA 404</t>
  </si>
  <si>
    <t>PATIO BONITO 1801</t>
  </si>
  <si>
    <t>AMANECERES 2107</t>
  </si>
  <si>
    <t xml:space="preserve"> AMANECERES 1109</t>
  </si>
  <si>
    <t xml:space="preserve">CAMPO VERDE 9907 </t>
  </si>
  <si>
    <t>CARDONA</t>
  </si>
  <si>
    <t>CAMPO VERDE 9719</t>
  </si>
  <si>
    <t xml:space="preserve"> MONTEPARAISO 1511</t>
  </si>
  <si>
    <t xml:space="preserve">CALASANZ AZUL AP 2001 </t>
  </si>
  <si>
    <t>EL ROSAL 1014-</t>
  </si>
  <si>
    <t>BRAYAN</t>
  </si>
  <si>
    <t xml:space="preserve">FIORENZA 2103 </t>
  </si>
  <si>
    <t xml:space="preserve">EN FIRMAS 	</t>
  </si>
  <si>
    <t>EL ROSAL 1614- 1.900.000</t>
  </si>
  <si>
    <t xml:space="preserve">NEGADO </t>
  </si>
  <si>
    <t xml:space="preserve"> DIA DE CAMPO AP 404 $ 1.300.000</t>
  </si>
  <si>
    <t xml:space="preserve"> MONTEPARAISO 1511 1.300.000	INICIA 16 FEB</t>
  </si>
  <si>
    <t>FARO VERDE 1701 1.500.000</t>
  </si>
  <si>
    <t>CALASANZ PLAZA 604- 1.200.000</t>
  </si>
  <si>
    <t xml:space="preserve">CAMPO VERDE 9719 </t>
  </si>
  <si>
    <t>BRYAN</t>
  </si>
  <si>
    <t>EL ROSAL 1014</t>
  </si>
  <si>
    <t xml:space="preserve">RACHED EMPALME </t>
  </si>
  <si>
    <t>MARZO 2022</t>
  </si>
  <si>
    <t xml:space="preserve">CEREZOS DE CALASANIA 601 </t>
  </si>
  <si>
    <t xml:space="preserve">SENDEROS DE LA 80 612 1.400.000 </t>
  </si>
  <si>
    <t>GIRASOLES 1708</t>
  </si>
  <si>
    <t>FARO VERDE 1706</t>
  </si>
  <si>
    <t xml:space="preserve">NUEVO PORTAL 903 </t>
  </si>
  <si>
    <t xml:space="preserve">CALLE 47F # 97-42 301 </t>
  </si>
  <si>
    <t xml:space="preserve">RECINTO DE LA ARBOLEDA AP 437 </t>
  </si>
  <si>
    <t xml:space="preserve">LUIS </t>
  </si>
  <si>
    <t>CALLE 54 # 80-14 APTO 202</t>
  </si>
  <si>
    <t xml:space="preserve">CARRERA 95 # 48c-07 401 </t>
  </si>
  <si>
    <t xml:space="preserve"> TORREMONTANA 322</t>
  </si>
  <si>
    <t>PORTERO POR CLIENTE</t>
  </si>
  <si>
    <t xml:space="preserve">CR 80 46 27 1 PISO $2.700.000 + IVA  </t>
  </si>
  <si>
    <t>DESISTE</t>
  </si>
  <si>
    <t xml:space="preserve">  CARRERA 86 # 46-38 101 1.480.000</t>
  </si>
  <si>
    <t>CARRERA 83 # 50A-54-3.430,000</t>
  </si>
  <si>
    <t>TORRE MONTANA 322- 1.600.000</t>
  </si>
  <si>
    <t>PUNTA LUNA 1010 -900.000</t>
  </si>
  <si>
    <t>MONTEPARAISO AP 804 $ 1.400.000</t>
  </si>
  <si>
    <t>SENDERO DE LA 80 AP 2104 $ 1.300.000</t>
  </si>
  <si>
    <t>NEGADO</t>
  </si>
  <si>
    <t>CALLE 47F # 97-42 301 SUBROGACION -850.000</t>
  </si>
  <si>
    <t>ABRIL</t>
  </si>
  <si>
    <t>PARAISO DE COLORES - 1.600.000</t>
  </si>
  <si>
    <t>SOL NACIENTE 1004 -1.800.000</t>
  </si>
  <si>
    <t>IVON VALLEJO</t>
  </si>
  <si>
    <t> 13416</t>
  </si>
  <si>
    <t>CALASANZ AZUL 1221 1.250.000</t>
  </si>
  <si>
    <t>CARRERA 30 # 35-79 AP 9902</t>
  </si>
  <si>
    <t>AMANECERES 211- 1.150.000</t>
  </si>
  <si>
    <t xml:space="preserve">FIORENZA AP 1504 $ 1.300.000 </t>
  </si>
  <si>
    <t xml:space="preserve">13500	</t>
  </si>
  <si>
    <t>CAMPO VERDE 213 1.150.000</t>
  </si>
  <si>
    <t xml:space="preserve"> AMANECERES AP 112 $ 1.200.000</t>
  </si>
  <si>
    <t xml:space="preserve">13590	</t>
  </si>
  <si>
    <t>EL ROSAL 512 - 1.650.000</t>
  </si>
  <si>
    <t>MONTEPARAISO 9501 1,300.000</t>
  </si>
  <si>
    <t xml:space="preserve"> EL ROSAL 909 -1.700.000</t>
  </si>
  <si>
    <t>NUEVA ANDALUCIA $ 1.300.000</t>
  </si>
  <si>
    <t>MANUIELA</t>
  </si>
  <si>
    <t>EL ROSAL 1503-1.900.000</t>
  </si>
  <si>
    <t xml:space="preserve">ESTADIO CAMPESTRE 500.000 </t>
  </si>
  <si>
    <t>SOL CRECIENTE 1018 -1.800.000</t>
  </si>
  <si>
    <t>SAN MICHEL AP 106 $ 1.200.000</t>
  </si>
  <si>
    <t>PRADO VERDE 169- 2.150.000</t>
  </si>
  <si>
    <t>ABRIL 2022</t>
  </si>
  <si>
    <t>INFORME ARRIENDOS ZONA CALASANZ  -ABRIL 2022</t>
  </si>
  <si>
    <t>% PROP</t>
  </si>
  <si>
    <t xml:space="preserve"> CANON </t>
  </si>
  <si>
    <t xml:space="preserve">COMISION </t>
  </si>
  <si>
    <t xml:space="preserve">CONSIGNO </t>
  </si>
  <si>
    <t>EJECUTIVO</t>
  </si>
  <si>
    <t xml:space="preserve">EJECUTIVO </t>
  </si>
  <si>
    <t xml:space="preserve"> COMISION</t>
  </si>
  <si>
    <t>PARAISO DE COLORES 1408 - 1.600.000</t>
  </si>
  <si>
    <t>INFINITO 1702-1,900.000</t>
  </si>
  <si>
    <t>ESTADIO CAMPESTRE 407 - $ 1.350.000</t>
  </si>
  <si>
    <t>ESTADIO CAMPESTRE 104 850.000</t>
  </si>
  <si>
    <t>CEREZOS DE CALASANIA 214-1300.000</t>
  </si>
  <si>
    <t xml:space="preserve">COLINAS DE CALASANZ 650.000 </t>
  </si>
  <si>
    <t>CEREZOS DE CALASANIA 1415-1300.000</t>
  </si>
  <si>
    <t>OLIVENZA 169 2.000.000</t>
  </si>
  <si>
    <t>CR 86 46 38 AP 101-1,500.000</t>
  </si>
  <si>
    <t>INFINITO AP 310 $ 1.500.000</t>
  </si>
  <si>
    <t>CARRERA 80 # 46-27 LOCAL 2- 2.500.000</t>
  </si>
  <si>
    <t>EDIFICIO KURITIVA 401 -1520.000</t>
  </si>
  <si>
    <t xml:space="preserve">CEREZOS DE CALASANIA AP 1020 $ 1.350.000 </t>
  </si>
  <si>
    <t>CL 54 80 14 AP - (203)-800.000</t>
  </si>
  <si>
    <t xml:space="preserve">CARRERA 86 # 46-38 101  1.600.000 </t>
  </si>
  <si>
    <t xml:space="preserve">CONDOMINIO DE SANTA LUCIA $ 1.100.000 </t>
  </si>
  <si>
    <t>ANDREA</t>
  </si>
  <si>
    <t>TOTAL--------------------------------------&gt;</t>
  </si>
  <si>
    <t>TOTAL A PAGAR</t>
  </si>
  <si>
    <t xml:space="preserve">IVON LOBO CARDONA </t>
  </si>
  <si>
    <t>SOL NACIENTE 1407- $ 1.700.000</t>
  </si>
  <si>
    <t>SOL CRECIENTE 206 1.700.000</t>
  </si>
  <si>
    <t>CALASANZ AZUL 1005 1.100.000</t>
  </si>
  <si>
    <t>RECIBIMIENTO</t>
  </si>
  <si>
    <t>AMANECERES 701-1.300.000</t>
  </si>
  <si>
    <t>PLAZUELA DEL METRO 303 $1200.000</t>
  </si>
  <si>
    <t>SOL NACIENTE 1717-2.000.000</t>
  </si>
  <si>
    <t>PORTADA INMOBILIARIA</t>
  </si>
  <si>
    <t xml:space="preserve">DESISTIERON </t>
  </si>
  <si>
    <t xml:space="preserve">TOTAL  APROBADO EN PROCESO DE FIRMAS </t>
  </si>
  <si>
    <t>MAYO 2022</t>
  </si>
  <si>
    <t>INFORME ARRIENDOS ZONA CALASANZ  - MAYO 2022</t>
  </si>
  <si>
    <t>PUNTA LUNA 809 - 900.000                                                                FACTURADO</t>
  </si>
  <si>
    <t>TORRE MONTANA 302 1'500.000                                                      FACTURADO</t>
  </si>
  <si>
    <t>ACUARELA 1605 1 MAYO-2.500.000                                                 FACTURADO</t>
  </si>
  <si>
    <t>CALLE 51B N° 81B- 39 1'600.000                                                       FACTURADO</t>
  </si>
  <si>
    <t>CEREZOS DE CALASANIA 1109 1'400.000                                         FACTURADO</t>
  </si>
  <si>
    <t>DIA DE CAMPO 9809 1'300.000                                                         FACTURADO</t>
  </si>
  <si>
    <t>CALLE 48 D N° 93 -5 AP 301 1'100.000                                             FACTURADO</t>
  </si>
  <si>
    <t>PORTAL DE SAN JAVIER AP 302 730.0000                                        FACTURADO</t>
  </si>
  <si>
    <t>ALEJANDRA</t>
  </si>
  <si>
    <t>CERROS DEL ESCORIAL 501 1'300.000                                              FACTURADO</t>
  </si>
  <si>
    <t>CEREZOS DE CALASANIA 1015 1'350.000                                         FACTURADO</t>
  </si>
  <si>
    <t>FLORESTA 80 A 12 900.000                                                                FACTURADO</t>
  </si>
  <si>
    <t>ALEXANDER</t>
  </si>
  <si>
    <t>CALASANZ AZUL AP 1902 $1.250.000  EMPALME                         FACTURADO</t>
  </si>
  <si>
    <t>CALLE 54 # 80-14 ap203 800.000                                                     FACTURADO</t>
  </si>
  <si>
    <t>AMANECERES 706 1'300.0000                                                          FACTURADO</t>
  </si>
  <si>
    <t>NUEVO PORTAL 1304 800.000                                                          FACTURADO</t>
  </si>
  <si>
    <t>AMANECERES 711 1'400.000                                                            FACTURADO</t>
  </si>
  <si>
    <t>FARALLONES 321  1'700.000                                                              FACTURADO</t>
  </si>
  <si>
    <t>VANESSA</t>
  </si>
  <si>
    <t>CALASANZ AZUL 1707 1'350.000                                                      FACTURADO</t>
  </si>
  <si>
    <t>CALASANZ AZUL 818 1'200.0000                                                      FACTURADO</t>
  </si>
  <si>
    <t>EL ROSAL 810 2'300.000                                                                     FACTURADO</t>
  </si>
  <si>
    <t>NUEVA ANDALUCIA 401 1'200.000                                                   FACTURADO</t>
  </si>
  <si>
    <t>FARO VERDE 2303  1'600.000</t>
  </si>
  <si>
    <t>SOL CRECIENTE 1306 1'800.000                                                        FACTURADO</t>
  </si>
  <si>
    <t>TORRE NOGAL 401 1'700.000 EMPALME                                         FACTURADO</t>
  </si>
  <si>
    <t>EMPALME</t>
  </si>
  <si>
    <t>ROSAL 204 1'700.000                                                                          FACTURADO</t>
  </si>
  <si>
    <t>MARIA PAULA LOPEZ</t>
  </si>
  <si>
    <t>POR GRABAR</t>
  </si>
  <si>
    <t>AMANECERES 601 1'200.000                                                             FACTURADO</t>
  </si>
  <si>
    <t>CEREZOS DE CALASANIA 910 1'250.000                                           FACTURADO</t>
  </si>
  <si>
    <t>TIERRA GRATA 3008 2.700.000</t>
  </si>
  <si>
    <t>VELEROS DEL ESTE 2101  2.300.000</t>
  </si>
  <si>
    <t>MARIA PAULA</t>
  </si>
  <si>
    <t>PROVIDENCIA DE CASTROPOL 119  2.300.000</t>
  </si>
  <si>
    <t>DAVID</t>
  </si>
  <si>
    <t>JUNIO 2022</t>
  </si>
  <si>
    <t>INFORME ARRIENDOS ZONA CALASANZ  - JUNIO 2022</t>
  </si>
  <si>
    <t>SENDERO DE LA 80 1616 1'500.000                                                   FACTURADO</t>
  </si>
  <si>
    <t>MARIA</t>
  </si>
  <si>
    <t xml:space="preserve">LA RIVIERE 1326 </t>
  </si>
  <si>
    <t>FARO VERDE 1905 1'700.000                                                              FACTURADO</t>
  </si>
  <si>
    <t>SENDERO DE LA 80 814 1'400.000                                                     FACTURADO</t>
  </si>
  <si>
    <t>CR 83 50A 14 AP 302 1'750.000                                                         FACTURADO</t>
  </si>
  <si>
    <t>CEREZOS DE CALASANIA 1514 1'300.000                                         FACTURADO</t>
  </si>
  <si>
    <t>SOL CRECIENTE 1403 1'900.000                                                        FACTURADO</t>
  </si>
  <si>
    <t>CAMPO VERDE 315 1'200.000 SUBROGACION                               FACTURADO</t>
  </si>
  <si>
    <t>SUBROGACION</t>
  </si>
  <si>
    <t>CERRO CLARO 108 1'300.000</t>
  </si>
  <si>
    <t>CALASANZ AZUL 709 1'350.000                                                         FACTURADO</t>
  </si>
  <si>
    <t>CALASANZ AZUL 703 1'350.000                                                         FACTURADO</t>
  </si>
  <si>
    <t>AMANAECERES 1301 1'350.000                                                        FACTURADO</t>
  </si>
  <si>
    <t>MONTEPARAISO 1411 1'450.000                                                      FACTURADO</t>
  </si>
  <si>
    <t>ROSAL 511 2'000.0000                                                                        FACTURADO</t>
  </si>
  <si>
    <t>ELIZABETH ALVARZ</t>
  </si>
  <si>
    <t>LA PRADERA 201 1'200.000                                                    FACTURADO</t>
  </si>
  <si>
    <t>ARBOLEDA 201 1'650.000</t>
  </si>
  <si>
    <t xml:space="preserve">CR 83 50A 14 AP 301 1'700.000                                             FACTURADO                               </t>
  </si>
  <si>
    <t>CEREZOS DE CALASANIA 1019 1'300.000</t>
  </si>
  <si>
    <t>JULIO 2022</t>
  </si>
  <si>
    <t>ELIZABETH ALVAREZ</t>
  </si>
  <si>
    <t xml:space="preserve">FACTURACION </t>
  </si>
  <si>
    <t xml:space="preserve">CONTRATO </t>
  </si>
  <si>
    <t>14+4</t>
  </si>
  <si>
    <t>CALLE 47 DD # 89-39</t>
  </si>
  <si>
    <t xml:space="preserve">ELIZABETH </t>
  </si>
  <si>
    <t>X</t>
  </si>
  <si>
    <t>EDIFICIO IBIZA 1305</t>
  </si>
  <si>
    <t>CARRERA 80 N° 53A-11 AP 401</t>
  </si>
  <si>
    <t>EDIFICIO IBIZA 1102</t>
  </si>
  <si>
    <t>NUEVO PORTAL 1702</t>
  </si>
  <si>
    <t xml:space="preserve">IVON </t>
  </si>
  <si>
    <t xml:space="preserve">CARRERA 86C # 48BB -47 AP 201 </t>
  </si>
  <si>
    <t xml:space="preserve">NUEVO MUNDO AP 602 </t>
  </si>
  <si>
    <t>IBIZA 706</t>
  </si>
  <si>
    <t>CALLE 48 A # 94-35</t>
  </si>
  <si>
    <t>CARRERA 83 #  50A 14 AP 201</t>
  </si>
  <si>
    <t xml:space="preserve">DESISTIO </t>
  </si>
  <si>
    <t>SENDERO DE LA 80 1312- 1.300.000</t>
  </si>
  <si>
    <t>PDTE</t>
  </si>
  <si>
    <t>SOL CRECIENTE 1807- 1.700.000</t>
  </si>
  <si>
    <t>12+4</t>
  </si>
  <si>
    <t xml:space="preserve">CARRERA 83 #  50A 14 AP 401                     </t>
  </si>
  <si>
    <t>ARROYO DE LOS BERNAL 909</t>
  </si>
  <si>
    <t>MADERA NATIVA 1103</t>
  </si>
  <si>
    <t xml:space="preserve">EL ROSAL 516 </t>
  </si>
  <si>
    <t>CITRINO 2111</t>
  </si>
  <si>
    <t>CEREZOS DE CALASANIA 520</t>
  </si>
  <si>
    <t xml:space="preserve">NUEVO PORTAL 2003 - OJO CLIENTE PORTERO </t>
  </si>
  <si>
    <t>EL ROSAL 306</t>
  </si>
  <si>
    <t>CEREZOS DE CALASANIA 519</t>
  </si>
  <si>
    <t xml:space="preserve">SOL CRECIENTE 1807- OJO CLIENTE PORTERO </t>
  </si>
  <si>
    <t>SOL CRECIENTE 1014</t>
  </si>
  <si>
    <t>IBIZA 1102</t>
  </si>
  <si>
    <t>CARRERA 83 #  50A 14 AP 402</t>
  </si>
  <si>
    <t>CEREZOS DE CALASANIA 519- 1.300.000</t>
  </si>
  <si>
    <t>3+1</t>
  </si>
  <si>
    <t xml:space="preserve">SANTA LUCIA 1'200.000 COLOCACION </t>
  </si>
  <si>
    <t xml:space="preserve">OJOO $1.600.000 PERTENECEN A COLORES </t>
  </si>
  <si>
    <t>AGOSTO 2022</t>
  </si>
  <si>
    <t>20+3</t>
  </si>
  <si>
    <t>SUBROGACION INFINITO 1603</t>
  </si>
  <si>
    <t xml:space="preserve">	CALLE 34A 78A 27</t>
  </si>
  <si>
    <t>CARRERA 83 # 50A 14 AP 202</t>
  </si>
  <si>
    <t xml:space="preserve">14665
</t>
  </si>
  <si>
    <t>CEREZOS DE CALASANIA 224</t>
  </si>
  <si>
    <t xml:space="preserve">CALLE 47f # 94-36 101 </t>
  </si>
  <si>
    <t>CAMILA F</t>
  </si>
  <si>
    <r>
      <rPr>
        <b/>
        <sz val="12"/>
        <color rgb="FF000000"/>
        <rFont val="Arial"/>
      </rPr>
      <t>CEREZOS DE CALASANIA 1206 -</t>
    </r>
    <r>
      <rPr>
        <b/>
        <sz val="11"/>
        <color rgb="FF000000"/>
        <rFont val="Arial"/>
      </rPr>
      <t xml:space="preserve"> OJO CLIENTE PORTERO</t>
    </r>
    <r>
      <rPr>
        <b/>
        <sz val="12"/>
        <color rgb="FF000000"/>
        <rFont val="Arial"/>
      </rPr>
      <t xml:space="preserve"> </t>
    </r>
  </si>
  <si>
    <t>CAMILA</t>
  </si>
  <si>
    <t>ALTOS DE CALASANZ 302</t>
  </si>
  <si>
    <t xml:space="preserve">MONTEPARAISO 1312 </t>
  </si>
  <si>
    <t xml:space="preserve">AMANECERES 1508 </t>
  </si>
  <si>
    <t>SAN MICHEL 398</t>
  </si>
  <si>
    <t>JESSICA</t>
  </si>
  <si>
    <t xml:space="preserve">CALLE 66 D # 37-61 AP 101 </t>
  </si>
  <si>
    <t>EL ROSAL 2002-2.000.000</t>
  </si>
  <si>
    <t>NEGADOS</t>
  </si>
  <si>
    <t>CARRERA 96 # 43-53 - 2.950.000</t>
  </si>
  <si>
    <t xml:space="preserve">DIA DE CAMPO 9911- Ojo cliente portero </t>
  </si>
  <si>
    <t>MONIMAR 201</t>
  </si>
  <si>
    <t xml:space="preserve">BELOROHORIZONTE 606 - ojo cliente portero </t>
  </si>
  <si>
    <t>CALASANZ AZUL 1401</t>
  </si>
  <si>
    <t>CARRERA 47 A # 70-26</t>
  </si>
  <si>
    <t>EMPALME PORTAL DE CALASANZ 302</t>
  </si>
  <si>
    <t xml:space="preserve">CARRERA 47 A # 78-28 AP 301 </t>
  </si>
  <si>
    <t>ACUARELA 1308</t>
  </si>
  <si>
    <t>SOL NACIENTE 2106</t>
  </si>
  <si>
    <t>CALASANZ CAMPESTRE 424</t>
  </si>
  <si>
    <t xml:space="preserve">TABATHA </t>
  </si>
  <si>
    <t>EL ROSAL 1611</t>
  </si>
  <si>
    <t>NUEVO PORTAL 1502</t>
  </si>
  <si>
    <t>AMANECERES 507</t>
  </si>
  <si>
    <t>FIORENZA 402 -1.300.000</t>
  </si>
  <si>
    <t>CAMPO VERDE 9810-1.200.000</t>
  </si>
  <si>
    <t>CALASANZ AZUL 607- 1.350.000</t>
  </si>
  <si>
    <t xml:space="preserve">CAMILA </t>
  </si>
  <si>
    <t>ACUARELA 1308- 3.500.000</t>
  </si>
  <si>
    <t xml:space="preserve">MARSELLA AP 1013 </t>
  </si>
  <si>
    <t xml:space="preserve">JULIAN </t>
  </si>
  <si>
    <t xml:space="preserve">CAMILA F </t>
  </si>
  <si>
    <t>OJOO $950.000 PERTENECEN A COLORES</t>
  </si>
  <si>
    <t>SEPTIEMBRE 2022</t>
  </si>
  <si>
    <t>CALASANZ AZUL 1724</t>
  </si>
  <si>
    <t>VILLA ROMERA 2309</t>
  </si>
  <si>
    <t>CARRERA 96 N° 43 -53 AP 501</t>
  </si>
  <si>
    <t>CALLE 66 D # 37-61 AP 9901</t>
  </si>
  <si>
    <t>EMPALME RACHED 401</t>
  </si>
  <si>
    <t>SAN MICHEL 106</t>
  </si>
  <si>
    <t>CALLE 51 B # 81 B 47 AP 201</t>
  </si>
  <si>
    <t>CALLE 51 B # 81 B 47 AP 302</t>
  </si>
  <si>
    <t>MONTEPARAISO 408</t>
  </si>
  <si>
    <t>CALLE 38 A # 108-15 AP 301</t>
  </si>
  <si>
    <t>NUEVO PORTAL 404</t>
  </si>
  <si>
    <t>VIVENZA 302</t>
  </si>
  <si>
    <t>CARRERA 89 # 44B-113 AP 302</t>
  </si>
  <si>
    <t>TORREMONTANA  532</t>
  </si>
  <si>
    <t>CALASANZ AZUL 107</t>
  </si>
  <si>
    <t xml:space="preserve">NUEVO PORTAL AP 204 $ 1.050.000 </t>
  </si>
  <si>
    <t xml:space="preserve">CARRERA 85 A # 47 DD 10 LOCAL </t>
  </si>
  <si>
    <t>CONJUNTO RESIDENCIAL CALASANZ 524-1.900.000</t>
  </si>
  <si>
    <t xml:space="preserve">OJO DESCONTAR $120.000 NEGOCIO NO REALIZADO </t>
  </si>
  <si>
    <t>20+4</t>
  </si>
  <si>
    <t>BETHEL 301</t>
  </si>
  <si>
    <t xml:space="preserve">TORRE CORINTO 302 - Ojo cliente portero </t>
  </si>
  <si>
    <t>CAMILA V</t>
  </si>
  <si>
    <t>SUBROGACION CALASANZ AZUL 1701</t>
  </si>
  <si>
    <t xml:space="preserve">EL ROSAL 1515 - OJO CLIENTE PORTERO </t>
  </si>
  <si>
    <t>LUNA DEL MAR 1226</t>
  </si>
  <si>
    <t>CALLE 51B N° 81B- 47 AP 301</t>
  </si>
  <si>
    <t>EDIFICIO MORENO JARA AP 302</t>
  </si>
  <si>
    <t>ALEX</t>
  </si>
  <si>
    <t>EL ROSAL 1313</t>
  </si>
  <si>
    <t>CALASANZ AZUL 1301</t>
  </si>
  <si>
    <t xml:space="preserve">CAMILA V </t>
  </si>
  <si>
    <t>EL ROSAL 1112</t>
  </si>
  <si>
    <t>CALLE 48 D # 93-27</t>
  </si>
  <si>
    <t xml:space="preserve">MONTEPARAISO 213 - OJO CLIENTE PORTERO </t>
  </si>
  <si>
    <t xml:space="preserve">CALLE 48D 93-36 </t>
  </si>
  <si>
    <t>CALLE 48 D # 93-05 - 970.000</t>
  </si>
  <si>
    <t>DESISTIO</t>
  </si>
  <si>
    <t>SUBROGACION NUEVO PORTAL 2004- 950.000</t>
  </si>
  <si>
    <t>OCTUBRE 2022</t>
  </si>
  <si>
    <t>8+3</t>
  </si>
  <si>
    <t>JAPON 404</t>
  </si>
  <si>
    <t>LUNA DEL MAR 910</t>
  </si>
  <si>
    <t>NUEVO PORTAL 702</t>
  </si>
  <si>
    <t>CALLE 35 A 90 A 26 2 PISO</t>
  </si>
  <si>
    <t xml:space="preserve">NUEVO PORTAL 902 </t>
  </si>
  <si>
    <t xml:space="preserve">JESSICA </t>
  </si>
  <si>
    <t xml:space="preserve">CALLE 47 C # 101-2 AP 101 </t>
  </si>
  <si>
    <t>LOCAL CALLE 47 C # 101-2</t>
  </si>
  <si>
    <t>AMANECERES 1303</t>
  </si>
  <si>
    <t xml:space="preserve">MONTEPARAISO 909 </t>
  </si>
  <si>
    <t>OLIVENZA CASA 169</t>
  </si>
  <si>
    <t>AMANECERES 1010</t>
  </si>
  <si>
    <t>CALLE 48 D N° 93 – 5</t>
  </si>
  <si>
    <t>SOL NACIENTE 805</t>
  </si>
  <si>
    <t>CAMPO VERDE 9819</t>
  </si>
  <si>
    <t xml:space="preserve">NEGADOS </t>
  </si>
  <si>
    <t>CARRERA 87 C # 46-18 - 1.200.000</t>
  </si>
  <si>
    <t>FIORENZA 906</t>
  </si>
  <si>
    <t>CARRERA 30 N 35-79 AP 201</t>
  </si>
  <si>
    <t>SUBROGACION SOL NACIENTE 1405</t>
  </si>
  <si>
    <t>CARRERA 87 C # 46-18</t>
  </si>
  <si>
    <t>BENEVENTO 802</t>
  </si>
  <si>
    <t>CALLE 51 B # 81 B 47 AP 401</t>
  </si>
  <si>
    <t>SOL NACIENTE 1103</t>
  </si>
  <si>
    <t>SOL NACIENTE 1508</t>
  </si>
  <si>
    <t>NUEVO PORTAL 2004</t>
  </si>
  <si>
    <t>EMPALME MONTEPARAISO 210</t>
  </si>
  <si>
    <t>CARRERA 82 # 51 38 $ 3.000.000</t>
  </si>
  <si>
    <t>CALLE 48 D # 93-95-970.000</t>
  </si>
  <si>
    <t>SUBROGACION CAMPO VERDE 213</t>
  </si>
  <si>
    <t>AMANECERES 406</t>
  </si>
  <si>
    <t>NOVIEMBRE 2022</t>
  </si>
  <si>
    <t>15+5</t>
  </si>
  <si>
    <t>SERRAVALLE 714</t>
  </si>
  <si>
    <t>EMPALME MONTEPARAISO 9501</t>
  </si>
  <si>
    <t>EMPALME SOL NACIENTE 2010</t>
  </si>
  <si>
    <t>CALASANZ AZUL 1708</t>
  </si>
  <si>
    <t>NUEVO PORTAL 1204</t>
  </si>
  <si>
    <t>ALTOS DE CALASANZ 201</t>
  </si>
  <si>
    <t>MIRADOR DE CALASANZ 303</t>
  </si>
  <si>
    <t>EMPALME EDIFICIO JAPON 302</t>
  </si>
  <si>
    <t>EMPALME CALASANZ AZUL 1202</t>
  </si>
  <si>
    <t>EMPALME CEREZOS DE CALASANIA 1019</t>
  </si>
  <si>
    <t xml:space="preserve">EMPALME CALASANZ AZUL 424 </t>
  </si>
  <si>
    <t>CALASANIA 2 AP 9912</t>
  </si>
  <si>
    <t xml:space="preserve">CALASANZ AZUL 826 - Ojo cliente portero </t>
  </si>
  <si>
    <t>LOCAL EDIFICIO MIXTO IL-CARPINELO P.H. LOCAL 9901</t>
  </si>
  <si>
    <t>CALLE 83 N° 44-53</t>
  </si>
  <si>
    <t>LOCAL CALE 44B # 84-54- 2.500.000</t>
  </si>
  <si>
    <t>CEREZOS DE CALASANIA 820</t>
  </si>
  <si>
    <t xml:space="preserve">MONTEFLOR 1502 </t>
  </si>
  <si>
    <t>SOL NACIENTE 1305</t>
  </si>
  <si>
    <t xml:space="preserve">DOÑANA 508 - Ojo cliente portero </t>
  </si>
  <si>
    <t>TORRE SAN SEBASTIAN 803</t>
  </si>
  <si>
    <t xml:space="preserve">VICTOR </t>
  </si>
  <si>
    <t>SENDERO DE LA 80 1316</t>
  </si>
  <si>
    <t>CARRERA 81C # 49-21</t>
  </si>
  <si>
    <t>CEREZOS DE CALASANIA 1417- 1.400.000</t>
  </si>
  <si>
    <t xml:space="preserve">MARSELLA 105 - 2.700.000 - Ojo cliente portero </t>
  </si>
  <si>
    <t>CALLE 47 EE # 84-37- 2.000.0000</t>
  </si>
  <si>
    <t>EMPALME CALLE 48BB N.º 86 – 18</t>
  </si>
  <si>
    <t>JESSICA L</t>
  </si>
  <si>
    <t>EMPALME JAPON 302-1.530.000</t>
  </si>
  <si>
    <t>OJO $850.000 LE PERTENECEN A COLORES</t>
  </si>
  <si>
    <t>DICIEMBRE 2022</t>
  </si>
  <si>
    <t>EMPALME PLAZUELAS DEL METRO 109- 1.250.000</t>
  </si>
  <si>
    <t xml:space="preserve">OJO </t>
  </si>
  <si>
    <t>SUBROGACION SENDEROS DE LA 80 1213-1.420.000</t>
  </si>
  <si>
    <t xml:space="preserve">EN ESTUDIO </t>
  </si>
  <si>
    <t>CEREZOS DE CALASANIA 221-1.400.000</t>
  </si>
  <si>
    <t>LOCAL TORRE CORINTO - 650.000</t>
  </si>
  <si>
    <t>EMPALME MONTEPARAISO 1208 - 1.350.000</t>
  </si>
  <si>
    <t xml:space="preserve">EMPALME NOGALES 1401 </t>
  </si>
  <si>
    <t>EMPALME EL ROSAL 204 - 1.900.000</t>
  </si>
  <si>
    <t>AMANECERES 810- 1.400.000</t>
  </si>
  <si>
    <t>CEREZOS DE CALASANIA 501-1.400.000</t>
  </si>
  <si>
    <t>SOL NACIENTE 312- 2.300.000</t>
  </si>
  <si>
    <t>FARALLONES 9822- 1.200.000</t>
  </si>
  <si>
    <t xml:space="preserve">PDTE </t>
  </si>
  <si>
    <t>CEREZOS DE CALASANIA 1417 - 1.400.000</t>
  </si>
  <si>
    <t>EMPALME MONTEPARAISO 1913- 1.400.000</t>
  </si>
  <si>
    <t>EMPALME CALASANZ CAMPESTRE 424- 1.550.000</t>
  </si>
  <si>
    <t>INFORME COLORES ENERO 2022  - DANIELA BOTERO</t>
  </si>
  <si>
    <t>% PROPIETARIO</t>
  </si>
  <si>
    <t>UNIDAD</t>
  </si>
  <si>
    <t>OBSERVACION POR QUE CAMBIA EL %</t>
  </si>
  <si>
    <t xml:space="preserve">CANON </t>
  </si>
  <si>
    <t>ASESOR</t>
  </si>
  <si>
    <t>PORTERO</t>
  </si>
  <si>
    <t>SOL CRECIENTE 907 -1.750.000</t>
  </si>
  <si>
    <t>BOTICCELLI 1201-1.742730</t>
  </si>
  <si>
    <t xml:space="preserve">CARLOS </t>
  </si>
  <si>
    <t xml:space="preserve">CUENTA A LA SEDE COLORES </t>
  </si>
  <si>
    <t>CALLE 47A # 99A-10 -730.000</t>
  </si>
  <si>
    <t>INFORME COLORES ENERO 2022  -MANUELA MONSALVE</t>
  </si>
  <si>
    <t>CALASANZ AZUL AP 420 $ 1.300000</t>
  </si>
  <si>
    <t> 12999</t>
  </si>
  <si>
    <t xml:space="preserve">DESISITE </t>
  </si>
  <si>
    <t>INFORME COLORES ENERO 2022  -VERONICA OCHOA</t>
  </si>
  <si>
    <t>INFORME COLORES ENERO 2022  -PORTADA</t>
  </si>
  <si>
    <t>TOTAL CERRADO</t>
  </si>
  <si>
    <t>INFORME COLORES ENERO 2022  - JENIFFER ARANGO</t>
  </si>
  <si>
    <t>CAPTACION</t>
  </si>
  <si>
    <t>PUNTA LUNA -800-000</t>
  </si>
  <si>
    <t>CALASANZ AZUL AP 420 $ 1.250.000</t>
  </si>
  <si>
    <t>FEBRERO  2022</t>
  </si>
  <si>
    <t>INFORME COLORES FEBRERO 2022  - DANIELA BOTERO</t>
  </si>
  <si>
    <t xml:space="preserve">CALASANZ PLAZA 404- </t>
  </si>
  <si>
    <t xml:space="preserve"> AMANECERES 1109 </t>
  </si>
  <si>
    <t xml:space="preserve">CAMPO VERDE 9907 - </t>
  </si>
  <si>
    <t>TOTAL CALASANZ</t>
  </si>
  <si>
    <t>COLORES</t>
  </si>
  <si>
    <t xml:space="preserve">ED. ESCORIAL 78 AP 202 </t>
  </si>
  <si>
    <t>ed. santamaria de los caminos AP: 501</t>
  </si>
  <si>
    <t>AMANECERES 211-1,150.000</t>
  </si>
  <si>
    <t>ivon</t>
  </si>
  <si>
    <t xml:space="preserve"> MONTEPARAISO 1511 1.300.000</t>
  </si>
  <si>
    <t>INICIA 18</t>
  </si>
  <si>
    <t>INFORME COLORES FEBRERO 2022  -MANUELA MONSALVE</t>
  </si>
  <si>
    <t xml:space="preserve">ASESOR </t>
  </si>
  <si>
    <t>AMANECERES 2107 -1.300.000</t>
  </si>
  <si>
    <t>SOL CRECIENTE 1516 -1.700.000</t>
  </si>
  <si>
    <t>CALLE 54 # 80-54 401 $ 2.500.000</t>
  </si>
  <si>
    <t>CAMPO VERDE APTO 9719  1.200.000</t>
  </si>
  <si>
    <t>MONTEPARAISO 1511 1.300.000</t>
  </si>
  <si>
    <t>NUEVO SOL 2410 -1.800.000</t>
  </si>
  <si>
    <t xml:space="preserve"> ED SAN MARTIN $ 1.600.000</t>
  </si>
  <si>
    <t>CALASANZ AZUL AP 2001 1,200,000</t>
  </si>
  <si>
    <t xml:space="preserve">13341	</t>
  </si>
  <si>
    <t>INICIA 1 FEB</t>
  </si>
  <si>
    <t xml:space="preserve">INFORME COLORES FEBRERO 2022  -ERICKA </t>
  </si>
  <si>
    <t>DESISTIDO</t>
  </si>
  <si>
    <t>INICIA  15 FEB</t>
  </si>
  <si>
    <t>INFORME COLORES FEBRERO 2022  -PORTADA</t>
  </si>
  <si>
    <t>INFORME COLORES FEBRERO 2022  - JENIFFER ARANGO</t>
  </si>
  <si>
    <t>MARZO  2022</t>
  </si>
  <si>
    <t>INFORME COLORES MARZO 2022  - DANIELA BOTERO</t>
  </si>
  <si>
    <t>CEREZOS DE CALASANIA 601 EMPALME</t>
  </si>
  <si>
    <t>GIRASOLES 1708-1.450.000</t>
  </si>
  <si>
    <t>CALLE 54 N° 80-14 APTO 202-800.000</t>
  </si>
  <si>
    <t xml:space="preserve"> TORREMONTANA 322 1.600.00</t>
  </si>
  <si>
    <t>PORTERO X CLIENTE</t>
  </si>
  <si>
    <t xml:space="preserve"> </t>
  </si>
  <si>
    <t>CAMINO DE COLORES 1703</t>
  </si>
  <si>
    <t>ALEJANDRO</t>
  </si>
  <si>
    <t>INICIO 1</t>
  </si>
  <si>
    <t xml:space="preserve">CARRERA 86 # 46-38 101 1.480.000 </t>
  </si>
  <si>
    <t xml:space="preserve">PEND UBICAR </t>
  </si>
  <si>
    <t>CALLE 47F # 97-42 301 SUBROGACION</t>
  </si>
  <si>
    <t>INFORME COLORES MARZO 2022  - MANUELA MONSALVE</t>
  </si>
  <si>
    <t>FARO VERDE 1706- 1.750.000</t>
  </si>
  <si>
    <t>RECINTO DE LA ARBOLEDA AP 437 $ 1.500.000</t>
  </si>
  <si>
    <t>EL ROSAL 909 -1.700.000</t>
  </si>
  <si>
    <t>CARRERA 95 # 48c-07 CUARTO PISO</t>
  </si>
  <si>
    <t xml:space="preserve">NUEVA ANDALUCIA  512 $ 1.300.000 </t>
  </si>
  <si>
    <t>CARRERA 86 # 46-38 101 1.480.000</t>
  </si>
  <si>
    <t>INFORME COLORES MARZO 2022  - JENIFFER ARANGO</t>
  </si>
  <si>
    <t>PROP</t>
  </si>
  <si>
    <t>NUEVO PORTAL 903 -</t>
  </si>
  <si>
    <t>INFORME CALASANZ ABRIL 2022</t>
  </si>
  <si>
    <t>ABRIL 2022 - MANUELA MONSALVE</t>
  </si>
  <si>
    <t># CONTRATO</t>
  </si>
  <si>
    <t>PROPIETARIO</t>
  </si>
  <si>
    <t>EXTERNO</t>
  </si>
  <si>
    <t>TOTAL-----------------------------------&gt;</t>
  </si>
  <si>
    <t xml:space="preserve">&lt;-------- TOTAL A PAGAR </t>
  </si>
  <si>
    <t>ABRIL 2022  - DANIELA BOTERO</t>
  </si>
  <si>
    <t>ABRIL 2022  -  PORTADA INMOBILIARIA</t>
  </si>
  <si>
    <t>CONSOLIDADO CASALANZ ABRIL 2022 - JENNIFER ARANGO</t>
  </si>
  <si>
    <t>RONALD</t>
  </si>
  <si>
    <t>INFORME CALASANZ MAYO 2022</t>
  </si>
  <si>
    <t>MAYO 2022 - MANUELA MONSALVE</t>
  </si>
  <si>
    <t>PUNTA LUNA 809 - 900.000 FACTURADO</t>
  </si>
  <si>
    <t>AMANECERES 601 1'200.000</t>
  </si>
  <si>
    <t>CEREZOS DE CALASANIA 910 1'250.000</t>
  </si>
  <si>
    <t>MAYO 2022  - DANIELA BOTERO</t>
  </si>
  <si>
    <t>CLIENTE PORTERO</t>
  </si>
  <si>
    <t>TORRE NOGAL 401 1'700.000 EMPALME</t>
  </si>
  <si>
    <t xml:space="preserve">ROSAL 204 1'700.000 </t>
  </si>
  <si>
    <t>CAMINO DE COLORES 2006 2.000.000</t>
  </si>
  <si>
    <t>MAYO 2022  -  PORTADA INMOBILIARIA</t>
  </si>
  <si>
    <t>CONSOLIDADO CASALANZ MAYO 2022 - RONALD MENDEZ</t>
  </si>
  <si>
    <t>NOGALES 702       1.700.000</t>
  </si>
  <si>
    <t xml:space="preserve">MANANTIALES DE SAN LUCAS 1101 </t>
  </si>
  <si>
    <t>POBLADO</t>
  </si>
  <si>
    <t>INFORME CALASANZ JUNIO 2022</t>
  </si>
  <si>
    <t>JUNIO 2022 - MANUELA MONSALVE</t>
  </si>
  <si>
    <t>ELIZABETH</t>
  </si>
  <si>
    <t xml:space="preserve">CR 83 50A 14 AP 302 1'700.000                                                   </t>
  </si>
  <si>
    <t>JUNIO 2022  - DANIELA BOTERO</t>
  </si>
  <si>
    <t>JUNIO 2022  -  PORTADA INMOBILIARIA</t>
  </si>
  <si>
    <t>CONSOLIDADO CASALANZ JUNIO 2022 - RONALD MENDEZ</t>
  </si>
  <si>
    <t>JULIO  2022</t>
  </si>
  <si>
    <t xml:space="preserve">INFORME CALASANZ JULIO  2022  -MANUELA MONSALVE </t>
  </si>
  <si>
    <t xml:space="preserve">CALLE 77E N° 71-75 </t>
  </si>
  <si>
    <t>ARAGON 1408</t>
  </si>
  <si>
    <t>LUNA DEL CAMPO 306</t>
  </si>
  <si>
    <t>NUEVO MUNDO 602</t>
  </si>
  <si>
    <t>ROBLEALTO 816</t>
  </si>
  <si>
    <t xml:space="preserve">INFORME CALASANZ JULIO 2022  -DANIELA BOTERO </t>
  </si>
  <si>
    <t xml:space="preserve">OJOO LIQUIDAN EN LA SEDE BELLO </t>
  </si>
  <si>
    <t xml:space="preserve">INFORME GLOBAL CALASANZ JULIO  2022  -ADRIANA ZAPATA </t>
  </si>
  <si>
    <t>AGOSTO  2022</t>
  </si>
  <si>
    <t xml:space="preserve">INFORME CALASANZ AGOSTO 2022  -MANUELA MONSALVE </t>
  </si>
  <si>
    <t xml:space="preserve">INFORME CALASANZ AGOSTO 2022  -CAMILA VELASQUEZ </t>
  </si>
  <si>
    <r>
      <rPr>
        <b/>
        <sz val="12"/>
        <color rgb="FF000000"/>
        <rFont val="Arial"/>
      </rPr>
      <t xml:space="preserve">CEREZOS DE CALASANIA 1206 - </t>
    </r>
    <r>
      <rPr>
        <b/>
        <sz val="9"/>
        <color rgb="FF000000"/>
        <rFont val="Arial"/>
      </rPr>
      <t xml:space="preserve">OJO CLIENTE PORTERO </t>
    </r>
  </si>
  <si>
    <t>INFORME CALASANZ AGOSTO 2022  -CAMILA FONNEGRA</t>
  </si>
  <si>
    <t xml:space="preserve">INFORME CALASANZ AGOSTO 2022  -TABATHA ROJAS </t>
  </si>
  <si>
    <t>INFORME CALASANZ AGOSTO 2022  - JESSICA IBARRA</t>
  </si>
  <si>
    <t xml:space="preserve">INFORME GLOBAL CALASANZ AGOSTO 2022  -ADRIANA ZAPATA </t>
  </si>
  <si>
    <t>INFORME CALASANZ SEPTIEMBRE 2022  -CAMILA VELASQUEZ</t>
  </si>
  <si>
    <t>CALLE 48d # 93-27</t>
  </si>
  <si>
    <t>INFORME CALASANZ SEPTIEMBRE 2022  -MANUELA MONSALVE</t>
  </si>
  <si>
    <t>INFORME CALASANZ SEPTIEMBRE 2022  - JESSICA IBARRA</t>
  </si>
  <si>
    <t xml:space="preserve">CALLE 38 A # 108-15 AP 301 </t>
  </si>
  <si>
    <t xml:space="preserve">INFORME CALASANZ SEPTIEMBRE 2022  -TABATHA ROJAS </t>
  </si>
  <si>
    <t xml:space="preserve">INFORME CALASANZ SEPTIEMBRE 2022  - CAMILA FONNEGRA </t>
  </si>
  <si>
    <t xml:space="preserve">INFORME GLOBAL CALASANZ SEPTIEMBRE 2022  -ADRIANA ZAPATA </t>
  </si>
  <si>
    <t>INFORME CALASANZ OCTUBRE 2022  -CAMILA VELASQUEZ</t>
  </si>
  <si>
    <t>INFORME CALASANZ OCTUBRE 2022  -MANUELA MONSALVE</t>
  </si>
  <si>
    <t xml:space="preserve">NUEVO PORTAL 702 - CLIENTE PORTERO </t>
  </si>
  <si>
    <t>INFORME CALASANZ OCTUBRE 2022  - JESSICA IBARRA</t>
  </si>
  <si>
    <t xml:space="preserve">INFORME CALASANZ OCTUBRE 2022  -TABATHA ROJAS </t>
  </si>
  <si>
    <t xml:space="preserve">INFORME GLOBAL CALASANZ OCTUBRE 2022  -ADRIANA ZAPATA </t>
  </si>
  <si>
    <t>INFORME CALASANZ NOVIEMBRE 2022  -CAMILA VELASQUEZ</t>
  </si>
  <si>
    <t>INFORME CALASANZ NOVIEMBRE 2022  -MANUELA MONSALVE</t>
  </si>
  <si>
    <t>INFORME CALASANZ NOVIEMBRE 2022  - JESSICA IBARRA</t>
  </si>
  <si>
    <t xml:space="preserve">INFORME GLOBAL CALASANZ NOVIEMBRE 2022  -ADRIANA ZAPATA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</si>
</sst>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42" formatCode="_(&quot;$&quot;* #,##0_);_(&quot;$&quot;* \(#,##0\);_(&quot;$&quot;* &quot;-&quot;_);_(@_)"/>
    <numFmt numFmtId="164" formatCode="mmmm\ yyyy"/>
    <numFmt numFmtId="165" formatCode="[$ $]#,##0"/>
    <numFmt numFmtId="166" formatCode="&quot;$&quot;#,##0"/>
    <numFmt numFmtId="167" formatCode="dd/mm/yyyy"/>
    <numFmt numFmtId="168" formatCode="_([$$-409]* #,##0_);_([$$-409]* \(#,##0\);_([$$-409]* &quot;-&quot;??_);_(@_)"/>
    <numFmt numFmtId="169" formatCode="_-[$$-240A]\ * #,##0_-;\-[$$-240A]\ * #,##0_-;_-[$$-240A]\ * &quot;-&quot;_-;_-@_-"/>
  </numFmts>
  <fonts count="89">
    <font>
      <sz val="11"/>
      <color theme="1"/>
      <name val="Calibri"/>
      <family val="2"/>
      <scheme val="minor"/>
    </font>
    <font>
      <b/>
      <sz val="36"/>
      <color rgb="FF000000"/>
      <name val="Calibri"/>
      <family val="2"/>
    </font>
    <font>
      <b/>
      <sz val="12"/>
      <color rgb="FF000000"/>
      <name val="Arial"/>
    </font>
    <font>
      <b/>
      <sz val="12"/>
      <name val="Arial"/>
    </font>
    <font>
      <sz val="11"/>
      <color rgb="FF000000"/>
      <name val="Calibri"/>
      <family val="2"/>
    </font>
    <font>
      <b/>
      <sz val="12"/>
      <color rgb="FF000000"/>
      <name val="Arial"/>
      <charset val="1"/>
    </font>
    <font>
      <b/>
      <sz val="11"/>
      <color theme="1"/>
      <name val="Calibri"/>
      <family val="2"/>
      <scheme val="minor"/>
    </font>
    <font>
      <b/>
      <sz val="12"/>
      <color theme="1"/>
      <name val="Arial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sz val="12"/>
      <color rgb="FF000000"/>
      <name val="Arial"/>
      <family val="2"/>
    </font>
    <font>
      <b/>
      <sz val="10"/>
      <color theme="1"/>
      <name val="Arial"/>
      <family val="2"/>
    </font>
    <font>
      <sz val="11"/>
      <color rgb="FF000000"/>
      <name val="Arial"/>
    </font>
    <font>
      <sz val="11"/>
      <color theme="1"/>
      <name val="Arial"/>
    </font>
    <font>
      <b/>
      <sz val="14"/>
      <color rgb="FF000000"/>
      <name val="Calibri"/>
    </font>
    <font>
      <sz val="10"/>
      <name val="Arial"/>
    </font>
    <font>
      <b/>
      <sz val="10"/>
      <name val="Arial"/>
    </font>
    <font>
      <b/>
      <sz val="11"/>
      <color rgb="FF000000"/>
      <name val="Calibri"/>
    </font>
    <font>
      <sz val="11"/>
      <color rgb="FF000000"/>
      <name val="Calibri"/>
    </font>
    <font>
      <b/>
      <sz val="12"/>
      <color rgb="FFFF0000"/>
      <name val="Arial"/>
    </font>
    <font>
      <b/>
      <sz val="14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rgb="FFFF0000"/>
      <name val="Arial"/>
      <family val="2"/>
    </font>
    <font>
      <b/>
      <sz val="14"/>
      <color rgb="FF000000"/>
      <name val="Arial"/>
    </font>
    <font>
      <b/>
      <sz val="14"/>
      <color rgb="FFFF0000"/>
      <name val="Arial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b/>
      <sz val="12"/>
      <color rgb="FFFF0000"/>
      <name val="Arial"/>
      <family val="2"/>
    </font>
    <font>
      <b/>
      <sz val="12"/>
      <color rgb="FFC00000"/>
      <name val="Arial"/>
      <family val="2"/>
    </font>
    <font>
      <b/>
      <sz val="14"/>
      <name val="Arial"/>
      <family val="2"/>
    </font>
    <font>
      <b/>
      <sz val="12"/>
      <color rgb="FFC00000"/>
      <name val="Arial"/>
    </font>
    <font>
      <b/>
      <sz val="36"/>
      <color rgb="FF000000"/>
      <name val="Calibri"/>
    </font>
    <font>
      <b/>
      <sz val="10"/>
      <color theme="1"/>
      <name val="Arial"/>
    </font>
    <font>
      <b/>
      <sz val="10"/>
      <color rgb="FF000000"/>
      <name val="Arial"/>
    </font>
    <font>
      <b/>
      <sz val="10"/>
      <color rgb="FFFF0000"/>
      <name val="Arial"/>
    </font>
    <font>
      <b/>
      <sz val="11"/>
      <color rgb="FF000000"/>
      <name val="Calibri"/>
      <charset val="1"/>
    </font>
    <font>
      <b/>
      <sz val="11"/>
      <color theme="1"/>
      <name val="Arial"/>
    </font>
    <font>
      <b/>
      <sz val="14"/>
      <color theme="1"/>
      <name val="Arial"/>
    </font>
    <font>
      <b/>
      <sz val="16"/>
      <color theme="1"/>
      <name val="Arial"/>
    </font>
    <font>
      <b/>
      <sz val="16"/>
      <color theme="1"/>
      <name val="Calibri"/>
      <family val="2"/>
      <scheme val="minor"/>
    </font>
    <font>
      <b/>
      <sz val="11"/>
      <color rgb="FF000000"/>
      <name val="Arial"/>
    </font>
    <font>
      <b/>
      <sz val="12"/>
      <color theme="1"/>
      <name val="Calibri"/>
      <family val="2"/>
      <scheme val="minor"/>
    </font>
    <font>
      <b/>
      <sz val="16"/>
      <color rgb="FF000000"/>
      <name val="Arial"/>
      <family val="2"/>
    </font>
    <font>
      <b/>
      <sz val="16"/>
      <name val="Arial"/>
      <family val="2"/>
    </font>
    <font>
      <b/>
      <sz val="11"/>
      <color rgb="FF000000"/>
      <name val="Franklin Gothic Demi"/>
      <charset val="1"/>
    </font>
    <font>
      <b/>
      <sz val="14"/>
      <color rgb="FF000000"/>
      <name val="Franklin Gothic Demi"/>
      <charset val="1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4"/>
      <color rgb="FF000000"/>
      <name val="Calibri"/>
      <family val="2"/>
    </font>
    <font>
      <b/>
      <sz val="12"/>
      <color rgb="FF000000"/>
      <name val="Calibri"/>
    </font>
    <font>
      <b/>
      <sz val="12"/>
      <color rgb="FF000000"/>
      <name val="Calibri"/>
      <family val="2"/>
    </font>
    <font>
      <b/>
      <sz val="10"/>
      <color rgb="FF000000"/>
      <name val="Calibri"/>
    </font>
    <font>
      <b/>
      <sz val="11"/>
      <color rgb="FF000000"/>
      <name val="Calibri"/>
      <family val="2"/>
    </font>
    <font>
      <b/>
      <sz val="10"/>
      <color rgb="FFFF0000"/>
      <name val="Calibri"/>
    </font>
    <font>
      <b/>
      <sz val="11"/>
      <color rgb="FFFF0000"/>
      <name val="Calibri"/>
      <family val="2"/>
    </font>
    <font>
      <sz val="10"/>
      <color rgb="FF000000"/>
      <name val="Calibri"/>
    </font>
    <font>
      <b/>
      <sz val="10"/>
      <color rgb="FF000000"/>
      <name val="Calibri"/>
      <family val="2"/>
    </font>
    <font>
      <b/>
      <sz val="10"/>
      <name val="Calibri"/>
    </font>
    <font>
      <b/>
      <sz val="26"/>
      <color rgb="FF000000"/>
      <name val="Calibri"/>
    </font>
    <font>
      <sz val="12"/>
      <color theme="1"/>
      <name val="Calibri"/>
      <family val="2"/>
      <scheme val="minor"/>
    </font>
    <font>
      <b/>
      <sz val="26"/>
      <name val="Calibri"/>
      <family val="2"/>
    </font>
    <font>
      <b/>
      <sz val="18"/>
      <color rgb="FF000000"/>
      <name val="Arial"/>
      <family val="2"/>
    </font>
    <font>
      <b/>
      <sz val="11"/>
      <color theme="1"/>
      <name val="Calibri"/>
    </font>
    <font>
      <b/>
      <sz val="11"/>
      <name val="Calibri"/>
    </font>
    <font>
      <b/>
      <sz val="11"/>
      <color rgb="FFFF0000"/>
      <name val="Calibri"/>
    </font>
    <font>
      <b/>
      <sz val="10"/>
      <color theme="1"/>
      <name val="Calibri"/>
    </font>
    <font>
      <b/>
      <sz val="12"/>
      <color theme="1"/>
      <name val="Calibri"/>
    </font>
    <font>
      <b/>
      <sz val="12"/>
      <name val="Calibri"/>
    </font>
    <font>
      <b/>
      <sz val="12"/>
      <color rgb="FFFF0000"/>
      <name val="Calibri"/>
    </font>
    <font>
      <b/>
      <sz val="11"/>
      <color rgb="FF000000"/>
      <name val="Arial"/>
      <charset val="1"/>
    </font>
    <font>
      <b/>
      <sz val="11"/>
      <name val="Arial"/>
    </font>
    <font>
      <b/>
      <sz val="12"/>
      <color rgb="FFFF0000"/>
      <name val="Calibri"/>
      <family val="2"/>
    </font>
    <font>
      <b/>
      <sz val="28"/>
      <color rgb="FF000000"/>
      <name val="Calibri"/>
    </font>
    <font>
      <b/>
      <sz val="28"/>
      <color rgb="FFFF0000"/>
      <name val="Calibri"/>
    </font>
    <font>
      <b/>
      <sz val="10"/>
      <color rgb="FF000000"/>
      <name val="Arial"/>
      <charset val="1"/>
    </font>
    <font>
      <b/>
      <sz val="26"/>
      <color rgb="FFFF0000"/>
      <name val="Calibri"/>
    </font>
    <font>
      <b/>
      <sz val="26"/>
      <color rgb="FFFF0000"/>
      <name val="Calibri"/>
      <family val="2"/>
    </font>
    <font>
      <sz val="10"/>
      <name val="Arial"/>
      <family val="2"/>
    </font>
    <font>
      <sz val="12"/>
      <color theme="1"/>
      <name val="Calibri"/>
    </font>
    <font>
      <b/>
      <sz val="14"/>
      <name val="Arial"/>
    </font>
    <font>
      <b/>
      <sz val="26"/>
      <color rgb="FF000000"/>
      <name val="Arial"/>
    </font>
    <font>
      <b/>
      <sz val="24"/>
      <color rgb="FF000000"/>
      <name val="Arial"/>
    </font>
    <font>
      <b/>
      <sz val="9"/>
      <color rgb="FF000000"/>
      <name val="Arial"/>
    </font>
    <font>
      <b/>
      <sz val="36"/>
      <color rgb="FF000000"/>
      <name val="Arial"/>
    </font>
    <font>
      <sz val="11"/>
      <color rgb="FFFF0000"/>
      <name val="Calibri"/>
      <family val="2"/>
    </font>
    <font>
      <sz val="11"/>
      <color rgb="FFFF0000"/>
      <name val="Calibri"/>
      <family val="2"/>
      <scheme val="minor"/>
    </font>
    <font>
      <b/>
      <sz val="48"/>
      <color rgb="FF000000"/>
      <name val="Arial"/>
    </font>
  </fonts>
  <fills count="28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92D050"/>
        <bgColor rgb="FF92D050"/>
      </patternFill>
    </fill>
    <fill>
      <patternFill patternType="solid">
        <fgColor rgb="FF92D050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D8E4BC"/>
        <bgColor rgb="FFD8E4B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CCCC"/>
        <bgColor rgb="FFCCCCCC"/>
      </patternFill>
    </fill>
    <fill>
      <patternFill patternType="solid">
        <fgColor rgb="FF80808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rgb="FF00B0F0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70AD47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9D9D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158">
    <xf numFmtId="0" fontId="0" fillId="0" borderId="0" xfId="0"/>
    <xf numFmtId="0" fontId="0" fillId="0" borderId="0" xfId="0" applyAlignment="1">
      <alignment horizontal="center"/>
    </xf>
    <xf numFmtId="0" fontId="0" fillId="5" borderId="3" xfId="0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165" fontId="2" fillId="6" borderId="4" xfId="0" applyNumberFormat="1" applyFont="1" applyFill="1" applyBorder="1" applyAlignment="1">
      <alignment horizontal="center"/>
    </xf>
    <xf numFmtId="3" fontId="2" fillId="6" borderId="4" xfId="0" applyNumberFormat="1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/>
    </xf>
    <xf numFmtId="0" fontId="5" fillId="8" borderId="3" xfId="0" applyFont="1" applyFill="1" applyBorder="1" applyAlignment="1">
      <alignment horizontal="left"/>
    </xf>
    <xf numFmtId="0" fontId="0" fillId="8" borderId="3" xfId="0" applyFill="1" applyBorder="1"/>
    <xf numFmtId="0" fontId="2" fillId="8" borderId="3" xfId="0" applyFont="1" applyFill="1" applyBorder="1" applyAlignment="1">
      <alignment horizontal="left"/>
    </xf>
    <xf numFmtId="166" fontId="2" fillId="8" borderId="3" xfId="0" applyNumberFormat="1" applyFont="1" applyFill="1" applyBorder="1"/>
    <xf numFmtId="0" fontId="6" fillId="8" borderId="3" xfId="0" applyFont="1" applyFill="1" applyBorder="1"/>
    <xf numFmtId="0" fontId="7" fillId="9" borderId="7" xfId="0" applyFont="1" applyFill="1" applyBorder="1" applyAlignment="1">
      <alignment horizontal="center"/>
    </xf>
    <xf numFmtId="0" fontId="7" fillId="9" borderId="3" xfId="0" applyFont="1" applyFill="1" applyBorder="1" applyAlignment="1">
      <alignment horizontal="center"/>
    </xf>
    <xf numFmtId="0" fontId="3" fillId="9" borderId="3" xfId="0" applyFont="1" applyFill="1" applyBorder="1"/>
    <xf numFmtId="0" fontId="6" fillId="9" borderId="3" xfId="0" applyFont="1" applyFill="1" applyBorder="1" applyAlignment="1">
      <alignment horizontal="left"/>
    </xf>
    <xf numFmtId="0" fontId="2" fillId="9" borderId="3" xfId="0" applyFont="1" applyFill="1" applyBorder="1"/>
    <xf numFmtId="166" fontId="8" fillId="9" borderId="3" xfId="0" applyNumberFormat="1" applyFont="1" applyFill="1" applyBorder="1"/>
    <xf numFmtId="0" fontId="0" fillId="0" borderId="3" xfId="0" applyBorder="1"/>
    <xf numFmtId="0" fontId="5" fillId="4" borderId="3" xfId="0" applyFont="1" applyFill="1" applyBorder="1" applyAlignment="1">
      <alignment horizontal="left"/>
    </xf>
    <xf numFmtId="9" fontId="2" fillId="4" borderId="3" xfId="0" applyNumberFormat="1" applyFont="1" applyFill="1" applyBorder="1" applyAlignment="1">
      <alignment horizontal="center"/>
    </xf>
    <xf numFmtId="0" fontId="7" fillId="4" borderId="3" xfId="0" applyFont="1" applyFill="1" applyBorder="1"/>
    <xf numFmtId="166" fontId="2" fillId="4" borderId="3" xfId="0" applyNumberFormat="1" applyFont="1" applyFill="1" applyBorder="1"/>
    <xf numFmtId="0" fontId="7" fillId="9" borderId="3" xfId="0" applyFont="1" applyFill="1" applyBorder="1"/>
    <xf numFmtId="0" fontId="5" fillId="9" borderId="3" xfId="0" applyFont="1" applyFill="1" applyBorder="1" applyAlignment="1">
      <alignment horizontal="left"/>
    </xf>
    <xf numFmtId="0" fontId="10" fillId="9" borderId="3" xfId="0" applyFont="1" applyFill="1" applyBorder="1" applyAlignment="1">
      <alignment horizontal="left"/>
    </xf>
    <xf numFmtId="166" fontId="8" fillId="9" borderId="3" xfId="0" applyNumberFormat="1" applyFont="1" applyFill="1" applyBorder="1" applyAlignment="1">
      <alignment horizontal="right"/>
    </xf>
    <xf numFmtId="0" fontId="2" fillId="9" borderId="3" xfId="0" applyFont="1" applyFill="1" applyBorder="1" applyAlignment="1">
      <alignment horizontal="left"/>
    </xf>
    <xf numFmtId="0" fontId="2" fillId="9" borderId="7" xfId="0" applyFont="1" applyFill="1" applyBorder="1" applyAlignment="1">
      <alignment horizontal="left"/>
    </xf>
    <xf numFmtId="0" fontId="0" fillId="9" borderId="3" xfId="0" applyFill="1" applyBorder="1"/>
    <xf numFmtId="0" fontId="3" fillId="9" borderId="3" xfId="0" applyFont="1" applyFill="1" applyBorder="1" applyAlignment="1">
      <alignment horizontal="center"/>
    </xf>
    <xf numFmtId="9" fontId="2" fillId="8" borderId="3" xfId="0" applyNumberFormat="1" applyFont="1" applyFill="1" applyBorder="1" applyAlignment="1">
      <alignment horizontal="center"/>
    </xf>
    <xf numFmtId="0" fontId="2" fillId="8" borderId="3" xfId="0" applyFont="1" applyFill="1" applyBorder="1"/>
    <xf numFmtId="0" fontId="7" fillId="8" borderId="3" xfId="0" applyFont="1" applyFill="1" applyBorder="1"/>
    <xf numFmtId="0" fontId="7" fillId="8" borderId="3" xfId="0" applyFont="1" applyFill="1" applyBorder="1" applyAlignment="1">
      <alignment horizontal="left"/>
    </xf>
    <xf numFmtId="9" fontId="2" fillId="8" borderId="4" xfId="0" applyNumberFormat="1" applyFont="1" applyFill="1" applyBorder="1" applyAlignment="1">
      <alignment horizontal="center"/>
    </xf>
    <xf numFmtId="0" fontId="5" fillId="10" borderId="3" xfId="0" applyFont="1" applyFill="1" applyBorder="1" applyAlignment="1">
      <alignment horizontal="left"/>
    </xf>
    <xf numFmtId="0" fontId="2" fillId="10" borderId="8" xfId="0" applyFont="1" applyFill="1" applyBorder="1" applyAlignment="1">
      <alignment horizontal="left"/>
    </xf>
    <xf numFmtId="9" fontId="2" fillId="10" borderId="3" xfId="0" applyNumberFormat="1" applyFont="1" applyFill="1" applyBorder="1" applyAlignment="1">
      <alignment horizontal="center"/>
    </xf>
    <xf numFmtId="166" fontId="8" fillId="10" borderId="3" xfId="0" applyNumberFormat="1" applyFont="1" applyFill="1" applyBorder="1"/>
    <xf numFmtId="166" fontId="2" fillId="10" borderId="3" xfId="0" applyNumberFormat="1" applyFont="1" applyFill="1" applyBorder="1"/>
    <xf numFmtId="9" fontId="6" fillId="10" borderId="3" xfId="0" applyNumberFormat="1" applyFont="1" applyFill="1" applyBorder="1" applyAlignment="1">
      <alignment horizontal="center"/>
    </xf>
    <xf numFmtId="166" fontId="7" fillId="10" borderId="3" xfId="0" applyNumberFormat="1" applyFont="1" applyFill="1" applyBorder="1"/>
    <xf numFmtId="0" fontId="7" fillId="10" borderId="3" xfId="0" applyFont="1" applyFill="1" applyBorder="1"/>
    <xf numFmtId="0" fontId="7" fillId="10" borderId="3" xfId="0" applyFont="1" applyFill="1" applyBorder="1" applyAlignment="1">
      <alignment horizontal="left"/>
    </xf>
    <xf numFmtId="165" fontId="3" fillId="9" borderId="3" xfId="0" applyNumberFormat="1" applyFont="1" applyFill="1" applyBorder="1"/>
    <xf numFmtId="3" fontId="3" fillId="9" borderId="3" xfId="0" applyNumberFormat="1" applyFont="1" applyFill="1" applyBorder="1" applyAlignment="1">
      <alignment horizontal="right"/>
    </xf>
    <xf numFmtId="165" fontId="2" fillId="6" borderId="3" xfId="0" applyNumberFormat="1" applyFont="1" applyFill="1" applyBorder="1" applyAlignment="1">
      <alignment horizontal="center"/>
    </xf>
    <xf numFmtId="3" fontId="2" fillId="6" borderId="3" xfId="0" applyNumberFormat="1" applyFont="1" applyFill="1" applyBorder="1" applyAlignment="1">
      <alignment horizontal="center"/>
    </xf>
    <xf numFmtId="9" fontId="8" fillId="8" borderId="3" xfId="0" applyNumberFormat="1" applyFont="1" applyFill="1" applyBorder="1" applyAlignment="1">
      <alignment horizontal="center"/>
    </xf>
    <xf numFmtId="9" fontId="2" fillId="9" borderId="3" xfId="0" applyNumberFormat="1" applyFont="1" applyFill="1" applyBorder="1" applyAlignment="1">
      <alignment horizontal="center"/>
    </xf>
    <xf numFmtId="166" fontId="2" fillId="9" borderId="3" xfId="0" applyNumberFormat="1" applyFont="1" applyFill="1" applyBorder="1"/>
    <xf numFmtId="0" fontId="7" fillId="9" borderId="3" xfId="0" applyFont="1" applyFill="1" applyBorder="1" applyAlignment="1">
      <alignment horizontal="left"/>
    </xf>
    <xf numFmtId="0" fontId="3" fillId="9" borderId="0" xfId="0" applyFont="1" applyFill="1" applyAlignment="1">
      <alignment horizontal="center"/>
    </xf>
    <xf numFmtId="0" fontId="0" fillId="9" borderId="0" xfId="0" applyFill="1"/>
    <xf numFmtId="0" fontId="0" fillId="0" borderId="3" xfId="0" applyBorder="1" applyAlignment="1">
      <alignment horizontal="center"/>
    </xf>
    <xf numFmtId="0" fontId="14" fillId="6" borderId="3" xfId="0" applyFont="1" applyFill="1" applyBorder="1" applyAlignment="1">
      <alignment horizontal="center"/>
    </xf>
    <xf numFmtId="0" fontId="17" fillId="7" borderId="4" xfId="0" applyFont="1" applyFill="1" applyBorder="1" applyAlignment="1">
      <alignment horizontal="center"/>
    </xf>
    <xf numFmtId="0" fontId="18" fillId="7" borderId="4" xfId="0" applyFont="1" applyFill="1" applyBorder="1" applyAlignment="1">
      <alignment horizontal="center"/>
    </xf>
    <xf numFmtId="0" fontId="19" fillId="7" borderId="4" xfId="0" applyFont="1" applyFill="1" applyBorder="1" applyAlignment="1">
      <alignment horizontal="center"/>
    </xf>
    <xf numFmtId="3" fontId="18" fillId="7" borderId="4" xfId="0" applyNumberFormat="1" applyFont="1" applyFill="1" applyBorder="1" applyAlignment="1">
      <alignment horizontal="center"/>
    </xf>
    <xf numFmtId="0" fontId="20" fillId="11" borderId="4" xfId="0" applyFont="1" applyFill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0" fillId="0" borderId="4" xfId="0" applyBorder="1"/>
    <xf numFmtId="166" fontId="8" fillId="8" borderId="3" xfId="0" applyNumberFormat="1" applyFont="1" applyFill="1" applyBorder="1"/>
    <xf numFmtId="9" fontId="6" fillId="8" borderId="3" xfId="0" applyNumberFormat="1" applyFont="1" applyFill="1" applyBorder="1"/>
    <xf numFmtId="166" fontId="6" fillId="8" borderId="3" xfId="0" applyNumberFormat="1" applyFont="1" applyFill="1" applyBorder="1"/>
    <xf numFmtId="0" fontId="13" fillId="8" borderId="3" xfId="0" applyFont="1" applyFill="1" applyBorder="1"/>
    <xf numFmtId="0" fontId="6" fillId="10" borderId="3" xfId="0" applyFont="1" applyFill="1" applyBorder="1"/>
    <xf numFmtId="9" fontId="6" fillId="10" borderId="3" xfId="0" applyNumberFormat="1" applyFont="1" applyFill="1" applyBorder="1"/>
    <xf numFmtId="166" fontId="6" fillId="10" borderId="3" xfId="0" applyNumberFormat="1" applyFont="1" applyFill="1" applyBorder="1"/>
    <xf numFmtId="0" fontId="6" fillId="9" borderId="0" xfId="0" applyFont="1" applyFill="1" applyAlignment="1">
      <alignment horizontal="center"/>
    </xf>
    <xf numFmtId="0" fontId="6" fillId="9" borderId="3" xfId="0" applyFont="1" applyFill="1" applyBorder="1" applyAlignment="1">
      <alignment horizontal="right"/>
    </xf>
    <xf numFmtId="9" fontId="8" fillId="9" borderId="3" xfId="0" applyNumberFormat="1" applyFont="1" applyFill="1" applyBorder="1" applyAlignment="1">
      <alignment horizontal="center"/>
    </xf>
    <xf numFmtId="0" fontId="6" fillId="9" borderId="3" xfId="0" applyFont="1" applyFill="1" applyBorder="1"/>
    <xf numFmtId="9" fontId="6" fillId="9" borderId="3" xfId="0" applyNumberFormat="1" applyFont="1" applyFill="1" applyBorder="1"/>
    <xf numFmtId="166" fontId="6" fillId="9" borderId="3" xfId="0" applyNumberFormat="1" applyFont="1" applyFill="1" applyBorder="1"/>
    <xf numFmtId="0" fontId="6" fillId="9" borderId="3" xfId="0" applyFont="1" applyFill="1" applyBorder="1" applyAlignment="1">
      <alignment horizontal="center"/>
    </xf>
    <xf numFmtId="165" fontId="11" fillId="4" borderId="3" xfId="0" applyNumberFormat="1" applyFont="1" applyFill="1" applyBorder="1" applyAlignment="1">
      <alignment horizontal="right"/>
    </xf>
    <xf numFmtId="165" fontId="3" fillId="8" borderId="3" xfId="0" applyNumberFormat="1" applyFont="1" applyFill="1" applyBorder="1"/>
    <xf numFmtId="3" fontId="3" fillId="8" borderId="3" xfId="0" applyNumberFormat="1" applyFont="1" applyFill="1" applyBorder="1" applyAlignment="1">
      <alignment horizontal="right"/>
    </xf>
    <xf numFmtId="0" fontId="5" fillId="8" borderId="4" xfId="0" applyFont="1" applyFill="1" applyBorder="1" applyAlignment="1">
      <alignment horizontal="left"/>
    </xf>
    <xf numFmtId="9" fontId="9" fillId="8" borderId="3" xfId="0" applyNumberFormat="1" applyFont="1" applyFill="1" applyBorder="1" applyAlignment="1">
      <alignment horizontal="center"/>
    </xf>
    <xf numFmtId="0" fontId="5" fillId="10" borderId="3" xfId="0" applyFont="1" applyFill="1" applyBorder="1"/>
    <xf numFmtId="9" fontId="8" fillId="10" borderId="3" xfId="0" applyNumberFormat="1" applyFont="1" applyFill="1" applyBorder="1"/>
    <xf numFmtId="0" fontId="2" fillId="9" borderId="7" xfId="0" applyFont="1" applyFill="1" applyBorder="1"/>
    <xf numFmtId="0" fontId="7" fillId="10" borderId="3" xfId="0" applyFont="1" applyFill="1" applyBorder="1" applyAlignment="1">
      <alignment horizontal="center"/>
    </xf>
    <xf numFmtId="0" fontId="2" fillId="10" borderId="3" xfId="0" applyFont="1" applyFill="1" applyBorder="1" applyAlignment="1">
      <alignment horizontal="left"/>
    </xf>
    <xf numFmtId="9" fontId="2" fillId="10" borderId="8" xfId="0" applyNumberFormat="1" applyFont="1" applyFill="1" applyBorder="1" applyAlignment="1">
      <alignment horizontal="center"/>
    </xf>
    <xf numFmtId="0" fontId="13" fillId="4" borderId="3" xfId="0" applyFont="1" applyFill="1" applyBorder="1"/>
    <xf numFmtId="0" fontId="2" fillId="10" borderId="3" xfId="0" applyFont="1" applyFill="1" applyBorder="1"/>
    <xf numFmtId="0" fontId="0" fillId="10" borderId="3" xfId="0" applyFill="1" applyBorder="1"/>
    <xf numFmtId="165" fontId="11" fillId="9" borderId="3" xfId="0" applyNumberFormat="1" applyFont="1" applyFill="1" applyBorder="1" applyAlignment="1">
      <alignment horizontal="right"/>
    </xf>
    <xf numFmtId="0" fontId="0" fillId="0" borderId="6" xfId="0" applyBorder="1"/>
    <xf numFmtId="166" fontId="23" fillId="8" borderId="3" xfId="0" applyNumberFormat="1" applyFont="1" applyFill="1" applyBorder="1"/>
    <xf numFmtId="166" fontId="0" fillId="8" borderId="3" xfId="0" applyNumberFormat="1" applyFill="1" applyBorder="1"/>
    <xf numFmtId="166" fontId="0" fillId="0" borderId="3" xfId="0" applyNumberFormat="1" applyBorder="1"/>
    <xf numFmtId="165" fontId="0" fillId="8" borderId="3" xfId="0" applyNumberFormat="1" applyFill="1" applyBorder="1"/>
    <xf numFmtId="0" fontId="2" fillId="4" borderId="3" xfId="0" applyFont="1" applyFill="1" applyBorder="1"/>
    <xf numFmtId="166" fontId="7" fillId="9" borderId="0" xfId="0" applyNumberFormat="1" applyFont="1" applyFill="1"/>
    <xf numFmtId="0" fontId="7" fillId="9" borderId="0" xfId="0" applyFont="1" applyFill="1"/>
    <xf numFmtId="0" fontId="7" fillId="9" borderId="0" xfId="0" applyFont="1" applyFill="1" applyAlignment="1">
      <alignment horizontal="left"/>
    </xf>
    <xf numFmtId="0" fontId="0" fillId="0" borderId="8" xfId="0" applyBorder="1"/>
    <xf numFmtId="166" fontId="22" fillId="8" borderId="3" xfId="0" applyNumberFormat="1" applyFont="1" applyFill="1" applyBorder="1"/>
    <xf numFmtId="9" fontId="24" fillId="8" borderId="3" xfId="0" applyNumberFormat="1" applyFont="1" applyFill="1" applyBorder="1" applyAlignment="1">
      <alignment horizontal="center"/>
    </xf>
    <xf numFmtId="9" fontId="27" fillId="8" borderId="3" xfId="0" applyNumberFormat="1" applyFont="1" applyFill="1" applyBorder="1"/>
    <xf numFmtId="0" fontId="13" fillId="9" borderId="3" xfId="0" applyFont="1" applyFill="1" applyBorder="1"/>
    <xf numFmtId="9" fontId="9" fillId="9" borderId="3" xfId="0" applyNumberFormat="1" applyFont="1" applyFill="1" applyBorder="1" applyAlignment="1">
      <alignment horizontal="center"/>
    </xf>
    <xf numFmtId="0" fontId="6" fillId="9" borderId="7" xfId="0" applyFont="1" applyFill="1" applyBorder="1"/>
    <xf numFmtId="0" fontId="0" fillId="9" borderId="7" xfId="0" applyFill="1" applyBorder="1"/>
    <xf numFmtId="0" fontId="0" fillId="0" borderId="7" xfId="0" applyBorder="1"/>
    <xf numFmtId="166" fontId="8" fillId="9" borderId="8" xfId="0" applyNumberFormat="1" applyFont="1" applyFill="1" applyBorder="1" applyAlignment="1">
      <alignment horizontal="right"/>
    </xf>
    <xf numFmtId="0" fontId="0" fillId="0" borderId="11" xfId="0" applyBorder="1"/>
    <xf numFmtId="0" fontId="2" fillId="9" borderId="4" xfId="0" applyFont="1" applyFill="1" applyBorder="1" applyAlignment="1">
      <alignment horizontal="left"/>
    </xf>
    <xf numFmtId="0" fontId="0" fillId="9" borderId="4" xfId="0" applyFill="1" applyBorder="1"/>
    <xf numFmtId="0" fontId="6" fillId="0" borderId="3" xfId="0" applyFont="1" applyBorder="1"/>
    <xf numFmtId="9" fontId="26" fillId="4" borderId="3" xfId="0" applyNumberFormat="1" applyFont="1" applyFill="1" applyBorder="1" applyAlignment="1">
      <alignment horizontal="center"/>
    </xf>
    <xf numFmtId="0" fontId="2" fillId="4" borderId="3" xfId="0" applyFont="1" applyFill="1" applyBorder="1" applyAlignment="1">
      <alignment horizontal="left"/>
    </xf>
    <xf numFmtId="0" fontId="6" fillId="9" borderId="6" xfId="0" applyFont="1" applyFill="1" applyBorder="1"/>
    <xf numFmtId="166" fontId="8" fillId="9" borderId="4" xfId="0" applyNumberFormat="1" applyFont="1" applyFill="1" applyBorder="1"/>
    <xf numFmtId="9" fontId="6" fillId="9" borderId="4" xfId="0" applyNumberFormat="1" applyFont="1" applyFill="1" applyBorder="1"/>
    <xf numFmtId="166" fontId="6" fillId="9" borderId="4" xfId="0" applyNumberFormat="1" applyFont="1" applyFill="1" applyBorder="1"/>
    <xf numFmtId="165" fontId="30" fillId="4" borderId="3" xfId="0" applyNumberFormat="1" applyFont="1" applyFill="1" applyBorder="1" applyAlignment="1">
      <alignment horizontal="right"/>
    </xf>
    <xf numFmtId="0" fontId="2" fillId="9" borderId="8" xfId="0" applyFont="1" applyFill="1" applyBorder="1" applyAlignment="1">
      <alignment horizontal="left"/>
    </xf>
    <xf numFmtId="0" fontId="20" fillId="11" borderId="5" xfId="0" applyFont="1" applyFill="1" applyBorder="1" applyAlignment="1">
      <alignment horizontal="center"/>
    </xf>
    <xf numFmtId="9" fontId="21" fillId="8" borderId="3" xfId="0" applyNumberFormat="1" applyFont="1" applyFill="1" applyBorder="1" applyAlignment="1">
      <alignment horizontal="center"/>
    </xf>
    <xf numFmtId="165" fontId="12" fillId="8" borderId="3" xfId="0" applyNumberFormat="1" applyFont="1" applyFill="1" applyBorder="1"/>
    <xf numFmtId="0" fontId="0" fillId="0" borderId="5" xfId="0" applyBorder="1"/>
    <xf numFmtId="166" fontId="7" fillId="9" borderId="7" xfId="0" applyNumberFormat="1" applyFont="1" applyFill="1" applyBorder="1"/>
    <xf numFmtId="0" fontId="2" fillId="9" borderId="14" xfId="0" applyFont="1" applyFill="1" applyBorder="1" applyAlignment="1">
      <alignment horizontal="left"/>
    </xf>
    <xf numFmtId="0" fontId="0" fillId="9" borderId="14" xfId="0" applyFill="1" applyBorder="1"/>
    <xf numFmtId="0" fontId="21" fillId="9" borderId="8" xfId="0" applyFont="1" applyFill="1" applyBorder="1"/>
    <xf numFmtId="0" fontId="32" fillId="8" borderId="3" xfId="0" applyFont="1" applyFill="1" applyBorder="1"/>
    <xf numFmtId="9" fontId="29" fillId="8" borderId="3" xfId="0" applyNumberFormat="1" applyFont="1" applyFill="1" applyBorder="1" applyAlignment="1">
      <alignment horizontal="center"/>
    </xf>
    <xf numFmtId="9" fontId="26" fillId="8" borderId="3" xfId="0" applyNumberFormat="1" applyFont="1" applyFill="1" applyBorder="1" applyAlignment="1">
      <alignment horizontal="center"/>
    </xf>
    <xf numFmtId="0" fontId="34" fillId="9" borderId="3" xfId="0" applyFont="1" applyFill="1" applyBorder="1"/>
    <xf numFmtId="166" fontId="35" fillId="9" borderId="3" xfId="0" applyNumberFormat="1" applyFont="1" applyFill="1" applyBorder="1" applyAlignment="1">
      <alignment horizontal="right"/>
    </xf>
    <xf numFmtId="9" fontId="21" fillId="9" borderId="3" xfId="0" applyNumberFormat="1" applyFont="1" applyFill="1" applyBorder="1" applyAlignment="1">
      <alignment horizontal="center"/>
    </xf>
    <xf numFmtId="0" fontId="34" fillId="8" borderId="3" xfId="0" applyFont="1" applyFill="1" applyBorder="1"/>
    <xf numFmtId="9" fontId="2" fillId="8" borderId="6" xfId="0" applyNumberFormat="1" applyFont="1" applyFill="1" applyBorder="1" applyAlignment="1">
      <alignment horizontal="center"/>
    </xf>
    <xf numFmtId="9" fontId="21" fillId="10" borderId="3" xfId="0" applyNumberFormat="1" applyFont="1" applyFill="1" applyBorder="1" applyAlignment="1">
      <alignment horizontal="center"/>
    </xf>
    <xf numFmtId="0" fontId="7" fillId="9" borderId="14" xfId="0" applyFont="1" applyFill="1" applyBorder="1" applyAlignment="1">
      <alignment horizontal="center"/>
    </xf>
    <xf numFmtId="9" fontId="35" fillId="10" borderId="3" xfId="0" applyNumberFormat="1" applyFont="1" applyFill="1" applyBorder="1" applyAlignment="1">
      <alignment horizontal="center"/>
    </xf>
    <xf numFmtId="0" fontId="34" fillId="10" borderId="3" xfId="0" applyFont="1" applyFill="1" applyBorder="1"/>
    <xf numFmtId="0" fontId="6" fillId="8" borderId="0" xfId="0" applyFont="1" applyFill="1"/>
    <xf numFmtId="0" fontId="7" fillId="10" borderId="8" xfId="0" applyFont="1" applyFill="1" applyBorder="1"/>
    <xf numFmtId="0" fontId="5" fillId="8" borderId="3" xfId="0" applyFont="1" applyFill="1" applyBorder="1"/>
    <xf numFmtId="0" fontId="17" fillId="7" borderId="3" xfId="0" applyFont="1" applyFill="1" applyBorder="1" applyAlignment="1">
      <alignment horizontal="center"/>
    </xf>
    <xf numFmtId="0" fontId="18" fillId="7" borderId="3" xfId="0" applyFont="1" applyFill="1" applyBorder="1" applyAlignment="1">
      <alignment horizontal="center"/>
    </xf>
    <xf numFmtId="0" fontId="19" fillId="7" borderId="3" xfId="0" applyFont="1" applyFill="1" applyBorder="1" applyAlignment="1">
      <alignment horizontal="center"/>
    </xf>
    <xf numFmtId="3" fontId="18" fillId="7" borderId="3" xfId="0" applyNumberFormat="1" applyFont="1" applyFill="1" applyBorder="1" applyAlignment="1">
      <alignment horizontal="center"/>
    </xf>
    <xf numFmtId="0" fontId="20" fillId="11" borderId="3" xfId="0" applyFont="1" applyFill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5" fillId="9" borderId="8" xfId="0" applyFont="1" applyFill="1" applyBorder="1" applyAlignment="1">
      <alignment horizontal="left"/>
    </xf>
    <xf numFmtId="166" fontId="2" fillId="8" borderId="4" xfId="0" applyNumberFormat="1" applyFont="1" applyFill="1" applyBorder="1"/>
    <xf numFmtId="9" fontId="2" fillId="9" borderId="8" xfId="0" applyNumberFormat="1" applyFont="1" applyFill="1" applyBorder="1" applyAlignment="1">
      <alignment horizontal="center"/>
    </xf>
    <xf numFmtId="166" fontId="8" fillId="8" borderId="3" xfId="0" applyNumberFormat="1" applyFont="1" applyFill="1" applyBorder="1" applyAlignment="1">
      <alignment horizontal="right"/>
    </xf>
    <xf numFmtId="0" fontId="6" fillId="9" borderId="11" xfId="0" applyFont="1" applyFill="1" applyBorder="1"/>
    <xf numFmtId="9" fontId="6" fillId="8" borderId="7" xfId="0" applyNumberFormat="1" applyFont="1" applyFill="1" applyBorder="1"/>
    <xf numFmtId="0" fontId="13" fillId="9" borderId="11" xfId="0" applyFont="1" applyFill="1" applyBorder="1"/>
    <xf numFmtId="0" fontId="6" fillId="9" borderId="11" xfId="0" applyFont="1" applyFill="1" applyBorder="1" applyAlignment="1">
      <alignment horizontal="center"/>
    </xf>
    <xf numFmtId="9" fontId="32" fillId="8" borderId="3" xfId="0" applyNumberFormat="1" applyFont="1" applyFill="1" applyBorder="1" applyAlignment="1">
      <alignment horizontal="center"/>
    </xf>
    <xf numFmtId="0" fontId="6" fillId="8" borderId="13" xfId="0" applyFont="1" applyFill="1" applyBorder="1"/>
    <xf numFmtId="0" fontId="6" fillId="8" borderId="12" xfId="0" applyFont="1" applyFill="1" applyBorder="1"/>
    <xf numFmtId="0" fontId="0" fillId="8" borderId="13" xfId="0" applyFill="1" applyBorder="1"/>
    <xf numFmtId="9" fontId="9" fillId="10" borderId="3" xfId="0" applyNumberFormat="1" applyFont="1" applyFill="1" applyBorder="1" applyAlignment="1">
      <alignment horizontal="center"/>
    </xf>
    <xf numFmtId="9" fontId="27" fillId="10" borderId="3" xfId="0" applyNumberFormat="1" applyFont="1" applyFill="1" applyBorder="1"/>
    <xf numFmtId="9" fontId="8" fillId="10" borderId="3" xfId="0" applyNumberFormat="1" applyFont="1" applyFill="1" applyBorder="1" applyAlignment="1">
      <alignment horizontal="center"/>
    </xf>
    <xf numFmtId="0" fontId="13" fillId="10" borderId="3" xfId="0" applyFont="1" applyFill="1" applyBorder="1"/>
    <xf numFmtId="9" fontId="0" fillId="10" borderId="3" xfId="0" applyNumberFormat="1" applyFill="1" applyBorder="1"/>
    <xf numFmtId="166" fontId="8" fillId="8" borderId="4" xfId="0" applyNumberFormat="1" applyFont="1" applyFill="1" applyBorder="1" applyAlignment="1">
      <alignment horizontal="right"/>
    </xf>
    <xf numFmtId="0" fontId="5" fillId="10" borderId="6" xfId="0" applyFont="1" applyFill="1" applyBorder="1"/>
    <xf numFmtId="0" fontId="7" fillId="10" borderId="7" xfId="0" applyFont="1" applyFill="1" applyBorder="1"/>
    <xf numFmtId="166" fontId="8" fillId="10" borderId="4" xfId="0" applyNumberFormat="1" applyFont="1" applyFill="1" applyBorder="1" applyAlignment="1">
      <alignment horizontal="right"/>
    </xf>
    <xf numFmtId="9" fontId="6" fillId="8" borderId="3" xfId="0" applyNumberFormat="1" applyFont="1" applyFill="1" applyBorder="1" applyAlignment="1">
      <alignment horizontal="center"/>
    </xf>
    <xf numFmtId="166" fontId="7" fillId="8" borderId="3" xfId="0" applyNumberFormat="1" applyFont="1" applyFill="1" applyBorder="1"/>
    <xf numFmtId="166" fontId="8" fillId="10" borderId="3" xfId="0" applyNumberFormat="1" applyFont="1" applyFill="1" applyBorder="1" applyAlignment="1">
      <alignment horizontal="right"/>
    </xf>
    <xf numFmtId="0" fontId="6" fillId="10" borderId="4" xfId="0" applyFont="1" applyFill="1" applyBorder="1"/>
    <xf numFmtId="9" fontId="6" fillId="10" borderId="4" xfId="0" applyNumberFormat="1" applyFont="1" applyFill="1" applyBorder="1"/>
    <xf numFmtId="166" fontId="6" fillId="10" borderId="4" xfId="0" applyNumberFormat="1" applyFont="1" applyFill="1" applyBorder="1"/>
    <xf numFmtId="0" fontId="37" fillId="8" borderId="3" xfId="0" applyFont="1" applyFill="1" applyBorder="1"/>
    <xf numFmtId="0" fontId="11" fillId="7" borderId="3" xfId="0" applyFont="1" applyFill="1" applyBorder="1" applyAlignment="1">
      <alignment horizontal="center"/>
    </xf>
    <xf numFmtId="165" fontId="11" fillId="13" borderId="3" xfId="0" applyNumberFormat="1" applyFont="1" applyFill="1" applyBorder="1" applyAlignment="1">
      <alignment horizontal="right"/>
    </xf>
    <xf numFmtId="0" fontId="11" fillId="0" borderId="3" xfId="0" applyFont="1" applyBorder="1" applyAlignment="1">
      <alignment horizontal="center"/>
    </xf>
    <xf numFmtId="3" fontId="11" fillId="7" borderId="3" xfId="0" applyNumberFormat="1" applyFont="1" applyFill="1" applyBorder="1" applyAlignment="1">
      <alignment horizontal="center"/>
    </xf>
    <xf numFmtId="165" fontId="11" fillId="16" borderId="3" xfId="0" applyNumberFormat="1" applyFont="1" applyFill="1" applyBorder="1" applyAlignment="1">
      <alignment horizontal="right"/>
    </xf>
    <xf numFmtId="165" fontId="11" fillId="10" borderId="3" xfId="0" applyNumberFormat="1" applyFont="1" applyFill="1" applyBorder="1" applyAlignment="1">
      <alignment horizontal="left"/>
    </xf>
    <xf numFmtId="0" fontId="11" fillId="8" borderId="3" xfId="0" applyFont="1" applyFill="1" applyBorder="1" applyAlignment="1">
      <alignment horizontal="center"/>
    </xf>
    <xf numFmtId="165" fontId="11" fillId="8" borderId="3" xfId="0" applyNumberFormat="1" applyFont="1" applyFill="1" applyBorder="1"/>
    <xf numFmtId="0" fontId="0" fillId="9" borderId="3" xfId="0" applyFill="1" applyBorder="1" applyAlignment="1">
      <alignment horizontal="center"/>
    </xf>
    <xf numFmtId="165" fontId="31" fillId="13" borderId="3" xfId="0" applyNumberFormat="1" applyFont="1" applyFill="1" applyBorder="1" applyAlignment="1">
      <alignment horizontal="right"/>
    </xf>
    <xf numFmtId="165" fontId="11" fillId="16" borderId="3" xfId="0" applyNumberFormat="1" applyFont="1" applyFill="1" applyBorder="1" applyAlignment="1">
      <alignment horizontal="left"/>
    </xf>
    <xf numFmtId="10" fontId="28" fillId="8" borderId="3" xfId="0" applyNumberFormat="1" applyFont="1" applyFill="1" applyBorder="1" applyAlignment="1">
      <alignment horizontal="center"/>
    </xf>
    <xf numFmtId="10" fontId="9" fillId="8" borderId="3" xfId="0" applyNumberFormat="1" applyFont="1" applyFill="1" applyBorder="1" applyAlignment="1">
      <alignment horizontal="center"/>
    </xf>
    <xf numFmtId="166" fontId="22" fillId="10" borderId="3" xfId="0" applyNumberFormat="1" applyFont="1" applyFill="1" applyBorder="1"/>
    <xf numFmtId="0" fontId="0" fillId="0" borderId="14" xfId="0" applyBorder="1"/>
    <xf numFmtId="0" fontId="6" fillId="8" borderId="7" xfId="0" applyFont="1" applyFill="1" applyBorder="1" applyAlignment="1">
      <alignment horizontal="center"/>
    </xf>
    <xf numFmtId="0" fontId="6" fillId="8" borderId="2" xfId="0" applyFont="1" applyFill="1" applyBorder="1" applyAlignment="1">
      <alignment horizontal="center"/>
    </xf>
    <xf numFmtId="0" fontId="6" fillId="8" borderId="9" xfId="0" applyFont="1" applyFill="1" applyBorder="1" applyAlignment="1">
      <alignment horizontal="center"/>
    </xf>
    <xf numFmtId="0" fontId="2" fillId="8" borderId="7" xfId="0" applyFont="1" applyFill="1" applyBorder="1" applyAlignment="1">
      <alignment horizontal="left"/>
    </xf>
    <xf numFmtId="0" fontId="7" fillId="8" borderId="7" xfId="0" applyFont="1" applyFill="1" applyBorder="1" applyAlignment="1">
      <alignment horizontal="left"/>
    </xf>
    <xf numFmtId="0" fontId="2" fillId="10" borderId="9" xfId="0" applyFont="1" applyFill="1" applyBorder="1" applyAlignment="1">
      <alignment horizontal="left"/>
    </xf>
    <xf numFmtId="0" fontId="7" fillId="10" borderId="7" xfId="0" applyFont="1" applyFill="1" applyBorder="1" applyAlignment="1">
      <alignment horizontal="left"/>
    </xf>
    <xf numFmtId="0" fontId="6" fillId="10" borderId="7" xfId="0" applyFont="1" applyFill="1" applyBorder="1" applyAlignment="1">
      <alignment horizontal="center"/>
    </xf>
    <xf numFmtId="0" fontId="6" fillId="9" borderId="9" xfId="0" applyFont="1" applyFill="1" applyBorder="1" applyAlignment="1">
      <alignment horizontal="center"/>
    </xf>
    <xf numFmtId="0" fontId="2" fillId="10" borderId="7" xfId="0" applyFont="1" applyFill="1" applyBorder="1" applyAlignment="1">
      <alignment horizontal="left"/>
    </xf>
    <xf numFmtId="0" fontId="6" fillId="9" borderId="14" xfId="0" applyFont="1" applyFill="1" applyBorder="1" applyAlignment="1">
      <alignment horizontal="center"/>
    </xf>
    <xf numFmtId="0" fontId="6" fillId="9" borderId="7" xfId="0" applyFont="1" applyFill="1" applyBorder="1" applyAlignment="1">
      <alignment horizontal="center"/>
    </xf>
    <xf numFmtId="0" fontId="0" fillId="0" borderId="9" xfId="0" applyBorder="1"/>
    <xf numFmtId="0" fontId="17" fillId="7" borderId="10" xfId="0" applyFont="1" applyFill="1" applyBorder="1" applyAlignment="1">
      <alignment horizontal="center"/>
    </xf>
    <xf numFmtId="0" fontId="18" fillId="7" borderId="10" xfId="0" applyFont="1" applyFill="1" applyBorder="1" applyAlignment="1">
      <alignment horizontal="center"/>
    </xf>
    <xf numFmtId="0" fontId="19" fillId="7" borderId="10" xfId="0" applyFont="1" applyFill="1" applyBorder="1" applyAlignment="1">
      <alignment horizontal="center"/>
    </xf>
    <xf numFmtId="3" fontId="18" fillId="7" borderId="10" xfId="0" applyNumberFormat="1" applyFont="1" applyFill="1" applyBorder="1" applyAlignment="1">
      <alignment horizontal="center"/>
    </xf>
    <xf numFmtId="0" fontId="20" fillId="11" borderId="1" xfId="0" applyFont="1" applyFill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37" fillId="10" borderId="3" xfId="0" applyFont="1" applyFill="1" applyBorder="1"/>
    <xf numFmtId="166" fontId="5" fillId="8" borderId="3" xfId="0" applyNumberFormat="1" applyFont="1" applyFill="1" applyBorder="1" applyAlignment="1">
      <alignment horizontal="left"/>
    </xf>
    <xf numFmtId="9" fontId="5" fillId="8" borderId="3" xfId="0" applyNumberFormat="1" applyFont="1" applyFill="1" applyBorder="1" applyAlignment="1">
      <alignment horizontal="center" vertical="center"/>
    </xf>
    <xf numFmtId="0" fontId="6" fillId="8" borderId="11" xfId="0" applyFont="1" applyFill="1" applyBorder="1"/>
    <xf numFmtId="166" fontId="2" fillId="10" borderId="11" xfId="0" applyNumberFormat="1" applyFont="1" applyFill="1" applyBorder="1"/>
    <xf numFmtId="0" fontId="0" fillId="10" borderId="12" xfId="0" applyFill="1" applyBorder="1"/>
    <xf numFmtId="9" fontId="21" fillId="8" borderId="4" xfId="0" applyNumberFormat="1" applyFont="1" applyFill="1" applyBorder="1" applyAlignment="1">
      <alignment horizontal="center"/>
    </xf>
    <xf numFmtId="0" fontId="2" fillId="8" borderId="4" xfId="0" applyFont="1" applyFill="1" applyBorder="1" applyAlignment="1">
      <alignment horizontal="left"/>
    </xf>
    <xf numFmtId="166" fontId="8" fillId="8" borderId="4" xfId="0" applyNumberFormat="1" applyFont="1" applyFill="1" applyBorder="1"/>
    <xf numFmtId="0" fontId="5" fillId="9" borderId="8" xfId="0" applyFont="1" applyFill="1" applyBorder="1"/>
    <xf numFmtId="9" fontId="8" fillId="9" borderId="8" xfId="0" applyNumberFormat="1" applyFont="1" applyFill="1" applyBorder="1" applyAlignment="1">
      <alignment horizontal="center"/>
    </xf>
    <xf numFmtId="0" fontId="13" fillId="9" borderId="8" xfId="0" applyFont="1" applyFill="1" applyBorder="1"/>
    <xf numFmtId="0" fontId="6" fillId="9" borderId="8" xfId="0" applyFont="1" applyFill="1" applyBorder="1"/>
    <xf numFmtId="9" fontId="6" fillId="9" borderId="8" xfId="0" applyNumberFormat="1" applyFont="1" applyFill="1" applyBorder="1"/>
    <xf numFmtId="0" fontId="7" fillId="8" borderId="4" xfId="0" applyFont="1" applyFill="1" applyBorder="1"/>
    <xf numFmtId="0" fontId="5" fillId="10" borderId="8" xfId="0" applyFont="1" applyFill="1" applyBorder="1" applyAlignment="1">
      <alignment horizontal="left"/>
    </xf>
    <xf numFmtId="0" fontId="6" fillId="10" borderId="8" xfId="0" applyFont="1" applyFill="1" applyBorder="1"/>
    <xf numFmtId="0" fontId="7" fillId="8" borderId="4" xfId="0" applyFont="1" applyFill="1" applyBorder="1" applyAlignment="1">
      <alignment horizontal="left"/>
    </xf>
    <xf numFmtId="0" fontId="7" fillId="8" borderId="2" xfId="0" applyFont="1" applyFill="1" applyBorder="1"/>
    <xf numFmtId="166" fontId="2" fillId="8" borderId="1" xfId="0" applyNumberFormat="1" applyFont="1" applyFill="1" applyBorder="1"/>
    <xf numFmtId="166" fontId="8" fillId="10" borderId="8" xfId="0" applyNumberFormat="1" applyFont="1" applyFill="1" applyBorder="1"/>
    <xf numFmtId="9" fontId="27" fillId="10" borderId="8" xfId="0" applyNumberFormat="1" applyFont="1" applyFill="1" applyBorder="1"/>
    <xf numFmtId="166" fontId="6" fillId="10" borderId="8" xfId="0" applyNumberFormat="1" applyFont="1" applyFill="1" applyBorder="1"/>
    <xf numFmtId="0" fontId="7" fillId="9" borderId="4" xfId="0" applyFont="1" applyFill="1" applyBorder="1"/>
    <xf numFmtId="0" fontId="7" fillId="9" borderId="4" xfId="0" applyFont="1" applyFill="1" applyBorder="1" applyAlignment="1">
      <alignment horizontal="left"/>
    </xf>
    <xf numFmtId="0" fontId="3" fillId="9" borderId="4" xfId="0" applyFont="1" applyFill="1" applyBorder="1"/>
    <xf numFmtId="0" fontId="3" fillId="9" borderId="3" xfId="0" applyFont="1" applyFill="1" applyBorder="1" applyAlignment="1">
      <alignment vertical="center"/>
    </xf>
    <xf numFmtId="0" fontId="7" fillId="9" borderId="6" xfId="0" applyFont="1" applyFill="1" applyBorder="1"/>
    <xf numFmtId="166" fontId="5" fillId="9" borderId="7" xfId="0" applyNumberFormat="1" applyFont="1" applyFill="1" applyBorder="1" applyAlignment="1">
      <alignment horizontal="left"/>
    </xf>
    <xf numFmtId="9" fontId="36" fillId="9" borderId="3" xfId="0" applyNumberFormat="1" applyFont="1" applyFill="1" applyBorder="1" applyAlignment="1">
      <alignment horizontal="center"/>
    </xf>
    <xf numFmtId="0" fontId="5" fillId="9" borderId="6" xfId="0" applyFont="1" applyFill="1" applyBorder="1" applyAlignment="1">
      <alignment horizontal="left"/>
    </xf>
    <xf numFmtId="9" fontId="21" fillId="9" borderId="4" xfId="0" applyNumberFormat="1" applyFont="1" applyFill="1" applyBorder="1" applyAlignment="1">
      <alignment horizontal="center"/>
    </xf>
    <xf numFmtId="166" fontId="2" fillId="9" borderId="4" xfId="0" applyNumberFormat="1" applyFont="1" applyFill="1" applyBorder="1"/>
    <xf numFmtId="0" fontId="3" fillId="9" borderId="4" xfId="0" applyFont="1" applyFill="1" applyBorder="1" applyAlignment="1">
      <alignment horizontal="center"/>
    </xf>
    <xf numFmtId="165" fontId="3" fillId="8" borderId="4" xfId="0" applyNumberFormat="1" applyFont="1" applyFill="1" applyBorder="1"/>
    <xf numFmtId="166" fontId="5" fillId="9" borderId="14" xfId="0" applyNumberFormat="1" applyFont="1" applyFill="1" applyBorder="1" applyAlignment="1">
      <alignment horizontal="left"/>
    </xf>
    <xf numFmtId="0" fontId="5" fillId="9" borderId="4" xfId="0" applyFont="1" applyFill="1" applyBorder="1" applyAlignment="1">
      <alignment horizontal="left"/>
    </xf>
    <xf numFmtId="0" fontId="7" fillId="18" borderId="9" xfId="0" applyFont="1" applyFill="1" applyBorder="1"/>
    <xf numFmtId="166" fontId="6" fillId="0" borderId="3" xfId="0" applyNumberFormat="1" applyFont="1" applyBorder="1"/>
    <xf numFmtId="9" fontId="21" fillId="8" borderId="14" xfId="0" applyNumberFormat="1" applyFont="1" applyFill="1" applyBorder="1" applyAlignment="1">
      <alignment horizontal="center"/>
    </xf>
    <xf numFmtId="9" fontId="2" fillId="8" borderId="3" xfId="0" applyNumberFormat="1" applyFont="1" applyFill="1" applyBorder="1" applyAlignment="1">
      <alignment horizontal="center" vertical="center"/>
    </xf>
    <xf numFmtId="166" fontId="2" fillId="8" borderId="3" xfId="0" applyNumberFormat="1" applyFont="1" applyFill="1" applyBorder="1" applyAlignment="1">
      <alignment horizontal="left"/>
    </xf>
    <xf numFmtId="166" fontId="38" fillId="8" borderId="3" xfId="0" applyNumberFormat="1" applyFont="1" applyFill="1" applyBorder="1"/>
    <xf numFmtId="9" fontId="38" fillId="10" borderId="3" xfId="0" applyNumberFormat="1" applyFont="1" applyFill="1" applyBorder="1" applyAlignment="1">
      <alignment horizontal="center"/>
    </xf>
    <xf numFmtId="166" fontId="39" fillId="8" borderId="3" xfId="0" applyNumberFormat="1" applyFont="1" applyFill="1" applyBorder="1"/>
    <xf numFmtId="0" fontId="38" fillId="0" borderId="3" xfId="0" applyFont="1" applyBorder="1"/>
    <xf numFmtId="0" fontId="38" fillId="9" borderId="3" xfId="0" applyFont="1" applyFill="1" applyBorder="1"/>
    <xf numFmtId="166" fontId="40" fillId="10" borderId="3" xfId="0" applyNumberFormat="1" applyFont="1" applyFill="1" applyBorder="1"/>
    <xf numFmtId="9" fontId="2" fillId="10" borderId="3" xfId="0" applyNumberFormat="1" applyFont="1" applyFill="1" applyBorder="1" applyAlignment="1">
      <alignment horizontal="center" vertical="center"/>
    </xf>
    <xf numFmtId="166" fontId="2" fillId="10" borderId="3" xfId="0" applyNumberFormat="1" applyFont="1" applyFill="1" applyBorder="1" applyAlignment="1">
      <alignment horizontal="left"/>
    </xf>
    <xf numFmtId="0" fontId="6" fillId="9" borderId="4" xfId="0" applyFont="1" applyFill="1" applyBorder="1"/>
    <xf numFmtId="166" fontId="5" fillId="10" borderId="3" xfId="0" applyNumberFormat="1" applyFont="1" applyFill="1" applyBorder="1" applyAlignment="1">
      <alignment horizontal="right" vertical="center"/>
    </xf>
    <xf numFmtId="0" fontId="42" fillId="6" borderId="3" xfId="0" applyFont="1" applyFill="1" applyBorder="1" applyAlignment="1">
      <alignment horizontal="center"/>
    </xf>
    <xf numFmtId="165" fontId="43" fillId="8" borderId="3" xfId="0" applyNumberFormat="1" applyFont="1" applyFill="1" applyBorder="1"/>
    <xf numFmtId="0" fontId="6" fillId="8" borderId="6" xfId="0" applyFont="1" applyFill="1" applyBorder="1"/>
    <xf numFmtId="0" fontId="6" fillId="8" borderId="1" xfId="0" applyFont="1" applyFill="1" applyBorder="1"/>
    <xf numFmtId="0" fontId="7" fillId="10" borderId="11" xfId="0" applyFont="1" applyFill="1" applyBorder="1"/>
    <xf numFmtId="0" fontId="6" fillId="8" borderId="6" xfId="0" applyFont="1" applyFill="1" applyBorder="1" applyAlignment="1">
      <alignment horizontal="left"/>
    </xf>
    <xf numFmtId="0" fontId="6" fillId="8" borderId="5" xfId="0" applyFont="1" applyFill="1" applyBorder="1" applyAlignment="1">
      <alignment horizontal="left"/>
    </xf>
    <xf numFmtId="0" fontId="6" fillId="8" borderId="3" xfId="0" applyFont="1" applyFill="1" applyBorder="1" applyAlignment="1">
      <alignment horizontal="left"/>
    </xf>
    <xf numFmtId="0" fontId="6" fillId="8" borderId="4" xfId="0" applyFont="1" applyFill="1" applyBorder="1" applyAlignment="1">
      <alignment horizontal="left"/>
    </xf>
    <xf numFmtId="0" fontId="6" fillId="10" borderId="8" xfId="0" applyFont="1" applyFill="1" applyBorder="1" applyAlignment="1">
      <alignment horizontal="left"/>
    </xf>
    <xf numFmtId="0" fontId="6" fillId="10" borderId="3" xfId="0" applyFont="1" applyFill="1" applyBorder="1" applyAlignment="1">
      <alignment horizontal="left"/>
    </xf>
    <xf numFmtId="0" fontId="0" fillId="8" borderId="4" xfId="0" applyFill="1" applyBorder="1"/>
    <xf numFmtId="0" fontId="5" fillId="18" borderId="10" xfId="0" applyFont="1" applyFill="1" applyBorder="1"/>
    <xf numFmtId="9" fontId="2" fillId="18" borderId="10" xfId="0" applyNumberFormat="1" applyFont="1" applyFill="1" applyBorder="1" applyAlignment="1">
      <alignment horizontal="center"/>
    </xf>
    <xf numFmtId="0" fontId="0" fillId="18" borderId="8" xfId="0" applyFill="1" applyBorder="1"/>
    <xf numFmtId="166" fontId="8" fillId="18" borderId="8" xfId="0" applyNumberFormat="1" applyFont="1" applyFill="1" applyBorder="1" applyAlignment="1">
      <alignment horizontal="right"/>
    </xf>
    <xf numFmtId="166" fontId="44" fillId="10" borderId="3" xfId="0" applyNumberFormat="1" applyFont="1" applyFill="1" applyBorder="1" applyAlignment="1">
      <alignment horizontal="right"/>
    </xf>
    <xf numFmtId="166" fontId="12" fillId="9" borderId="3" xfId="0" applyNumberFormat="1" applyFont="1" applyFill="1" applyBorder="1" applyAlignment="1">
      <alignment horizontal="right"/>
    </xf>
    <xf numFmtId="166" fontId="6" fillId="4" borderId="3" xfId="0" applyNumberFormat="1" applyFont="1" applyFill="1" applyBorder="1"/>
    <xf numFmtId="165" fontId="45" fillId="13" borderId="3" xfId="0" applyNumberFormat="1" applyFont="1" applyFill="1" applyBorder="1" applyAlignment="1">
      <alignment horizontal="right"/>
    </xf>
    <xf numFmtId="9" fontId="6" fillId="9" borderId="7" xfId="0" applyNumberFormat="1" applyFont="1" applyFill="1" applyBorder="1"/>
    <xf numFmtId="9" fontId="5" fillId="9" borderId="3" xfId="0" applyNumberFormat="1" applyFont="1" applyFill="1" applyBorder="1" applyAlignment="1">
      <alignment horizontal="center" vertical="center"/>
    </xf>
    <xf numFmtId="9" fontId="6" fillId="8" borderId="14" xfId="0" applyNumberFormat="1" applyFont="1" applyFill="1" applyBorder="1"/>
    <xf numFmtId="166" fontId="6" fillId="8" borderId="5" xfId="0" applyNumberFormat="1" applyFont="1" applyFill="1" applyBorder="1"/>
    <xf numFmtId="0" fontId="47" fillId="8" borderId="3" xfId="0" applyFont="1" applyFill="1" applyBorder="1" applyAlignment="1">
      <alignment horizontal="left"/>
    </xf>
    <xf numFmtId="0" fontId="5" fillId="18" borderId="3" xfId="0" applyFont="1" applyFill="1" applyBorder="1" applyAlignment="1">
      <alignment horizontal="left"/>
    </xf>
    <xf numFmtId="9" fontId="2" fillId="18" borderId="3" xfId="0" applyNumberFormat="1" applyFont="1" applyFill="1" applyBorder="1" applyAlignment="1">
      <alignment horizontal="center"/>
    </xf>
    <xf numFmtId="0" fontId="13" fillId="18" borderId="3" xfId="0" applyFont="1" applyFill="1" applyBorder="1"/>
    <xf numFmtId="0" fontId="6" fillId="4" borderId="3" xfId="0" applyFont="1" applyFill="1" applyBorder="1"/>
    <xf numFmtId="166" fontId="8" fillId="4" borderId="3" xfId="0" applyNumberFormat="1" applyFont="1" applyFill="1" applyBorder="1" applyAlignment="1">
      <alignment horizontal="right"/>
    </xf>
    <xf numFmtId="9" fontId="6" fillId="4" borderId="3" xfId="0" applyNumberFormat="1" applyFont="1" applyFill="1" applyBorder="1"/>
    <xf numFmtId="166" fontId="6" fillId="4" borderId="6" xfId="0" applyNumberFormat="1" applyFont="1" applyFill="1" applyBorder="1"/>
    <xf numFmtId="0" fontId="2" fillId="18" borderId="3" xfId="0" applyFont="1" applyFill="1" applyBorder="1" applyAlignment="1">
      <alignment horizontal="left"/>
    </xf>
    <xf numFmtId="0" fontId="3" fillId="9" borderId="14" xfId="0" applyFont="1" applyFill="1" applyBorder="1"/>
    <xf numFmtId="0" fontId="6" fillId="0" borderId="8" xfId="0" applyFont="1" applyBorder="1"/>
    <xf numFmtId="0" fontId="6" fillId="0" borderId="6" xfId="0" applyFont="1" applyBorder="1"/>
    <xf numFmtId="0" fontId="6" fillId="0" borderId="7" xfId="0" applyFont="1" applyBorder="1"/>
    <xf numFmtId="0" fontId="17" fillId="0" borderId="1" xfId="0" applyFont="1" applyBorder="1" applyAlignment="1">
      <alignment horizontal="center"/>
    </xf>
    <xf numFmtId="0" fontId="5" fillId="8" borderId="4" xfId="0" applyFont="1" applyFill="1" applyBorder="1"/>
    <xf numFmtId="0" fontId="6" fillId="8" borderId="4" xfId="0" applyFont="1" applyFill="1" applyBorder="1"/>
    <xf numFmtId="0" fontId="0" fillId="8" borderId="10" xfId="0" applyFill="1" applyBorder="1"/>
    <xf numFmtId="0" fontId="3" fillId="0" borderId="3" xfId="0" applyFont="1" applyBorder="1" applyAlignment="1">
      <alignment vertical="center"/>
    </xf>
    <xf numFmtId="0" fontId="7" fillId="4" borderId="3" xfId="0" applyFont="1" applyFill="1" applyBorder="1" applyAlignment="1">
      <alignment horizontal="left"/>
    </xf>
    <xf numFmtId="9" fontId="25" fillId="8" borderId="3" xfId="0" applyNumberFormat="1" applyFont="1" applyFill="1" applyBorder="1" applyAlignment="1">
      <alignment horizontal="center"/>
    </xf>
    <xf numFmtId="9" fontId="25" fillId="4" borderId="3" xfId="0" applyNumberFormat="1" applyFont="1" applyFill="1" applyBorder="1" applyAlignment="1">
      <alignment horizontal="center"/>
    </xf>
    <xf numFmtId="165" fontId="0" fillId="4" borderId="3" xfId="0" applyNumberFormat="1" applyFill="1" applyBorder="1"/>
    <xf numFmtId="9" fontId="21" fillId="4" borderId="3" xfId="0" applyNumberFormat="1" applyFont="1" applyFill="1" applyBorder="1" applyAlignment="1">
      <alignment horizontal="center"/>
    </xf>
    <xf numFmtId="166" fontId="2" fillId="18" borderId="3" xfId="0" applyNumberFormat="1" applyFont="1" applyFill="1" applyBorder="1"/>
    <xf numFmtId="9" fontId="26" fillId="18" borderId="3" xfId="0" applyNumberFormat="1" applyFont="1" applyFill="1" applyBorder="1" applyAlignment="1">
      <alignment horizontal="center"/>
    </xf>
    <xf numFmtId="0" fontId="2" fillId="18" borderId="3" xfId="0" applyFont="1" applyFill="1" applyBorder="1"/>
    <xf numFmtId="0" fontId="46" fillId="8" borderId="3" xfId="0" applyFont="1" applyFill="1" applyBorder="1" applyAlignment="1">
      <alignment horizontal="left"/>
    </xf>
    <xf numFmtId="9" fontId="36" fillId="8" borderId="3" xfId="0" applyNumberFormat="1" applyFont="1" applyFill="1" applyBorder="1" applyAlignment="1">
      <alignment horizontal="center"/>
    </xf>
    <xf numFmtId="0" fontId="7" fillId="9" borderId="14" xfId="0" applyFont="1" applyFill="1" applyBorder="1" applyAlignment="1">
      <alignment horizontal="left"/>
    </xf>
    <xf numFmtId="0" fontId="3" fillId="9" borderId="5" xfId="0" applyFont="1" applyFill="1" applyBorder="1" applyAlignment="1">
      <alignment vertical="center"/>
    </xf>
    <xf numFmtId="0" fontId="25" fillId="8" borderId="4" xfId="0" applyFont="1" applyFill="1" applyBorder="1" applyAlignment="1">
      <alignment horizontal="left"/>
    </xf>
    <xf numFmtId="0" fontId="3" fillId="0" borderId="5" xfId="0" applyFont="1" applyBorder="1" applyAlignment="1">
      <alignment vertical="center"/>
    </xf>
    <xf numFmtId="0" fontId="3" fillId="8" borderId="3" xfId="0" applyFont="1" applyFill="1" applyBorder="1"/>
    <xf numFmtId="0" fontId="3" fillId="10" borderId="3" xfId="0" applyFont="1" applyFill="1" applyBorder="1"/>
    <xf numFmtId="165" fontId="3" fillId="10" borderId="3" xfId="0" applyNumberFormat="1" applyFont="1" applyFill="1" applyBorder="1"/>
    <xf numFmtId="0" fontId="3" fillId="10" borderId="3" xfId="0" applyFont="1" applyFill="1" applyBorder="1" applyAlignment="1">
      <alignment horizontal="center"/>
    </xf>
    <xf numFmtId="3" fontId="3" fillId="10" borderId="3" xfId="0" applyNumberFormat="1" applyFont="1" applyFill="1" applyBorder="1" applyAlignment="1">
      <alignment horizontal="right"/>
    </xf>
    <xf numFmtId="166" fontId="2" fillId="8" borderId="3" xfId="0" applyNumberFormat="1" applyFont="1" applyFill="1" applyBorder="1" applyAlignment="1">
      <alignment horizontal="right"/>
    </xf>
    <xf numFmtId="0" fontId="6" fillId="18" borderId="3" xfId="0" applyFont="1" applyFill="1" applyBorder="1"/>
    <xf numFmtId="166" fontId="8" fillId="18" borderId="3" xfId="0" applyNumberFormat="1" applyFont="1" applyFill="1" applyBorder="1" applyAlignment="1">
      <alignment horizontal="right"/>
    </xf>
    <xf numFmtId="9" fontId="6" fillId="18" borderId="3" xfId="0" applyNumberFormat="1" applyFont="1" applyFill="1" applyBorder="1"/>
    <xf numFmtId="0" fontId="5" fillId="10" borderId="8" xfId="0" applyFont="1" applyFill="1" applyBorder="1"/>
    <xf numFmtId="166" fontId="2" fillId="10" borderId="8" xfId="0" applyNumberFormat="1" applyFont="1" applyFill="1" applyBorder="1" applyAlignment="1">
      <alignment horizontal="left"/>
    </xf>
    <xf numFmtId="0" fontId="7" fillId="9" borderId="14" xfId="0" applyFont="1" applyFill="1" applyBorder="1"/>
    <xf numFmtId="0" fontId="7" fillId="9" borderId="7" xfId="0" applyFont="1" applyFill="1" applyBorder="1"/>
    <xf numFmtId="0" fontId="13" fillId="8" borderId="4" xfId="0" applyFont="1" applyFill="1" applyBorder="1"/>
    <xf numFmtId="0" fontId="2" fillId="8" borderId="6" xfId="0" applyFont="1" applyFill="1" applyBorder="1" applyAlignment="1">
      <alignment horizontal="left"/>
    </xf>
    <xf numFmtId="166" fontId="2" fillId="8" borderId="4" xfId="0" applyNumberFormat="1" applyFont="1" applyFill="1" applyBorder="1" applyAlignment="1">
      <alignment horizontal="right"/>
    </xf>
    <xf numFmtId="166" fontId="6" fillId="18" borderId="3" xfId="0" applyNumberFormat="1" applyFont="1" applyFill="1" applyBorder="1"/>
    <xf numFmtId="0" fontId="2" fillId="8" borderId="5" xfId="0" applyFont="1" applyFill="1" applyBorder="1" applyAlignment="1">
      <alignment horizontal="left"/>
    </xf>
    <xf numFmtId="0" fontId="3" fillId="18" borderId="3" xfId="0" applyFont="1" applyFill="1" applyBorder="1" applyAlignment="1">
      <alignment horizontal="center"/>
    </xf>
    <xf numFmtId="0" fontId="3" fillId="18" borderId="3" xfId="0" applyFont="1" applyFill="1" applyBorder="1"/>
    <xf numFmtId="165" fontId="3" fillId="18" borderId="3" xfId="0" applyNumberFormat="1" applyFont="1" applyFill="1" applyBorder="1"/>
    <xf numFmtId="3" fontId="3" fillId="18" borderId="3" xfId="0" applyNumberFormat="1" applyFont="1" applyFill="1" applyBorder="1" applyAlignment="1">
      <alignment horizontal="right"/>
    </xf>
    <xf numFmtId="0" fontId="5" fillId="18" borderId="3" xfId="0" applyFont="1" applyFill="1" applyBorder="1"/>
    <xf numFmtId="0" fontId="0" fillId="18" borderId="3" xfId="0" applyFill="1" applyBorder="1"/>
    <xf numFmtId="166" fontId="6" fillId="10" borderId="6" xfId="0" applyNumberFormat="1" applyFont="1" applyFill="1" applyBorder="1"/>
    <xf numFmtId="166" fontId="2" fillId="10" borderId="10" xfId="0" applyNumberFormat="1" applyFont="1" applyFill="1" applyBorder="1"/>
    <xf numFmtId="0" fontId="3" fillId="10" borderId="14" xfId="0" applyFont="1" applyFill="1" applyBorder="1"/>
    <xf numFmtId="0" fontId="0" fillId="4" borderId="4" xfId="0" applyFill="1" applyBorder="1"/>
    <xf numFmtId="3" fontId="3" fillId="9" borderId="4" xfId="0" applyNumberFormat="1" applyFont="1" applyFill="1" applyBorder="1" applyAlignment="1">
      <alignment horizontal="right"/>
    </xf>
    <xf numFmtId="166" fontId="8" fillId="9" borderId="4" xfId="0" applyNumberFormat="1" applyFont="1" applyFill="1" applyBorder="1" applyAlignment="1">
      <alignment horizontal="right"/>
    </xf>
    <xf numFmtId="166" fontId="6" fillId="9" borderId="5" xfId="0" applyNumberFormat="1" applyFont="1" applyFill="1" applyBorder="1"/>
    <xf numFmtId="0" fontId="13" fillId="9" borderId="4" xfId="0" applyFont="1" applyFill="1" applyBorder="1"/>
    <xf numFmtId="0" fontId="5" fillId="9" borderId="4" xfId="0" applyFont="1" applyFill="1" applyBorder="1"/>
    <xf numFmtId="0" fontId="0" fillId="9" borderId="10" xfId="0" applyFill="1" applyBorder="1"/>
    <xf numFmtId="0" fontId="0" fillId="9" borderId="6" xfId="0" applyFill="1" applyBorder="1"/>
    <xf numFmtId="166" fontId="43" fillId="10" borderId="8" xfId="0" applyNumberFormat="1" applyFont="1" applyFill="1" applyBorder="1"/>
    <xf numFmtId="0" fontId="25" fillId="9" borderId="4" xfId="0" applyFont="1" applyFill="1" applyBorder="1" applyAlignment="1">
      <alignment horizontal="left"/>
    </xf>
    <xf numFmtId="9" fontId="2" fillId="9" borderId="3" xfId="0" applyNumberFormat="1" applyFont="1" applyFill="1" applyBorder="1" applyAlignment="1">
      <alignment horizontal="center" vertical="center"/>
    </xf>
    <xf numFmtId="0" fontId="3" fillId="9" borderId="5" xfId="0" applyFont="1" applyFill="1" applyBorder="1"/>
    <xf numFmtId="0" fontId="3" fillId="9" borderId="6" xfId="0" applyFont="1" applyFill="1" applyBorder="1"/>
    <xf numFmtId="0" fontId="39" fillId="0" borderId="3" xfId="0" applyFont="1" applyBorder="1"/>
    <xf numFmtId="166" fontId="48" fillId="10" borderId="3" xfId="0" applyNumberFormat="1" applyFont="1" applyFill="1" applyBorder="1"/>
    <xf numFmtId="0" fontId="5" fillId="9" borderId="5" xfId="0" applyFont="1" applyFill="1" applyBorder="1" applyAlignment="1">
      <alignment horizontal="left"/>
    </xf>
    <xf numFmtId="0" fontId="7" fillId="9" borderId="4" xfId="0" applyFont="1" applyFill="1" applyBorder="1" applyAlignment="1">
      <alignment horizontal="center"/>
    </xf>
    <xf numFmtId="0" fontId="2" fillId="10" borderId="4" xfId="0" applyFont="1" applyFill="1" applyBorder="1" applyAlignment="1">
      <alignment horizontal="left"/>
    </xf>
    <xf numFmtId="166" fontId="2" fillId="18" borderId="3" xfId="0" applyNumberFormat="1" applyFont="1" applyFill="1" applyBorder="1" applyAlignment="1">
      <alignment horizontal="left"/>
    </xf>
    <xf numFmtId="9" fontId="2" fillId="10" borderId="4" xfId="0" applyNumberFormat="1" applyFont="1" applyFill="1" applyBorder="1" applyAlignment="1">
      <alignment horizontal="center"/>
    </xf>
    <xf numFmtId="166" fontId="2" fillId="10" borderId="4" xfId="0" applyNumberFormat="1" applyFont="1" applyFill="1" applyBorder="1" applyAlignment="1">
      <alignment horizontal="left"/>
    </xf>
    <xf numFmtId="0" fontId="5" fillId="8" borderId="5" xfId="0" applyFont="1" applyFill="1" applyBorder="1" applyAlignment="1">
      <alignment horizontal="left"/>
    </xf>
    <xf numFmtId="9" fontId="2" fillId="8" borderId="4" xfId="0" applyNumberFormat="1" applyFont="1" applyFill="1" applyBorder="1" applyAlignment="1">
      <alignment horizontal="center" vertical="center"/>
    </xf>
    <xf numFmtId="0" fontId="13" fillId="10" borderId="8" xfId="0" applyFont="1" applyFill="1" applyBorder="1"/>
    <xf numFmtId="0" fontId="0" fillId="10" borderId="8" xfId="0" applyFill="1" applyBorder="1"/>
    <xf numFmtId="0" fontId="49" fillId="0" borderId="3" xfId="0" applyFont="1" applyBorder="1"/>
    <xf numFmtId="166" fontId="41" fillId="10" borderId="6" xfId="0" applyNumberFormat="1" applyFont="1" applyFill="1" applyBorder="1"/>
    <xf numFmtId="166" fontId="41" fillId="10" borderId="3" xfId="0" applyNumberFormat="1" applyFont="1" applyFill="1" applyBorder="1"/>
    <xf numFmtId="166" fontId="41" fillId="9" borderId="3" xfId="0" applyNumberFormat="1" applyFont="1" applyFill="1" applyBorder="1"/>
    <xf numFmtId="0" fontId="41" fillId="9" borderId="3" xfId="0" applyFont="1" applyFill="1" applyBorder="1"/>
    <xf numFmtId="10" fontId="28" fillId="8" borderId="4" xfId="0" applyNumberFormat="1" applyFont="1" applyFill="1" applyBorder="1" applyAlignment="1">
      <alignment horizontal="center"/>
    </xf>
    <xf numFmtId="0" fontId="0" fillId="9" borderId="5" xfId="0" applyFill="1" applyBorder="1"/>
    <xf numFmtId="0" fontId="6" fillId="10" borderId="0" xfId="0" applyFont="1" applyFill="1"/>
    <xf numFmtId="9" fontId="27" fillId="8" borderId="14" xfId="0" applyNumberFormat="1" applyFont="1" applyFill="1" applyBorder="1"/>
    <xf numFmtId="0" fontId="34" fillId="9" borderId="7" xfId="0" applyFont="1" applyFill="1" applyBorder="1"/>
    <xf numFmtId="0" fontId="15" fillId="5" borderId="3" xfId="0" applyFont="1" applyFill="1" applyBorder="1" applyAlignment="1">
      <alignment horizontal="center"/>
    </xf>
    <xf numFmtId="0" fontId="38" fillId="9" borderId="3" xfId="0" applyFont="1" applyFill="1" applyBorder="1" applyAlignment="1">
      <alignment horizontal="left"/>
    </xf>
    <xf numFmtId="0" fontId="38" fillId="9" borderId="3" xfId="0" applyFont="1" applyFill="1" applyBorder="1" applyAlignment="1">
      <alignment horizontal="center"/>
    </xf>
    <xf numFmtId="0" fontId="38" fillId="0" borderId="3" xfId="0" applyFont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38" fillId="5" borderId="3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3" fillId="0" borderId="6" xfId="0" applyFont="1" applyBorder="1"/>
    <xf numFmtId="0" fontId="38" fillId="0" borderId="6" xfId="0" applyFont="1" applyBorder="1"/>
    <xf numFmtId="0" fontId="18" fillId="10" borderId="5" xfId="0" applyFont="1" applyFill="1" applyBorder="1"/>
    <xf numFmtId="0" fontId="3" fillId="9" borderId="13" xfId="0" applyFont="1" applyFill="1" applyBorder="1"/>
    <xf numFmtId="0" fontId="51" fillId="9" borderId="3" xfId="0" applyFont="1" applyFill="1" applyBorder="1"/>
    <xf numFmtId="0" fontId="51" fillId="9" borderId="3" xfId="0" applyFont="1" applyFill="1" applyBorder="1" applyAlignment="1">
      <alignment vertical="center"/>
    </xf>
    <xf numFmtId="0" fontId="51" fillId="9" borderId="3" xfId="0" applyFont="1" applyFill="1" applyBorder="1" applyAlignment="1">
      <alignment horizontal="center" vertical="top"/>
    </xf>
    <xf numFmtId="0" fontId="51" fillId="9" borderId="3" xfId="0" applyFont="1" applyFill="1" applyBorder="1" applyAlignment="1">
      <alignment horizontal="center"/>
    </xf>
    <xf numFmtId="0" fontId="51" fillId="9" borderId="3" xfId="0" applyFont="1" applyFill="1" applyBorder="1" applyAlignment="1">
      <alignment wrapText="1"/>
    </xf>
    <xf numFmtId="0" fontId="52" fillId="9" borderId="8" xfId="0" applyFont="1" applyFill="1" applyBorder="1"/>
    <xf numFmtId="0" fontId="53" fillId="9" borderId="3" xfId="0" applyFont="1" applyFill="1" applyBorder="1"/>
    <xf numFmtId="0" fontId="53" fillId="9" borderId="3" xfId="0" applyFont="1" applyFill="1" applyBorder="1" applyAlignment="1">
      <alignment wrapText="1"/>
    </xf>
    <xf numFmtId="0" fontId="54" fillId="9" borderId="8" xfId="0" applyFont="1" applyFill="1" applyBorder="1"/>
    <xf numFmtId="0" fontId="54" fillId="9" borderId="8" xfId="0" applyFont="1" applyFill="1" applyBorder="1" applyAlignment="1">
      <alignment horizontal="center"/>
    </xf>
    <xf numFmtId="42" fontId="53" fillId="9" borderId="3" xfId="0" applyNumberFormat="1" applyFont="1" applyFill="1" applyBorder="1"/>
    <xf numFmtId="42" fontId="54" fillId="9" borderId="8" xfId="0" applyNumberFormat="1" applyFont="1" applyFill="1" applyBorder="1"/>
    <xf numFmtId="9" fontId="55" fillId="9" borderId="3" xfId="0" applyNumberFormat="1" applyFont="1" applyFill="1" applyBorder="1" applyAlignment="1">
      <alignment horizontal="center"/>
    </xf>
    <xf numFmtId="9" fontId="56" fillId="9" borderId="11" xfId="0" applyNumberFormat="1" applyFont="1" applyFill="1" applyBorder="1" applyAlignment="1">
      <alignment horizontal="center"/>
    </xf>
    <xf numFmtId="42" fontId="54" fillId="9" borderId="3" xfId="0" applyNumberFormat="1" applyFont="1" applyFill="1" applyBorder="1"/>
    <xf numFmtId="0" fontId="19" fillId="9" borderId="3" xfId="0" applyFont="1" applyFill="1" applyBorder="1" applyAlignment="1">
      <alignment horizontal="center" vertical="center"/>
    </xf>
    <xf numFmtId="9" fontId="19" fillId="9" borderId="3" xfId="0" applyNumberFormat="1" applyFont="1" applyFill="1" applyBorder="1" applyAlignment="1">
      <alignment horizontal="center" vertical="top"/>
    </xf>
    <xf numFmtId="0" fontId="19" fillId="9" borderId="3" xfId="0" applyFont="1" applyFill="1" applyBorder="1"/>
    <xf numFmtId="42" fontId="19" fillId="9" borderId="3" xfId="0" applyNumberFormat="1" applyFont="1" applyFill="1" applyBorder="1"/>
    <xf numFmtId="0" fontId="20" fillId="9" borderId="3" xfId="0" applyFont="1" applyFill="1" applyBorder="1"/>
    <xf numFmtId="0" fontId="54" fillId="9" borderId="3" xfId="0" applyFont="1" applyFill="1" applyBorder="1"/>
    <xf numFmtId="0" fontId="52" fillId="9" borderId="3" xfId="0" applyFont="1" applyFill="1" applyBorder="1"/>
    <xf numFmtId="42" fontId="52" fillId="20" borderId="3" xfId="0" applyNumberFormat="1" applyFont="1" applyFill="1" applyBorder="1"/>
    <xf numFmtId="0" fontId="19" fillId="0" borderId="3" xfId="0" applyFont="1" applyBorder="1" applyAlignment="1">
      <alignment vertical="center"/>
    </xf>
    <xf numFmtId="0" fontId="19" fillId="0" borderId="3" xfId="0" applyFont="1" applyBorder="1" applyAlignment="1">
      <alignment horizontal="left" vertical="top"/>
    </xf>
    <xf numFmtId="0" fontId="51" fillId="20" borderId="3" xfId="0" applyFont="1" applyFill="1" applyBorder="1"/>
    <xf numFmtId="42" fontId="51" fillId="20" borderId="3" xfId="0" applyNumberFormat="1" applyFont="1" applyFill="1" applyBorder="1"/>
    <xf numFmtId="0" fontId="51" fillId="0" borderId="3" xfId="0" applyFont="1" applyBorder="1"/>
    <xf numFmtId="0" fontId="52" fillId="20" borderId="3" xfId="0" applyFont="1" applyFill="1" applyBorder="1"/>
    <xf numFmtId="0" fontId="52" fillId="20" borderId="6" xfId="0" applyFont="1" applyFill="1" applyBorder="1"/>
    <xf numFmtId="0" fontId="52" fillId="20" borderId="7" xfId="0" applyFont="1" applyFill="1" applyBorder="1"/>
    <xf numFmtId="6" fontId="52" fillId="4" borderId="3" xfId="0" applyNumberFormat="1" applyFont="1" applyFill="1" applyBorder="1"/>
    <xf numFmtId="0" fontId="57" fillId="0" borderId="0" xfId="0" applyFont="1"/>
    <xf numFmtId="0" fontId="57" fillId="0" borderId="0" xfId="0" applyFont="1" applyAlignment="1">
      <alignment vertical="center"/>
    </xf>
    <xf numFmtId="0" fontId="57" fillId="0" borderId="0" xfId="0" applyFont="1" applyAlignment="1">
      <alignment horizontal="left" vertical="top"/>
    </xf>
    <xf numFmtId="0" fontId="53" fillId="9" borderId="3" xfId="0" applyFont="1" applyFill="1" applyBorder="1" applyAlignment="1">
      <alignment horizontal="center"/>
    </xf>
    <xf numFmtId="0" fontId="53" fillId="0" borderId="3" xfId="0" applyFont="1" applyBorder="1"/>
    <xf numFmtId="0" fontId="52" fillId="9" borderId="6" xfId="0" applyFont="1" applyFill="1" applyBorder="1"/>
    <xf numFmtId="0" fontId="53" fillId="0" borderId="3" xfId="0" applyFont="1" applyBorder="1" applyAlignment="1">
      <alignment horizontal="left" vertical="top"/>
    </xf>
    <xf numFmtId="6" fontId="52" fillId="4" borderId="6" xfId="0" applyNumberFormat="1" applyFont="1" applyFill="1" applyBorder="1"/>
    <xf numFmtId="0" fontId="53" fillId="9" borderId="0" xfId="0" applyFont="1" applyFill="1"/>
    <xf numFmtId="42" fontId="53" fillId="9" borderId="0" xfId="0" applyNumberFormat="1" applyFont="1" applyFill="1"/>
    <xf numFmtId="0" fontId="58" fillId="9" borderId="0" xfId="0" applyFont="1" applyFill="1"/>
    <xf numFmtId="6" fontId="58" fillId="9" borderId="0" xfId="0" applyNumberFormat="1" applyFont="1" applyFill="1"/>
    <xf numFmtId="42" fontId="58" fillId="9" borderId="0" xfId="0" applyNumberFormat="1" applyFont="1" applyFill="1"/>
    <xf numFmtId="0" fontId="59" fillId="0" borderId="3" xfId="0" applyFont="1" applyBorder="1" applyAlignment="1">
      <alignment horizontal="center" vertical="center"/>
    </xf>
    <xf numFmtId="0" fontId="59" fillId="0" borderId="3" xfId="0" applyFont="1" applyBorder="1" applyAlignment="1">
      <alignment horizontal="center" vertical="top"/>
    </xf>
    <xf numFmtId="0" fontId="59" fillId="0" borderId="3" xfId="0" applyFont="1" applyBorder="1"/>
    <xf numFmtId="42" fontId="57" fillId="0" borderId="3" xfId="0" applyNumberFormat="1" applyFont="1" applyBorder="1"/>
    <xf numFmtId="0" fontId="57" fillId="0" borderId="3" xfId="0" applyFont="1" applyBorder="1"/>
    <xf numFmtId="0" fontId="58" fillId="9" borderId="3" xfId="0" applyFont="1" applyFill="1" applyBorder="1"/>
    <xf numFmtId="0" fontId="53" fillId="0" borderId="3" xfId="0" applyFont="1" applyBorder="1" applyAlignment="1">
      <alignment vertical="center"/>
    </xf>
    <xf numFmtId="42" fontId="52" fillId="4" borderId="3" xfId="0" applyNumberFormat="1" applyFont="1" applyFill="1" applyBorder="1"/>
    <xf numFmtId="0" fontId="60" fillId="9" borderId="0" xfId="0" applyFont="1" applyFill="1" applyAlignment="1">
      <alignment horizontal="center" vertical="center"/>
    </xf>
    <xf numFmtId="0" fontId="53" fillId="0" borderId="0" xfId="0" applyFont="1" applyAlignment="1">
      <alignment vertical="center"/>
    </xf>
    <xf numFmtId="0" fontId="53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0" fillId="0" borderId="0" xfId="0" applyAlignment="1">
      <alignment horizontal="left" vertical="top"/>
    </xf>
    <xf numFmtId="9" fontId="53" fillId="9" borderId="3" xfId="0" applyNumberFormat="1" applyFont="1" applyFill="1" applyBorder="1" applyAlignment="1">
      <alignment horizontal="center"/>
    </xf>
    <xf numFmtId="0" fontId="53" fillId="9" borderId="3" xfId="0" applyFont="1" applyFill="1" applyBorder="1" applyAlignment="1">
      <alignment horizontal="center" vertical="center"/>
    </xf>
    <xf numFmtId="9" fontId="53" fillId="9" borderId="7" xfId="0" applyNumberFormat="1" applyFont="1" applyFill="1" applyBorder="1" applyAlignment="1">
      <alignment horizontal="center" vertical="top"/>
    </xf>
    <xf numFmtId="0" fontId="53" fillId="9" borderId="6" xfId="0" applyFont="1" applyFill="1" applyBorder="1" applyAlignment="1">
      <alignment horizontal="left" vertical="center"/>
    </xf>
    <xf numFmtId="9" fontId="53" fillId="9" borderId="3" xfId="0" applyNumberFormat="1" applyFont="1" applyFill="1" applyBorder="1" applyAlignment="1">
      <alignment horizontal="center" vertical="top"/>
    </xf>
    <xf numFmtId="0" fontId="59" fillId="9" borderId="3" xfId="0" applyFont="1" applyFill="1" applyBorder="1" applyAlignment="1">
      <alignment horizontal="center" vertical="center"/>
    </xf>
    <xf numFmtId="0" fontId="59" fillId="9" borderId="3" xfId="0" applyFont="1" applyFill="1" applyBorder="1"/>
    <xf numFmtId="0" fontId="42" fillId="0" borderId="0" xfId="0" applyFont="1"/>
    <xf numFmtId="0" fontId="19" fillId="9" borderId="3" xfId="0" applyFont="1" applyFill="1" applyBorder="1" applyAlignment="1">
      <alignment horizontal="center"/>
    </xf>
    <xf numFmtId="0" fontId="19" fillId="9" borderId="4" xfId="0" applyFont="1" applyFill="1" applyBorder="1" applyAlignment="1">
      <alignment horizontal="center"/>
    </xf>
    <xf numFmtId="0" fontId="53" fillId="9" borderId="4" xfId="0" applyFont="1" applyFill="1" applyBorder="1" applyAlignment="1">
      <alignment horizontal="center" vertical="center"/>
    </xf>
    <xf numFmtId="9" fontId="53" fillId="9" borderId="6" xfId="0" applyNumberFormat="1" applyFont="1" applyFill="1" applyBorder="1" applyAlignment="1">
      <alignment horizontal="center" vertical="center"/>
    </xf>
    <xf numFmtId="42" fontId="53" fillId="0" borderId="3" xfId="0" applyNumberFormat="1" applyFont="1" applyBorder="1" applyAlignment="1">
      <alignment horizontal="right"/>
    </xf>
    <xf numFmtId="0" fontId="53" fillId="0" borderId="8" xfId="0" applyFont="1" applyBorder="1"/>
    <xf numFmtId="169" fontId="53" fillId="4" borderId="8" xfId="0" applyNumberFormat="1" applyFont="1" applyFill="1" applyBorder="1" applyAlignment="1">
      <alignment horizontal="right"/>
    </xf>
    <xf numFmtId="0" fontId="53" fillId="4" borderId="8" xfId="0" applyFont="1" applyFill="1" applyBorder="1"/>
    <xf numFmtId="0" fontId="53" fillId="9" borderId="9" xfId="0" applyFont="1" applyFill="1" applyBorder="1" applyAlignment="1">
      <alignment horizontal="center"/>
    </xf>
    <xf numFmtId="42" fontId="53" fillId="9" borderId="3" xfId="0" applyNumberFormat="1" applyFont="1" applyFill="1" applyBorder="1" applyAlignment="1">
      <alignment horizontal="right"/>
    </xf>
    <xf numFmtId="42" fontId="53" fillId="9" borderId="3" xfId="0" applyNumberFormat="1" applyFont="1" applyFill="1" applyBorder="1" applyAlignment="1">
      <alignment horizontal="left"/>
    </xf>
    <xf numFmtId="0" fontId="19" fillId="0" borderId="3" xfId="0" applyFont="1" applyBorder="1"/>
    <xf numFmtId="0" fontId="53" fillId="4" borderId="3" xfId="0" applyFont="1" applyFill="1" applyBorder="1"/>
    <xf numFmtId="0" fontId="19" fillId="0" borderId="0" xfId="0" applyFont="1"/>
    <xf numFmtId="0" fontId="19" fillId="9" borderId="6" xfId="0" applyFont="1" applyFill="1" applyBorder="1" applyAlignment="1">
      <alignment horizontal="center"/>
    </xf>
    <xf numFmtId="9" fontId="55" fillId="9" borderId="3" xfId="0" applyNumberFormat="1" applyFont="1" applyFill="1" applyBorder="1" applyAlignment="1">
      <alignment horizontal="center" vertical="top"/>
    </xf>
    <xf numFmtId="9" fontId="53" fillId="9" borderId="5" xfId="0" applyNumberFormat="1" applyFont="1" applyFill="1" applyBorder="1" applyAlignment="1">
      <alignment horizontal="center"/>
    </xf>
    <xf numFmtId="42" fontId="53" fillId="9" borderId="3" xfId="0" applyNumberFormat="1" applyFont="1" applyFill="1" applyBorder="1" applyAlignment="1">
      <alignment horizontal="left" vertical="center"/>
    </xf>
    <xf numFmtId="0" fontId="53" fillId="9" borderId="3" xfId="0" applyFont="1" applyFill="1" applyBorder="1" applyAlignment="1">
      <alignment horizontal="left"/>
    </xf>
    <xf numFmtId="0" fontId="19" fillId="0" borderId="8" xfId="0" applyFont="1" applyBorder="1"/>
    <xf numFmtId="0" fontId="53" fillId="0" borderId="11" xfId="0" applyFont="1" applyBorder="1"/>
    <xf numFmtId="42" fontId="53" fillId="4" borderId="3" xfId="0" applyNumberFormat="1" applyFont="1" applyFill="1" applyBorder="1" applyAlignment="1">
      <alignment horizontal="right"/>
    </xf>
    <xf numFmtId="0" fontId="53" fillId="4" borderId="10" xfId="0" applyFont="1" applyFill="1" applyBorder="1"/>
    <xf numFmtId="0" fontId="55" fillId="9" borderId="3" xfId="0" applyFont="1" applyFill="1" applyBorder="1" applyAlignment="1">
      <alignment horizontal="center"/>
    </xf>
    <xf numFmtId="9" fontId="53" fillId="9" borderId="6" xfId="0" applyNumberFormat="1" applyFont="1" applyFill="1" applyBorder="1" applyAlignment="1">
      <alignment horizontal="center"/>
    </xf>
    <xf numFmtId="42" fontId="53" fillId="9" borderId="4" xfId="0" applyNumberFormat="1" applyFont="1" applyFill="1" applyBorder="1" applyAlignment="1">
      <alignment horizontal="center"/>
    </xf>
    <xf numFmtId="0" fontId="53" fillId="9" borderId="4" xfId="0" applyFont="1" applyFill="1" applyBorder="1" applyAlignment="1">
      <alignment horizontal="left"/>
    </xf>
    <xf numFmtId="166" fontId="35" fillId="8" borderId="3" xfId="0" applyNumberFormat="1" applyFont="1" applyFill="1" applyBorder="1"/>
    <xf numFmtId="0" fontId="35" fillId="10" borderId="3" xfId="0" applyFont="1" applyFill="1" applyBorder="1" applyAlignment="1">
      <alignment horizontal="left"/>
    </xf>
    <xf numFmtId="166" fontId="35" fillId="10" borderId="3" xfId="0" applyNumberFormat="1" applyFont="1" applyFill="1" applyBorder="1"/>
    <xf numFmtId="0" fontId="19" fillId="8" borderId="3" xfId="0" applyFont="1" applyFill="1" applyBorder="1" applyAlignment="1">
      <alignment horizontal="left"/>
    </xf>
    <xf numFmtId="9" fontId="19" fillId="8" borderId="3" xfId="0" applyNumberFormat="1" applyFont="1" applyFill="1" applyBorder="1" applyAlignment="1">
      <alignment horizontal="center"/>
    </xf>
    <xf numFmtId="0" fontId="64" fillId="8" borderId="3" xfId="0" applyFont="1" applyFill="1" applyBorder="1"/>
    <xf numFmtId="166" fontId="19" fillId="8" borderId="3" xfId="0" applyNumberFormat="1" applyFont="1" applyFill="1" applyBorder="1"/>
    <xf numFmtId="0" fontId="64" fillId="9" borderId="3" xfId="0" applyFont="1" applyFill="1" applyBorder="1" applyAlignment="1">
      <alignment horizontal="left"/>
    </xf>
    <xf numFmtId="0" fontId="64" fillId="9" borderId="3" xfId="0" applyFont="1" applyFill="1" applyBorder="1"/>
    <xf numFmtId="0" fontId="19" fillId="10" borderId="3" xfId="0" applyFont="1" applyFill="1" applyBorder="1" applyAlignment="1">
      <alignment horizontal="left"/>
    </xf>
    <xf numFmtId="166" fontId="19" fillId="10" borderId="3" xfId="0" applyNumberFormat="1" applyFont="1" applyFill="1" applyBorder="1"/>
    <xf numFmtId="9" fontId="66" fillId="8" borderId="3" xfId="0" applyNumberFormat="1" applyFont="1" applyFill="1" applyBorder="1" applyAlignment="1">
      <alignment horizontal="center"/>
    </xf>
    <xf numFmtId="0" fontId="64" fillId="8" borderId="8" xfId="0" applyFont="1" applyFill="1" applyBorder="1"/>
    <xf numFmtId="166" fontId="19" fillId="8" borderId="8" xfId="0" applyNumberFormat="1" applyFont="1" applyFill="1" applyBorder="1"/>
    <xf numFmtId="0" fontId="64" fillId="9" borderId="8" xfId="0" applyFont="1" applyFill="1" applyBorder="1" applyAlignment="1">
      <alignment horizontal="left"/>
    </xf>
    <xf numFmtId="0" fontId="64" fillId="10" borderId="3" xfId="0" applyFont="1" applyFill="1" applyBorder="1"/>
    <xf numFmtId="0" fontId="19" fillId="9" borderId="3" xfId="0" applyFont="1" applyFill="1" applyBorder="1" applyAlignment="1">
      <alignment horizontal="left"/>
    </xf>
    <xf numFmtId="0" fontId="19" fillId="10" borderId="3" xfId="0" applyFont="1" applyFill="1" applyBorder="1"/>
    <xf numFmtId="166" fontId="51" fillId="21" borderId="3" xfId="0" applyNumberFormat="1" applyFont="1" applyFill="1" applyBorder="1"/>
    <xf numFmtId="166" fontId="51" fillId="20" borderId="3" xfId="0" applyNumberFormat="1" applyFont="1" applyFill="1" applyBorder="1"/>
    <xf numFmtId="9" fontId="19" fillId="8" borderId="3" xfId="0" applyNumberFormat="1" applyFont="1" applyFill="1" applyBorder="1" applyAlignment="1">
      <alignment horizontal="center" vertical="center"/>
    </xf>
    <xf numFmtId="0" fontId="65" fillId="8" borderId="3" xfId="0" applyFont="1" applyFill="1" applyBorder="1"/>
    <xf numFmtId="9" fontId="64" fillId="8" borderId="3" xfId="0" applyNumberFormat="1" applyFont="1" applyFill="1" applyBorder="1" applyAlignment="1">
      <alignment horizontal="center" vertical="center"/>
    </xf>
    <xf numFmtId="9" fontId="66" fillId="8" borderId="3" xfId="0" applyNumberFormat="1" applyFont="1" applyFill="1" applyBorder="1" applyAlignment="1">
      <alignment horizontal="center" vertical="center"/>
    </xf>
    <xf numFmtId="9" fontId="64" fillId="8" borderId="8" xfId="0" applyNumberFormat="1" applyFont="1" applyFill="1" applyBorder="1" applyAlignment="1">
      <alignment horizontal="center" vertical="center"/>
    </xf>
    <xf numFmtId="0" fontId="19" fillId="8" borderId="3" xfId="0" applyFont="1" applyFill="1" applyBorder="1"/>
    <xf numFmtId="0" fontId="19" fillId="8" borderId="3" xfId="0" applyFont="1" applyFill="1" applyBorder="1" applyAlignment="1">
      <alignment horizontal="center" vertical="center"/>
    </xf>
    <xf numFmtId="0" fontId="19" fillId="8" borderId="8" xfId="0" applyFont="1" applyFill="1" applyBorder="1" applyAlignment="1">
      <alignment horizontal="center" vertical="center"/>
    </xf>
    <xf numFmtId="0" fontId="19" fillId="10" borderId="3" xfId="0" applyFont="1" applyFill="1" applyBorder="1" applyAlignment="1">
      <alignment horizontal="center" vertical="center"/>
    </xf>
    <xf numFmtId="166" fontId="6" fillId="9" borderId="0" xfId="0" applyNumberFormat="1" applyFont="1" applyFill="1"/>
    <xf numFmtId="0" fontId="61" fillId="0" borderId="0" xfId="0" applyFont="1"/>
    <xf numFmtId="0" fontId="52" fillId="9" borderId="11" xfId="0" applyFont="1" applyFill="1" applyBorder="1" applyAlignment="1">
      <alignment horizontal="center"/>
    </xf>
    <xf numFmtId="166" fontId="2" fillId="9" borderId="6" xfId="0" applyNumberFormat="1" applyFont="1" applyFill="1" applyBorder="1"/>
    <xf numFmtId="0" fontId="52" fillId="9" borderId="3" xfId="0" applyFont="1" applyFill="1" applyBorder="1" applyAlignment="1">
      <alignment horizontal="center"/>
    </xf>
    <xf numFmtId="0" fontId="51" fillId="9" borderId="6" xfId="0" applyFont="1" applyFill="1" applyBorder="1"/>
    <xf numFmtId="0" fontId="57" fillId="0" borderId="6" xfId="0" applyFont="1" applyBorder="1"/>
    <xf numFmtId="0" fontId="51" fillId="0" borderId="6" xfId="0" applyFont="1" applyBorder="1"/>
    <xf numFmtId="42" fontId="58" fillId="9" borderId="3" xfId="0" applyNumberFormat="1" applyFont="1" applyFill="1" applyBorder="1"/>
    <xf numFmtId="0" fontId="53" fillId="9" borderId="6" xfId="0" applyFont="1" applyFill="1" applyBorder="1"/>
    <xf numFmtId="0" fontId="3" fillId="8" borderId="4" xfId="0" applyFont="1" applyFill="1" applyBorder="1"/>
    <xf numFmtId="164" fontId="33" fillId="9" borderId="0" xfId="0" applyNumberFormat="1" applyFont="1" applyFill="1"/>
    <xf numFmtId="0" fontId="67" fillId="9" borderId="3" xfId="0" applyFont="1" applyFill="1" applyBorder="1" applyAlignment="1">
      <alignment horizontal="left"/>
    </xf>
    <xf numFmtId="0" fontId="20" fillId="0" borderId="3" xfId="0" applyFont="1" applyBorder="1"/>
    <xf numFmtId="0" fontId="68" fillId="9" borderId="6" xfId="0" applyFont="1" applyFill="1" applyBorder="1" applyAlignment="1">
      <alignment horizontal="left"/>
    </xf>
    <xf numFmtId="0" fontId="69" fillId="9" borderId="3" xfId="0" applyFont="1" applyFill="1" applyBorder="1"/>
    <xf numFmtId="0" fontId="51" fillId="9" borderId="3" xfId="0" applyFont="1" applyFill="1" applyBorder="1" applyAlignment="1">
      <alignment horizontal="left"/>
    </xf>
    <xf numFmtId="166" fontId="51" fillId="9" borderId="3" xfId="0" applyNumberFormat="1" applyFont="1" applyFill="1" applyBorder="1"/>
    <xf numFmtId="0" fontId="51" fillId="9" borderId="6" xfId="0" applyFont="1" applyFill="1" applyBorder="1" applyAlignment="1">
      <alignment horizontal="left"/>
    </xf>
    <xf numFmtId="0" fontId="68" fillId="9" borderId="6" xfId="0" applyFont="1" applyFill="1" applyBorder="1" applyAlignment="1">
      <alignment horizontal="center"/>
    </xf>
    <xf numFmtId="42" fontId="67" fillId="9" borderId="3" xfId="0" applyNumberFormat="1" applyFont="1" applyFill="1" applyBorder="1"/>
    <xf numFmtId="42" fontId="70" fillId="9" borderId="3" xfId="0" applyNumberFormat="1" applyFont="1" applyFill="1" applyBorder="1" applyAlignment="1">
      <alignment horizontal="center"/>
    </xf>
    <xf numFmtId="42" fontId="19" fillId="8" borderId="3" xfId="0" applyNumberFormat="1" applyFont="1" applyFill="1" applyBorder="1" applyAlignment="1">
      <alignment horizontal="left"/>
    </xf>
    <xf numFmtId="42" fontId="19" fillId="8" borderId="3" xfId="0" applyNumberFormat="1" applyFont="1" applyFill="1" applyBorder="1" applyAlignment="1">
      <alignment horizontal="center" vertical="center"/>
    </xf>
    <xf numFmtId="42" fontId="64" fillId="8" borderId="3" xfId="0" applyNumberFormat="1" applyFont="1" applyFill="1" applyBorder="1"/>
    <xf numFmtId="42" fontId="64" fillId="9" borderId="3" xfId="0" applyNumberFormat="1" applyFont="1" applyFill="1" applyBorder="1"/>
    <xf numFmtId="9" fontId="19" fillId="9" borderId="3" xfId="0" applyNumberFormat="1" applyFont="1" applyFill="1" applyBorder="1" applyAlignment="1">
      <alignment horizontal="center" vertical="center"/>
    </xf>
    <xf numFmtId="42" fontId="19" fillId="9" borderId="3" xfId="0" applyNumberFormat="1" applyFont="1" applyFill="1" applyBorder="1" applyAlignment="1">
      <alignment horizontal="center" vertical="center"/>
    </xf>
    <xf numFmtId="42" fontId="66" fillId="9" borderId="3" xfId="0" applyNumberFormat="1" applyFont="1" applyFill="1" applyBorder="1" applyAlignment="1">
      <alignment horizontal="center"/>
    </xf>
    <xf numFmtId="166" fontId="19" fillId="9" borderId="3" xfId="0" applyNumberFormat="1" applyFont="1" applyFill="1" applyBorder="1" applyAlignment="1">
      <alignment horizontal="center" vertical="center"/>
    </xf>
    <xf numFmtId="166" fontId="52" fillId="4" borderId="3" xfId="0" applyNumberFormat="1" applyFont="1" applyFill="1" applyBorder="1"/>
    <xf numFmtId="168" fontId="52" fillId="8" borderId="3" xfId="0" applyNumberFormat="1" applyFont="1" applyFill="1" applyBorder="1"/>
    <xf numFmtId="6" fontId="52" fillId="10" borderId="10" xfId="0" applyNumberFormat="1" applyFont="1" applyFill="1" applyBorder="1"/>
    <xf numFmtId="6" fontId="52" fillId="19" borderId="3" xfId="0" applyNumberFormat="1" applyFont="1" applyFill="1" applyBorder="1"/>
    <xf numFmtId="0" fontId="55" fillId="8" borderId="3" xfId="0" applyFont="1" applyFill="1" applyBorder="1" applyAlignment="1">
      <alignment horizontal="center"/>
    </xf>
    <xf numFmtId="9" fontId="53" fillId="8" borderId="6" xfId="0" applyNumberFormat="1" applyFont="1" applyFill="1" applyBorder="1" applyAlignment="1">
      <alignment horizontal="center"/>
    </xf>
    <xf numFmtId="42" fontId="53" fillId="8" borderId="4" xfId="0" applyNumberFormat="1" applyFont="1" applyFill="1" applyBorder="1" applyAlignment="1">
      <alignment horizontal="center"/>
    </xf>
    <xf numFmtId="0" fontId="53" fillId="8" borderId="4" xfId="0" applyFont="1" applyFill="1" applyBorder="1" applyAlignment="1">
      <alignment horizontal="left"/>
    </xf>
    <xf numFmtId="0" fontId="53" fillId="8" borderId="3" xfId="0" applyFont="1" applyFill="1" applyBorder="1" applyAlignment="1">
      <alignment horizontal="center"/>
    </xf>
    <xf numFmtId="9" fontId="55" fillId="8" borderId="6" xfId="0" applyNumberFormat="1" applyFont="1" applyFill="1" applyBorder="1" applyAlignment="1">
      <alignment horizontal="center"/>
    </xf>
    <xf numFmtId="169" fontId="53" fillId="4" borderId="3" xfId="0" applyNumberFormat="1" applyFont="1" applyFill="1" applyBorder="1" applyAlignment="1">
      <alignment horizontal="right"/>
    </xf>
    <xf numFmtId="0" fontId="53" fillId="4" borderId="9" xfId="0" applyFont="1" applyFill="1" applyBorder="1"/>
    <xf numFmtId="166" fontId="42" fillId="8" borderId="3" xfId="0" applyNumberFormat="1" applyFont="1" applyFill="1" applyBorder="1"/>
    <xf numFmtId="0" fontId="66" fillId="8" borderId="3" xfId="0" applyFont="1" applyFill="1" applyBorder="1" applyAlignment="1">
      <alignment horizontal="center"/>
    </xf>
    <xf numFmtId="9" fontId="19" fillId="8" borderId="6" xfId="0" applyNumberFormat="1" applyFont="1" applyFill="1" applyBorder="1" applyAlignment="1">
      <alignment horizontal="center"/>
    </xf>
    <xf numFmtId="42" fontId="19" fillId="8" borderId="4" xfId="0" applyNumberFormat="1" applyFont="1" applyFill="1" applyBorder="1" applyAlignment="1">
      <alignment horizontal="center"/>
    </xf>
    <xf numFmtId="0" fontId="19" fillId="8" borderId="4" xfId="0" applyFont="1" applyFill="1" applyBorder="1" applyAlignment="1">
      <alignment horizontal="left"/>
    </xf>
    <xf numFmtId="0" fontId="19" fillId="8" borderId="3" xfId="0" applyFont="1" applyFill="1" applyBorder="1" applyAlignment="1">
      <alignment horizontal="center"/>
    </xf>
    <xf numFmtId="9" fontId="66" fillId="8" borderId="6" xfId="0" applyNumberFormat="1" applyFont="1" applyFill="1" applyBorder="1" applyAlignment="1">
      <alignment horizontal="center"/>
    </xf>
    <xf numFmtId="42" fontId="19" fillId="8" borderId="3" xfId="0" applyNumberFormat="1" applyFont="1" applyFill="1" applyBorder="1" applyAlignment="1">
      <alignment horizontal="right"/>
    </xf>
    <xf numFmtId="42" fontId="19" fillId="8" borderId="3" xfId="0" applyNumberFormat="1" applyFont="1" applyFill="1" applyBorder="1"/>
    <xf numFmtId="9" fontId="19" fillId="9" borderId="9" xfId="0" applyNumberFormat="1" applyFont="1" applyFill="1" applyBorder="1" applyAlignment="1">
      <alignment horizontal="center" vertical="top"/>
    </xf>
    <xf numFmtId="0" fontId="19" fillId="9" borderId="9" xfId="0" applyFont="1" applyFill="1" applyBorder="1" applyAlignment="1">
      <alignment horizontal="center"/>
    </xf>
    <xf numFmtId="0" fontId="19" fillId="9" borderId="11" xfId="0" applyFont="1" applyFill="1" applyBorder="1"/>
    <xf numFmtId="9" fontId="19" fillId="9" borderId="4" xfId="0" applyNumberFormat="1" applyFont="1" applyFill="1" applyBorder="1" applyAlignment="1">
      <alignment horizontal="center"/>
    </xf>
    <xf numFmtId="42" fontId="19" fillId="9" borderId="3" xfId="0" applyNumberFormat="1" applyFont="1" applyFill="1" applyBorder="1" applyAlignment="1">
      <alignment horizontal="right"/>
    </xf>
    <xf numFmtId="42" fontId="19" fillId="9" borderId="9" xfId="0" applyNumberFormat="1" applyFont="1" applyFill="1" applyBorder="1" applyAlignment="1">
      <alignment horizontal="left"/>
    </xf>
    <xf numFmtId="166" fontId="53" fillId="0" borderId="3" xfId="0" applyNumberFormat="1" applyFont="1" applyBorder="1" applyAlignment="1">
      <alignment horizontal="right"/>
    </xf>
    <xf numFmtId="166" fontId="19" fillId="0" borderId="3" xfId="0" applyNumberFormat="1" applyFont="1" applyBorder="1" applyAlignment="1">
      <alignment horizontal="right"/>
    </xf>
    <xf numFmtId="9" fontId="42" fillId="8" borderId="6" xfId="0" applyNumberFormat="1" applyFont="1" applyFill="1" applyBorder="1"/>
    <xf numFmtId="42" fontId="71" fillId="8" borderId="3" xfId="0" applyNumberFormat="1" applyFont="1" applyFill="1" applyBorder="1" applyAlignment="1">
      <alignment horizontal="center" vertical="center"/>
    </xf>
    <xf numFmtId="0" fontId="72" fillId="9" borderId="3" xfId="0" applyFont="1" applyFill="1" applyBorder="1"/>
    <xf numFmtId="166" fontId="52" fillId="20" borderId="3" xfId="0" applyNumberFormat="1" applyFont="1" applyFill="1" applyBorder="1"/>
    <xf numFmtId="9" fontId="19" fillId="8" borderId="3" xfId="0" applyNumberFormat="1" applyFont="1" applyFill="1" applyBorder="1" applyAlignment="1">
      <alignment horizontal="center" vertical="top"/>
    </xf>
    <xf numFmtId="0" fontId="19" fillId="9" borderId="3" xfId="0" applyFont="1" applyFill="1" applyBorder="1" applyAlignment="1">
      <alignment wrapText="1"/>
    </xf>
    <xf numFmtId="42" fontId="35" fillId="8" borderId="3" xfId="0" applyNumberFormat="1" applyFont="1" applyFill="1" applyBorder="1"/>
    <xf numFmtId="0" fontId="65" fillId="8" borderId="3" xfId="0" applyFont="1" applyFill="1" applyBorder="1" applyAlignment="1">
      <alignment horizontal="center" vertical="center"/>
    </xf>
    <xf numFmtId="42" fontId="35" fillId="8" borderId="3" xfId="0" applyNumberFormat="1" applyFont="1" applyFill="1" applyBorder="1" applyAlignment="1">
      <alignment horizontal="left"/>
    </xf>
    <xf numFmtId="0" fontId="65" fillId="9" borderId="3" xfId="0" applyFont="1" applyFill="1" applyBorder="1"/>
    <xf numFmtId="0" fontId="55" fillId="9" borderId="3" xfId="0" applyFont="1" applyFill="1" applyBorder="1" applyAlignment="1">
      <alignment horizontal="left"/>
    </xf>
    <xf numFmtId="0" fontId="19" fillId="8" borderId="3" xfId="0" applyFont="1" applyFill="1" applyBorder="1" applyAlignment="1">
      <alignment wrapText="1"/>
    </xf>
    <xf numFmtId="9" fontId="73" fillId="8" borderId="11" xfId="0" applyNumberFormat="1" applyFont="1" applyFill="1" applyBorder="1" applyAlignment="1">
      <alignment horizontal="center"/>
    </xf>
    <xf numFmtId="42" fontId="34" fillId="9" borderId="7" xfId="0" applyNumberFormat="1" applyFont="1" applyFill="1" applyBorder="1"/>
    <xf numFmtId="42" fontId="7" fillId="9" borderId="7" xfId="0" applyNumberFormat="1" applyFont="1" applyFill="1" applyBorder="1"/>
    <xf numFmtId="42" fontId="21" fillId="9" borderId="3" xfId="0" applyNumberFormat="1" applyFont="1" applyFill="1" applyBorder="1" applyAlignment="1">
      <alignment horizontal="center"/>
    </xf>
    <xf numFmtId="42" fontId="5" fillId="9" borderId="3" xfId="0" applyNumberFormat="1" applyFont="1" applyFill="1" applyBorder="1" applyAlignment="1">
      <alignment horizontal="center" vertical="center"/>
    </xf>
    <xf numFmtId="42" fontId="54" fillId="8" borderId="9" xfId="0" applyNumberFormat="1" applyFont="1" applyFill="1" applyBorder="1"/>
    <xf numFmtId="42" fontId="54" fillId="8" borderId="3" xfId="0" applyNumberFormat="1" applyFont="1" applyFill="1" applyBorder="1"/>
    <xf numFmtId="9" fontId="19" fillId="9" borderId="3" xfId="0" applyNumberFormat="1" applyFont="1" applyFill="1" applyBorder="1" applyAlignment="1">
      <alignment horizontal="center"/>
    </xf>
    <xf numFmtId="0" fontId="66" fillId="9" borderId="3" xfId="0" applyFont="1" applyFill="1" applyBorder="1" applyAlignment="1">
      <alignment horizontal="center"/>
    </xf>
    <xf numFmtId="9" fontId="19" fillId="9" borderId="6" xfId="0" applyNumberFormat="1" applyFont="1" applyFill="1" applyBorder="1" applyAlignment="1">
      <alignment horizontal="center"/>
    </xf>
    <xf numFmtId="42" fontId="19" fillId="8" borderId="8" xfId="0" applyNumberFormat="1" applyFont="1" applyFill="1" applyBorder="1"/>
    <xf numFmtId="0" fontId="51" fillId="9" borderId="4" xfId="0" applyFont="1" applyFill="1" applyBorder="1"/>
    <xf numFmtId="9" fontId="19" fillId="8" borderId="6" xfId="0" applyNumberFormat="1" applyFont="1" applyFill="1" applyBorder="1" applyAlignment="1">
      <alignment horizontal="center" vertical="top"/>
    </xf>
    <xf numFmtId="42" fontId="19" fillId="8" borderId="7" xfId="0" applyNumberFormat="1" applyFont="1" applyFill="1" applyBorder="1"/>
    <xf numFmtId="42" fontId="51" fillId="8" borderId="3" xfId="0" applyNumberFormat="1" applyFont="1" applyFill="1" applyBorder="1"/>
    <xf numFmtId="42" fontId="35" fillId="9" borderId="3" xfId="0" applyNumberFormat="1" applyFont="1" applyFill="1" applyBorder="1" applyAlignment="1">
      <alignment horizontal="left"/>
    </xf>
    <xf numFmtId="42" fontId="19" fillId="8" borderId="3" xfId="0" applyNumberFormat="1" applyFont="1" applyFill="1" applyBorder="1" applyAlignment="1">
      <alignment horizontal="center"/>
    </xf>
    <xf numFmtId="9" fontId="51" fillId="8" borderId="3" xfId="0" applyNumberFormat="1" applyFont="1" applyFill="1" applyBorder="1" applyAlignment="1">
      <alignment horizontal="center" vertical="top"/>
    </xf>
    <xf numFmtId="9" fontId="53" fillId="9" borderId="11" xfId="0" applyNumberFormat="1" applyFont="1" applyFill="1" applyBorder="1" applyAlignment="1">
      <alignment horizontal="center"/>
    </xf>
    <xf numFmtId="0" fontId="53" fillId="9" borderId="2" xfId="0" applyFont="1" applyFill="1" applyBorder="1" applyAlignment="1">
      <alignment horizontal="left"/>
    </xf>
    <xf numFmtId="0" fontId="19" fillId="8" borderId="0" xfId="0" applyFont="1" applyFill="1"/>
    <xf numFmtId="42" fontId="53" fillId="8" borderId="3" xfId="0" applyNumberFormat="1" applyFont="1" applyFill="1" applyBorder="1"/>
    <xf numFmtId="0" fontId="19" fillId="0" borderId="11" xfId="0" applyFont="1" applyBorder="1"/>
    <xf numFmtId="169" fontId="19" fillId="4" borderId="3" xfId="0" applyNumberFormat="1" applyFont="1" applyFill="1" applyBorder="1" applyAlignment="1">
      <alignment horizontal="right"/>
    </xf>
    <xf numFmtId="0" fontId="19" fillId="4" borderId="9" xfId="0" applyFont="1" applyFill="1" applyBorder="1"/>
    <xf numFmtId="9" fontId="70" fillId="8" borderId="3" xfId="0" applyNumberFormat="1" applyFont="1" applyFill="1" applyBorder="1" applyAlignment="1">
      <alignment horizontal="center" vertical="top"/>
    </xf>
    <xf numFmtId="9" fontId="70" fillId="8" borderId="3" xfId="0" applyNumberFormat="1" applyFont="1" applyFill="1" applyBorder="1" applyAlignment="1">
      <alignment horizontal="center"/>
    </xf>
    <xf numFmtId="0" fontId="19" fillId="8" borderId="4" xfId="0" applyFont="1" applyFill="1" applyBorder="1" applyAlignment="1">
      <alignment horizontal="center" vertical="center"/>
    </xf>
    <xf numFmtId="9" fontId="19" fillId="8" borderId="7" xfId="0" applyNumberFormat="1" applyFont="1" applyFill="1" applyBorder="1" applyAlignment="1">
      <alignment horizontal="center" vertical="center"/>
    </xf>
    <xf numFmtId="0" fontId="76" fillId="8" borderId="3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169" fontId="19" fillId="4" borderId="8" xfId="0" applyNumberFormat="1" applyFont="1" applyFill="1" applyBorder="1" applyAlignment="1">
      <alignment horizontal="right"/>
    </xf>
    <xf numFmtId="0" fontId="51" fillId="9" borderId="3" xfId="0" applyFont="1" applyFill="1" applyBorder="1" applyAlignment="1">
      <alignment horizontal="center" vertical="center"/>
    </xf>
    <xf numFmtId="42" fontId="19" fillId="4" borderId="3" xfId="0" applyNumberFormat="1" applyFont="1" applyFill="1" applyBorder="1" applyAlignment="1">
      <alignment horizontal="right"/>
    </xf>
    <xf numFmtId="0" fontId="19" fillId="4" borderId="10" xfId="0" applyFont="1" applyFill="1" applyBorder="1"/>
    <xf numFmtId="42" fontId="53" fillId="8" borderId="3" xfId="0" applyNumberFormat="1" applyFont="1" applyFill="1" applyBorder="1" applyAlignment="1">
      <alignment horizontal="right"/>
    </xf>
    <xf numFmtId="42" fontId="53" fillId="8" borderId="8" xfId="0" applyNumberFormat="1" applyFont="1" applyFill="1" applyBorder="1"/>
    <xf numFmtId="42" fontId="53" fillId="8" borderId="7" xfId="0" applyNumberFormat="1" applyFont="1" applyFill="1" applyBorder="1"/>
    <xf numFmtId="166" fontId="53" fillId="9" borderId="3" xfId="0" applyNumberFormat="1" applyFont="1" applyFill="1" applyBorder="1"/>
    <xf numFmtId="42" fontId="64" fillId="9" borderId="7" xfId="0" applyNumberFormat="1" applyFont="1" applyFill="1" applyBorder="1"/>
    <xf numFmtId="166" fontId="19" fillId="9" borderId="6" xfId="0" applyNumberFormat="1" applyFont="1" applyFill="1" applyBorder="1" applyAlignment="1">
      <alignment horizontal="center" vertical="center"/>
    </xf>
    <xf numFmtId="0" fontId="19" fillId="9" borderId="8" xfId="0" applyFont="1" applyFill="1" applyBorder="1" applyAlignment="1">
      <alignment horizontal="left"/>
    </xf>
    <xf numFmtId="0" fontId="53" fillId="9" borderId="8" xfId="0" applyFont="1" applyFill="1" applyBorder="1" applyAlignment="1">
      <alignment horizontal="left"/>
    </xf>
    <xf numFmtId="0" fontId="68" fillId="9" borderId="11" xfId="0" applyFont="1" applyFill="1" applyBorder="1" applyAlignment="1">
      <alignment horizontal="center"/>
    </xf>
    <xf numFmtId="0" fontId="69" fillId="9" borderId="8" xfId="0" applyFont="1" applyFill="1" applyBorder="1"/>
    <xf numFmtId="0" fontId="51" fillId="9" borderId="8" xfId="0" applyFont="1" applyFill="1" applyBorder="1" applyAlignment="1">
      <alignment horizontal="left"/>
    </xf>
    <xf numFmtId="0" fontId="19" fillId="8" borderId="8" xfId="0" applyFont="1" applyFill="1" applyBorder="1"/>
    <xf numFmtId="42" fontId="35" fillId="8" borderId="8" xfId="0" applyNumberFormat="1" applyFont="1" applyFill="1" applyBorder="1" applyAlignment="1">
      <alignment horizontal="left"/>
    </xf>
    <xf numFmtId="165" fontId="0" fillId="0" borderId="0" xfId="0" applyNumberFormat="1"/>
    <xf numFmtId="0" fontId="51" fillId="8" borderId="4" xfId="0" applyFont="1" applyFill="1" applyBorder="1"/>
    <xf numFmtId="42" fontId="19" fillId="8" borderId="14" xfId="0" applyNumberFormat="1" applyFont="1" applyFill="1" applyBorder="1"/>
    <xf numFmtId="42" fontId="19" fillId="9" borderId="3" xfId="0" applyNumberFormat="1" applyFont="1" applyFill="1" applyBorder="1" applyAlignment="1">
      <alignment horizontal="left"/>
    </xf>
    <xf numFmtId="42" fontId="20" fillId="0" borderId="3" xfId="0" applyNumberFormat="1" applyFont="1" applyBorder="1"/>
    <xf numFmtId="9" fontId="66" fillId="8" borderId="8" xfId="0" applyNumberFormat="1" applyFont="1" applyFill="1" applyBorder="1" applyAlignment="1">
      <alignment horizontal="center" vertical="center"/>
    </xf>
    <xf numFmtId="0" fontId="19" fillId="8" borderId="8" xfId="0" applyFont="1" applyFill="1" applyBorder="1" applyAlignment="1">
      <alignment horizontal="left"/>
    </xf>
    <xf numFmtId="9" fontId="70" fillId="8" borderId="6" xfId="0" applyNumberFormat="1" applyFont="1" applyFill="1" applyBorder="1" applyAlignment="1">
      <alignment horizontal="center" vertical="top"/>
    </xf>
    <xf numFmtId="0" fontId="59" fillId="0" borderId="6" xfId="0" applyFont="1" applyBorder="1" applyAlignment="1">
      <alignment horizontal="center" vertical="top"/>
    </xf>
    <xf numFmtId="0" fontId="65" fillId="8" borderId="7" xfId="0" applyFont="1" applyFill="1" applyBorder="1"/>
    <xf numFmtId="0" fontId="57" fillId="0" borderId="7" xfId="0" applyFont="1" applyBorder="1"/>
    <xf numFmtId="0" fontId="51" fillId="20" borderId="8" xfId="0" applyFont="1" applyFill="1" applyBorder="1"/>
    <xf numFmtId="42" fontId="51" fillId="20" borderId="8" xfId="0" applyNumberFormat="1" applyFont="1" applyFill="1" applyBorder="1"/>
    <xf numFmtId="0" fontId="51" fillId="9" borderId="8" xfId="0" applyFont="1" applyFill="1" applyBorder="1"/>
    <xf numFmtId="9" fontId="70" fillId="8" borderId="7" xfId="0" applyNumberFormat="1" applyFont="1" applyFill="1" applyBorder="1" applyAlignment="1">
      <alignment horizontal="center"/>
    </xf>
    <xf numFmtId="0" fontId="51" fillId="8" borderId="3" xfId="0" applyFont="1" applyFill="1" applyBorder="1" applyAlignment="1">
      <alignment wrapText="1"/>
    </xf>
    <xf numFmtId="9" fontId="66" fillId="8" borderId="4" xfId="0" applyNumberFormat="1" applyFont="1" applyFill="1" applyBorder="1" applyAlignment="1">
      <alignment horizontal="center" vertical="center"/>
    </xf>
    <xf numFmtId="42" fontId="51" fillId="8" borderId="4" xfId="0" applyNumberFormat="1" applyFont="1" applyFill="1" applyBorder="1"/>
    <xf numFmtId="42" fontId="19" fillId="9" borderId="6" xfId="0" applyNumberFormat="1" applyFont="1" applyFill="1" applyBorder="1"/>
    <xf numFmtId="0" fontId="19" fillId="4" borderId="3" xfId="0" applyFont="1" applyFill="1" applyBorder="1"/>
    <xf numFmtId="169" fontId="19" fillId="4" borderId="11" xfId="0" applyNumberFormat="1" applyFont="1" applyFill="1" applyBorder="1" applyAlignment="1">
      <alignment horizontal="right"/>
    </xf>
    <xf numFmtId="42" fontId="35" fillId="9" borderId="3" xfId="0" applyNumberFormat="1" applyFont="1" applyFill="1" applyBorder="1"/>
    <xf numFmtId="9" fontId="19" fillId="9" borderId="7" xfId="0" applyNumberFormat="1" applyFont="1" applyFill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42" fontId="19" fillId="4" borderId="6" xfId="0" applyNumberFormat="1" applyFont="1" applyFill="1" applyBorder="1" applyAlignment="1">
      <alignment horizontal="right"/>
    </xf>
    <xf numFmtId="9" fontId="66" fillId="8" borderId="6" xfId="0" applyNumberFormat="1" applyFont="1" applyFill="1" applyBorder="1" applyAlignment="1">
      <alignment horizontal="center" vertical="top"/>
    </xf>
    <xf numFmtId="0" fontId="19" fillId="8" borderId="4" xfId="0" applyFont="1" applyFill="1" applyBorder="1"/>
    <xf numFmtId="42" fontId="19" fillId="9" borderId="6" xfId="0" applyNumberFormat="1" applyFont="1" applyFill="1" applyBorder="1" applyAlignment="1">
      <alignment horizontal="center"/>
    </xf>
    <xf numFmtId="42" fontId="19" fillId="8" borderId="8" xfId="0" applyNumberFormat="1" applyFont="1" applyFill="1" applyBorder="1" applyAlignment="1">
      <alignment horizontal="left"/>
    </xf>
    <xf numFmtId="0" fontId="64" fillId="8" borderId="6" xfId="0" applyFont="1" applyFill="1" applyBorder="1" applyAlignment="1">
      <alignment horizontal="center"/>
    </xf>
    <xf numFmtId="9" fontId="66" fillId="9" borderId="3" xfId="0" applyNumberFormat="1" applyFont="1" applyFill="1" applyBorder="1" applyAlignment="1">
      <alignment horizontal="center"/>
    </xf>
    <xf numFmtId="9" fontId="66" fillId="9" borderId="3" xfId="0" applyNumberFormat="1" applyFont="1" applyFill="1" applyBorder="1" applyAlignment="1">
      <alignment horizontal="center" vertical="center"/>
    </xf>
    <xf numFmtId="42" fontId="57" fillId="9" borderId="3" xfId="0" applyNumberFormat="1" applyFont="1" applyFill="1" applyBorder="1"/>
    <xf numFmtId="42" fontId="19" fillId="9" borderId="3" xfId="0" applyNumberFormat="1" applyFont="1" applyFill="1" applyBorder="1" applyAlignment="1">
      <alignment horizontal="center"/>
    </xf>
    <xf numFmtId="9" fontId="70" fillId="9" borderId="6" xfId="0" applyNumberFormat="1" applyFont="1" applyFill="1" applyBorder="1" applyAlignment="1">
      <alignment horizontal="center" vertical="top"/>
    </xf>
    <xf numFmtId="42" fontId="19" fillId="9" borderId="14" xfId="0" applyNumberFormat="1" applyFont="1" applyFill="1" applyBorder="1"/>
    <xf numFmtId="42" fontId="51" fillId="9" borderId="3" xfId="0" applyNumberFormat="1" applyFont="1" applyFill="1" applyBorder="1"/>
    <xf numFmtId="9" fontId="66" fillId="9" borderId="4" xfId="0" applyNumberFormat="1" applyFont="1" applyFill="1" applyBorder="1" applyAlignment="1">
      <alignment horizontal="center" vertical="center"/>
    </xf>
    <xf numFmtId="42" fontId="51" fillId="9" borderId="4" xfId="0" applyNumberFormat="1" applyFont="1" applyFill="1" applyBorder="1"/>
    <xf numFmtId="0" fontId="65" fillId="9" borderId="3" xfId="0" applyFont="1" applyFill="1" applyBorder="1" applyAlignment="1">
      <alignment horizontal="center" vertical="center"/>
    </xf>
    <xf numFmtId="9" fontId="19" fillId="9" borderId="6" xfId="0" applyNumberFormat="1" applyFont="1" applyFill="1" applyBorder="1" applyAlignment="1">
      <alignment horizontal="center" vertical="top"/>
    </xf>
    <xf numFmtId="0" fontId="65" fillId="9" borderId="7" xfId="0" applyFont="1" applyFill="1" applyBorder="1"/>
    <xf numFmtId="0" fontId="59" fillId="9" borderId="6" xfId="0" applyFont="1" applyFill="1" applyBorder="1" applyAlignment="1">
      <alignment horizontal="center" vertical="top"/>
    </xf>
    <xf numFmtId="0" fontId="57" fillId="9" borderId="3" xfId="0" applyFont="1" applyFill="1" applyBorder="1"/>
    <xf numFmtId="0" fontId="57" fillId="9" borderId="7" xfId="0" applyFont="1" applyFill="1" applyBorder="1"/>
    <xf numFmtId="9" fontId="2" fillId="9" borderId="6" xfId="0" applyNumberFormat="1" applyFont="1" applyFill="1" applyBorder="1"/>
    <xf numFmtId="0" fontId="7" fillId="9" borderId="6" xfId="0" applyFont="1" applyFill="1" applyBorder="1" applyAlignment="1">
      <alignment horizontal="center"/>
    </xf>
    <xf numFmtId="0" fontId="7" fillId="9" borderId="11" xfId="0" applyFont="1" applyFill="1" applyBorder="1" applyAlignment="1">
      <alignment horizontal="center"/>
    </xf>
    <xf numFmtId="0" fontId="3" fillId="9" borderId="8" xfId="0" applyFont="1" applyFill="1" applyBorder="1"/>
    <xf numFmtId="42" fontId="2" fillId="9" borderId="3" xfId="0" applyNumberFormat="1" applyFont="1" applyFill="1" applyBorder="1"/>
    <xf numFmtId="42" fontId="7" fillId="9" borderId="3" xfId="0" applyNumberFormat="1" applyFont="1" applyFill="1" applyBorder="1"/>
    <xf numFmtId="0" fontId="2" fillId="9" borderId="8" xfId="0" applyFont="1" applyFill="1" applyBorder="1"/>
    <xf numFmtId="166" fontId="2" fillId="9" borderId="3" xfId="0" applyNumberFormat="1" applyFont="1" applyFill="1" applyBorder="1" applyAlignment="1">
      <alignment horizontal="center" vertical="center"/>
    </xf>
    <xf numFmtId="0" fontId="79" fillId="7" borderId="6" xfId="0" applyFont="1" applyFill="1" applyBorder="1"/>
    <xf numFmtId="0" fontId="79" fillId="0" borderId="9" xfId="0" applyFont="1" applyBorder="1"/>
    <xf numFmtId="0" fontId="31" fillId="22" borderId="9" xfId="0" applyFont="1" applyFill="1" applyBorder="1"/>
    <xf numFmtId="0" fontId="79" fillId="7" borderId="9" xfId="0" applyFont="1" applyFill="1" applyBorder="1"/>
    <xf numFmtId="0" fontId="31" fillId="23" borderId="9" xfId="0" applyFont="1" applyFill="1" applyBorder="1"/>
    <xf numFmtId="0" fontId="79" fillId="0" borderId="2" xfId="0" applyFont="1" applyBorder="1" applyAlignment="1">
      <alignment wrapText="1"/>
    </xf>
    <xf numFmtId="0" fontId="11" fillId="7" borderId="9" xfId="0" applyFont="1" applyFill="1" applyBorder="1"/>
    <xf numFmtId="6" fontId="11" fillId="7" borderId="9" xfId="0" applyNumberFormat="1" applyFont="1" applyFill="1" applyBorder="1"/>
    <xf numFmtId="0" fontId="2" fillId="20" borderId="8" xfId="0" applyFont="1" applyFill="1" applyBorder="1"/>
    <xf numFmtId="42" fontId="2" fillId="20" borderId="8" xfId="0" applyNumberFormat="1" applyFont="1" applyFill="1" applyBorder="1"/>
    <xf numFmtId="0" fontId="2" fillId="20" borderId="3" xfId="0" applyFont="1" applyFill="1" applyBorder="1"/>
    <xf numFmtId="166" fontId="2" fillId="20" borderId="3" xfId="0" applyNumberFormat="1" applyFont="1" applyFill="1" applyBorder="1"/>
    <xf numFmtId="166" fontId="2" fillId="21" borderId="3" xfId="0" applyNumberFormat="1" applyFont="1" applyFill="1" applyBorder="1"/>
    <xf numFmtId="6" fontId="2" fillId="4" borderId="3" xfId="0" applyNumberFormat="1" applyFont="1" applyFill="1" applyBorder="1"/>
    <xf numFmtId="6" fontId="2" fillId="4" borderId="8" xfId="0" applyNumberFormat="1" applyFont="1" applyFill="1" applyBorder="1"/>
    <xf numFmtId="6" fontId="2" fillId="4" borderId="6" xfId="0" applyNumberFormat="1" applyFont="1" applyFill="1" applyBorder="1"/>
    <xf numFmtId="9" fontId="21" fillId="9" borderId="6" xfId="0" applyNumberFormat="1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9" fontId="21" fillId="8" borderId="3" xfId="0" applyNumberFormat="1" applyFont="1" applyFill="1" applyBorder="1" applyAlignment="1">
      <alignment horizontal="center" vertical="center"/>
    </xf>
    <xf numFmtId="0" fontId="2" fillId="8" borderId="4" xfId="0" applyFont="1" applyFill="1" applyBorder="1"/>
    <xf numFmtId="0" fontId="2" fillId="8" borderId="3" xfId="0" applyFont="1" applyFill="1" applyBorder="1" applyAlignment="1">
      <alignment horizontal="center"/>
    </xf>
    <xf numFmtId="0" fontId="4" fillId="0" borderId="0" xfId="0" applyFont="1"/>
    <xf numFmtId="0" fontId="4" fillId="25" borderId="8" xfId="0" applyFont="1" applyFill="1" applyBorder="1"/>
    <xf numFmtId="0" fontId="4" fillId="25" borderId="11" xfId="0" applyFont="1" applyFill="1" applyBorder="1"/>
    <xf numFmtId="6" fontId="81" fillId="25" borderId="3" xfId="0" applyNumberFormat="1" applyFont="1" applyFill="1" applyBorder="1"/>
    <xf numFmtId="6" fontId="25" fillId="25" borderId="3" xfId="0" applyNumberFormat="1" applyFont="1" applyFill="1" applyBorder="1"/>
    <xf numFmtId="0" fontId="4" fillId="0" borderId="3" xfId="0" applyFont="1" applyBorder="1"/>
    <xf numFmtId="0" fontId="4" fillId="0" borderId="6" xfId="0" applyFont="1" applyBorder="1"/>
    <xf numFmtId="0" fontId="4" fillId="0" borderId="8" xfId="0" applyFont="1" applyBorder="1"/>
    <xf numFmtId="0" fontId="12" fillId="25" borderId="6" xfId="0" applyFont="1" applyFill="1" applyBorder="1"/>
    <xf numFmtId="6" fontId="25" fillId="25" borderId="6" xfId="0" applyNumberFormat="1" applyFont="1" applyFill="1" applyBorder="1"/>
    <xf numFmtId="0" fontId="72" fillId="7" borderId="4" xfId="0" applyFont="1" applyFill="1" applyBorder="1" applyAlignment="1">
      <alignment horizontal="center"/>
    </xf>
    <xf numFmtId="0" fontId="72" fillId="7" borderId="3" xfId="0" applyFont="1" applyFill="1" applyBorder="1" applyAlignment="1">
      <alignment horizontal="center"/>
    </xf>
    <xf numFmtId="0" fontId="72" fillId="0" borderId="4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9" fillId="11" borderId="4" xfId="0" applyFont="1" applyFill="1" applyBorder="1" applyAlignment="1">
      <alignment horizontal="center"/>
    </xf>
    <xf numFmtId="0" fontId="7" fillId="8" borderId="3" xfId="0" applyFont="1" applyFill="1" applyBorder="1" applyAlignment="1">
      <alignment horizontal="center"/>
    </xf>
    <xf numFmtId="9" fontId="19" fillId="10" borderId="3" xfId="0" applyNumberFormat="1" applyFont="1" applyFill="1" applyBorder="1" applyAlignment="1">
      <alignment horizontal="center"/>
    </xf>
    <xf numFmtId="42" fontId="19" fillId="10" borderId="3" xfId="0" applyNumberFormat="1" applyFont="1" applyFill="1" applyBorder="1"/>
    <xf numFmtId="9" fontId="66" fillId="10" borderId="3" xfId="0" applyNumberFormat="1" applyFont="1" applyFill="1" applyBorder="1" applyAlignment="1">
      <alignment horizontal="center"/>
    </xf>
    <xf numFmtId="0" fontId="64" fillId="10" borderId="3" xfId="0" applyFont="1" applyFill="1" applyBorder="1" applyAlignment="1">
      <alignment horizontal="left"/>
    </xf>
    <xf numFmtId="0" fontId="2" fillId="10" borderId="3" xfId="0" applyFont="1" applyFill="1" applyBorder="1" applyAlignment="1">
      <alignment horizontal="center" vertical="center"/>
    </xf>
    <xf numFmtId="9" fontId="19" fillId="9" borderId="6" xfId="0" applyNumberFormat="1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2" fillId="8" borderId="8" xfId="0" applyFont="1" applyFill="1" applyBorder="1"/>
    <xf numFmtId="0" fontId="2" fillId="8" borderId="8" xfId="0" applyFont="1" applyFill="1" applyBorder="1" applyAlignment="1">
      <alignment horizontal="left"/>
    </xf>
    <xf numFmtId="0" fontId="2" fillId="8" borderId="8" xfId="0" applyFont="1" applyFill="1" applyBorder="1" applyAlignment="1">
      <alignment horizontal="center"/>
    </xf>
    <xf numFmtId="0" fontId="11" fillId="8" borderId="3" xfId="0" applyFont="1" applyFill="1" applyBorder="1"/>
    <xf numFmtId="166" fontId="11" fillId="8" borderId="7" xfId="0" applyNumberFormat="1" applyFont="1" applyFill="1" applyBorder="1"/>
    <xf numFmtId="166" fontId="2" fillId="8" borderId="8" xfId="0" applyNumberFormat="1" applyFont="1" applyFill="1" applyBorder="1" applyAlignment="1">
      <alignment horizontal="right"/>
    </xf>
    <xf numFmtId="166" fontId="4" fillId="0" borderId="0" xfId="0" applyNumberFormat="1" applyFont="1"/>
    <xf numFmtId="0" fontId="21" fillId="8" borderId="3" xfId="0" applyFont="1" applyFill="1" applyBorder="1"/>
    <xf numFmtId="9" fontId="42" fillId="10" borderId="3" xfId="0" applyNumberFormat="1" applyFont="1" applyFill="1" applyBorder="1" applyAlignment="1">
      <alignment horizontal="center"/>
    </xf>
    <xf numFmtId="9" fontId="66" fillId="10" borderId="3" xfId="0" applyNumberFormat="1" applyFont="1" applyFill="1" applyBorder="1" applyAlignment="1">
      <alignment horizontal="center" vertical="center"/>
    </xf>
    <xf numFmtId="42" fontId="2" fillId="10" borderId="3" xfId="0" applyNumberFormat="1" applyFont="1" applyFill="1" applyBorder="1" applyAlignment="1">
      <alignment horizontal="left"/>
    </xf>
    <xf numFmtId="9" fontId="21" fillId="10" borderId="3" xfId="0" applyNumberFormat="1" applyFont="1" applyFill="1" applyBorder="1" applyAlignment="1">
      <alignment horizontal="center" vertical="center"/>
    </xf>
    <xf numFmtId="9" fontId="21" fillId="10" borderId="6" xfId="0" applyNumberFormat="1" applyFont="1" applyFill="1" applyBorder="1" applyAlignment="1">
      <alignment horizontal="center" vertical="top"/>
    </xf>
    <xf numFmtId="0" fontId="2" fillId="10" borderId="4" xfId="0" applyFont="1" applyFill="1" applyBorder="1"/>
    <xf numFmtId="42" fontId="2" fillId="10" borderId="14" xfId="0" applyNumberFormat="1" applyFont="1" applyFill="1" applyBorder="1"/>
    <xf numFmtId="9" fontId="21" fillId="10" borderId="7" xfId="0" applyNumberFormat="1" applyFont="1" applyFill="1" applyBorder="1" applyAlignment="1">
      <alignment horizontal="center"/>
    </xf>
    <xf numFmtId="42" fontId="2" fillId="10" borderId="3" xfId="0" applyNumberFormat="1" applyFont="1" applyFill="1" applyBorder="1"/>
    <xf numFmtId="0" fontId="2" fillId="10" borderId="3" xfId="0" applyFont="1" applyFill="1" applyBorder="1" applyAlignment="1">
      <alignment wrapText="1"/>
    </xf>
    <xf numFmtId="0" fontId="51" fillId="10" borderId="3" xfId="0" applyFont="1" applyFill="1" applyBorder="1"/>
    <xf numFmtId="166" fontId="12" fillId="8" borderId="3" xfId="0" applyNumberFormat="1" applyFont="1" applyFill="1" applyBorder="1" applyAlignment="1">
      <alignment horizontal="right"/>
    </xf>
    <xf numFmtId="0" fontId="3" fillId="0" borderId="0" xfId="0" applyFont="1"/>
    <xf numFmtId="166" fontId="0" fillId="0" borderId="0" xfId="0" applyNumberFormat="1"/>
    <xf numFmtId="0" fontId="12" fillId="26" borderId="8" xfId="0" applyFont="1" applyFill="1" applyBorder="1"/>
    <xf numFmtId="0" fontId="11" fillId="26" borderId="7" xfId="0" applyFont="1" applyFill="1" applyBorder="1"/>
    <xf numFmtId="6" fontId="11" fillId="26" borderId="7" xfId="0" applyNumberFormat="1" applyFont="1" applyFill="1" applyBorder="1"/>
    <xf numFmtId="0" fontId="12" fillId="26" borderId="3" xfId="0" applyFont="1" applyFill="1" applyBorder="1"/>
    <xf numFmtId="6" fontId="12" fillId="26" borderId="3" xfId="0" applyNumberFormat="1" applyFont="1" applyFill="1" applyBorder="1"/>
    <xf numFmtId="0" fontId="12" fillId="26" borderId="7" xfId="0" applyFont="1" applyFill="1" applyBorder="1"/>
    <xf numFmtId="6" fontId="12" fillId="26" borderId="7" xfId="0" applyNumberFormat="1" applyFont="1" applyFill="1" applyBorder="1"/>
    <xf numFmtId="0" fontId="12" fillId="26" borderId="8" xfId="0" applyFont="1" applyFill="1" applyBorder="1" applyAlignment="1">
      <alignment horizontal="center"/>
    </xf>
    <xf numFmtId="9" fontId="12" fillId="26" borderId="13" xfId="0" applyNumberFormat="1" applyFont="1" applyFill="1" applyBorder="1" applyAlignment="1">
      <alignment horizontal="center"/>
    </xf>
    <xf numFmtId="0" fontId="2" fillId="26" borderId="3" xfId="0" applyFont="1" applyFill="1" applyBorder="1" applyAlignment="1">
      <alignment horizontal="center"/>
    </xf>
    <xf numFmtId="9" fontId="12" fillId="26" borderId="7" xfId="0" applyNumberFormat="1" applyFont="1" applyFill="1" applyBorder="1" applyAlignment="1">
      <alignment horizontal="center"/>
    </xf>
    <xf numFmtId="9" fontId="12" fillId="26" borderId="3" xfId="0" applyNumberFormat="1" applyFont="1" applyFill="1" applyBorder="1" applyAlignment="1">
      <alignment horizontal="center"/>
    </xf>
    <xf numFmtId="166" fontId="31" fillId="13" borderId="6" xfId="0" applyNumberFormat="1" applyFont="1" applyFill="1" applyBorder="1"/>
    <xf numFmtId="0" fontId="2" fillId="0" borderId="3" xfId="0" applyFont="1" applyBorder="1" applyAlignment="1">
      <alignment horizontal="center" vertical="center"/>
    </xf>
    <xf numFmtId="9" fontId="2" fillId="0" borderId="3" xfId="0" applyNumberFormat="1" applyFont="1" applyBorder="1" applyAlignment="1">
      <alignment horizontal="center"/>
    </xf>
    <xf numFmtId="0" fontId="7" fillId="0" borderId="3" xfId="0" applyFont="1" applyBorder="1"/>
    <xf numFmtId="166" fontId="2" fillId="0" borderId="3" xfId="0" applyNumberFormat="1" applyFont="1" applyBorder="1"/>
    <xf numFmtId="9" fontId="21" fillId="0" borderId="3" xfId="0" applyNumberFormat="1" applyFont="1" applyBorder="1" applyAlignment="1">
      <alignment horizontal="center"/>
    </xf>
    <xf numFmtId="9" fontId="66" fillId="0" borderId="3" xfId="0" applyNumberFormat="1" applyFont="1" applyBorder="1" applyAlignment="1">
      <alignment horizontal="center"/>
    </xf>
    <xf numFmtId="42" fontId="19" fillId="0" borderId="3" xfId="0" applyNumberFormat="1" applyFont="1" applyBorder="1"/>
    <xf numFmtId="0" fontId="64" fillId="0" borderId="3" xfId="0" applyFont="1" applyBorder="1" applyAlignment="1">
      <alignment horizontal="left"/>
    </xf>
    <xf numFmtId="9" fontId="66" fillId="0" borderId="3" xfId="0" applyNumberFormat="1" applyFont="1" applyBorder="1" applyAlignment="1">
      <alignment horizontal="center" vertical="center"/>
    </xf>
    <xf numFmtId="0" fontId="64" fillId="0" borderId="3" xfId="0" applyFont="1" applyBorder="1"/>
    <xf numFmtId="0" fontId="19" fillId="0" borderId="3" xfId="0" applyFont="1" applyBorder="1" applyAlignment="1">
      <alignment horizontal="center" vertical="center"/>
    </xf>
    <xf numFmtId="9" fontId="21" fillId="0" borderId="3" xfId="0" applyNumberFormat="1" applyFont="1" applyBorder="1" applyAlignment="1">
      <alignment horizontal="center" vertical="center"/>
    </xf>
    <xf numFmtId="42" fontId="2" fillId="0" borderId="3" xfId="0" applyNumberFormat="1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3" xfId="0" applyFont="1" applyBorder="1"/>
    <xf numFmtId="166" fontId="2" fillId="8" borderId="7" xfId="0" applyNumberFormat="1" applyFont="1" applyFill="1" applyBorder="1"/>
    <xf numFmtId="166" fontId="12" fillId="8" borderId="6" xfId="0" applyNumberFormat="1" applyFont="1" applyFill="1" applyBorder="1" applyAlignment="1">
      <alignment horizontal="right"/>
    </xf>
    <xf numFmtId="0" fontId="52" fillId="20" borderId="8" xfId="0" applyFont="1" applyFill="1" applyBorder="1"/>
    <xf numFmtId="0" fontId="3" fillId="8" borderId="3" xfId="0" applyFont="1" applyFill="1" applyBorder="1" applyAlignment="1">
      <alignment horizontal="center"/>
    </xf>
    <xf numFmtId="166" fontId="7" fillId="8" borderId="7" xfId="0" applyNumberFormat="1" applyFont="1" applyFill="1" applyBorder="1"/>
    <xf numFmtId="0" fontId="52" fillId="9" borderId="8" xfId="0" applyFont="1" applyFill="1" applyBorder="1" applyAlignment="1">
      <alignment horizontal="center"/>
    </xf>
    <xf numFmtId="166" fontId="2" fillId="8" borderId="6" xfId="0" applyNumberFormat="1" applyFont="1" applyFill="1" applyBorder="1"/>
    <xf numFmtId="42" fontId="21" fillId="8" borderId="3" xfId="0" applyNumberFormat="1" applyFont="1" applyFill="1" applyBorder="1" applyAlignment="1">
      <alignment horizontal="center"/>
    </xf>
    <xf numFmtId="0" fontId="52" fillId="8" borderId="3" xfId="0" applyFont="1" applyFill="1" applyBorder="1" applyAlignment="1">
      <alignment horizontal="center"/>
    </xf>
    <xf numFmtId="0" fontId="52" fillId="8" borderId="3" xfId="0" applyFont="1" applyFill="1" applyBorder="1"/>
    <xf numFmtId="0" fontId="2" fillId="20" borderId="8" xfId="0" applyFont="1" applyFill="1" applyBorder="1" applyAlignment="1">
      <alignment horizontal="right"/>
    </xf>
    <xf numFmtId="6" fontId="2" fillId="20" borderId="8" xfId="0" applyNumberFormat="1" applyFont="1" applyFill="1" applyBorder="1"/>
    <xf numFmtId="0" fontId="58" fillId="8" borderId="3" xfId="0" applyFont="1" applyFill="1" applyBorder="1"/>
    <xf numFmtId="42" fontId="58" fillId="8" borderId="3" xfId="0" applyNumberFormat="1" applyFont="1" applyFill="1" applyBorder="1"/>
    <xf numFmtId="166" fontId="2" fillId="20" borderId="8" xfId="0" applyNumberFormat="1" applyFont="1" applyFill="1" applyBorder="1"/>
    <xf numFmtId="9" fontId="2" fillId="8" borderId="6" xfId="0" applyNumberFormat="1" applyFont="1" applyFill="1" applyBorder="1" applyAlignment="1">
      <alignment horizontal="center" vertical="center"/>
    </xf>
    <xf numFmtId="42" fontId="2" fillId="8" borderId="3" xfId="0" applyNumberFormat="1" applyFont="1" applyFill="1" applyBorder="1" applyAlignment="1">
      <alignment horizontal="center"/>
    </xf>
    <xf numFmtId="9" fontId="2" fillId="8" borderId="8" xfId="0" applyNumberFormat="1" applyFont="1" applyFill="1" applyBorder="1" applyAlignment="1">
      <alignment horizontal="center" vertical="center"/>
    </xf>
    <xf numFmtId="166" fontId="25" fillId="4" borderId="3" xfId="0" applyNumberFormat="1" applyFont="1" applyFill="1" applyBorder="1"/>
    <xf numFmtId="9" fontId="21" fillId="8" borderId="6" xfId="0" applyNumberFormat="1" applyFont="1" applyFill="1" applyBorder="1" applyAlignment="1">
      <alignment horizontal="center"/>
    </xf>
    <xf numFmtId="10" fontId="2" fillId="8" borderId="4" xfId="0" applyNumberFormat="1" applyFont="1" applyFill="1" applyBorder="1" applyAlignment="1">
      <alignment vertical="center"/>
    </xf>
    <xf numFmtId="10" fontId="21" fillId="8" borderId="4" xfId="0" applyNumberFormat="1" applyFont="1" applyFill="1" applyBorder="1" applyAlignment="1">
      <alignment vertical="center"/>
    </xf>
    <xf numFmtId="166" fontId="3" fillId="8" borderId="3" xfId="0" applyNumberFormat="1" applyFont="1" applyFill="1" applyBorder="1"/>
    <xf numFmtId="166" fontId="25" fillId="9" borderId="3" xfId="0" applyNumberFormat="1" applyFont="1" applyFill="1" applyBorder="1"/>
    <xf numFmtId="6" fontId="12" fillId="26" borderId="14" xfId="0" applyNumberFormat="1" applyFont="1" applyFill="1" applyBorder="1"/>
    <xf numFmtId="6" fontId="81" fillId="25" borderId="8" xfId="0" applyNumberFormat="1" applyFont="1" applyFill="1" applyBorder="1"/>
    <xf numFmtId="6" fontId="12" fillId="10" borderId="3" xfId="0" applyNumberFormat="1" applyFont="1" applyFill="1" applyBorder="1"/>
    <xf numFmtId="0" fontId="12" fillId="10" borderId="3" xfId="0" applyFont="1" applyFill="1" applyBorder="1" applyAlignment="1">
      <alignment horizontal="center"/>
    </xf>
    <xf numFmtId="9" fontId="12" fillId="10" borderId="3" xfId="0" applyNumberFormat="1" applyFont="1" applyFill="1" applyBorder="1" applyAlignment="1">
      <alignment horizontal="center"/>
    </xf>
    <xf numFmtId="0" fontId="12" fillId="10" borderId="3" xfId="0" applyFont="1" applyFill="1" applyBorder="1"/>
    <xf numFmtId="0" fontId="12" fillId="26" borderId="10" xfId="0" applyFont="1" applyFill="1" applyBorder="1" applyAlignment="1">
      <alignment horizontal="center"/>
    </xf>
    <xf numFmtId="9" fontId="12" fillId="26" borderId="14" xfId="0" applyNumberFormat="1" applyFont="1" applyFill="1" applyBorder="1" applyAlignment="1">
      <alignment horizontal="center"/>
    </xf>
    <xf numFmtId="0" fontId="12" fillId="26" borderId="10" xfId="0" applyFont="1" applyFill="1" applyBorder="1"/>
    <xf numFmtId="0" fontId="12" fillId="26" borderId="14" xfId="0" applyFont="1" applyFill="1" applyBorder="1"/>
    <xf numFmtId="9" fontId="2" fillId="8" borderId="5" xfId="0" applyNumberFormat="1" applyFont="1" applyFill="1" applyBorder="1" applyAlignment="1">
      <alignment horizontal="center"/>
    </xf>
    <xf numFmtId="6" fontId="25" fillId="25" borderId="8" xfId="0" applyNumberFormat="1" applyFont="1" applyFill="1" applyBorder="1"/>
    <xf numFmtId="0" fontId="12" fillId="8" borderId="8" xfId="0" applyFont="1" applyFill="1" applyBorder="1"/>
    <xf numFmtId="6" fontId="11" fillId="8" borderId="7" xfId="0" applyNumberFormat="1" applyFont="1" applyFill="1" applyBorder="1"/>
    <xf numFmtId="0" fontId="11" fillId="8" borderId="3" xfId="0" applyFont="1" applyFill="1" applyBorder="1" applyAlignment="1">
      <alignment horizontal="right"/>
    </xf>
    <xf numFmtId="0" fontId="11" fillId="8" borderId="6" xfId="0" applyFont="1" applyFill="1" applyBorder="1" applyAlignment="1">
      <alignment horizontal="right"/>
    </xf>
    <xf numFmtId="0" fontId="54" fillId="10" borderId="3" xfId="0" applyFont="1" applyFill="1" applyBorder="1"/>
    <xf numFmtId="6" fontId="25" fillId="10" borderId="3" xfId="0" applyNumberFormat="1" applyFont="1" applyFill="1" applyBorder="1"/>
    <xf numFmtId="42" fontId="2" fillId="8" borderId="3" xfId="0" applyNumberFormat="1" applyFont="1" applyFill="1" applyBorder="1"/>
    <xf numFmtId="0" fontId="2" fillId="10" borderId="3" xfId="0" applyFont="1" applyFill="1" applyBorder="1" applyAlignment="1">
      <alignment horizontal="center"/>
    </xf>
    <xf numFmtId="0" fontId="5" fillId="8" borderId="12" xfId="0" applyFont="1" applyFill="1" applyBorder="1"/>
    <xf numFmtId="0" fontId="2" fillId="10" borderId="8" xfId="0" applyFont="1" applyFill="1" applyBorder="1" applyAlignment="1">
      <alignment horizontal="center" vertical="center"/>
    </xf>
    <xf numFmtId="0" fontId="2" fillId="10" borderId="8" xfId="0" applyFont="1" applyFill="1" applyBorder="1"/>
    <xf numFmtId="166" fontId="2" fillId="10" borderId="8" xfId="0" applyNumberFormat="1" applyFont="1" applyFill="1" applyBorder="1" applyAlignment="1">
      <alignment horizontal="right"/>
    </xf>
    <xf numFmtId="9" fontId="21" fillId="10" borderId="8" xfId="0" applyNumberFormat="1" applyFont="1" applyFill="1" applyBorder="1" applyAlignment="1">
      <alignment horizontal="center" vertical="center"/>
    </xf>
    <xf numFmtId="0" fontId="5" fillId="8" borderId="0" xfId="0" applyFont="1" applyFill="1"/>
    <xf numFmtId="166" fontId="2" fillId="10" borderId="3" xfId="0" applyNumberFormat="1" applyFont="1" applyFill="1" applyBorder="1" applyAlignment="1">
      <alignment horizontal="right"/>
    </xf>
    <xf numFmtId="0" fontId="51" fillId="9" borderId="4" xfId="0" applyFont="1" applyFill="1" applyBorder="1" applyAlignment="1">
      <alignment horizontal="center"/>
    </xf>
    <xf numFmtId="0" fontId="51" fillId="9" borderId="3" xfId="0" applyFont="1" applyFill="1" applyBorder="1" applyAlignment="1">
      <alignment horizontal="center" wrapText="1"/>
    </xf>
    <xf numFmtId="0" fontId="5" fillId="8" borderId="8" xfId="0" applyFont="1" applyFill="1" applyBorder="1"/>
    <xf numFmtId="0" fontId="79" fillId="7" borderId="13" xfId="0" applyFont="1" applyFill="1" applyBorder="1"/>
    <xf numFmtId="0" fontId="2" fillId="0" borderId="4" xfId="0" applyFont="1" applyBorder="1"/>
    <xf numFmtId="166" fontId="2" fillId="0" borderId="3" xfId="0" applyNumberFormat="1" applyFont="1" applyBorder="1" applyAlignment="1">
      <alignment horizontal="right"/>
    </xf>
    <xf numFmtId="9" fontId="2" fillId="0" borderId="3" xfId="0" applyNumberFormat="1" applyFont="1" applyBorder="1" applyAlignment="1">
      <alignment horizontal="center" vertical="center"/>
    </xf>
    <xf numFmtId="0" fontId="2" fillId="0" borderId="8" xfId="0" applyFont="1" applyBorder="1"/>
    <xf numFmtId="0" fontId="11" fillId="0" borderId="3" xfId="0" applyFont="1" applyBorder="1"/>
    <xf numFmtId="0" fontId="3" fillId="0" borderId="3" xfId="0" applyFont="1" applyBorder="1"/>
    <xf numFmtId="166" fontId="11" fillId="0" borderId="7" xfId="0" applyNumberFormat="1" applyFont="1" applyBorder="1"/>
    <xf numFmtId="0" fontId="21" fillId="0" borderId="3" xfId="0" applyFont="1" applyBorder="1"/>
    <xf numFmtId="166" fontId="12" fillId="0" borderId="3" xfId="0" applyNumberFormat="1" applyFont="1" applyBorder="1" applyAlignment="1">
      <alignment horizontal="right"/>
    </xf>
    <xf numFmtId="0" fontId="54" fillId="0" borderId="3" xfId="0" applyFont="1" applyBorder="1"/>
    <xf numFmtId="6" fontId="25" fillId="0" borderId="3" xfId="0" applyNumberFormat="1" applyFont="1" applyBorder="1"/>
    <xf numFmtId="0" fontId="12" fillId="8" borderId="3" xfId="0" applyFont="1" applyFill="1" applyBorder="1"/>
    <xf numFmtId="0" fontId="12" fillId="8" borderId="14" xfId="0" applyFont="1" applyFill="1" applyBorder="1"/>
    <xf numFmtId="0" fontId="2" fillId="8" borderId="6" xfId="0" applyFont="1" applyFill="1" applyBorder="1"/>
    <xf numFmtId="166" fontId="2" fillId="8" borderId="13" xfId="0" applyNumberFormat="1" applyFont="1" applyFill="1" applyBorder="1" applyAlignment="1">
      <alignment horizontal="right"/>
    </xf>
    <xf numFmtId="166" fontId="2" fillId="8" borderId="14" xfId="0" applyNumberFormat="1" applyFont="1" applyFill="1" applyBorder="1"/>
    <xf numFmtId="9" fontId="21" fillId="8" borderId="7" xfId="0" applyNumberFormat="1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 wrapText="1"/>
    </xf>
    <xf numFmtId="9" fontId="2" fillId="8" borderId="6" xfId="0" applyNumberFormat="1" applyFont="1" applyFill="1" applyBorder="1" applyAlignment="1">
      <alignment horizontal="center" vertical="top"/>
    </xf>
    <xf numFmtId="42" fontId="2" fillId="0" borderId="3" xfId="0" applyNumberFormat="1" applyFont="1" applyBorder="1"/>
    <xf numFmtId="9" fontId="2" fillId="0" borderId="6" xfId="0" applyNumberFormat="1" applyFont="1" applyBorder="1" applyAlignment="1">
      <alignment horizontal="center"/>
    </xf>
    <xf numFmtId="166" fontId="2" fillId="0" borderId="7" xfId="0" applyNumberFormat="1" applyFont="1" applyBorder="1"/>
    <xf numFmtId="0" fontId="5" fillId="0" borderId="8" xfId="0" applyFont="1" applyBorder="1"/>
    <xf numFmtId="9" fontId="2" fillId="0" borderId="6" xfId="0" applyNumberFormat="1" applyFont="1" applyBorder="1" applyAlignment="1">
      <alignment horizontal="center" vertical="top"/>
    </xf>
    <xf numFmtId="166" fontId="2" fillId="0" borderId="14" xfId="0" applyNumberFormat="1" applyFont="1" applyBorder="1"/>
    <xf numFmtId="9" fontId="21" fillId="0" borderId="7" xfId="0" applyNumberFormat="1" applyFont="1" applyBorder="1" applyAlignment="1">
      <alignment horizontal="center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52" fillId="0" borderId="3" xfId="0" applyFont="1" applyBorder="1"/>
    <xf numFmtId="42" fontId="51" fillId="0" borderId="3" xfId="0" applyNumberFormat="1" applyFont="1" applyBorder="1"/>
    <xf numFmtId="0" fontId="79" fillId="0" borderId="0" xfId="0" applyFont="1"/>
    <xf numFmtId="166" fontId="31" fillId="0" borderId="0" xfId="0" applyNumberFormat="1" applyFont="1"/>
    <xf numFmtId="0" fontId="31" fillId="0" borderId="0" xfId="0" applyFont="1"/>
    <xf numFmtId="6" fontId="11" fillId="0" borderId="0" xfId="0" applyNumberFormat="1" applyFont="1"/>
    <xf numFmtId="0" fontId="79" fillId="0" borderId="0" xfId="0" applyFont="1" applyAlignment="1">
      <alignment wrapText="1"/>
    </xf>
    <xf numFmtId="0" fontId="11" fillId="0" borderId="0" xfId="0" applyFont="1"/>
    <xf numFmtId="0" fontId="21" fillId="8" borderId="4" xfId="0" applyFont="1" applyFill="1" applyBorder="1"/>
    <xf numFmtId="166" fontId="2" fillId="8" borderId="3" xfId="0" applyNumberFormat="1" applyFont="1" applyFill="1" applyBorder="1" applyAlignment="1">
      <alignment horizontal="center"/>
    </xf>
    <xf numFmtId="166" fontId="2" fillId="9" borderId="3" xfId="0" applyNumberFormat="1" applyFont="1" applyFill="1" applyBorder="1" applyAlignment="1">
      <alignment horizontal="center"/>
    </xf>
    <xf numFmtId="0" fontId="51" fillId="9" borderId="7" xfId="0" applyFont="1" applyFill="1" applyBorder="1" applyAlignment="1">
      <alignment wrapText="1"/>
    </xf>
    <xf numFmtId="9" fontId="21" fillId="8" borderId="6" xfId="0" applyNumberFormat="1" applyFont="1" applyFill="1" applyBorder="1" applyAlignment="1">
      <alignment horizontal="center" vertical="top"/>
    </xf>
    <xf numFmtId="0" fontId="51" fillId="8" borderId="3" xfId="0" applyFont="1" applyFill="1" applyBorder="1" applyAlignment="1">
      <alignment horizontal="center"/>
    </xf>
    <xf numFmtId="0" fontId="2" fillId="26" borderId="8" xfId="0" applyFont="1" applyFill="1" applyBorder="1" applyAlignment="1">
      <alignment horizontal="center"/>
    </xf>
    <xf numFmtId="166" fontId="2" fillId="4" borderId="3" xfId="0" applyNumberFormat="1" applyFont="1" applyFill="1" applyBorder="1" applyAlignment="1">
      <alignment horizontal="right"/>
    </xf>
    <xf numFmtId="0" fontId="71" fillId="8" borderId="0" xfId="0" applyFont="1" applyFill="1" applyAlignment="1">
      <alignment horizontal="center"/>
    </xf>
    <xf numFmtId="0" fontId="71" fillId="8" borderId="12" xfId="0" applyFont="1" applyFill="1" applyBorder="1" applyAlignment="1">
      <alignment horizontal="center"/>
    </xf>
    <xf numFmtId="9" fontId="2" fillId="10" borderId="6" xfId="0" applyNumberFormat="1" applyFont="1" applyFill="1" applyBorder="1" applyAlignment="1">
      <alignment horizontal="center"/>
    </xf>
    <xf numFmtId="166" fontId="2" fillId="10" borderId="7" xfId="0" applyNumberFormat="1" applyFont="1" applyFill="1" applyBorder="1"/>
    <xf numFmtId="0" fontId="5" fillId="8" borderId="0" xfId="0" applyFont="1" applyFill="1" applyAlignment="1">
      <alignment horizontal="center"/>
    </xf>
    <xf numFmtId="0" fontId="5" fillId="8" borderId="12" xfId="0" applyFont="1" applyFill="1" applyBorder="1" applyAlignment="1">
      <alignment horizontal="center"/>
    </xf>
    <xf numFmtId="0" fontId="12" fillId="0" borderId="3" xfId="0" applyFont="1" applyBorder="1"/>
    <xf numFmtId="0" fontId="12" fillId="0" borderId="14" xfId="0" applyFont="1" applyBorder="1"/>
    <xf numFmtId="9" fontId="2" fillId="0" borderId="5" xfId="0" applyNumberFormat="1" applyFont="1" applyBorder="1" applyAlignment="1">
      <alignment horizontal="center"/>
    </xf>
    <xf numFmtId="166" fontId="2" fillId="0" borderId="4" xfId="0" applyNumberFormat="1" applyFont="1" applyBorder="1"/>
    <xf numFmtId="0" fontId="2" fillId="0" borderId="6" xfId="0" applyFont="1" applyBorder="1"/>
    <xf numFmtId="166" fontId="2" fillId="0" borderId="13" xfId="0" applyNumberFormat="1" applyFont="1" applyBorder="1" applyAlignment="1">
      <alignment horizontal="right"/>
    </xf>
    <xf numFmtId="0" fontId="5" fillId="0" borderId="3" xfId="0" applyFont="1" applyBorder="1"/>
    <xf numFmtId="0" fontId="2" fillId="0" borderId="0" xfId="0" applyFont="1" applyAlignment="1">
      <alignment horizontal="center" vertical="center"/>
    </xf>
    <xf numFmtId="9" fontId="2" fillId="0" borderId="0" xfId="0" applyNumberFormat="1" applyFont="1" applyAlignment="1">
      <alignment horizontal="center"/>
    </xf>
    <xf numFmtId="0" fontId="5" fillId="0" borderId="0" xfId="0" applyFont="1"/>
    <xf numFmtId="166" fontId="2" fillId="0" borderId="0" xfId="0" applyNumberFormat="1" applyFont="1"/>
    <xf numFmtId="166" fontId="39" fillId="0" borderId="3" xfId="0" applyNumberFormat="1" applyFont="1" applyBorder="1"/>
    <xf numFmtId="166" fontId="2" fillId="8" borderId="7" xfId="0" applyNumberFormat="1" applyFont="1" applyFill="1" applyBorder="1" applyAlignment="1">
      <alignment horizontal="right"/>
    </xf>
    <xf numFmtId="6" fontId="81" fillId="8" borderId="3" xfId="0" applyNumberFormat="1" applyFont="1" applyFill="1" applyBorder="1"/>
    <xf numFmtId="0" fontId="5" fillId="0" borderId="0" xfId="0" applyFont="1" applyAlignment="1">
      <alignment horizontal="center"/>
    </xf>
    <xf numFmtId="42" fontId="2" fillId="4" borderId="3" xfId="0" applyNumberFormat="1" applyFont="1" applyFill="1" applyBorder="1"/>
    <xf numFmtId="166" fontId="7" fillId="8" borderId="7" xfId="0" applyNumberFormat="1" applyFont="1" applyFill="1" applyBorder="1" applyAlignment="1">
      <alignment horizontal="right"/>
    </xf>
    <xf numFmtId="42" fontId="2" fillId="8" borderId="8" xfId="0" applyNumberFormat="1" applyFont="1" applyFill="1" applyBorder="1"/>
    <xf numFmtId="0" fontId="59" fillId="9" borderId="8" xfId="0" applyFont="1" applyFill="1" applyBorder="1"/>
    <xf numFmtId="42" fontId="57" fillId="9" borderId="8" xfId="0" applyNumberFormat="1" applyFont="1" applyFill="1" applyBorder="1"/>
    <xf numFmtId="0" fontId="57" fillId="9" borderId="8" xfId="0" applyFont="1" applyFill="1" applyBorder="1"/>
    <xf numFmtId="42" fontId="2" fillId="8" borderId="10" xfId="0" applyNumberFormat="1" applyFont="1" applyFill="1" applyBorder="1"/>
    <xf numFmtId="0" fontId="2" fillId="0" borderId="0" xfId="0" applyFont="1"/>
    <xf numFmtId="166" fontId="2" fillId="0" borderId="0" xfId="0" applyNumberFormat="1" applyFont="1" applyAlignment="1">
      <alignment horizontal="right"/>
    </xf>
    <xf numFmtId="0" fontId="25" fillId="4" borderId="3" xfId="0" applyFont="1" applyFill="1" applyBorder="1" applyAlignment="1">
      <alignment horizontal="right"/>
    </xf>
    <xf numFmtId="166" fontId="25" fillId="4" borderId="3" xfId="0" applyNumberFormat="1" applyFont="1" applyFill="1" applyBorder="1" applyAlignment="1">
      <alignment horizontal="right"/>
    </xf>
    <xf numFmtId="9" fontId="2" fillId="8" borderId="7" xfId="0" applyNumberFormat="1" applyFont="1" applyFill="1" applyBorder="1" applyAlignment="1">
      <alignment horizontal="center"/>
    </xf>
    <xf numFmtId="9" fontId="86" fillId="8" borderId="3" xfId="0" applyNumberFormat="1" applyFont="1" applyFill="1" applyBorder="1" applyAlignment="1">
      <alignment horizontal="center"/>
    </xf>
    <xf numFmtId="9" fontId="87" fillId="8" borderId="3" xfId="0" applyNumberFormat="1" applyFont="1" applyFill="1" applyBorder="1" applyAlignment="1">
      <alignment horizontal="center"/>
    </xf>
    <xf numFmtId="0" fontId="71" fillId="8" borderId="3" xfId="0" applyFont="1" applyFill="1" applyBorder="1" applyAlignment="1">
      <alignment horizontal="center"/>
    </xf>
    <xf numFmtId="9" fontId="2" fillId="8" borderId="7" xfId="0" applyNumberFormat="1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/>
    </xf>
    <xf numFmtId="42" fontId="7" fillId="27" borderId="3" xfId="0" applyNumberFormat="1" applyFont="1" applyFill="1" applyBorder="1"/>
    <xf numFmtId="166" fontId="2" fillId="27" borderId="3" xfId="0" applyNumberFormat="1" applyFont="1" applyFill="1" applyBorder="1" applyAlignment="1">
      <alignment horizontal="right" vertical="center"/>
    </xf>
    <xf numFmtId="166" fontId="2" fillId="27" borderId="3" xfId="0" applyNumberFormat="1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6" fillId="4" borderId="0" xfId="0" applyFont="1" applyFill="1"/>
    <xf numFmtId="0" fontId="41" fillId="4" borderId="0" xfId="0" applyFont="1" applyFill="1"/>
    <xf numFmtId="166" fontId="31" fillId="13" borderId="3" xfId="0" applyNumberFormat="1" applyFont="1" applyFill="1" applyBorder="1"/>
    <xf numFmtId="0" fontId="51" fillId="0" borderId="3" xfId="0" applyFont="1" applyBorder="1" applyAlignment="1">
      <alignment horizontal="center" vertical="top"/>
    </xf>
    <xf numFmtId="0" fontId="51" fillId="0" borderId="3" xfId="0" applyFont="1" applyBorder="1" applyAlignment="1">
      <alignment horizontal="center"/>
    </xf>
    <xf numFmtId="0" fontId="51" fillId="0" borderId="3" xfId="0" applyFont="1" applyBorder="1" applyAlignment="1">
      <alignment horizontal="center" vertical="center"/>
    </xf>
    <xf numFmtId="0" fontId="51" fillId="0" borderId="3" xfId="0" applyFont="1" applyBorder="1" applyAlignment="1">
      <alignment horizontal="center" wrapText="1"/>
    </xf>
    <xf numFmtId="0" fontId="2" fillId="8" borderId="12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/>
    </xf>
    <xf numFmtId="0" fontId="64" fillId="8" borderId="3" xfId="0" applyFont="1" applyFill="1" applyBorder="1" applyAlignment="1">
      <alignment horizontal="center"/>
    </xf>
    <xf numFmtId="0" fontId="5" fillId="10" borderId="0" xfId="0" applyFont="1" applyFill="1"/>
    <xf numFmtId="0" fontId="5" fillId="0" borderId="4" xfId="0" applyFont="1" applyBorder="1"/>
    <xf numFmtId="9" fontId="87" fillId="0" borderId="3" xfId="0" applyNumberFormat="1" applyFont="1" applyBorder="1" applyAlignment="1">
      <alignment horizontal="center"/>
    </xf>
    <xf numFmtId="9" fontId="2" fillId="0" borderId="4" xfId="0" applyNumberFormat="1" applyFont="1" applyBorder="1" applyAlignment="1">
      <alignment horizontal="center"/>
    </xf>
    <xf numFmtId="0" fontId="5" fillId="26" borderId="8" xfId="0" applyFont="1" applyFill="1" applyBorder="1" applyAlignment="1">
      <alignment horizontal="center"/>
    </xf>
    <xf numFmtId="9" fontId="11" fillId="26" borderId="7" xfId="0" applyNumberFormat="1" applyFont="1" applyFill="1" applyBorder="1" applyAlignment="1">
      <alignment horizontal="center"/>
    </xf>
    <xf numFmtId="9" fontId="29" fillId="26" borderId="7" xfId="0" applyNumberFormat="1" applyFont="1" applyFill="1" applyBorder="1" applyAlignment="1">
      <alignment horizontal="center"/>
    </xf>
    <xf numFmtId="6" fontId="2" fillId="27" borderId="8" xfId="0" applyNumberFormat="1" applyFont="1" applyFill="1" applyBorder="1"/>
    <xf numFmtId="42" fontId="2" fillId="27" borderId="8" xfId="0" applyNumberFormat="1" applyFont="1" applyFill="1" applyBorder="1"/>
    <xf numFmtId="0" fontId="2" fillId="8" borderId="4" xfId="0" applyFont="1" applyFill="1" applyBorder="1" applyAlignment="1">
      <alignment horizontal="center" vertical="center"/>
    </xf>
    <xf numFmtId="0" fontId="52" fillId="8" borderId="8" xfId="0" applyFont="1" applyFill="1" applyBorder="1"/>
    <xf numFmtId="9" fontId="29" fillId="26" borderId="3" xfId="0" applyNumberFormat="1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12" fillId="0" borderId="8" xfId="0" applyFont="1" applyBorder="1"/>
    <xf numFmtId="6" fontId="12" fillId="0" borderId="3" xfId="0" applyNumberFormat="1" applyFont="1" applyBorder="1"/>
    <xf numFmtId="9" fontId="12" fillId="0" borderId="3" xfId="0" applyNumberFormat="1" applyFont="1" applyBorder="1" applyAlignment="1">
      <alignment horizontal="center"/>
    </xf>
    <xf numFmtId="166" fontId="2" fillId="0" borderId="3" xfId="0" applyNumberFormat="1" applyFont="1" applyBorder="1" applyAlignment="1">
      <alignment horizontal="center"/>
    </xf>
    <xf numFmtId="166" fontId="7" fillId="0" borderId="7" xfId="0" applyNumberFormat="1" applyFont="1" applyBorder="1"/>
    <xf numFmtId="9" fontId="29" fillId="0" borderId="3" xfId="0" applyNumberFormat="1" applyFont="1" applyBorder="1" applyAlignment="1">
      <alignment horizontal="center"/>
    </xf>
    <xf numFmtId="42" fontId="34" fillId="0" borderId="7" xfId="0" applyNumberFormat="1" applyFont="1" applyBorder="1"/>
    <xf numFmtId="166" fontId="2" fillId="0" borderId="6" xfId="0" applyNumberFormat="1" applyFont="1" applyBorder="1"/>
    <xf numFmtId="42" fontId="21" fillId="0" borderId="3" xfId="0" applyNumberFormat="1" applyFont="1" applyBorder="1" applyAlignment="1">
      <alignment horizontal="center"/>
    </xf>
    <xf numFmtId="9" fontId="21" fillId="0" borderId="6" xfId="0" applyNumberFormat="1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6" fontId="11" fillId="0" borderId="7" xfId="0" applyNumberFormat="1" applyFont="1" applyBorder="1"/>
    <xf numFmtId="9" fontId="11" fillId="0" borderId="7" xfId="0" applyNumberFormat="1" applyFont="1" applyBorder="1" applyAlignment="1">
      <alignment horizontal="center"/>
    </xf>
    <xf numFmtId="42" fontId="7" fillId="0" borderId="7" xfId="0" applyNumberFormat="1" applyFont="1" applyBorder="1"/>
    <xf numFmtId="9" fontId="21" fillId="0" borderId="6" xfId="0" applyNumberFormat="1" applyFont="1" applyBorder="1" applyAlignment="1">
      <alignment horizontal="center" vertical="center"/>
    </xf>
    <xf numFmtId="42" fontId="19" fillId="0" borderId="3" xfId="0" applyNumberFormat="1" applyFont="1" applyBorder="1" applyAlignment="1">
      <alignment horizontal="center"/>
    </xf>
    <xf numFmtId="0" fontId="2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/>
    </xf>
    <xf numFmtId="0" fontId="5" fillId="0" borderId="12" xfId="0" applyFont="1" applyBorder="1"/>
    <xf numFmtId="9" fontId="70" fillId="0" borderId="6" xfId="0" applyNumberFormat="1" applyFont="1" applyBorder="1" applyAlignment="1">
      <alignment horizontal="center" vertical="top"/>
    </xf>
    <xf numFmtId="0" fontId="51" fillId="0" borderId="4" xfId="0" applyFont="1" applyBorder="1"/>
    <xf numFmtId="42" fontId="19" fillId="0" borderId="14" xfId="0" applyNumberFormat="1" applyFont="1" applyBorder="1"/>
    <xf numFmtId="9" fontId="66" fillId="0" borderId="4" xfId="0" applyNumberFormat="1" applyFont="1" applyBorder="1" applyAlignment="1">
      <alignment horizontal="center" vertical="center"/>
    </xf>
    <xf numFmtId="42" fontId="51" fillId="0" borderId="4" xfId="0" applyNumberFormat="1" applyFont="1" applyBorder="1"/>
    <xf numFmtId="0" fontId="51" fillId="0" borderId="3" xfId="0" applyFont="1" applyBorder="1" applyAlignment="1">
      <alignment wrapText="1"/>
    </xf>
    <xf numFmtId="0" fontId="51" fillId="0" borderId="7" xfId="0" applyFont="1" applyBorder="1" applyAlignment="1">
      <alignment wrapText="1"/>
    </xf>
    <xf numFmtId="0" fontId="2" fillId="0" borderId="4" xfId="0" applyFont="1" applyBorder="1" applyAlignment="1">
      <alignment horizontal="center" vertical="center"/>
    </xf>
    <xf numFmtId="0" fontId="52" fillId="0" borderId="6" xfId="0" applyFont="1" applyBorder="1"/>
    <xf numFmtId="0" fontId="5" fillId="0" borderId="3" xfId="0" applyFont="1" applyBorder="1" applyAlignment="1">
      <alignment horizontal="center"/>
    </xf>
    <xf numFmtId="166" fontId="2" fillId="0" borderId="7" xfId="0" applyNumberFormat="1" applyFont="1" applyBorder="1" applyAlignment="1">
      <alignment horizontal="right"/>
    </xf>
    <xf numFmtId="0" fontId="52" fillId="0" borderId="8" xfId="0" applyFont="1" applyBorder="1"/>
    <xf numFmtId="0" fontId="2" fillId="4" borderId="3" xfId="0" applyFont="1" applyFill="1" applyBorder="1" applyAlignment="1">
      <alignment horizontal="center" vertical="center"/>
    </xf>
    <xf numFmtId="9" fontId="2" fillId="4" borderId="6" xfId="0" applyNumberFormat="1" applyFont="1" applyFill="1" applyBorder="1" applyAlignment="1">
      <alignment horizontal="center"/>
    </xf>
    <xf numFmtId="0" fontId="5" fillId="4" borderId="8" xfId="0" applyFont="1" applyFill="1" applyBorder="1"/>
    <xf numFmtId="166" fontId="2" fillId="4" borderId="7" xfId="0" applyNumberFormat="1" applyFont="1" applyFill="1" applyBorder="1"/>
    <xf numFmtId="0" fontId="2" fillId="4" borderId="3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6" fontId="12" fillId="0" borderId="7" xfId="0" applyNumberFormat="1" applyFont="1" applyBorder="1"/>
    <xf numFmtId="9" fontId="2" fillId="10" borderId="6" xfId="0" applyNumberFormat="1" applyFont="1" applyFill="1" applyBorder="1" applyAlignment="1">
      <alignment horizontal="center" vertical="top"/>
    </xf>
    <xf numFmtId="166" fontId="2" fillId="10" borderId="14" xfId="0" applyNumberFormat="1" applyFont="1" applyFill="1" applyBorder="1"/>
    <xf numFmtId="0" fontId="2" fillId="10" borderId="3" xfId="0" applyFont="1" applyFill="1" applyBorder="1" applyAlignment="1">
      <alignment horizontal="center" wrapText="1"/>
    </xf>
    <xf numFmtId="0" fontId="51" fillId="10" borderId="3" xfId="0" applyFont="1" applyFill="1" applyBorder="1" applyAlignment="1">
      <alignment horizontal="center"/>
    </xf>
    <xf numFmtId="0" fontId="2" fillId="8" borderId="0" xfId="0" applyFont="1" applyFill="1" applyAlignment="1">
      <alignment horizontal="center"/>
    </xf>
    <xf numFmtId="0" fontId="2" fillId="8" borderId="12" xfId="0" applyFont="1" applyFill="1" applyBorder="1" applyAlignment="1">
      <alignment horizontal="center"/>
    </xf>
    <xf numFmtId="9" fontId="29" fillId="0" borderId="6" xfId="0" applyNumberFormat="1" applyFont="1" applyBorder="1" applyAlignment="1">
      <alignment horizontal="center"/>
    </xf>
    <xf numFmtId="0" fontId="2" fillId="8" borderId="6" xfId="0" applyFont="1" applyFill="1" applyBorder="1" applyAlignment="1">
      <alignment horizontal="center" vertical="center"/>
    </xf>
    <xf numFmtId="9" fontId="2" fillId="4" borderId="11" xfId="0" applyNumberFormat="1" applyFont="1" applyFill="1" applyBorder="1" applyAlignment="1">
      <alignment horizontal="center"/>
    </xf>
    <xf numFmtId="166" fontId="2" fillId="4" borderId="9" xfId="0" applyNumberFormat="1" applyFont="1" applyFill="1" applyBorder="1"/>
    <xf numFmtId="0" fontId="5" fillId="8" borderId="10" xfId="0" applyFont="1" applyFill="1" applyBorder="1"/>
    <xf numFmtId="0" fontId="2" fillId="0" borderId="1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10" xfId="0" applyFont="1" applyBorder="1"/>
    <xf numFmtId="0" fontId="2" fillId="0" borderId="6" xfId="0" applyFont="1" applyBorder="1" applyAlignment="1">
      <alignment horizontal="center" vertical="center"/>
    </xf>
    <xf numFmtId="9" fontId="2" fillId="0" borderId="7" xfId="0" applyNumberFormat="1" applyFont="1" applyBorder="1" applyAlignment="1">
      <alignment horizontal="center"/>
    </xf>
    <xf numFmtId="9" fontId="2" fillId="0" borderId="11" xfId="0" applyNumberFormat="1" applyFont="1" applyBorder="1" applyAlignment="1">
      <alignment horizontal="center"/>
    </xf>
    <xf numFmtId="166" fontId="2" fillId="0" borderId="9" xfId="0" applyNumberFormat="1" applyFont="1" applyBorder="1"/>
    <xf numFmtId="0" fontId="2" fillId="4" borderId="12" xfId="0" applyFont="1" applyFill="1" applyBorder="1" applyAlignment="1">
      <alignment horizontal="center" vertical="center"/>
    </xf>
    <xf numFmtId="9" fontId="21" fillId="4" borderId="3" xfId="0" applyNumberFormat="1" applyFont="1" applyFill="1" applyBorder="1" applyAlignment="1">
      <alignment horizontal="center" vertical="center"/>
    </xf>
    <xf numFmtId="9" fontId="2" fillId="0" borderId="6" xfId="0" applyNumberFormat="1" applyFont="1" applyBorder="1" applyAlignment="1">
      <alignment horizontal="center" vertical="center"/>
    </xf>
    <xf numFmtId="0" fontId="5" fillId="8" borderId="8" xfId="0" applyFont="1" applyFill="1" applyBorder="1" applyAlignment="1">
      <alignment horizontal="center"/>
    </xf>
    <xf numFmtId="9" fontId="11" fillId="8" borderId="7" xfId="0" applyNumberFormat="1" applyFont="1" applyFill="1" applyBorder="1" applyAlignment="1">
      <alignment horizontal="center"/>
    </xf>
    <xf numFmtId="166" fontId="2" fillId="8" borderId="3" xfId="0" applyNumberFormat="1" applyFont="1" applyFill="1" applyBorder="1" applyAlignment="1">
      <alignment horizontal="right" vertical="center"/>
    </xf>
    <xf numFmtId="0" fontId="51" fillId="0" borderId="8" xfId="0" applyFont="1" applyBorder="1"/>
    <xf numFmtId="42" fontId="19" fillId="0" borderId="8" xfId="0" applyNumberFormat="1" applyFont="1" applyBorder="1"/>
    <xf numFmtId="9" fontId="66" fillId="0" borderId="8" xfId="0" applyNumberFormat="1" applyFont="1" applyBorder="1" applyAlignment="1">
      <alignment horizontal="center" vertical="center"/>
    </xf>
    <xf numFmtId="42" fontId="51" fillId="0" borderId="8" xfId="0" applyNumberFormat="1" applyFont="1" applyBorder="1"/>
    <xf numFmtId="0" fontId="52" fillId="8" borderId="9" xfId="0" applyFont="1" applyFill="1" applyBorder="1"/>
    <xf numFmtId="0" fontId="2" fillId="16" borderId="3" xfId="0" applyFont="1" applyFill="1" applyBorder="1" applyAlignment="1">
      <alignment horizontal="center" vertical="center"/>
    </xf>
    <xf numFmtId="9" fontId="2" fillId="16" borderId="6" xfId="0" applyNumberFormat="1" applyFont="1" applyFill="1" applyBorder="1" applyAlignment="1">
      <alignment horizontal="center"/>
    </xf>
    <xf numFmtId="0" fontId="5" fillId="16" borderId="8" xfId="0" applyFont="1" applyFill="1" applyBorder="1"/>
    <xf numFmtId="166" fontId="2" fillId="16" borderId="7" xfId="0" applyNumberFormat="1" applyFont="1" applyFill="1" applyBorder="1"/>
    <xf numFmtId="9" fontId="2" fillId="16" borderId="3" xfId="0" applyNumberFormat="1" applyFont="1" applyFill="1" applyBorder="1" applyAlignment="1">
      <alignment horizontal="center"/>
    </xf>
    <xf numFmtId="166" fontId="2" fillId="16" borderId="3" xfId="0" applyNumberFormat="1" applyFont="1" applyFill="1" applyBorder="1"/>
    <xf numFmtId="0" fontId="2" fillId="16" borderId="3" xfId="0" applyFont="1" applyFill="1" applyBorder="1" applyAlignment="1">
      <alignment horizontal="center"/>
    </xf>
    <xf numFmtId="0" fontId="7" fillId="16" borderId="3" xfId="0" applyFont="1" applyFill="1" applyBorder="1" applyAlignment="1">
      <alignment horizontal="center"/>
    </xf>
    <xf numFmtId="9" fontId="2" fillId="16" borderId="3" xfId="0" applyNumberFormat="1" applyFont="1" applyFill="1" applyBorder="1" applyAlignment="1">
      <alignment horizontal="center" vertical="center"/>
    </xf>
    <xf numFmtId="0" fontId="2" fillId="16" borderId="3" xfId="0" applyFont="1" applyFill="1" applyBorder="1"/>
    <xf numFmtId="166" fontId="2" fillId="16" borderId="3" xfId="0" applyNumberFormat="1" applyFont="1" applyFill="1" applyBorder="1" applyAlignment="1">
      <alignment horizontal="right"/>
    </xf>
    <xf numFmtId="0" fontId="6" fillId="0" borderId="0" xfId="0" applyFont="1"/>
    <xf numFmtId="0" fontId="88" fillId="9" borderId="10" xfId="0" applyFont="1" applyFill="1" applyBorder="1" applyAlignment="1">
      <alignment horizontal="center" vertical="center"/>
    </xf>
    <xf numFmtId="0" fontId="88" fillId="9" borderId="8" xfId="0" applyFont="1" applyFill="1" applyBorder="1" applyAlignment="1">
      <alignment horizontal="center" vertical="center"/>
    </xf>
    <xf numFmtId="164" fontId="33" fillId="2" borderId="3" xfId="0" applyNumberFormat="1" applyFont="1" applyFill="1" applyBorder="1" applyAlignment="1">
      <alignment horizontal="center"/>
    </xf>
    <xf numFmtId="0" fontId="25" fillId="4" borderId="6" xfId="0" applyFont="1" applyFill="1" applyBorder="1" applyAlignment="1">
      <alignment horizontal="center" vertical="center"/>
    </xf>
    <xf numFmtId="0" fontId="8" fillId="20" borderId="3" xfId="0" applyFont="1" applyFill="1" applyBorder="1" applyAlignment="1">
      <alignment horizontal="center"/>
    </xf>
    <xf numFmtId="0" fontId="8" fillId="20" borderId="4" xfId="0" applyFont="1" applyFill="1" applyBorder="1" applyAlignment="1">
      <alignment horizontal="center"/>
    </xf>
    <xf numFmtId="0" fontId="85" fillId="0" borderId="4" xfId="0" applyFont="1" applyBorder="1" applyAlignment="1">
      <alignment horizontal="center" vertical="center"/>
    </xf>
    <xf numFmtId="0" fontId="85" fillId="0" borderId="10" xfId="0" applyFont="1" applyBorder="1" applyAlignment="1">
      <alignment horizontal="center" vertical="center"/>
    </xf>
    <xf numFmtId="0" fontId="85" fillId="0" borderId="8" xfId="0" applyFont="1" applyBorder="1" applyAlignment="1">
      <alignment horizontal="center" vertical="center"/>
    </xf>
    <xf numFmtId="0" fontId="25" fillId="14" borderId="6" xfId="0" applyFont="1" applyFill="1" applyBorder="1" applyAlignment="1">
      <alignment horizontal="center" vertical="center"/>
    </xf>
    <xf numFmtId="0" fontId="25" fillId="14" borderId="13" xfId="0" applyFont="1" applyFill="1" applyBorder="1" applyAlignment="1">
      <alignment horizontal="center" vertical="center"/>
    </xf>
    <xf numFmtId="0" fontId="51" fillId="20" borderId="3" xfId="0" applyFont="1" applyFill="1" applyBorder="1" applyAlignment="1">
      <alignment horizontal="center"/>
    </xf>
    <xf numFmtId="0" fontId="85" fillId="9" borderId="10" xfId="0" applyFont="1" applyFill="1" applyBorder="1" applyAlignment="1">
      <alignment horizontal="center" vertical="center"/>
    </xf>
    <xf numFmtId="0" fontId="85" fillId="9" borderId="8" xfId="0" applyFont="1" applyFill="1" applyBorder="1" applyAlignment="1">
      <alignment horizontal="center" vertical="center"/>
    </xf>
    <xf numFmtId="0" fontId="25" fillId="4" borderId="13" xfId="0" applyFont="1" applyFill="1" applyBorder="1" applyAlignment="1">
      <alignment horizontal="center" vertical="center"/>
    </xf>
    <xf numFmtId="0" fontId="88" fillId="9" borderId="4" xfId="0" applyFont="1" applyFill="1" applyBorder="1" applyAlignment="1">
      <alignment horizontal="center" vertical="center"/>
    </xf>
    <xf numFmtId="0" fontId="85" fillId="9" borderId="4" xfId="0" applyFont="1" applyFill="1" applyBorder="1" applyAlignment="1">
      <alignment horizontal="center" vertical="center"/>
    </xf>
    <xf numFmtId="0" fontId="33" fillId="9" borderId="4" xfId="0" applyFont="1" applyFill="1" applyBorder="1" applyAlignment="1">
      <alignment horizontal="center" vertical="center"/>
    </xf>
    <xf numFmtId="0" fontId="33" fillId="9" borderId="10" xfId="0" applyFont="1" applyFill="1" applyBorder="1" applyAlignment="1">
      <alignment horizontal="center" vertical="center"/>
    </xf>
    <xf numFmtId="0" fontId="33" fillId="9" borderId="8" xfId="0" applyFont="1" applyFill="1" applyBorder="1" applyAlignment="1">
      <alignment horizontal="center" vertical="center"/>
    </xf>
    <xf numFmtId="0" fontId="33" fillId="9" borderId="1" xfId="0" applyFont="1" applyFill="1" applyBorder="1" applyAlignment="1">
      <alignment horizontal="center" vertical="center"/>
    </xf>
    <xf numFmtId="0" fontId="83" fillId="9" borderId="4" xfId="0" applyFont="1" applyFill="1" applyBorder="1" applyAlignment="1">
      <alignment horizontal="center" vertical="center"/>
    </xf>
    <xf numFmtId="0" fontId="83" fillId="9" borderId="10" xfId="0" applyFont="1" applyFill="1" applyBorder="1" applyAlignment="1">
      <alignment horizontal="center" vertical="center"/>
    </xf>
    <xf numFmtId="0" fontId="83" fillId="9" borderId="8" xfId="0" applyFont="1" applyFill="1" applyBorder="1" applyAlignment="1">
      <alignment horizontal="center" vertical="center"/>
    </xf>
    <xf numFmtId="0" fontId="82" fillId="9" borderId="4" xfId="0" applyFont="1" applyFill="1" applyBorder="1" applyAlignment="1">
      <alignment horizontal="center" vertical="center"/>
    </xf>
    <xf numFmtId="0" fontId="82" fillId="9" borderId="10" xfId="0" applyFont="1" applyFill="1" applyBorder="1" applyAlignment="1">
      <alignment horizontal="center" vertical="center"/>
    </xf>
    <xf numFmtId="0" fontId="82" fillId="9" borderId="8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/>
    </xf>
    <xf numFmtId="0" fontId="78" fillId="9" borderId="3" xfId="0" applyFont="1" applyFill="1" applyBorder="1" applyAlignment="1">
      <alignment horizontal="center" vertical="center" wrapText="1"/>
    </xf>
    <xf numFmtId="0" fontId="52" fillId="8" borderId="13" xfId="0" applyFont="1" applyFill="1" applyBorder="1" applyAlignment="1">
      <alignment horizontal="center"/>
    </xf>
    <xf numFmtId="0" fontId="52" fillId="10" borderId="13" xfId="0" applyFont="1" applyFill="1" applyBorder="1" applyAlignment="1">
      <alignment horizontal="center"/>
    </xf>
    <xf numFmtId="0" fontId="52" fillId="10" borderId="7" xfId="0" applyFont="1" applyFill="1" applyBorder="1" applyAlignment="1">
      <alignment horizontal="center"/>
    </xf>
    <xf numFmtId="0" fontId="52" fillId="19" borderId="13" xfId="0" applyFont="1" applyFill="1" applyBorder="1" applyAlignment="1">
      <alignment horizontal="center"/>
    </xf>
    <xf numFmtId="0" fontId="52" fillId="19" borderId="7" xfId="0" applyFont="1" applyFill="1" applyBorder="1" applyAlignment="1">
      <alignment horizontal="center"/>
    </xf>
    <xf numFmtId="0" fontId="51" fillId="19" borderId="6" xfId="0" applyFont="1" applyFill="1" applyBorder="1" applyAlignment="1">
      <alignment horizontal="center"/>
    </xf>
    <xf numFmtId="0" fontId="51" fillId="19" borderId="13" xfId="0" applyFont="1" applyFill="1" applyBorder="1" applyAlignment="1">
      <alignment horizontal="center"/>
    </xf>
    <xf numFmtId="0" fontId="12" fillId="19" borderId="3" xfId="0" applyFont="1" applyFill="1" applyBorder="1" applyAlignment="1">
      <alignment horizontal="center"/>
    </xf>
    <xf numFmtId="0" fontId="77" fillId="9" borderId="4" xfId="0" applyFont="1" applyFill="1" applyBorder="1" applyAlignment="1">
      <alignment horizontal="center" vertical="center"/>
    </xf>
    <xf numFmtId="0" fontId="77" fillId="9" borderId="10" xfId="0" applyFont="1" applyFill="1" applyBorder="1" applyAlignment="1">
      <alignment horizontal="center" vertical="center"/>
    </xf>
    <xf numFmtId="0" fontId="77" fillId="9" borderId="8" xfId="0" applyFont="1" applyFill="1" applyBorder="1" applyAlignment="1">
      <alignment horizontal="center" vertical="center"/>
    </xf>
    <xf numFmtId="0" fontId="8" fillId="19" borderId="3" xfId="0" applyFont="1" applyFill="1" applyBorder="1" applyAlignment="1">
      <alignment horizontal="center"/>
    </xf>
    <xf numFmtId="0" fontId="8" fillId="19" borderId="4" xfId="0" applyFont="1" applyFill="1" applyBorder="1" applyAlignment="1">
      <alignment horizontal="center"/>
    </xf>
    <xf numFmtId="0" fontId="74" fillId="9" borderId="4" xfId="0" applyFont="1" applyFill="1" applyBorder="1" applyAlignment="1">
      <alignment horizontal="center" vertical="center"/>
    </xf>
    <xf numFmtId="0" fontId="74" fillId="9" borderId="10" xfId="0" applyFont="1" applyFill="1" applyBorder="1" applyAlignment="1">
      <alignment horizontal="center" vertical="center"/>
    </xf>
    <xf numFmtId="0" fontId="74" fillId="9" borderId="8" xfId="0" applyFont="1" applyFill="1" applyBorder="1" applyAlignment="1">
      <alignment horizontal="center" vertical="center"/>
    </xf>
    <xf numFmtId="0" fontId="62" fillId="9" borderId="3" xfId="0" applyFont="1" applyFill="1" applyBorder="1" applyAlignment="1">
      <alignment horizontal="center" vertical="center" wrapText="1"/>
    </xf>
    <xf numFmtId="0" fontId="75" fillId="9" borderId="4" xfId="0" applyFont="1" applyFill="1" applyBorder="1" applyAlignment="1">
      <alignment horizontal="center" vertical="center"/>
    </xf>
    <xf numFmtId="0" fontId="75" fillId="9" borderId="10" xfId="0" applyFont="1" applyFill="1" applyBorder="1" applyAlignment="1">
      <alignment horizontal="center" vertical="center"/>
    </xf>
    <xf numFmtId="0" fontId="75" fillId="9" borderId="8" xfId="0" applyFont="1" applyFill="1" applyBorder="1" applyAlignment="1">
      <alignment horizontal="center" vertical="center"/>
    </xf>
    <xf numFmtId="167" fontId="50" fillId="19" borderId="11" xfId="0" applyNumberFormat="1" applyFont="1" applyFill="1" applyBorder="1" applyAlignment="1">
      <alignment horizontal="center"/>
    </xf>
    <xf numFmtId="0" fontId="60" fillId="9" borderId="10" xfId="0" applyFont="1" applyFill="1" applyBorder="1" applyAlignment="1">
      <alignment horizontal="center" vertical="center"/>
    </xf>
    <xf numFmtId="0" fontId="60" fillId="9" borderId="8" xfId="0" applyFont="1" applyFill="1" applyBorder="1" applyAlignment="1">
      <alignment horizontal="center" vertical="center"/>
    </xf>
    <xf numFmtId="0" fontId="62" fillId="9" borderId="3" xfId="0" applyFont="1" applyFill="1" applyBorder="1" applyAlignment="1">
      <alignment horizontal="center"/>
    </xf>
    <xf numFmtId="0" fontId="60" fillId="9" borderId="4" xfId="0" applyFont="1" applyFill="1" applyBorder="1" applyAlignment="1">
      <alignment horizontal="center" vertical="center"/>
    </xf>
    <xf numFmtId="0" fontId="19" fillId="4" borderId="3" xfId="0" applyFont="1" applyFill="1" applyBorder="1" applyAlignment="1">
      <alignment horizontal="center"/>
    </xf>
    <xf numFmtId="0" fontId="3" fillId="7" borderId="6" xfId="0" applyFont="1" applyFill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11" fillId="8" borderId="3" xfId="0" applyFont="1" applyFill="1" applyBorder="1" applyAlignment="1">
      <alignment horizontal="center"/>
    </xf>
    <xf numFmtId="0" fontId="11" fillId="13" borderId="3" xfId="0" applyFont="1" applyFill="1" applyBorder="1" applyAlignment="1">
      <alignment horizontal="center"/>
    </xf>
    <xf numFmtId="0" fontId="11" fillId="14" borderId="3" xfId="0" applyFont="1" applyFill="1" applyBorder="1" applyAlignment="1">
      <alignment horizontal="center"/>
    </xf>
    <xf numFmtId="0" fontId="11" fillId="15" borderId="3" xfId="0" applyFont="1" applyFill="1" applyBorder="1" applyAlignment="1">
      <alignment horizontal="center"/>
    </xf>
    <xf numFmtId="0" fontId="11" fillId="17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164" fontId="33" fillId="2" borderId="6" xfId="0" applyNumberFormat="1" applyFont="1" applyFill="1" applyBorder="1" applyAlignment="1">
      <alignment horizontal="center"/>
    </xf>
    <xf numFmtId="164" fontId="33" fillId="2" borderId="13" xfId="0" applyNumberFormat="1" applyFont="1" applyFill="1" applyBorder="1" applyAlignment="1">
      <alignment horizontal="center"/>
    </xf>
    <xf numFmtId="164" fontId="33" fillId="2" borderId="7" xfId="0" applyNumberFormat="1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2" fillId="3" borderId="3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164" fontId="1" fillId="2" borderId="6" xfId="0" applyNumberFormat="1" applyFont="1" applyFill="1" applyBorder="1" applyAlignment="1">
      <alignment horizontal="center"/>
    </xf>
    <xf numFmtId="164" fontId="1" fillId="2" borderId="13" xfId="0" applyNumberFormat="1" applyFont="1" applyFill="1" applyBorder="1" applyAlignment="1">
      <alignment horizontal="center"/>
    </xf>
    <xf numFmtId="164" fontId="1" fillId="2" borderId="7" xfId="0" applyNumberFormat="1" applyFont="1" applyFill="1" applyBorder="1" applyAlignment="1">
      <alignment horizontal="center"/>
    </xf>
    <xf numFmtId="0" fontId="20" fillId="4" borderId="3" xfId="0" applyFont="1" applyFill="1" applyBorder="1" applyAlignment="1">
      <alignment horizontal="center"/>
    </xf>
    <xf numFmtId="42" fontId="7" fillId="21" borderId="6" xfId="0" applyNumberFormat="1" applyFont="1" applyFill="1" applyBorder="1" applyAlignment="1">
      <alignment horizontal="center"/>
    </xf>
    <xf numFmtId="42" fontId="7" fillId="21" borderId="7" xfId="0" applyNumberFormat="1" applyFont="1" applyFill="1" applyBorder="1" applyAlignment="1">
      <alignment horizontal="center"/>
    </xf>
    <xf numFmtId="0" fontId="16" fillId="2" borderId="5" xfId="0" applyFont="1" applyFill="1" applyBorder="1" applyAlignment="1">
      <alignment horizontal="center" vertical="center"/>
    </xf>
    <xf numFmtId="0" fontId="16" fillId="2" borderId="15" xfId="0" applyFont="1" applyFill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/>
    </xf>
    <xf numFmtId="0" fontId="16" fillId="2" borderId="12" xfId="0" applyFont="1" applyFill="1" applyBorder="1" applyAlignment="1">
      <alignment horizontal="center" vertical="center"/>
    </xf>
    <xf numFmtId="0" fontId="1" fillId="24" borderId="5" xfId="0" applyFont="1" applyFill="1" applyBorder="1" applyAlignment="1">
      <alignment horizontal="center"/>
    </xf>
    <xf numFmtId="0" fontId="1" fillId="24" borderId="15" xfId="0" applyFont="1" applyFill="1" applyBorder="1" applyAlignment="1">
      <alignment horizontal="center"/>
    </xf>
    <xf numFmtId="0" fontId="1" fillId="24" borderId="1" xfId="0" applyFont="1" applyFill="1" applyBorder="1" applyAlignment="1">
      <alignment horizontal="center"/>
    </xf>
    <xf numFmtId="0" fontId="1" fillId="24" borderId="0" xfId="0" applyFont="1" applyFill="1" applyAlignment="1">
      <alignment horizontal="center"/>
    </xf>
    <xf numFmtId="0" fontId="16" fillId="2" borderId="14" xfId="0" applyFont="1" applyFill="1" applyBorder="1" applyAlignment="1">
      <alignment horizontal="center" vertical="center"/>
    </xf>
    <xf numFmtId="0" fontId="16" fillId="2" borderId="9" xfId="0" applyFont="1" applyFill="1" applyBorder="1" applyAlignment="1">
      <alignment horizontal="center" vertical="center"/>
    </xf>
    <xf numFmtId="0" fontId="19" fillId="18" borderId="3" xfId="0" applyFont="1" applyFill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18" borderId="13" xfId="0" applyFont="1" applyFill="1" applyBorder="1" applyAlignment="1">
      <alignment horizontal="center"/>
    </xf>
    <xf numFmtId="0" fontId="19" fillId="18" borderId="7" xfId="0" applyFont="1" applyFill="1" applyBorder="1" applyAlignment="1">
      <alignment horizontal="center"/>
    </xf>
    <xf numFmtId="0" fontId="63" fillId="19" borderId="3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/>
    </xf>
    <xf numFmtId="0" fontId="16" fillId="2" borderId="15" xfId="0" applyFont="1" applyFill="1" applyBorder="1" applyAlignment="1">
      <alignment horizontal="center"/>
    </xf>
    <xf numFmtId="0" fontId="16" fillId="2" borderId="0" xfId="0" applyFont="1" applyFill="1" applyAlignment="1">
      <alignment horizontal="center"/>
    </xf>
    <xf numFmtId="0" fontId="16" fillId="2" borderId="1" xfId="0" applyFont="1" applyFill="1" applyBorder="1" applyAlignment="1">
      <alignment horizontal="center"/>
    </xf>
    <xf numFmtId="0" fontId="16" fillId="2" borderId="3" xfId="0" applyFont="1" applyFill="1" applyBorder="1" applyAlignment="1">
      <alignment horizontal="center"/>
    </xf>
    <xf numFmtId="0" fontId="16" fillId="2" borderId="4" xfId="0" applyFont="1" applyFill="1" applyBorder="1" applyAlignment="1">
      <alignment horizontal="center"/>
    </xf>
    <xf numFmtId="0" fontId="48" fillId="4" borderId="3" xfId="0" applyFont="1" applyFill="1" applyBorder="1" applyAlignment="1">
      <alignment horizontal="center" vertical="center"/>
    </xf>
    <xf numFmtId="0" fontId="16" fillId="2" borderId="11" xfId="0" applyFont="1" applyFill="1" applyBorder="1" applyAlignment="1">
      <alignment horizontal="center"/>
    </xf>
    <xf numFmtId="0" fontId="16" fillId="2" borderId="12" xfId="0" applyFont="1" applyFill="1" applyBorder="1" applyAlignment="1">
      <alignment horizontal="center"/>
    </xf>
    <xf numFmtId="0" fontId="41" fillId="4" borderId="3" xfId="0" applyFont="1" applyFill="1" applyBorder="1" applyAlignment="1">
      <alignment horizontal="center"/>
    </xf>
    <xf numFmtId="0" fontId="6" fillId="12" borderId="3" xfId="0" applyFont="1" applyFill="1" applyBorder="1" applyAlignment="1">
      <alignment horizontal="left"/>
    </xf>
    <xf numFmtId="0" fontId="16" fillId="2" borderId="8" xfId="0" applyFont="1" applyFill="1" applyBorder="1" applyAlignment="1">
      <alignment horizontal="center"/>
    </xf>
    <xf numFmtId="0" fontId="16" fillId="2" borderId="6" xfId="0" applyFont="1" applyFill="1" applyBorder="1" applyAlignment="1">
      <alignment horizontal="center"/>
    </xf>
    <xf numFmtId="0" fontId="3" fillId="0" borderId="3" xfId="0" applyFont="1" applyBorder="1" applyAlignment="1"/>
    <xf numFmtId="0" fontId="3" fillId="0" borderId="6" xfId="0" applyFont="1" applyBorder="1" applyAlignment="1"/>
    <xf numFmtId="0" fontId="11" fillId="0" borderId="3" xfId="0" applyFont="1" applyBorder="1" applyAlignment="1"/>
    <xf numFmtId="0" fontId="11" fillId="14" borderId="3" xfId="0" applyFont="1" applyFill="1" applyBorder="1" applyAlignment="1"/>
    <xf numFmtId="0" fontId="11" fillId="15" borderId="3" xfId="0" applyFont="1" applyFill="1" applyBorder="1" applyAlignment="1"/>
    <xf numFmtId="0" fontId="3" fillId="0" borderId="0" xfId="0" applyFont="1" applyAlignment="1"/>
    <xf numFmtId="0" fontId="61" fillId="19" borderId="3" xfId="0" applyFont="1" applyFill="1" applyBorder="1" applyAlignment="1"/>
    <xf numFmtId="0" fontId="80" fillId="20" borderId="3" xfId="0" applyFont="1" applyFill="1" applyBorder="1" applyAlignment="1"/>
    <xf numFmtId="0" fontId="11" fillId="13" borderId="6" xfId="0" applyFont="1" applyFill="1" applyBorder="1" applyAlignment="1"/>
    <xf numFmtId="0" fontId="11" fillId="13" borderId="7" xfId="0" applyFont="1" applyFill="1" applyBorder="1" applyAlignment="1"/>
    <xf numFmtId="0" fontId="11" fillId="22" borderId="11" xfId="0" applyFont="1" applyFill="1" applyBorder="1" applyAlignment="1"/>
    <xf numFmtId="0" fontId="11" fillId="22" borderId="12" xfId="0" applyFont="1" applyFill="1" applyBorder="1" applyAlignment="1"/>
    <xf numFmtId="0" fontId="11" fillId="23" borderId="11" xfId="0" applyFont="1" applyFill="1" applyBorder="1" applyAlignment="1"/>
    <xf numFmtId="0" fontId="11" fillId="23" borderId="12" xfId="0" applyFont="1" applyFill="1" applyBorder="1" applyAlignment="1"/>
    <xf numFmtId="0" fontId="11" fillId="17" borderId="11" xfId="0" applyFont="1" applyFill="1" applyBorder="1" applyAlignment="1"/>
    <xf numFmtId="0" fontId="11" fillId="17" borderId="12" xfId="0" applyFont="1" applyFill="1" applyBorder="1" applyAlignment="1"/>
    <xf numFmtId="0" fontId="11" fillId="13" borderId="3" xfId="0" applyFont="1" applyFill="1" applyBorder="1" applyAlignment="1"/>
    <xf numFmtId="0" fontId="11" fillId="22" borderId="3" xfId="0" applyFont="1" applyFill="1" applyBorder="1" applyAlignment="1"/>
    <xf numFmtId="0" fontId="11" fillId="23" borderId="4" xfId="0" applyFont="1" applyFill="1" applyBorder="1" applyAlignment="1"/>
    <xf numFmtId="0" fontId="11" fillId="17" borderId="3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iana Gisela Rojas" id="{828A07E6-0FCA-447D-807D-E03E558A4383}" userId="S::directoraarriendos@portadainmobiliaria.com::d25df4f4-b7a4-46be-966d-3ee9c0c18e5c" providerId="AD"/>
  <person displayName="Administración Calasanz" id="{91365A9B-1835-491A-9960-A39BE2013679}" userId="S::administracioncalasanz@portadainmobiliaria.com::717d4ea5-b7ee-4e6e-a2d4-285f16e3964f" providerId="AD"/>
</personList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7" dT="2022-01-26T13:43:56.38" personId="{91365A9B-1835-491A-9960-A39BE2013679}" id="{D1B11556-7283-47B7-B376-C92BB660A750}">
    <text>DESISTE POR SER 3ERPISO SIN ASCENSOR PROBLEMAS EN LA COLUMNA</text>
  </threadedComment>
  <threadedComment ref="D42" dT="2022-01-21T21:16:15.87" personId="{91365A9B-1835-491A-9960-A39BE2013679}" id="{8B7760BA-02A6-4AED-983A-DE86CCD731F8}">
    <text xml:space="preserve">CLIENTE DESISTE DSEA VER OTRAS ZONAS
</text>
  </threadedComment>
  <threadedComment ref="D101" dT="2022-02-10T20:56:03.94" personId="{91365A9B-1835-491A-9960-A39BE2013679}" id="{08F9EF7C-AE12-437C-A7F4-573D85AB06CF}">
    <text xml:space="preserve">PROP ARRIENDA DIRECTO </text>
  </threadedComment>
  <threadedComment ref="D103" dT="2022-01-31T15:49:52.68" personId="{91365A9B-1835-491A-9960-A39BE2013679}" id="{2BF0101C-993C-487E-8837-49024E15609C}">
    <text>CLIENTE NO POSEE CEDULA Y DICE NO HACER TRAMITE NI PARA SACAR LA DENUNCIA</text>
  </threadedComment>
  <threadedComment ref="D244" dT="2022-04-12T15:16:23.65" personId="{91365A9B-1835-491A-9960-A39BE2013679}" id="{9F7A132D-DA70-45CC-BCE5-C770E140A2CD}">
    <text>DESISTE POR EL BALCON Y LA INSEGURIDAD</text>
  </threadedComment>
  <threadedComment ref="D245" dT="2022-04-12T15:16:41.04" personId="{91365A9B-1835-491A-9960-A39BE2013679}" id="{326017F2-1D4E-43BD-98FE-3E8E2C93B1DE}">
    <text>APTO CON HUMEDAD</text>
  </threadedComment>
  <threadedComment ref="D246" dT="2022-04-08T17:21:37.56" personId="{91365A9B-1835-491A-9960-A39BE2013679}" id="{65E9F873-106A-4356-8FD6-FAA02D10DB25}">
    <text>NECESITA PQ</text>
  </threadedComment>
  <threadedComment ref="D260" dT="2022-04-12T14:07:27.99" personId="{91365A9B-1835-491A-9960-A39BE2013679}" id="{0A7DD0BE-EE2E-40BA-92D3-27AB392C143F}">
    <text>prop no esta deacuerdo con clausulas</text>
  </threadedComment>
  <threadedComment ref="D261" dT="2022-04-08T17:21:53.37" personId="{91365A9B-1835-491A-9960-A39BE2013679}" id="{E7C792DC-EB7B-4205-AC63-97A1705D44BA}">
    <text>PROP LO ARRIENDA DIRECTO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11" dT="2022-01-29T15:51:04.23" personId="{828A07E6-0FCA-447D-807D-E03E558A4383}" id="{7EBA73C0-2381-418B-9CE2-FF7F81865666}">
    <text xml:space="preserve">tiene portero 
</text>
  </threadedComment>
  <threadedComment ref="C23" dT="2022-01-21T21:16:15.87" personId="{91365A9B-1835-491A-9960-A39BE2013679}" id="{479DC359-E8B3-44FA-9A95-0F85295E27DE}">
    <text xml:space="preserve">CLIENTE DESISTE DSEA VER OTRAS ZONAS
</text>
  </threadedComment>
  <threadedComment ref="C24" dT="2022-01-26T15:11:00.22" personId="{91365A9B-1835-491A-9960-A39BE2013679}" id="{DB30F19B-9CC5-4199-8C58-FC1715911A01}">
    <text>SOLICITAN DEUDOR Y NO POSEE</text>
  </threadedComment>
  <threadedComment ref="C25" dT="2022-01-15T15:21:52.48" personId="{91365A9B-1835-491A-9960-A39BE2013679}" id="{2C6F657E-2EB6-4CE2-974F-F90E0F1B3631}">
    <text>DESISTE POR SER INTERNO</text>
  </threadedComment>
  <threadedComment ref="C26" dT="2022-01-15T15:22:12.37" personId="{91365A9B-1835-491A-9960-A39BE2013679}" id="{B74A4EA7-05AB-4205-B3F5-C0FC3EADC6C4}">
    <text>REQUIERE PQ</text>
  </threadedComment>
  <threadedComment ref="C42" dT="2022-01-15T15:21:52.48" personId="{91365A9B-1835-491A-9960-A39BE2013679}" id="{2DCECB35-6368-42B3-AB18-7FA30B532177}">
    <text>DESISTE POR SER INTERNO</text>
  </threadedComment>
  <threadedComment ref="C121" dT="2022-02-23T16:03:57.98" personId="{91365A9B-1835-491A-9960-A39BE2013679}" id="{EE9437EC-842E-454A-BC87-50E33CA56BF5}">
    <text>Cliente no desea tomar el inmueble por el estado actual</text>
  </threadedComment>
  <threadedComment ref="C123" dT="2022-02-22T13:42:25.56" personId="{91365A9B-1835-491A-9960-A39BE2013679}" id="{D235E08D-9CE5-4DDB-8A7E-40153559F27A}">
    <text>CLIENTE DESISTE DEL PROCESO</text>
  </threadedComment>
  <threadedComment ref="C124" dT="2022-02-18T17:36:52.59" personId="{91365A9B-1835-491A-9960-A39BE2013679}" id="{4B810525-36F2-457F-B332-7CC0B30A540F}">
    <text>NO ES APTO PARA REUBICAR</text>
  </threadedComment>
  <threadedComment ref="C126" dT="2022-02-14T19:15:03.24" personId="{91365A9B-1835-491A-9960-A39BE2013679}" id="{1030CDE2-1F46-4E55-9A09-87565D71E458}">
    <text>CLIENTE DESISTE DEL PROCESO</text>
  </threadedComment>
  <threadedComment ref="C140" dT="2022-02-24T16:46:42.12" personId="{91365A9B-1835-491A-9960-A39BE2013679}" id="{B5E8A1CB-3295-427A-9FB4-DC389EC304DE}">
    <text>DESISTE EL ESPOSO NO QUIERE FIRMAR SIN VERLO Y SOLO PUEDE EL FIN DE SEMANA</text>
  </threadedComment>
  <threadedComment ref="C141" dT="2022-02-24T16:46:42.12" personId="{91365A9B-1835-491A-9960-A39BE2013679}" id="{9DC7DD7E-FA58-431E-A9A6-AA5D42D63F15}">
    <text>DESISTE EL ESPOSO NO QUIERE FIRMAR SIN VERLO Y SOLO PUEDE EL FIN DE SEMANA</text>
  </threadedComment>
  <threadedComment ref="C142" dT="2022-02-21T13:56:54.98" personId="{91365A9B-1835-491A-9960-A39BE2013679}" id="{0D347BAC-CD93-45B1-8292-F4A9DB579B56}">
    <text>negado por capacidad de endeudamiento</text>
  </threadedComment>
  <threadedComment ref="C144" dT="2022-02-10T20:55:20.85" personId="{91365A9B-1835-491A-9960-A39BE2013679}" id="{9F6F181B-2D65-4CCF-AA16-70C4FC881E51}">
    <text>prop arrienda propiedad directo</text>
  </threadedComment>
  <threadedComment ref="C145" dT="2022-02-08T15:06:26.82" personId="{91365A9B-1835-491A-9960-A39BE2013679}" id="{7B16DCC1-AF09-425F-BBBD-80EFE7424982}">
    <text xml:space="preserve">DESISTE YA QUE NO POSEE MAS DEUDORES Y ES NECESARIO PARA EL LIBERTADOR </text>
  </threadedComment>
  <threadedComment ref="C146" dT="2022-02-04T13:28:18.42" personId="{91365A9B-1835-491A-9960-A39BE2013679}" id="{4813D6E6-3E3A-4569-BDC5-690EC2E01251}">
    <text>propietario incremnenta valor e inquilino no lo toma por ello</text>
  </threadedComment>
  <threadedComment ref="C147" dT="2022-01-31T15:50:39.32" personId="{91365A9B-1835-491A-9960-A39BE2013679}" id="{2DDA503D-E4C6-4813-94B6-8777492F881E}">
    <text>CLIENTE NO POSEE CEDULA Y DICE NO HACER TRAMITE NI PARA SACAR LA DENUNCIA</text>
  </threadedComment>
  <threadedComment ref="C154" dT="2022-02-11T16:27:28.37" personId="{91365A9B-1835-491A-9960-A39BE2013679}" id="{379981BB-33C2-456A-AA3F-0D331051ECA7}">
    <text>INQ DESISTE DEL PROCESO</text>
  </threadedComment>
  <threadedComment ref="C185" dT="2022-02-24T16:46:42.12" personId="{91365A9B-1835-491A-9960-A39BE2013679}" id="{34E4FD2A-FD06-40E9-9ACD-335F9E5AEA7C}">
    <text>DESISTE EL ESPOSO NO QUIERE FIRMAR SIN VERLO Y SOLO PUEDE EL FIN DE SEMANA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765"/>
  <sheetViews>
    <sheetView tabSelected="1" topLeftCell="C712" workbookViewId="0">
      <selection activeCell="J723" sqref="J723"/>
    </sheetView>
  </sheetViews>
  <sheetFormatPr defaultRowHeight="15"/>
  <cols>
    <col min="1" max="1" width="22" customWidth="1"/>
    <col min="2" max="2" width="23.42578125" customWidth="1"/>
    <col min="3" max="3" width="19.42578125" customWidth="1"/>
    <col min="4" max="4" width="64.5703125" customWidth="1"/>
    <col min="5" max="5" width="22.140625" customWidth="1"/>
    <col min="6" max="6" width="13.7109375" customWidth="1"/>
    <col min="7" max="7" width="16.42578125" customWidth="1"/>
    <col min="8" max="8" width="18.7109375" customWidth="1"/>
    <col min="9" max="9" width="17" customWidth="1"/>
    <col min="10" max="10" width="16.85546875" customWidth="1"/>
    <col min="11" max="11" width="14.140625" hidden="1" customWidth="1"/>
    <col min="12" max="12" width="23.140625" hidden="1" customWidth="1"/>
    <col min="13" max="13" width="23.140625" customWidth="1"/>
    <col min="14" max="14" width="47" customWidth="1"/>
    <col min="15" max="15" width="24.140625" customWidth="1"/>
    <col min="16" max="16" width="18" customWidth="1"/>
    <col min="17" max="17" width="17.85546875" customWidth="1"/>
    <col min="18" max="18" width="19.5703125" customWidth="1"/>
    <col min="19" max="19" width="41.42578125" customWidth="1"/>
  </cols>
  <sheetData>
    <row r="1" spans="1:23" ht="46.5">
      <c r="A1" s="1103" t="s">
        <v>0</v>
      </c>
      <c r="B1" s="1104"/>
      <c r="C1" s="1104"/>
      <c r="D1" s="1104"/>
      <c r="E1" s="1104"/>
      <c r="F1" s="1104"/>
      <c r="G1" s="1104"/>
      <c r="H1" s="1104"/>
      <c r="I1" s="1104"/>
      <c r="J1" s="1104"/>
      <c r="K1" s="1104"/>
      <c r="L1" s="1104"/>
      <c r="M1" s="1104"/>
      <c r="N1" s="1104"/>
      <c r="O1" s="1104"/>
      <c r="P1" s="1104"/>
      <c r="Q1" s="1104"/>
      <c r="R1" s="1105"/>
    </row>
    <row r="2" spans="1:23" hidden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95"/>
      <c r="M2" s="95"/>
      <c r="N2" s="20"/>
      <c r="O2" s="20"/>
      <c r="P2" s="20"/>
      <c r="Q2" s="57"/>
      <c r="R2" s="20"/>
    </row>
    <row r="3" spans="1:23" ht="15.75" hidden="1">
      <c r="A3" s="1101" t="s">
        <v>1</v>
      </c>
      <c r="B3" s="1138"/>
      <c r="C3" s="1138"/>
      <c r="D3" s="1138"/>
      <c r="E3" s="1138"/>
      <c r="F3" s="1138"/>
      <c r="G3" s="1138"/>
      <c r="H3" s="1138"/>
      <c r="I3" s="1138"/>
      <c r="J3" s="1138"/>
      <c r="K3" s="1138"/>
      <c r="L3" s="1139"/>
      <c r="M3" s="394"/>
      <c r="N3" s="1102" t="s">
        <v>2</v>
      </c>
      <c r="O3" s="1102"/>
      <c r="P3" s="1102"/>
      <c r="Q3" s="1102"/>
      <c r="R3" s="2"/>
      <c r="S3" s="112"/>
      <c r="T3" s="20"/>
      <c r="U3" s="20"/>
      <c r="V3" s="20"/>
    </row>
    <row r="4" spans="1:23" ht="15.75" hidden="1">
      <c r="A4" s="3" t="s">
        <v>3</v>
      </c>
      <c r="B4" s="3" t="s">
        <v>4</v>
      </c>
      <c r="C4" s="3" t="s">
        <v>5</v>
      </c>
      <c r="D4" s="3" t="s">
        <v>6</v>
      </c>
      <c r="E4" s="49" t="s">
        <v>7</v>
      </c>
      <c r="F4" s="3" t="s">
        <v>8</v>
      </c>
      <c r="G4" s="50" t="s">
        <v>9</v>
      </c>
      <c r="H4" s="3" t="s">
        <v>10</v>
      </c>
      <c r="I4" s="3"/>
      <c r="J4" s="3" t="s">
        <v>11</v>
      </c>
      <c r="K4" s="7" t="s">
        <v>12</v>
      </c>
      <c r="L4" s="393" t="s">
        <v>13</v>
      </c>
      <c r="M4" s="393"/>
      <c r="N4" s="58" t="s">
        <v>4</v>
      </c>
      <c r="O4" s="58" t="s">
        <v>6</v>
      </c>
      <c r="P4" s="58" t="s">
        <v>14</v>
      </c>
      <c r="Q4" s="58" t="s">
        <v>8</v>
      </c>
      <c r="R4" s="387" t="s">
        <v>15</v>
      </c>
      <c r="S4" s="112"/>
      <c r="T4" s="20"/>
      <c r="U4" s="20"/>
      <c r="V4" s="20"/>
    </row>
    <row r="5" spans="1:23" ht="15.75" hidden="1">
      <c r="A5" s="1094"/>
      <c r="B5" s="9">
        <v>12952</v>
      </c>
      <c r="C5" s="135">
        <v>0.08</v>
      </c>
      <c r="D5" s="11" t="s">
        <v>16</v>
      </c>
      <c r="E5" s="12">
        <v>2100000</v>
      </c>
      <c r="F5" s="135">
        <v>0.08</v>
      </c>
      <c r="G5" s="12">
        <f>E5*F5</f>
        <v>168000</v>
      </c>
      <c r="H5" s="35" t="s">
        <v>17</v>
      </c>
      <c r="I5" s="35"/>
      <c r="J5" s="36" t="s">
        <v>18</v>
      </c>
      <c r="K5" s="15" t="s">
        <v>19</v>
      </c>
      <c r="L5" s="364"/>
      <c r="M5" s="364"/>
      <c r="N5" s="9">
        <v>12981</v>
      </c>
      <c r="O5" s="11" t="s">
        <v>20</v>
      </c>
      <c r="P5" s="12">
        <v>1300000</v>
      </c>
      <c r="Q5" s="33">
        <v>0.05</v>
      </c>
      <c r="R5" s="12">
        <f>P5*Q5</f>
        <v>65000</v>
      </c>
      <c r="S5" s="87"/>
      <c r="T5" s="18"/>
      <c r="U5" s="29"/>
      <c r="V5" s="25"/>
      <c r="W5" s="56"/>
    </row>
    <row r="6" spans="1:23" ht="15.75" hidden="1">
      <c r="A6" s="1094"/>
      <c r="B6" s="9">
        <v>13002</v>
      </c>
      <c r="C6" s="135">
        <v>0.08</v>
      </c>
      <c r="D6" s="11" t="s">
        <v>21</v>
      </c>
      <c r="E6" s="12">
        <v>1250000</v>
      </c>
      <c r="F6" s="135">
        <v>0.05</v>
      </c>
      <c r="G6" s="12">
        <f t="shared" ref="G6:G15" si="0">E6*F6</f>
        <v>62500</v>
      </c>
      <c r="H6" s="35" t="s">
        <v>22</v>
      </c>
      <c r="I6" s="35"/>
      <c r="J6" s="36" t="s">
        <v>23</v>
      </c>
      <c r="K6" s="15" t="s">
        <v>19</v>
      </c>
      <c r="L6" s="364"/>
      <c r="M6" s="364"/>
      <c r="N6" s="9">
        <v>13094</v>
      </c>
      <c r="O6" s="11" t="s">
        <v>24</v>
      </c>
      <c r="P6" s="12">
        <v>800000</v>
      </c>
      <c r="Q6" s="135">
        <v>0.04</v>
      </c>
      <c r="R6" s="12">
        <f>P6*Q6</f>
        <v>32000</v>
      </c>
      <c r="S6" s="110"/>
      <c r="T6" s="76"/>
      <c r="U6" s="79"/>
      <c r="V6" s="20"/>
    </row>
    <row r="7" spans="1:23" ht="15.75" hidden="1">
      <c r="A7" s="1094"/>
      <c r="B7" s="9" t="s">
        <v>25</v>
      </c>
      <c r="C7" s="33">
        <v>0.1</v>
      </c>
      <c r="D7" s="11" t="s">
        <v>26</v>
      </c>
      <c r="E7" s="12">
        <v>800000</v>
      </c>
      <c r="F7" s="33">
        <v>0.1</v>
      </c>
      <c r="G7" s="12">
        <f t="shared" si="0"/>
        <v>80000</v>
      </c>
      <c r="H7" s="35" t="s">
        <v>17</v>
      </c>
      <c r="I7" s="35"/>
      <c r="J7" s="36" t="s">
        <v>27</v>
      </c>
      <c r="K7" s="15" t="s">
        <v>19</v>
      </c>
      <c r="L7" s="364"/>
      <c r="M7" s="364"/>
      <c r="N7" s="26"/>
      <c r="O7" s="108"/>
      <c r="P7" s="53"/>
      <c r="Q7" s="52"/>
      <c r="R7" s="53"/>
      <c r="S7" s="110"/>
      <c r="T7" s="76"/>
      <c r="U7" s="79"/>
      <c r="V7" s="20"/>
    </row>
    <row r="8" spans="1:23" ht="15.75" hidden="1">
      <c r="A8" s="1094"/>
      <c r="B8" s="9">
        <v>13108</v>
      </c>
      <c r="C8" s="33">
        <v>0.1</v>
      </c>
      <c r="D8" s="11" t="s">
        <v>28</v>
      </c>
      <c r="E8" s="12">
        <v>1150000</v>
      </c>
      <c r="F8" s="33">
        <v>0.1</v>
      </c>
      <c r="G8" s="12">
        <f t="shared" si="0"/>
        <v>115000</v>
      </c>
      <c r="H8" s="35" t="s">
        <v>17</v>
      </c>
      <c r="I8" s="35"/>
      <c r="J8" s="36" t="s">
        <v>27</v>
      </c>
      <c r="K8" s="15" t="s">
        <v>19</v>
      </c>
      <c r="L8" s="364"/>
      <c r="M8" s="364"/>
      <c r="N8" s="31"/>
      <c r="O8" s="31"/>
      <c r="P8" s="31"/>
      <c r="Q8" s="31"/>
      <c r="R8" s="31"/>
      <c r="S8" s="111"/>
      <c r="T8" s="31"/>
      <c r="U8" s="31"/>
      <c r="V8" s="20"/>
    </row>
    <row r="9" spans="1:23" ht="15.75" hidden="1">
      <c r="A9" s="1094"/>
      <c r="B9" s="9">
        <v>13086</v>
      </c>
      <c r="C9" s="33">
        <v>0.1</v>
      </c>
      <c r="D9" s="11" t="s">
        <v>29</v>
      </c>
      <c r="E9" s="12">
        <v>1450000</v>
      </c>
      <c r="F9" s="33">
        <v>0.1</v>
      </c>
      <c r="G9" s="12">
        <f t="shared" si="0"/>
        <v>145000</v>
      </c>
      <c r="H9" s="35" t="s">
        <v>17</v>
      </c>
      <c r="I9" s="35"/>
      <c r="J9" s="36" t="s">
        <v>18</v>
      </c>
      <c r="K9" s="15" t="s">
        <v>19</v>
      </c>
      <c r="L9" s="364"/>
      <c r="M9" s="364"/>
      <c r="N9" s="17"/>
      <c r="O9" s="27"/>
      <c r="P9" s="28"/>
      <c r="Q9" s="109"/>
      <c r="R9" s="20"/>
      <c r="S9" s="112"/>
      <c r="T9" s="20"/>
      <c r="U9" s="20"/>
      <c r="V9" s="20"/>
    </row>
    <row r="10" spans="1:23" ht="15.75" hidden="1">
      <c r="A10" s="1094"/>
      <c r="B10" s="9">
        <v>13099</v>
      </c>
      <c r="C10" s="33">
        <v>0.1</v>
      </c>
      <c r="D10" s="11" t="s">
        <v>30</v>
      </c>
      <c r="E10" s="12">
        <v>1650000</v>
      </c>
      <c r="F10" s="33">
        <v>0.1</v>
      </c>
      <c r="G10" s="12">
        <f t="shared" si="0"/>
        <v>165000</v>
      </c>
      <c r="H10" s="35" t="s">
        <v>17</v>
      </c>
      <c r="I10" s="35"/>
      <c r="J10" s="36" t="s">
        <v>23</v>
      </c>
      <c r="K10" s="15" t="s">
        <v>19</v>
      </c>
      <c r="L10" s="364"/>
      <c r="M10" s="364"/>
      <c r="N10" s="17"/>
      <c r="O10" s="27"/>
      <c r="P10" s="28"/>
      <c r="Q10" s="109"/>
      <c r="R10" s="20"/>
      <c r="S10" s="112"/>
      <c r="T10" s="20"/>
      <c r="U10" s="20"/>
      <c r="V10" s="20"/>
    </row>
    <row r="11" spans="1:23" ht="15.75" hidden="1">
      <c r="A11" s="1094"/>
      <c r="B11" s="9">
        <v>13021</v>
      </c>
      <c r="C11" s="135">
        <v>0.08</v>
      </c>
      <c r="D11" s="11" t="s">
        <v>31</v>
      </c>
      <c r="E11" s="12">
        <v>900000</v>
      </c>
      <c r="F11" s="135">
        <v>0.08</v>
      </c>
      <c r="G11" s="12">
        <f t="shared" si="0"/>
        <v>72000</v>
      </c>
      <c r="H11" s="35" t="s">
        <v>17</v>
      </c>
      <c r="I11" s="35"/>
      <c r="J11" s="36" t="s">
        <v>18</v>
      </c>
      <c r="K11" s="15" t="s">
        <v>19</v>
      </c>
      <c r="L11" s="364"/>
      <c r="M11" s="364"/>
      <c r="N11" s="17"/>
      <c r="O11" s="27"/>
      <c r="P11" s="28"/>
      <c r="Q11" s="109"/>
      <c r="R11" s="20"/>
      <c r="S11" s="112"/>
      <c r="T11" s="20"/>
      <c r="U11" s="20"/>
      <c r="V11" s="20"/>
    </row>
    <row r="12" spans="1:23" ht="15.75" hidden="1">
      <c r="A12" s="1094"/>
      <c r="B12" s="9">
        <v>13120</v>
      </c>
      <c r="C12" s="135">
        <v>0.08</v>
      </c>
      <c r="D12" s="11" t="s">
        <v>32</v>
      </c>
      <c r="E12" s="12">
        <v>1000000</v>
      </c>
      <c r="F12" s="135">
        <v>0.08</v>
      </c>
      <c r="G12" s="12">
        <f t="shared" si="0"/>
        <v>80000</v>
      </c>
      <c r="H12" s="35" t="s">
        <v>17</v>
      </c>
      <c r="I12" s="35"/>
      <c r="J12" s="36" t="s">
        <v>18</v>
      </c>
      <c r="K12" s="15" t="s">
        <v>19</v>
      </c>
      <c r="L12" s="364"/>
      <c r="M12" s="364"/>
      <c r="N12" s="17"/>
      <c r="O12" s="27"/>
      <c r="P12" s="28"/>
      <c r="Q12" s="109"/>
      <c r="R12" s="20"/>
      <c r="S12" s="112"/>
      <c r="T12" s="20"/>
      <c r="U12" s="20"/>
      <c r="V12" s="20"/>
    </row>
    <row r="13" spans="1:23" ht="15.75" hidden="1">
      <c r="A13" s="1094"/>
      <c r="B13" s="9">
        <v>13121</v>
      </c>
      <c r="C13" s="33">
        <v>0.1</v>
      </c>
      <c r="D13" s="11" t="s">
        <v>33</v>
      </c>
      <c r="E13" s="12">
        <v>2300000</v>
      </c>
      <c r="F13" s="135">
        <v>0.05</v>
      </c>
      <c r="G13" s="12">
        <f t="shared" si="0"/>
        <v>115000</v>
      </c>
      <c r="H13" s="134" t="s">
        <v>34</v>
      </c>
      <c r="I13" s="134"/>
      <c r="J13" s="36" t="s">
        <v>27</v>
      </c>
      <c r="K13" s="15" t="s">
        <v>19</v>
      </c>
      <c r="L13" s="364"/>
      <c r="M13" s="364"/>
      <c r="N13" s="17"/>
      <c r="O13" s="27"/>
      <c r="P13" s="28"/>
      <c r="Q13" s="109"/>
      <c r="R13" s="20"/>
      <c r="S13" s="112"/>
      <c r="T13" s="20"/>
      <c r="U13" s="20"/>
      <c r="V13" s="20"/>
    </row>
    <row r="14" spans="1:23" ht="20.25" hidden="1" customHeight="1">
      <c r="A14" s="1094"/>
      <c r="B14" s="9" t="s">
        <v>35</v>
      </c>
      <c r="C14" s="33">
        <v>0.1</v>
      </c>
      <c r="D14" s="11" t="s">
        <v>36</v>
      </c>
      <c r="E14" s="12">
        <v>800000</v>
      </c>
      <c r="F14" s="135">
        <v>0.06</v>
      </c>
      <c r="G14" s="12">
        <f t="shared" si="0"/>
        <v>48000</v>
      </c>
      <c r="H14" s="35" t="s">
        <v>22</v>
      </c>
      <c r="I14" s="35"/>
      <c r="J14" s="36" t="s">
        <v>18</v>
      </c>
      <c r="K14" s="15" t="s">
        <v>19</v>
      </c>
      <c r="L14" s="364"/>
      <c r="M14" s="364"/>
      <c r="N14" s="17"/>
      <c r="O14" s="27"/>
      <c r="P14" s="28"/>
      <c r="Q14" s="109"/>
      <c r="R14" s="20"/>
      <c r="S14" s="112"/>
      <c r="T14" s="20"/>
      <c r="U14" s="20"/>
      <c r="V14" s="20"/>
    </row>
    <row r="15" spans="1:23" ht="18" hidden="1">
      <c r="A15" s="1094"/>
      <c r="B15" s="21" t="s">
        <v>37</v>
      </c>
      <c r="C15" s="22">
        <v>0.1</v>
      </c>
      <c r="D15" s="24" t="s">
        <v>38</v>
      </c>
      <c r="E15" s="24"/>
      <c r="F15" s="118"/>
      <c r="G15" s="24">
        <f t="shared" si="0"/>
        <v>0</v>
      </c>
      <c r="H15" s="23" t="s">
        <v>17</v>
      </c>
      <c r="I15" s="23"/>
      <c r="J15" s="311" t="s">
        <v>27</v>
      </c>
      <c r="K15" s="15"/>
      <c r="L15" s="364"/>
      <c r="M15" s="364"/>
      <c r="N15" s="17"/>
      <c r="O15" s="27"/>
      <c r="P15" s="28"/>
      <c r="Q15" s="109"/>
      <c r="R15" s="20"/>
      <c r="S15" s="112"/>
      <c r="T15" s="20"/>
      <c r="U15" s="20"/>
      <c r="V15" s="20"/>
    </row>
    <row r="16" spans="1:23" ht="15.75" hidden="1">
      <c r="A16" s="1094"/>
      <c r="B16" s="38" t="s">
        <v>39</v>
      </c>
      <c r="C16" s="40"/>
      <c r="D16" s="42" t="s">
        <v>40</v>
      </c>
      <c r="E16" s="42"/>
      <c r="F16" s="43"/>
      <c r="G16" s="44"/>
      <c r="H16" s="45" t="s">
        <v>17</v>
      </c>
      <c r="I16" s="45"/>
      <c r="J16" s="46" t="s">
        <v>18</v>
      </c>
      <c r="K16" s="15"/>
      <c r="L16" s="364"/>
      <c r="M16" s="364"/>
      <c r="N16" s="17"/>
      <c r="O16" s="27"/>
      <c r="P16" s="28"/>
      <c r="Q16" s="109"/>
      <c r="R16" s="20"/>
    </row>
    <row r="17" spans="1:21" ht="15.75" hidden="1">
      <c r="A17" s="1094"/>
      <c r="B17" s="38" t="s">
        <v>39</v>
      </c>
      <c r="C17" s="40"/>
      <c r="D17" s="45" t="s">
        <v>41</v>
      </c>
      <c r="E17" s="42"/>
      <c r="F17" s="43"/>
      <c r="G17" s="44"/>
      <c r="H17" s="45" t="s">
        <v>17</v>
      </c>
      <c r="I17" s="45"/>
      <c r="J17" s="46" t="s">
        <v>23</v>
      </c>
      <c r="K17" s="15"/>
      <c r="L17" s="364"/>
      <c r="M17" s="364"/>
      <c r="N17" s="17"/>
      <c r="O17" s="27"/>
      <c r="P17" s="28"/>
      <c r="Q17" s="109"/>
      <c r="R17" s="20"/>
    </row>
    <row r="18" spans="1:21" ht="15.75" hidden="1">
      <c r="A18" s="1094"/>
      <c r="B18" s="38" t="s">
        <v>39</v>
      </c>
      <c r="C18" s="93"/>
      <c r="D18" s="45" t="s">
        <v>42</v>
      </c>
      <c r="E18" s="42"/>
      <c r="F18" s="93"/>
      <c r="G18" s="93"/>
      <c r="H18" s="45" t="s">
        <v>17</v>
      </c>
      <c r="I18" s="45"/>
      <c r="J18" s="46" t="s">
        <v>18</v>
      </c>
      <c r="K18" s="15"/>
      <c r="L18" s="364"/>
      <c r="M18" s="364"/>
      <c r="N18" s="17"/>
      <c r="O18" s="27"/>
      <c r="P18" s="28"/>
      <c r="Q18" s="109"/>
      <c r="R18" s="20"/>
    </row>
    <row r="19" spans="1:21" ht="15.75" hidden="1">
      <c r="A19" s="1094"/>
      <c r="B19" s="38" t="s">
        <v>39</v>
      </c>
      <c r="C19" s="93"/>
      <c r="D19" s="45" t="s">
        <v>42</v>
      </c>
      <c r="E19" s="42"/>
      <c r="F19" s="93"/>
      <c r="G19" s="93"/>
      <c r="H19" s="45" t="s">
        <v>17</v>
      </c>
      <c r="I19" s="45"/>
      <c r="J19" s="46" t="s">
        <v>23</v>
      </c>
      <c r="K19" s="15"/>
      <c r="L19" s="364"/>
      <c r="M19" s="364"/>
      <c r="N19" s="17"/>
      <c r="O19" s="27"/>
      <c r="P19" s="28"/>
      <c r="Q19" s="109"/>
      <c r="R19" s="20"/>
    </row>
    <row r="20" spans="1:21" ht="18.75" hidden="1">
      <c r="A20" s="1094"/>
      <c r="B20" s="38" t="s">
        <v>39</v>
      </c>
      <c r="C20" s="89"/>
      <c r="D20" s="92" t="s">
        <v>43</v>
      </c>
      <c r="E20" s="42"/>
      <c r="F20" s="89"/>
      <c r="G20" s="89"/>
      <c r="H20" s="45" t="s">
        <v>17</v>
      </c>
      <c r="I20" s="45"/>
      <c r="J20" s="46" t="s">
        <v>23</v>
      </c>
      <c r="K20" s="29"/>
      <c r="L20" s="364"/>
      <c r="M20" s="364"/>
      <c r="N20" s="31"/>
      <c r="O20" s="31"/>
      <c r="P20" s="31"/>
      <c r="Q20" s="191"/>
      <c r="R20" s="105">
        <f>SUM(R5:R19)</f>
        <v>97000</v>
      </c>
    </row>
    <row r="21" spans="1:21" ht="15.75" hidden="1">
      <c r="A21" s="1094"/>
      <c r="B21" s="38" t="s">
        <v>39</v>
      </c>
      <c r="C21" s="89"/>
      <c r="D21" s="89" t="s">
        <v>44</v>
      </c>
      <c r="E21" s="89"/>
      <c r="F21" s="89"/>
      <c r="G21" s="89"/>
      <c r="H21" s="89" t="s">
        <v>17</v>
      </c>
      <c r="I21" s="89"/>
      <c r="J21" s="89" t="s">
        <v>23</v>
      </c>
      <c r="K21" s="15"/>
      <c r="L21" s="364"/>
      <c r="M21" s="364"/>
      <c r="N21" s="31"/>
      <c r="O21" s="31"/>
      <c r="P21" s="31"/>
      <c r="Q21" s="191"/>
      <c r="R21" s="20"/>
    </row>
    <row r="22" spans="1:21" ht="18.75" hidden="1">
      <c r="A22" s="1095"/>
      <c r="B22" s="189" t="s">
        <v>45</v>
      </c>
      <c r="C22" s="32"/>
      <c r="D22" s="16"/>
      <c r="E22" s="81">
        <f>SUM(E5:E21)</f>
        <v>13400000</v>
      </c>
      <c r="F22" s="32"/>
      <c r="G22" s="82">
        <f>SUM(G5:G21)</f>
        <v>1050500</v>
      </c>
      <c r="H22" s="16"/>
      <c r="I22" s="16"/>
      <c r="J22" s="16"/>
      <c r="K22" s="16"/>
      <c r="L22" s="364"/>
      <c r="M22" s="364"/>
      <c r="N22" s="31"/>
      <c r="O22" s="31"/>
      <c r="P22" s="68">
        <f>SUM(P5:P21)</f>
        <v>2100000</v>
      </c>
      <c r="Q22" s="191"/>
      <c r="R22" s="105">
        <f>R20+G22</f>
        <v>1147500</v>
      </c>
    </row>
    <row r="23" spans="1:21" hidden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95"/>
      <c r="M23" s="95"/>
      <c r="N23" s="20"/>
      <c r="O23" s="20"/>
      <c r="P23" s="20"/>
      <c r="Q23" s="57"/>
      <c r="R23" s="20"/>
    </row>
    <row r="24" spans="1:21" ht="15.75" hidden="1">
      <c r="A24" s="1101" t="s">
        <v>46</v>
      </c>
      <c r="B24" s="1138"/>
      <c r="C24" s="1138"/>
      <c r="D24" s="1138"/>
      <c r="E24" s="1138"/>
      <c r="F24" s="1138"/>
      <c r="G24" s="1138"/>
      <c r="H24" s="1138"/>
      <c r="I24" s="1138"/>
      <c r="J24" s="1138"/>
      <c r="K24" s="1138"/>
      <c r="L24" s="1139"/>
      <c r="M24" s="394"/>
      <c r="N24" s="1102" t="s">
        <v>2</v>
      </c>
      <c r="O24" s="1102"/>
      <c r="P24" s="1102"/>
      <c r="Q24" s="1102"/>
      <c r="R24" s="2"/>
    </row>
    <row r="25" spans="1:21" ht="15.75" hidden="1">
      <c r="A25" s="3" t="s">
        <v>3</v>
      </c>
      <c r="B25" s="3" t="s">
        <v>4</v>
      </c>
      <c r="C25" s="3" t="s">
        <v>5</v>
      </c>
      <c r="D25" s="3" t="s">
        <v>6</v>
      </c>
      <c r="E25" s="49" t="s">
        <v>7</v>
      </c>
      <c r="F25" s="3" t="s">
        <v>8</v>
      </c>
      <c r="G25" s="50" t="s">
        <v>9</v>
      </c>
      <c r="H25" s="3" t="s">
        <v>10</v>
      </c>
      <c r="I25" s="3"/>
      <c r="J25" s="3" t="s">
        <v>11</v>
      </c>
      <c r="K25" s="7" t="s">
        <v>12</v>
      </c>
      <c r="L25" s="393" t="s">
        <v>13</v>
      </c>
      <c r="M25" s="393"/>
      <c r="N25" s="8" t="s">
        <v>4</v>
      </c>
      <c r="O25" s="8" t="s">
        <v>6</v>
      </c>
      <c r="P25" s="8" t="s">
        <v>14</v>
      </c>
      <c r="Q25" s="8" t="s">
        <v>8</v>
      </c>
      <c r="R25" s="2" t="s">
        <v>15</v>
      </c>
    </row>
    <row r="26" spans="1:21" ht="18" hidden="1">
      <c r="A26" s="1094"/>
      <c r="B26" s="9">
        <v>12901</v>
      </c>
      <c r="C26" s="33">
        <v>0.1</v>
      </c>
      <c r="D26" s="11" t="s">
        <v>47</v>
      </c>
      <c r="E26" s="12">
        <v>1300000</v>
      </c>
      <c r="F26" s="136">
        <v>0.06</v>
      </c>
      <c r="G26" s="12">
        <f>E26*F26</f>
        <v>78000</v>
      </c>
      <c r="H26" s="35" t="s">
        <v>22</v>
      </c>
      <c r="I26" s="35"/>
      <c r="J26" s="36" t="s">
        <v>18</v>
      </c>
      <c r="K26" s="25" t="s">
        <v>19</v>
      </c>
      <c r="L26" s="364"/>
      <c r="M26" s="364"/>
      <c r="N26" s="9">
        <v>12957</v>
      </c>
      <c r="O26" s="11" t="s">
        <v>48</v>
      </c>
      <c r="P26" s="12">
        <v>1850000</v>
      </c>
      <c r="Q26" s="33">
        <v>0.05</v>
      </c>
      <c r="R26" s="12">
        <f>P26*Q26</f>
        <v>92500</v>
      </c>
      <c r="S26" s="101"/>
      <c r="T26" s="102"/>
      <c r="U26" s="103"/>
    </row>
    <row r="27" spans="1:21" ht="18" hidden="1">
      <c r="A27" s="1094"/>
      <c r="B27" s="9">
        <v>12945</v>
      </c>
      <c r="C27" s="33">
        <v>0.1</v>
      </c>
      <c r="D27" s="11" t="s">
        <v>49</v>
      </c>
      <c r="E27" s="12">
        <v>1250000</v>
      </c>
      <c r="F27" s="136">
        <v>0.06</v>
      </c>
      <c r="G27" s="12">
        <f t="shared" ref="G27:G37" si="1">E27*F27</f>
        <v>75000</v>
      </c>
      <c r="H27" s="35" t="s">
        <v>22</v>
      </c>
      <c r="I27" s="35"/>
      <c r="J27" s="36" t="s">
        <v>18</v>
      </c>
      <c r="K27" s="25" t="s">
        <v>19</v>
      </c>
      <c r="L27" s="364"/>
      <c r="M27" s="364"/>
      <c r="N27" s="26"/>
      <c r="O27" s="27"/>
      <c r="P27" s="19"/>
      <c r="Q27" s="109"/>
      <c r="R27" s="20"/>
      <c r="S27" s="56"/>
      <c r="T27" s="56"/>
      <c r="U27" s="56"/>
    </row>
    <row r="28" spans="1:21" ht="18" hidden="1">
      <c r="A28" s="1094"/>
      <c r="B28" s="9">
        <v>12922</v>
      </c>
      <c r="C28" s="33">
        <v>0.1</v>
      </c>
      <c r="D28" s="11" t="s">
        <v>50</v>
      </c>
      <c r="E28" s="12">
        <v>1600000</v>
      </c>
      <c r="F28" s="136">
        <v>0.06</v>
      </c>
      <c r="G28" s="12">
        <f t="shared" si="1"/>
        <v>96000</v>
      </c>
      <c r="H28" s="35" t="s">
        <v>22</v>
      </c>
      <c r="I28" s="35"/>
      <c r="J28" s="36" t="s">
        <v>18</v>
      </c>
      <c r="K28" s="25" t="s">
        <v>19</v>
      </c>
      <c r="L28" s="364"/>
      <c r="M28" s="364"/>
      <c r="N28" s="17"/>
      <c r="O28" s="27"/>
      <c r="P28" s="28"/>
      <c r="Q28" s="109"/>
      <c r="R28" s="20"/>
    </row>
    <row r="29" spans="1:21" ht="16.5" hidden="1" customHeight="1">
      <c r="A29" s="1094"/>
      <c r="B29" s="9" t="s">
        <v>51</v>
      </c>
      <c r="C29" s="135">
        <v>0.08</v>
      </c>
      <c r="D29" s="11" t="s">
        <v>52</v>
      </c>
      <c r="E29" s="12">
        <v>1750000</v>
      </c>
      <c r="F29" s="106">
        <v>0.08</v>
      </c>
      <c r="G29" s="12">
        <f t="shared" si="1"/>
        <v>140000</v>
      </c>
      <c r="H29" s="34" t="s">
        <v>53</v>
      </c>
      <c r="I29" s="34"/>
      <c r="J29" s="36" t="s">
        <v>18</v>
      </c>
      <c r="K29" s="18" t="s">
        <v>19</v>
      </c>
      <c r="L29" s="364"/>
      <c r="M29" s="364"/>
      <c r="N29" s="31"/>
      <c r="O29" s="31"/>
      <c r="P29" s="31"/>
      <c r="Q29" s="191"/>
      <c r="R29" s="20"/>
    </row>
    <row r="30" spans="1:21" ht="18" hidden="1">
      <c r="A30" s="1094"/>
      <c r="B30" s="9">
        <v>12940</v>
      </c>
      <c r="C30" s="33">
        <v>0.1</v>
      </c>
      <c r="D30" s="11" t="s">
        <v>54</v>
      </c>
      <c r="E30" s="12">
        <v>1300000</v>
      </c>
      <c r="F30" s="312">
        <v>0.1</v>
      </c>
      <c r="G30" s="12">
        <f t="shared" si="1"/>
        <v>130000</v>
      </c>
      <c r="H30" s="35" t="s">
        <v>53</v>
      </c>
      <c r="I30" s="35"/>
      <c r="J30" s="36" t="s">
        <v>23</v>
      </c>
      <c r="K30" s="18" t="s">
        <v>19</v>
      </c>
      <c r="L30" s="364"/>
      <c r="M30" s="364"/>
      <c r="N30" s="31"/>
      <c r="O30" s="31"/>
      <c r="P30" s="31"/>
      <c r="Q30" s="191"/>
      <c r="R30" s="20"/>
    </row>
    <row r="31" spans="1:21" ht="18" hidden="1">
      <c r="A31" s="1094"/>
      <c r="B31" s="9">
        <v>12981</v>
      </c>
      <c r="C31" s="33">
        <v>0.1</v>
      </c>
      <c r="D31" s="11" t="s">
        <v>20</v>
      </c>
      <c r="E31" s="12">
        <v>1300000</v>
      </c>
      <c r="F31" s="106">
        <v>0.05</v>
      </c>
      <c r="G31" s="12">
        <f t="shared" si="1"/>
        <v>65000</v>
      </c>
      <c r="H31" s="35" t="s">
        <v>17</v>
      </c>
      <c r="I31" s="35"/>
      <c r="J31" s="36" t="s">
        <v>18</v>
      </c>
      <c r="K31" s="25" t="s">
        <v>19</v>
      </c>
      <c r="L31" s="364"/>
      <c r="M31" s="364"/>
      <c r="N31" s="31"/>
      <c r="O31" s="31"/>
      <c r="P31" s="31"/>
      <c r="Q31" s="191"/>
      <c r="R31" s="20"/>
    </row>
    <row r="32" spans="1:21" ht="18" hidden="1">
      <c r="A32" s="1094"/>
      <c r="B32" s="9">
        <v>12990</v>
      </c>
      <c r="C32" s="33">
        <v>0.1</v>
      </c>
      <c r="D32" s="11" t="s">
        <v>55</v>
      </c>
      <c r="E32" s="12">
        <v>1000000</v>
      </c>
      <c r="F32" s="106">
        <v>0.05</v>
      </c>
      <c r="G32" s="12">
        <f t="shared" si="1"/>
        <v>50000</v>
      </c>
      <c r="H32" s="134" t="s">
        <v>56</v>
      </c>
      <c r="I32" s="134"/>
      <c r="J32" s="36" t="s">
        <v>18</v>
      </c>
      <c r="K32" s="25" t="s">
        <v>19</v>
      </c>
      <c r="L32" s="364"/>
      <c r="M32" s="364"/>
      <c r="N32" s="31"/>
      <c r="O32" s="31"/>
      <c r="P32" s="31"/>
      <c r="Q32" s="191"/>
      <c r="R32" s="20"/>
    </row>
    <row r="33" spans="1:18" ht="18" hidden="1">
      <c r="A33" s="1094"/>
      <c r="B33" s="9">
        <v>12999</v>
      </c>
      <c r="C33" s="33">
        <v>0.1</v>
      </c>
      <c r="D33" s="11" t="s">
        <v>57</v>
      </c>
      <c r="E33" s="12">
        <v>1250000</v>
      </c>
      <c r="F33" s="312">
        <v>0.1</v>
      </c>
      <c r="G33" s="12">
        <f t="shared" si="1"/>
        <v>125000</v>
      </c>
      <c r="H33" s="35" t="s">
        <v>53</v>
      </c>
      <c r="I33" s="35"/>
      <c r="J33" s="36" t="s">
        <v>23</v>
      </c>
      <c r="K33" s="88"/>
      <c r="L33" s="364"/>
      <c r="M33" s="364"/>
      <c r="N33" s="31"/>
      <c r="O33" s="31"/>
      <c r="P33" s="31"/>
      <c r="Q33" s="191"/>
      <c r="R33" s="20"/>
    </row>
    <row r="34" spans="1:18" ht="18" hidden="1">
      <c r="A34" s="1094"/>
      <c r="B34" s="9">
        <v>13014</v>
      </c>
      <c r="C34" s="33">
        <v>0.1</v>
      </c>
      <c r="D34" s="11" t="s">
        <v>58</v>
      </c>
      <c r="E34" s="12">
        <v>1200000</v>
      </c>
      <c r="F34" s="312">
        <v>0.1</v>
      </c>
      <c r="G34" s="12">
        <f t="shared" si="1"/>
        <v>120000</v>
      </c>
      <c r="H34" s="35" t="s">
        <v>53</v>
      </c>
      <c r="I34" s="35"/>
      <c r="J34" s="36" t="s">
        <v>27</v>
      </c>
      <c r="K34" s="54" t="s">
        <v>19</v>
      </c>
      <c r="L34" s="364"/>
      <c r="M34" s="364"/>
      <c r="N34" s="31"/>
      <c r="O34" s="31"/>
      <c r="P34" s="31"/>
      <c r="Q34" s="191"/>
      <c r="R34" s="20"/>
    </row>
    <row r="35" spans="1:18" ht="18" hidden="1">
      <c r="A35" s="1094"/>
      <c r="B35" s="9">
        <v>13030</v>
      </c>
      <c r="C35" s="33">
        <v>0.1</v>
      </c>
      <c r="D35" s="11" t="s">
        <v>59</v>
      </c>
      <c r="E35" s="12">
        <v>1200000</v>
      </c>
      <c r="F35" s="136">
        <v>0.06</v>
      </c>
      <c r="G35" s="12">
        <f t="shared" si="1"/>
        <v>72000</v>
      </c>
      <c r="H35" s="35" t="s">
        <v>22</v>
      </c>
      <c r="I35" s="35"/>
      <c r="J35" s="36" t="s">
        <v>18</v>
      </c>
      <c r="K35" s="54" t="s">
        <v>19</v>
      </c>
      <c r="L35" s="364"/>
      <c r="M35" s="364"/>
      <c r="N35" s="31"/>
      <c r="O35" s="31"/>
      <c r="P35" s="31"/>
      <c r="Q35" s="191"/>
      <c r="R35" s="20"/>
    </row>
    <row r="36" spans="1:18" ht="18" hidden="1">
      <c r="A36" s="1094"/>
      <c r="B36" s="9">
        <v>13041</v>
      </c>
      <c r="C36" s="33">
        <v>0.1</v>
      </c>
      <c r="D36" s="11" t="s">
        <v>60</v>
      </c>
      <c r="E36" s="12">
        <v>1350000</v>
      </c>
      <c r="F36" s="312">
        <v>0.1</v>
      </c>
      <c r="G36" s="12">
        <f t="shared" si="1"/>
        <v>135000</v>
      </c>
      <c r="H36" s="35" t="s">
        <v>53</v>
      </c>
      <c r="I36" s="35"/>
      <c r="J36" s="36" t="s">
        <v>27</v>
      </c>
      <c r="K36" s="54" t="s">
        <v>19</v>
      </c>
      <c r="L36" s="364"/>
      <c r="M36" s="364"/>
      <c r="N36" s="31"/>
      <c r="O36" s="31"/>
      <c r="P36" s="31"/>
      <c r="Q36" s="191"/>
      <c r="R36" s="20"/>
    </row>
    <row r="37" spans="1:18" ht="18" hidden="1">
      <c r="A37" s="1094"/>
      <c r="B37" s="21" t="s">
        <v>37</v>
      </c>
      <c r="C37" s="22">
        <v>0.1</v>
      </c>
      <c r="D37" s="91" t="s">
        <v>61</v>
      </c>
      <c r="E37" s="24"/>
      <c r="F37" s="313">
        <v>0.1</v>
      </c>
      <c r="G37" s="314">
        <f t="shared" si="1"/>
        <v>0</v>
      </c>
      <c r="H37" s="100" t="s">
        <v>53</v>
      </c>
      <c r="I37" s="100"/>
      <c r="J37" s="119" t="s">
        <v>18</v>
      </c>
      <c r="K37" s="15"/>
      <c r="L37" s="364"/>
      <c r="M37" s="364"/>
      <c r="N37" s="31"/>
      <c r="O37" s="31"/>
      <c r="P37" s="31"/>
      <c r="Q37" s="191"/>
      <c r="R37" s="20"/>
    </row>
    <row r="38" spans="1:18" ht="18" hidden="1">
      <c r="A38" s="1094"/>
      <c r="B38" s="21" t="s">
        <v>37</v>
      </c>
      <c r="C38" s="315">
        <v>7.0000000000000007E-2</v>
      </c>
      <c r="D38" s="91" t="s">
        <v>62</v>
      </c>
      <c r="E38" s="24"/>
      <c r="F38" s="118">
        <v>0.06</v>
      </c>
      <c r="G38" s="100"/>
      <c r="H38" s="100" t="s">
        <v>22</v>
      </c>
      <c r="I38" s="100"/>
      <c r="J38" s="119" t="s">
        <v>18</v>
      </c>
      <c r="K38" s="15"/>
      <c r="L38" s="364"/>
      <c r="M38" s="364"/>
      <c r="N38" s="31"/>
      <c r="O38" s="31"/>
      <c r="P38" s="31"/>
      <c r="Q38" s="191"/>
      <c r="R38" s="20"/>
    </row>
    <row r="39" spans="1:18" ht="17.25" hidden="1" customHeight="1">
      <c r="A39" s="1094"/>
      <c r="B39" s="21" t="s">
        <v>37</v>
      </c>
      <c r="C39" s="22">
        <v>0.1</v>
      </c>
      <c r="D39" s="91" t="s">
        <v>63</v>
      </c>
      <c r="E39" s="24"/>
      <c r="F39" s="118"/>
      <c r="G39" s="100"/>
      <c r="H39" s="100" t="s">
        <v>53</v>
      </c>
      <c r="I39" s="100"/>
      <c r="J39" s="119" t="s">
        <v>18</v>
      </c>
      <c r="K39" s="15"/>
      <c r="L39" s="364"/>
      <c r="M39" s="364"/>
      <c r="N39" s="31"/>
      <c r="O39" s="31"/>
      <c r="P39" s="31"/>
      <c r="Q39" s="191"/>
      <c r="R39" s="20"/>
    </row>
    <row r="40" spans="1:18" ht="17.25" hidden="1" customHeight="1">
      <c r="A40" s="1094"/>
      <c r="B40" s="294" t="s">
        <v>64</v>
      </c>
      <c r="C40" s="295"/>
      <c r="D40" s="296" t="s">
        <v>65</v>
      </c>
      <c r="E40" s="316"/>
      <c r="F40" s="317"/>
      <c r="G40" s="318"/>
      <c r="H40" s="318" t="s">
        <v>53</v>
      </c>
      <c r="I40" s="318"/>
      <c r="J40" s="301" t="s">
        <v>27</v>
      </c>
      <c r="K40" s="15"/>
      <c r="L40" s="364"/>
      <c r="M40" s="364"/>
      <c r="N40" s="31"/>
      <c r="O40" s="31"/>
      <c r="P40" s="31"/>
      <c r="Q40" s="191"/>
      <c r="R40" s="20"/>
    </row>
    <row r="41" spans="1:18" ht="15.75" hidden="1">
      <c r="A41" s="1094"/>
      <c r="B41" s="294" t="s">
        <v>66</v>
      </c>
      <c r="C41" s="295"/>
      <c r="D41" s="296" t="s">
        <v>67</v>
      </c>
      <c r="E41" s="316"/>
      <c r="F41" s="318"/>
      <c r="G41" s="318"/>
      <c r="H41" s="318" t="s">
        <v>17</v>
      </c>
      <c r="I41" s="318"/>
      <c r="J41" s="301" t="s">
        <v>18</v>
      </c>
      <c r="K41" s="15"/>
      <c r="L41" s="364"/>
      <c r="M41" s="364"/>
      <c r="N41" s="31"/>
      <c r="O41" s="31"/>
      <c r="P41" s="31"/>
      <c r="Q41" s="191"/>
      <c r="R41" s="20"/>
    </row>
    <row r="42" spans="1:18" ht="15.75" hidden="1">
      <c r="A42" s="1094"/>
      <c r="B42" s="38" t="s">
        <v>39</v>
      </c>
      <c r="C42" s="40"/>
      <c r="D42" s="170" t="s">
        <v>68</v>
      </c>
      <c r="E42" s="42"/>
      <c r="F42" s="92"/>
      <c r="G42" s="92"/>
      <c r="H42" s="92" t="s">
        <v>17</v>
      </c>
      <c r="I42" s="92"/>
      <c r="J42" s="89" t="s">
        <v>18</v>
      </c>
      <c r="K42" s="15"/>
      <c r="L42" s="364"/>
      <c r="M42" s="364"/>
      <c r="N42" s="31"/>
      <c r="O42" s="31"/>
      <c r="P42" s="31"/>
      <c r="Q42" s="191"/>
      <c r="R42" s="20"/>
    </row>
    <row r="43" spans="1:18" ht="15.75" hidden="1">
      <c r="A43" s="1094"/>
      <c r="B43" s="38" t="s">
        <v>64</v>
      </c>
      <c r="C43" s="40"/>
      <c r="D43" s="170" t="s">
        <v>69</v>
      </c>
      <c r="E43" s="42"/>
      <c r="F43" s="92"/>
      <c r="G43" s="92"/>
      <c r="H43" s="92" t="s">
        <v>53</v>
      </c>
      <c r="I43" s="92"/>
      <c r="J43" s="89" t="s">
        <v>27</v>
      </c>
      <c r="K43" s="15"/>
      <c r="L43" s="364"/>
      <c r="M43" s="364"/>
      <c r="N43" s="31"/>
      <c r="O43" s="31"/>
      <c r="P43" s="31"/>
      <c r="Q43" s="191"/>
      <c r="R43" s="20"/>
    </row>
    <row r="44" spans="1:18" ht="15.75" hidden="1">
      <c r="A44" s="1094"/>
      <c r="B44" s="38" t="s">
        <v>39</v>
      </c>
      <c r="C44" s="89"/>
      <c r="D44" s="89" t="s">
        <v>70</v>
      </c>
      <c r="E44" s="89"/>
      <c r="F44" s="89"/>
      <c r="G44" s="89"/>
      <c r="H44" s="89" t="s">
        <v>56</v>
      </c>
      <c r="I44" s="89"/>
      <c r="J44" s="89" t="s">
        <v>18</v>
      </c>
      <c r="K44" s="15"/>
      <c r="L44" s="364"/>
      <c r="M44" s="364"/>
      <c r="N44" s="31"/>
      <c r="O44" s="31"/>
      <c r="P44" s="31"/>
      <c r="Q44" s="191"/>
      <c r="R44" s="98">
        <f>SUM(R26:R43)</f>
        <v>92500</v>
      </c>
    </row>
    <row r="45" spans="1:18" ht="18.75" hidden="1">
      <c r="A45" s="1095"/>
      <c r="B45" s="32"/>
      <c r="C45" s="32"/>
      <c r="D45" s="16"/>
      <c r="E45" s="47">
        <f>SUM(E26:E44)</f>
        <v>14500000</v>
      </c>
      <c r="F45" s="32"/>
      <c r="G45" s="48">
        <f>SUM(G26:G44)</f>
        <v>1086000</v>
      </c>
      <c r="H45" s="16"/>
      <c r="I45" s="16"/>
      <c r="J45" s="16"/>
      <c r="K45" s="16"/>
      <c r="L45" s="364"/>
      <c r="M45" s="364"/>
      <c r="N45" s="31"/>
      <c r="O45" s="31"/>
      <c r="P45" s="10"/>
      <c r="Q45" s="191"/>
      <c r="R45" s="105">
        <f>G45+R44</f>
        <v>1178500</v>
      </c>
    </row>
    <row r="46" spans="1:18" hidden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95"/>
      <c r="M46" s="95"/>
      <c r="N46" s="20"/>
      <c r="O46" s="20"/>
      <c r="P46" s="20"/>
      <c r="Q46" s="57"/>
      <c r="R46" s="20"/>
    </row>
    <row r="47" spans="1:18" ht="15.75" hidden="1">
      <c r="A47" s="1101" t="s">
        <v>71</v>
      </c>
      <c r="B47" s="1138"/>
      <c r="C47" s="1138"/>
      <c r="D47" s="1138"/>
      <c r="E47" s="1138"/>
      <c r="F47" s="1138"/>
      <c r="G47" s="1138"/>
      <c r="H47" s="1138"/>
      <c r="I47" s="1138"/>
      <c r="J47" s="1138"/>
      <c r="K47" s="1138"/>
      <c r="L47" s="1139"/>
      <c r="M47" s="394"/>
      <c r="N47" s="1102" t="s">
        <v>2</v>
      </c>
      <c r="O47" s="1102"/>
      <c r="P47" s="1102"/>
      <c r="Q47" s="1102"/>
      <c r="R47" s="2"/>
    </row>
    <row r="48" spans="1:18" ht="15.75" hidden="1">
      <c r="A48" s="3" t="s">
        <v>3</v>
      </c>
      <c r="B48" s="3" t="s">
        <v>4</v>
      </c>
      <c r="C48" s="3" t="s">
        <v>5</v>
      </c>
      <c r="D48" s="3" t="s">
        <v>6</v>
      </c>
      <c r="E48" s="49" t="s">
        <v>7</v>
      </c>
      <c r="F48" s="3" t="s">
        <v>8</v>
      </c>
      <c r="G48" s="50" t="s">
        <v>9</v>
      </c>
      <c r="H48" s="3" t="s">
        <v>10</v>
      </c>
      <c r="I48" s="3"/>
      <c r="J48" s="3" t="s">
        <v>11</v>
      </c>
      <c r="K48" s="7" t="s">
        <v>12</v>
      </c>
      <c r="L48" s="393" t="s">
        <v>13</v>
      </c>
      <c r="M48" s="393"/>
      <c r="N48" s="8" t="s">
        <v>4</v>
      </c>
      <c r="O48" s="8" t="s">
        <v>6</v>
      </c>
      <c r="P48" s="8" t="s">
        <v>14</v>
      </c>
      <c r="Q48" s="8" t="s">
        <v>8</v>
      </c>
      <c r="R48" s="2" t="s">
        <v>15</v>
      </c>
    </row>
    <row r="49" spans="1:22" ht="18" hidden="1">
      <c r="A49" s="1094" t="s">
        <v>72</v>
      </c>
      <c r="B49" s="9">
        <v>12957</v>
      </c>
      <c r="C49" s="33">
        <v>0.1</v>
      </c>
      <c r="D49" s="11" t="s">
        <v>48</v>
      </c>
      <c r="E49" s="12">
        <v>1850000</v>
      </c>
      <c r="F49" s="136">
        <v>0.04</v>
      </c>
      <c r="G49" s="12">
        <f>E49*F49</f>
        <v>74000</v>
      </c>
      <c r="H49" s="35" t="s">
        <v>53</v>
      </c>
      <c r="I49" s="35"/>
      <c r="J49" s="36" t="s">
        <v>23</v>
      </c>
      <c r="K49" s="15" t="s">
        <v>19</v>
      </c>
      <c r="L49" s="364"/>
      <c r="M49" s="364"/>
      <c r="N49" s="17"/>
      <c r="O49" s="18"/>
      <c r="P49" s="19"/>
      <c r="Q49" s="109"/>
      <c r="R49" s="20"/>
    </row>
    <row r="50" spans="1:22" ht="18" hidden="1">
      <c r="A50" s="1094"/>
      <c r="B50" s="9">
        <v>12975</v>
      </c>
      <c r="C50" s="33">
        <v>0.1</v>
      </c>
      <c r="D50" s="11" t="s">
        <v>73</v>
      </c>
      <c r="E50" s="12">
        <v>1000000</v>
      </c>
      <c r="F50" s="136">
        <v>0.04</v>
      </c>
      <c r="G50" s="12">
        <f>E50*F50</f>
        <v>40000</v>
      </c>
      <c r="H50" s="35" t="s">
        <v>74</v>
      </c>
      <c r="I50" s="35"/>
      <c r="J50" s="36" t="s">
        <v>18</v>
      </c>
      <c r="K50" s="15" t="s">
        <v>19</v>
      </c>
      <c r="L50" s="364"/>
      <c r="M50" s="364"/>
      <c r="N50" s="26"/>
      <c r="O50" s="27"/>
      <c r="P50" s="19"/>
      <c r="Q50" s="109"/>
      <c r="R50" s="20"/>
    </row>
    <row r="51" spans="1:22" ht="18.75" hidden="1">
      <c r="A51" s="1094"/>
      <c r="B51" s="29"/>
      <c r="C51" s="52"/>
      <c r="D51" s="25"/>
      <c r="E51" s="53"/>
      <c r="F51" s="25"/>
      <c r="G51" s="25"/>
      <c r="H51" s="25"/>
      <c r="I51" s="25"/>
      <c r="J51" s="54"/>
      <c r="K51" s="15"/>
      <c r="L51" s="364"/>
      <c r="M51" s="364"/>
      <c r="N51" s="31"/>
      <c r="O51" s="31"/>
      <c r="P51" s="31"/>
      <c r="Q51" s="191"/>
      <c r="R51" s="105"/>
    </row>
    <row r="52" spans="1:22" ht="18.75" hidden="1">
      <c r="A52" s="1095"/>
      <c r="B52" s="32"/>
      <c r="C52" s="32"/>
      <c r="D52" s="16"/>
      <c r="E52" s="81">
        <f>SUM(E49:E51)</f>
        <v>2850000</v>
      </c>
      <c r="F52" s="32"/>
      <c r="G52" s="82">
        <f>SUM(G49:G51)</f>
        <v>114000</v>
      </c>
      <c r="H52" s="16"/>
      <c r="I52" s="16"/>
      <c r="J52" s="16"/>
      <c r="K52" s="16"/>
      <c r="L52" s="364"/>
      <c r="M52" s="364"/>
      <c r="N52" s="31"/>
      <c r="O52" s="31"/>
      <c r="P52" s="10"/>
      <c r="Q52" s="191"/>
      <c r="R52" s="105">
        <f>G52+R51</f>
        <v>114000</v>
      </c>
    </row>
    <row r="53" spans="1:22" ht="15.75" hidden="1">
      <c r="A53" s="310"/>
      <c r="B53" s="32"/>
      <c r="C53" s="32"/>
      <c r="D53" s="16"/>
      <c r="E53" s="47"/>
      <c r="F53" s="32"/>
      <c r="G53" s="48"/>
      <c r="H53" s="16"/>
      <c r="I53" s="16"/>
      <c r="J53" s="16"/>
      <c r="K53" s="16"/>
      <c r="L53" s="364"/>
      <c r="M53" s="364"/>
      <c r="N53" s="31"/>
      <c r="O53" s="31"/>
      <c r="P53" s="31"/>
      <c r="Q53" s="191"/>
      <c r="R53" s="10"/>
    </row>
    <row r="54" spans="1:22" ht="15.75" hidden="1">
      <c r="A54" s="1101" t="s">
        <v>75</v>
      </c>
      <c r="B54" s="1138"/>
      <c r="C54" s="1138"/>
      <c r="D54" s="1138"/>
      <c r="E54" s="1138"/>
      <c r="F54" s="1138"/>
      <c r="G54" s="1138"/>
      <c r="H54" s="1138"/>
      <c r="I54" s="1138"/>
      <c r="J54" s="1138"/>
      <c r="K54" s="1138"/>
      <c r="L54" s="1139"/>
      <c r="M54" s="394"/>
      <c r="N54" s="1102" t="s">
        <v>2</v>
      </c>
      <c r="O54" s="1102"/>
      <c r="P54" s="1102"/>
      <c r="Q54" s="1102"/>
      <c r="R54" s="2"/>
    </row>
    <row r="55" spans="1:22" ht="15.75" hidden="1">
      <c r="A55" s="3" t="s">
        <v>3</v>
      </c>
      <c r="B55" s="3" t="s">
        <v>4</v>
      </c>
      <c r="C55" s="3" t="s">
        <v>5</v>
      </c>
      <c r="D55" s="3" t="s">
        <v>6</v>
      </c>
      <c r="E55" s="49" t="s">
        <v>7</v>
      </c>
      <c r="F55" s="3" t="s">
        <v>8</v>
      </c>
      <c r="G55" s="50" t="s">
        <v>9</v>
      </c>
      <c r="H55" s="3" t="s">
        <v>10</v>
      </c>
      <c r="I55" s="3"/>
      <c r="J55" s="3" t="s">
        <v>11</v>
      </c>
      <c r="K55" s="7" t="s">
        <v>12</v>
      </c>
      <c r="L55" s="393" t="s">
        <v>13</v>
      </c>
      <c r="M55" s="393"/>
      <c r="N55" s="8" t="s">
        <v>4</v>
      </c>
      <c r="O55" s="8" t="s">
        <v>6</v>
      </c>
      <c r="P55" s="8" t="s">
        <v>14</v>
      </c>
      <c r="Q55" s="8" t="s">
        <v>8</v>
      </c>
      <c r="R55" s="2" t="s">
        <v>15</v>
      </c>
    </row>
    <row r="56" spans="1:22" ht="18" hidden="1">
      <c r="A56" s="1094">
        <v>0</v>
      </c>
      <c r="B56" s="9">
        <v>12984</v>
      </c>
      <c r="C56" s="33">
        <v>0.1</v>
      </c>
      <c r="D56" s="11" t="s">
        <v>76</v>
      </c>
      <c r="E56" s="12">
        <v>1200000</v>
      </c>
      <c r="F56" s="136">
        <v>0.05</v>
      </c>
      <c r="G56" s="12">
        <f>E56*F56</f>
        <v>60000</v>
      </c>
      <c r="H56" s="35" t="s">
        <v>22</v>
      </c>
      <c r="I56" s="35"/>
      <c r="J56" s="35" t="s">
        <v>77</v>
      </c>
      <c r="K56" s="15" t="s">
        <v>19</v>
      </c>
      <c r="L56" s="364"/>
      <c r="M56" s="364"/>
      <c r="N56" s="17"/>
      <c r="O56" s="18"/>
      <c r="P56" s="19"/>
      <c r="Q56" s="109"/>
      <c r="R56" s="20"/>
    </row>
    <row r="57" spans="1:22" ht="15.75" hidden="1">
      <c r="A57" s="1094"/>
      <c r="B57" s="29"/>
      <c r="C57" s="52"/>
      <c r="D57" s="25"/>
      <c r="E57" s="53"/>
      <c r="F57" s="25"/>
      <c r="G57" s="25"/>
      <c r="H57" s="25"/>
      <c r="I57" s="25"/>
      <c r="J57" s="54"/>
      <c r="K57" s="15"/>
      <c r="L57" s="364"/>
      <c r="M57" s="364"/>
      <c r="N57" s="31"/>
      <c r="O57" s="31"/>
      <c r="P57" s="31"/>
      <c r="Q57" s="191"/>
      <c r="R57" s="20"/>
    </row>
    <row r="58" spans="1:22" ht="15.75" hidden="1">
      <c r="A58" s="1095"/>
      <c r="B58" s="32"/>
      <c r="C58" s="32"/>
      <c r="D58" s="16"/>
      <c r="E58" s="81">
        <f>SUM(E56:E57)</f>
        <v>1200000</v>
      </c>
      <c r="F58" s="32"/>
      <c r="G58" s="82">
        <f>SUM(G56:G57)</f>
        <v>60000</v>
      </c>
      <c r="H58" s="16"/>
      <c r="I58" s="16"/>
      <c r="J58" s="16"/>
      <c r="K58" s="16"/>
      <c r="L58" s="364"/>
      <c r="M58" s="364"/>
      <c r="N58" s="31"/>
      <c r="O58" s="31"/>
      <c r="P58" s="10"/>
      <c r="Q58" s="191"/>
      <c r="R58" s="10"/>
    </row>
    <row r="59" spans="1:22" hidden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95"/>
      <c r="M59" s="95"/>
      <c r="N59" s="20"/>
      <c r="O59" s="20"/>
      <c r="P59" s="20"/>
      <c r="Q59" s="57"/>
      <c r="R59" s="20"/>
    </row>
    <row r="60" spans="1:22" ht="15.75" hidden="1">
      <c r="A60" s="1101" t="s">
        <v>22</v>
      </c>
      <c r="B60" s="1138"/>
      <c r="C60" s="1138"/>
      <c r="D60" s="1138"/>
      <c r="E60" s="1138"/>
      <c r="F60" s="1138"/>
      <c r="G60" s="1138"/>
      <c r="H60" s="1138"/>
      <c r="I60" s="1138"/>
      <c r="J60" s="1138"/>
      <c r="K60" s="1138"/>
      <c r="L60" s="1139"/>
      <c r="M60" s="394"/>
      <c r="N60" s="1102" t="s">
        <v>2</v>
      </c>
      <c r="O60" s="1102"/>
      <c r="P60" s="1102"/>
      <c r="Q60" s="1102"/>
      <c r="R60" s="2"/>
    </row>
    <row r="61" spans="1:22" ht="15.75" hidden="1">
      <c r="A61" s="3" t="s">
        <v>3</v>
      </c>
      <c r="B61" s="3" t="s">
        <v>4</v>
      </c>
      <c r="C61" s="3" t="s">
        <v>5</v>
      </c>
      <c r="D61" s="3" t="s">
        <v>6</v>
      </c>
      <c r="E61" s="49" t="s">
        <v>7</v>
      </c>
      <c r="F61" s="3" t="s">
        <v>8</v>
      </c>
      <c r="G61" s="50" t="s">
        <v>9</v>
      </c>
      <c r="H61" s="3" t="s">
        <v>10</v>
      </c>
      <c r="I61" s="3"/>
      <c r="J61" s="3" t="s">
        <v>11</v>
      </c>
      <c r="K61" s="7" t="s">
        <v>12</v>
      </c>
      <c r="L61" s="393" t="s">
        <v>13</v>
      </c>
      <c r="M61" s="393"/>
      <c r="N61" s="8" t="s">
        <v>4</v>
      </c>
      <c r="O61" s="8" t="s">
        <v>6</v>
      </c>
      <c r="P61" s="8" t="s">
        <v>14</v>
      </c>
      <c r="Q61" s="8" t="s">
        <v>8</v>
      </c>
      <c r="R61" s="2" t="s">
        <v>15</v>
      </c>
      <c r="S61" s="112"/>
      <c r="T61" s="20"/>
      <c r="U61" s="20"/>
      <c r="V61" s="20"/>
    </row>
    <row r="62" spans="1:22" ht="15.75" hidden="1">
      <c r="A62" s="1094">
        <v>6</v>
      </c>
      <c r="B62" s="9">
        <v>13031</v>
      </c>
      <c r="C62" s="33">
        <v>0.1</v>
      </c>
      <c r="D62" s="34" t="s">
        <v>78</v>
      </c>
      <c r="E62" s="12">
        <v>1742730</v>
      </c>
      <c r="F62" s="33">
        <v>0.1</v>
      </c>
      <c r="G62" s="12">
        <f>E62*F62</f>
        <v>174273</v>
      </c>
      <c r="H62" s="35" t="s">
        <v>22</v>
      </c>
      <c r="I62" s="35"/>
      <c r="J62" s="35" t="s">
        <v>18</v>
      </c>
      <c r="K62" s="15" t="s">
        <v>19</v>
      </c>
      <c r="L62" s="364"/>
      <c r="M62" s="364"/>
      <c r="N62" s="9">
        <v>13002</v>
      </c>
      <c r="O62" s="11" t="s">
        <v>21</v>
      </c>
      <c r="P62" s="12">
        <v>1250000</v>
      </c>
      <c r="Q62" s="127">
        <v>0.05</v>
      </c>
      <c r="R62" s="97">
        <f>P62*Q62</f>
        <v>62500</v>
      </c>
      <c r="S62" s="130"/>
      <c r="T62" s="25"/>
      <c r="U62" s="54"/>
      <c r="V62" s="31"/>
    </row>
    <row r="63" spans="1:22" ht="15.75" hidden="1">
      <c r="A63" s="1094"/>
      <c r="B63" s="20"/>
      <c r="C63" s="20"/>
      <c r="D63" s="20"/>
      <c r="E63" s="20"/>
      <c r="F63" s="20"/>
      <c r="G63" s="20"/>
      <c r="H63" s="20"/>
      <c r="I63" s="20"/>
      <c r="J63" s="20"/>
      <c r="K63" s="15"/>
      <c r="L63" s="364"/>
      <c r="M63" s="364"/>
      <c r="N63" s="38"/>
      <c r="O63" s="11" t="s">
        <v>36</v>
      </c>
      <c r="P63" s="12">
        <v>800000</v>
      </c>
      <c r="Q63" s="33">
        <v>0.06</v>
      </c>
      <c r="R63" s="97">
        <f t="shared" ref="R63:R69" si="2">P63*Q63</f>
        <v>48000</v>
      </c>
      <c r="S63" s="130"/>
      <c r="T63" s="25"/>
      <c r="U63" s="54"/>
      <c r="V63" s="31"/>
    </row>
    <row r="64" spans="1:22" ht="15.75" hidden="1">
      <c r="A64" s="1094"/>
      <c r="B64" s="29"/>
      <c r="C64" s="29"/>
      <c r="D64" s="18"/>
      <c r="E64" s="29"/>
      <c r="F64" s="29"/>
      <c r="G64" s="29"/>
      <c r="H64" s="29"/>
      <c r="I64" s="29"/>
      <c r="J64" s="29"/>
      <c r="K64" s="29"/>
      <c r="L64" s="364"/>
      <c r="M64" s="364"/>
      <c r="N64" s="9">
        <v>12901</v>
      </c>
      <c r="O64" s="11" t="s">
        <v>47</v>
      </c>
      <c r="P64" s="128">
        <v>1300000</v>
      </c>
      <c r="Q64" s="33">
        <v>0.06</v>
      </c>
      <c r="R64" s="97">
        <f t="shared" si="2"/>
        <v>78000</v>
      </c>
      <c r="S64" s="111"/>
      <c r="T64" s="25"/>
      <c r="U64" s="54"/>
      <c r="V64" s="31"/>
    </row>
    <row r="65" spans="1:22" ht="15.75" hidden="1">
      <c r="A65" s="1094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364"/>
      <c r="M65" s="364"/>
      <c r="N65" s="9">
        <v>12945</v>
      </c>
      <c r="O65" s="11" t="s">
        <v>49</v>
      </c>
      <c r="P65" s="12">
        <v>1250000</v>
      </c>
      <c r="Q65" s="33">
        <v>0.06</v>
      </c>
      <c r="R65" s="97">
        <f t="shared" si="2"/>
        <v>75000</v>
      </c>
      <c r="S65" s="130"/>
      <c r="T65" s="25"/>
      <c r="U65" s="54"/>
      <c r="V65" s="31"/>
    </row>
    <row r="66" spans="1:22" ht="15.75" hidden="1">
      <c r="A66" s="1094"/>
      <c r="B66" s="29"/>
      <c r="C66" s="52"/>
      <c r="D66" s="53"/>
      <c r="E66" s="53"/>
      <c r="F66" s="25"/>
      <c r="G66" s="25"/>
      <c r="H66" s="25"/>
      <c r="I66" s="25"/>
      <c r="J66" s="54"/>
      <c r="K66" s="25"/>
      <c r="L66" s="364"/>
      <c r="M66" s="364"/>
      <c r="N66" s="9">
        <v>12922</v>
      </c>
      <c r="O66" s="11" t="s">
        <v>50</v>
      </c>
      <c r="P66" s="12">
        <v>1600000</v>
      </c>
      <c r="Q66" s="33">
        <v>0.06</v>
      </c>
      <c r="R66" s="97">
        <f t="shared" si="2"/>
        <v>96000</v>
      </c>
      <c r="S66" s="130"/>
      <c r="T66" s="25"/>
      <c r="U66" s="54"/>
      <c r="V66" s="31"/>
    </row>
    <row r="67" spans="1:22" ht="15.75" hidden="1">
      <c r="A67" s="1094"/>
      <c r="B67" s="29"/>
      <c r="C67" s="52"/>
      <c r="D67" s="25"/>
      <c r="E67" s="53"/>
      <c r="F67" s="25"/>
      <c r="G67" s="25"/>
      <c r="H67" s="25"/>
      <c r="I67" s="25"/>
      <c r="J67" s="54"/>
      <c r="K67" s="15"/>
      <c r="L67" s="364"/>
      <c r="M67" s="364"/>
      <c r="N67" s="9">
        <v>13030</v>
      </c>
      <c r="O67" s="11" t="s">
        <v>59</v>
      </c>
      <c r="P67" s="12">
        <v>1200000</v>
      </c>
      <c r="Q67" s="33">
        <v>0.06</v>
      </c>
      <c r="R67" s="97">
        <f t="shared" si="2"/>
        <v>72000</v>
      </c>
      <c r="S67" s="87"/>
      <c r="T67" s="18"/>
      <c r="U67" s="54"/>
      <c r="V67" s="31"/>
    </row>
    <row r="68" spans="1:22" ht="15.75" hidden="1">
      <c r="A68" s="1095"/>
      <c r="B68" s="32"/>
      <c r="C68" s="32"/>
      <c r="D68" s="16"/>
      <c r="E68" s="47">
        <f>SUM(E62:E67)</f>
        <v>1742730</v>
      </c>
      <c r="F68" s="32"/>
      <c r="G68" s="48"/>
      <c r="H68" s="16"/>
      <c r="I68" s="16"/>
      <c r="J68" s="16"/>
      <c r="K68" s="16"/>
      <c r="L68" s="364"/>
      <c r="M68" s="364"/>
      <c r="N68" s="9">
        <v>12984</v>
      </c>
      <c r="O68" s="11" t="s">
        <v>76</v>
      </c>
      <c r="P68" s="12">
        <v>1200000</v>
      </c>
      <c r="Q68" s="33">
        <v>0.06</v>
      </c>
      <c r="R68" s="97">
        <f t="shared" si="2"/>
        <v>72000</v>
      </c>
      <c r="S68" s="130"/>
      <c r="T68" s="25"/>
      <c r="U68" s="54"/>
      <c r="V68" s="31"/>
    </row>
    <row r="69" spans="1:22" ht="15.75" hidden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95"/>
      <c r="M69" s="95"/>
      <c r="N69" s="9">
        <v>13031</v>
      </c>
      <c r="O69" s="11" t="s">
        <v>79</v>
      </c>
      <c r="P69" s="12">
        <v>1742000</v>
      </c>
      <c r="Q69" s="33">
        <v>0.06</v>
      </c>
      <c r="R69" s="97">
        <f t="shared" si="2"/>
        <v>104520</v>
      </c>
      <c r="S69" s="131"/>
      <c r="T69" s="115"/>
      <c r="U69" s="115"/>
      <c r="V69" s="116"/>
    </row>
    <row r="70" spans="1:22" ht="18.75" hidden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95"/>
      <c r="M70" s="95"/>
      <c r="N70" s="20"/>
      <c r="O70" s="20"/>
      <c r="P70" s="20"/>
      <c r="Q70" s="20"/>
      <c r="R70" s="105">
        <f>SUM(R62:R69)</f>
        <v>608020</v>
      </c>
      <c r="S70" s="132"/>
      <c r="T70" s="116"/>
      <c r="U70" s="116"/>
      <c r="V70" s="116"/>
    </row>
    <row r="71" spans="1:22" ht="15.75" hidden="1">
      <c r="A71" s="1101" t="s">
        <v>80</v>
      </c>
      <c r="B71" s="1138"/>
      <c r="C71" s="1138"/>
      <c r="D71" s="1138"/>
      <c r="E71" s="1138"/>
      <c r="F71" s="1138"/>
      <c r="G71" s="1138"/>
      <c r="H71" s="1138"/>
      <c r="I71" s="1138"/>
      <c r="J71" s="1138"/>
      <c r="K71" s="1138"/>
      <c r="L71" s="1139"/>
      <c r="M71" s="394"/>
      <c r="N71" s="1102" t="s">
        <v>2</v>
      </c>
      <c r="O71" s="1102"/>
      <c r="P71" s="1102"/>
      <c r="Q71" s="1102"/>
      <c r="R71" s="2"/>
      <c r="S71" s="111"/>
      <c r="T71" s="31"/>
      <c r="U71" s="31"/>
      <c r="V71" s="31"/>
    </row>
    <row r="72" spans="1:22" ht="15.75" hidden="1">
      <c r="A72" s="3" t="s">
        <v>3</v>
      </c>
      <c r="B72" s="3" t="s">
        <v>4</v>
      </c>
      <c r="C72" s="3" t="s">
        <v>5</v>
      </c>
      <c r="D72" s="3" t="s">
        <v>6</v>
      </c>
      <c r="E72" s="49" t="s">
        <v>7</v>
      </c>
      <c r="F72" s="3" t="s">
        <v>8</v>
      </c>
      <c r="G72" s="50" t="s">
        <v>9</v>
      </c>
      <c r="H72" s="3" t="s">
        <v>10</v>
      </c>
      <c r="I72" s="3"/>
      <c r="J72" s="3" t="s">
        <v>11</v>
      </c>
      <c r="K72" s="7" t="s">
        <v>12</v>
      </c>
      <c r="L72" s="393" t="s">
        <v>13</v>
      </c>
      <c r="M72" s="393"/>
      <c r="N72" s="8" t="s">
        <v>4</v>
      </c>
      <c r="O72" s="8" t="s">
        <v>6</v>
      </c>
      <c r="P72" s="8" t="s">
        <v>14</v>
      </c>
      <c r="Q72" s="8" t="s">
        <v>8</v>
      </c>
      <c r="R72" s="2" t="s">
        <v>15</v>
      </c>
      <c r="S72" s="111"/>
      <c r="T72" s="31"/>
      <c r="U72" s="31"/>
      <c r="V72" s="31"/>
    </row>
    <row r="73" spans="1:22" ht="18" hidden="1">
      <c r="A73" s="1094"/>
      <c r="B73" s="29"/>
      <c r="C73" s="52"/>
      <c r="D73" s="25"/>
      <c r="E73" s="53"/>
      <c r="F73" s="25"/>
      <c r="G73" s="25"/>
      <c r="H73" s="25"/>
      <c r="I73" s="25"/>
      <c r="J73" s="54"/>
      <c r="K73" s="15"/>
      <c r="L73" s="364"/>
      <c r="M73" s="364"/>
      <c r="N73" s="9" t="s">
        <v>81</v>
      </c>
      <c r="O73" s="11" t="s">
        <v>55</v>
      </c>
      <c r="P73" s="12">
        <v>1000000</v>
      </c>
      <c r="Q73" s="106">
        <v>0.05</v>
      </c>
      <c r="R73" s="99">
        <f>P73*Q73</f>
        <v>50000</v>
      </c>
      <c r="T73" s="133"/>
      <c r="U73" s="125"/>
      <c r="V73" s="31"/>
    </row>
    <row r="74" spans="1:22" ht="15.75" hidden="1">
      <c r="A74" s="1095"/>
      <c r="B74" s="32"/>
      <c r="C74" s="32"/>
      <c r="D74" s="16"/>
      <c r="E74" s="81">
        <f>SUM(E73:E73)</f>
        <v>0</v>
      </c>
      <c r="F74" s="32"/>
      <c r="G74" s="82">
        <f>SUM(G73:G73)</f>
        <v>0</v>
      </c>
      <c r="H74" s="16"/>
      <c r="I74" s="16"/>
      <c r="J74" s="16"/>
      <c r="K74" s="16"/>
      <c r="L74" s="364"/>
      <c r="M74" s="364"/>
      <c r="N74" s="31"/>
      <c r="O74" s="31"/>
      <c r="P74" s="10"/>
      <c r="Q74" s="191"/>
      <c r="R74" s="10"/>
      <c r="S74" s="111"/>
      <c r="T74" s="31"/>
      <c r="U74" s="31"/>
      <c r="V74" s="31"/>
    </row>
    <row r="75" spans="1:22" ht="18.75" hidden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95"/>
      <c r="M75" s="95"/>
      <c r="N75" s="20"/>
      <c r="O75" s="20"/>
      <c r="P75" s="20"/>
      <c r="Q75" s="57"/>
      <c r="R75" s="105">
        <f>SUM(R73:R74)</f>
        <v>50000</v>
      </c>
      <c r="S75" s="111"/>
      <c r="T75" s="31"/>
      <c r="U75" s="31"/>
      <c r="V75" s="31"/>
    </row>
    <row r="76" spans="1:22" hidden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95"/>
      <c r="M76" s="95"/>
      <c r="N76" s="20"/>
      <c r="O76" s="20"/>
      <c r="P76" s="20"/>
      <c r="Q76" s="57"/>
      <c r="R76" s="20"/>
      <c r="S76" s="111"/>
      <c r="T76" s="31"/>
      <c r="U76" s="31"/>
      <c r="V76" s="31"/>
    </row>
    <row r="77" spans="1:22" ht="15.75" hidden="1">
      <c r="A77" s="1089" t="s">
        <v>82</v>
      </c>
      <c r="B77" s="1140"/>
      <c r="C77" s="183"/>
      <c r="D77" s="184">
        <f>E22+E45+E52+E58+E68</f>
        <v>33692730</v>
      </c>
      <c r="E77" s="20"/>
      <c r="F77" s="20"/>
      <c r="G77" s="20"/>
      <c r="H77" s="20"/>
      <c r="I77" s="20"/>
      <c r="J77" s="20"/>
      <c r="K77" s="20"/>
      <c r="L77" s="95"/>
      <c r="M77" s="95"/>
      <c r="N77" s="20"/>
      <c r="O77" s="20"/>
      <c r="P77" s="20"/>
      <c r="Q77" s="20"/>
      <c r="R77" s="20"/>
      <c r="S77" s="112"/>
      <c r="T77" s="20"/>
      <c r="U77" s="20"/>
      <c r="V77" s="20"/>
    </row>
    <row r="78" spans="1:22" ht="15.75" hidden="1">
      <c r="A78" s="1090" t="s">
        <v>83</v>
      </c>
      <c r="B78" s="1141"/>
      <c r="C78" s="185"/>
      <c r="D78" s="80">
        <v>2950000</v>
      </c>
      <c r="E78" s="20"/>
      <c r="F78" s="20"/>
      <c r="G78" s="20"/>
      <c r="H78" s="20"/>
      <c r="I78" s="20"/>
      <c r="J78" s="20"/>
      <c r="K78" s="20"/>
      <c r="L78" s="95"/>
      <c r="M78" s="95"/>
      <c r="N78" s="20"/>
      <c r="O78" s="20"/>
      <c r="P78" s="20"/>
      <c r="Q78" s="20"/>
      <c r="R78" s="20"/>
    </row>
    <row r="79" spans="1:22" ht="15.75" hidden="1">
      <c r="A79" s="1091" t="s">
        <v>84</v>
      </c>
      <c r="B79" s="1142"/>
      <c r="C79" s="186"/>
      <c r="D79" s="193">
        <v>1290000</v>
      </c>
      <c r="E79" s="20"/>
      <c r="F79" s="20"/>
      <c r="G79" s="20"/>
      <c r="H79" s="20"/>
      <c r="I79" s="20"/>
      <c r="J79" s="20"/>
      <c r="K79" s="20"/>
      <c r="L79" s="95"/>
      <c r="M79" s="95"/>
      <c r="N79" s="20"/>
      <c r="O79" s="20"/>
      <c r="P79" s="20"/>
      <c r="Q79" s="20"/>
      <c r="R79" s="20"/>
    </row>
    <row r="80" spans="1:22" ht="15.75" hidden="1">
      <c r="A80" s="1092" t="s">
        <v>85</v>
      </c>
      <c r="B80" s="1140"/>
      <c r="C80" s="186"/>
      <c r="D80" s="188">
        <v>10760000</v>
      </c>
      <c r="E80" s="20"/>
      <c r="F80" s="20"/>
      <c r="G80" s="20"/>
      <c r="H80" s="20"/>
      <c r="I80" s="20"/>
      <c r="J80" s="20"/>
      <c r="K80" s="20"/>
      <c r="L80" s="95"/>
      <c r="M80" s="95"/>
      <c r="N80" s="20"/>
      <c r="O80" s="20"/>
      <c r="P80" s="20"/>
      <c r="Q80" s="20"/>
      <c r="R80" s="20"/>
    </row>
    <row r="81" spans="1:23" ht="15.75" hidden="1">
      <c r="A81" s="1088" t="s">
        <v>86</v>
      </c>
      <c r="B81" s="1088"/>
      <c r="C81" s="189"/>
      <c r="D81" s="190"/>
      <c r="E81" s="20"/>
      <c r="F81" s="20"/>
      <c r="G81" s="20"/>
      <c r="H81" s="20"/>
      <c r="I81" s="20"/>
      <c r="J81" s="20"/>
      <c r="K81" s="20"/>
      <c r="L81" s="95"/>
      <c r="M81" s="95"/>
      <c r="N81" s="20"/>
      <c r="O81" s="20"/>
      <c r="P81" s="20"/>
      <c r="Q81" s="20"/>
      <c r="R81" s="20"/>
    </row>
    <row r="82" spans="1:23" ht="15.75" hidden="1">
      <c r="A82" s="1058" t="s">
        <v>87</v>
      </c>
      <c r="B82" s="1058"/>
      <c r="C82" s="117"/>
      <c r="D82" s="80">
        <v>1900000</v>
      </c>
      <c r="E82" s="20"/>
      <c r="F82" s="20"/>
      <c r="G82" s="20"/>
      <c r="H82" s="20"/>
      <c r="I82" s="20"/>
      <c r="J82" s="20"/>
      <c r="K82" s="20"/>
      <c r="L82" s="95"/>
      <c r="M82" s="95"/>
      <c r="N82" s="20"/>
      <c r="O82" s="20"/>
      <c r="P82" s="20"/>
      <c r="Q82" s="20"/>
      <c r="R82" s="20"/>
    </row>
    <row r="83" spans="1:23" hidden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95"/>
      <c r="M83" s="95"/>
      <c r="N83" s="20"/>
      <c r="O83" s="20"/>
      <c r="P83" s="20"/>
      <c r="Q83" s="20"/>
      <c r="R83" s="20"/>
    </row>
    <row r="84" spans="1:23" hidden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95"/>
      <c r="M84" s="95"/>
      <c r="N84" s="20"/>
      <c r="O84" s="20"/>
      <c r="P84" s="20"/>
      <c r="Q84" s="20"/>
      <c r="R84" s="20"/>
    </row>
    <row r="85" spans="1:23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95"/>
      <c r="M85" s="95"/>
      <c r="N85" s="20"/>
      <c r="O85" s="20"/>
      <c r="P85" s="20"/>
      <c r="Q85" s="20"/>
      <c r="R85" s="20"/>
    </row>
    <row r="86" spans="1:23" ht="46.5">
      <c r="A86" s="1096" t="s">
        <v>88</v>
      </c>
      <c r="B86" s="1097"/>
      <c r="C86" s="1097"/>
      <c r="D86" s="1097"/>
      <c r="E86" s="1097"/>
      <c r="F86" s="1097"/>
      <c r="G86" s="1097"/>
      <c r="H86" s="1097"/>
      <c r="I86" s="1097"/>
      <c r="J86" s="1097"/>
      <c r="K86" s="1097"/>
      <c r="L86" s="1097"/>
      <c r="M86" s="1097"/>
      <c r="N86" s="1097"/>
      <c r="O86" s="1097"/>
      <c r="P86" s="1097"/>
      <c r="Q86" s="1097"/>
      <c r="R86" s="1098"/>
    </row>
    <row r="87" spans="1:23" ht="15.75" hidden="1" customHeight="1">
      <c r="A87" s="1101" t="s">
        <v>1</v>
      </c>
      <c r="B87" s="1138"/>
      <c r="C87" s="1138"/>
      <c r="D87" s="1138"/>
      <c r="E87" s="1138"/>
      <c r="F87" s="1138"/>
      <c r="G87" s="1138"/>
      <c r="H87" s="1138"/>
      <c r="I87" s="1138"/>
      <c r="J87" s="1138"/>
      <c r="K87" s="1138"/>
      <c r="L87" s="1139"/>
      <c r="M87" s="394"/>
      <c r="N87" s="1106" t="s">
        <v>2</v>
      </c>
      <c r="O87" s="1106"/>
      <c r="P87" s="1106"/>
      <c r="Q87" s="1106"/>
      <c r="R87" s="2"/>
      <c r="S87" s="56"/>
      <c r="T87" s="56"/>
      <c r="U87" s="56"/>
      <c r="V87" s="56"/>
      <c r="W87" s="56"/>
    </row>
    <row r="88" spans="1:23" ht="15.75" hidden="1">
      <c r="A88" s="3" t="s">
        <v>3</v>
      </c>
      <c r="B88" s="3" t="s">
        <v>4</v>
      </c>
      <c r="C88" s="3" t="s">
        <v>5</v>
      </c>
      <c r="D88" s="3" t="s">
        <v>6</v>
      </c>
      <c r="E88" s="49" t="s">
        <v>7</v>
      </c>
      <c r="F88" s="3" t="s">
        <v>8</v>
      </c>
      <c r="G88" s="50" t="s">
        <v>9</v>
      </c>
      <c r="H88" s="3" t="s">
        <v>10</v>
      </c>
      <c r="I88" s="3"/>
      <c r="J88" s="3" t="s">
        <v>11</v>
      </c>
      <c r="K88" s="7" t="s">
        <v>12</v>
      </c>
      <c r="L88" s="393" t="s">
        <v>13</v>
      </c>
      <c r="M88" s="393"/>
      <c r="N88" s="58" t="s">
        <v>4</v>
      </c>
      <c r="O88" s="58" t="s">
        <v>6</v>
      </c>
      <c r="P88" s="58" t="s">
        <v>14</v>
      </c>
      <c r="Q88" s="58" t="s">
        <v>8</v>
      </c>
      <c r="R88" s="387" t="s">
        <v>15</v>
      </c>
      <c r="S88" s="56"/>
      <c r="T88" s="56"/>
      <c r="U88" s="56"/>
      <c r="V88" s="56"/>
      <c r="W88" s="56"/>
    </row>
    <row r="89" spans="1:23" ht="15.75" hidden="1" customHeight="1">
      <c r="A89" s="1094" t="s">
        <v>89</v>
      </c>
      <c r="B89" s="11">
        <v>13184</v>
      </c>
      <c r="C89" s="33">
        <v>0.1</v>
      </c>
      <c r="D89" s="11" t="s">
        <v>90</v>
      </c>
      <c r="E89" s="12">
        <v>1700000</v>
      </c>
      <c r="F89" s="257">
        <v>0.06</v>
      </c>
      <c r="G89" s="258">
        <f>E89*F89</f>
        <v>102000</v>
      </c>
      <c r="H89" s="11" t="s">
        <v>22</v>
      </c>
      <c r="I89" s="11"/>
      <c r="J89" s="11" t="s">
        <v>27</v>
      </c>
      <c r="K89" s="15" t="s">
        <v>19</v>
      </c>
      <c r="L89" s="394"/>
      <c r="M89" s="394"/>
      <c r="N89" s="11" t="s">
        <v>91</v>
      </c>
      <c r="O89" s="11" t="s">
        <v>92</v>
      </c>
      <c r="P89" s="12">
        <v>820000</v>
      </c>
      <c r="Q89" s="33">
        <v>0.05</v>
      </c>
      <c r="R89" s="259">
        <f>P89*Q89</f>
        <v>41000</v>
      </c>
      <c r="S89" s="245"/>
      <c r="T89" s="25"/>
      <c r="U89" s="54"/>
      <c r="V89" s="56"/>
      <c r="W89" s="56"/>
    </row>
    <row r="90" spans="1:23" ht="15.75" hidden="1" customHeight="1">
      <c r="A90" s="1094"/>
      <c r="B90" s="11" t="s">
        <v>93</v>
      </c>
      <c r="C90" s="33">
        <v>0.1</v>
      </c>
      <c r="D90" s="11" t="s">
        <v>94</v>
      </c>
      <c r="E90" s="12">
        <v>800000</v>
      </c>
      <c r="F90" s="257">
        <v>0.1</v>
      </c>
      <c r="G90" s="258">
        <f t="shared" ref="G90:G95" si="3">E90*F90</f>
        <v>80000</v>
      </c>
      <c r="H90" s="35" t="s">
        <v>17</v>
      </c>
      <c r="I90" s="35"/>
      <c r="J90" s="36" t="s">
        <v>18</v>
      </c>
      <c r="K90" s="15" t="s">
        <v>19</v>
      </c>
      <c r="L90" s="364"/>
      <c r="M90" s="364"/>
      <c r="N90" s="11">
        <v>13263</v>
      </c>
      <c r="O90" s="11" t="s">
        <v>95</v>
      </c>
      <c r="P90" s="12">
        <v>1500000</v>
      </c>
      <c r="Q90" s="33">
        <v>0.05</v>
      </c>
      <c r="R90" s="259">
        <f>P90*Q90</f>
        <v>75000</v>
      </c>
      <c r="S90" s="56"/>
      <c r="T90" s="56"/>
      <c r="U90" s="56"/>
      <c r="V90" s="56"/>
      <c r="W90" s="56"/>
    </row>
    <row r="91" spans="1:23" ht="15.75" hidden="1" customHeight="1">
      <c r="A91" s="1094"/>
      <c r="B91" s="11">
        <v>13237</v>
      </c>
      <c r="C91" s="33">
        <v>0.1</v>
      </c>
      <c r="D91" s="11" t="s">
        <v>96</v>
      </c>
      <c r="E91" s="12">
        <v>2500000</v>
      </c>
      <c r="F91" s="257">
        <v>0.1</v>
      </c>
      <c r="G91" s="258">
        <f t="shared" si="3"/>
        <v>250000</v>
      </c>
      <c r="H91" s="35" t="s">
        <v>17</v>
      </c>
      <c r="I91" s="35"/>
      <c r="J91" s="11" t="s">
        <v>27</v>
      </c>
      <c r="K91" s="15" t="s">
        <v>19</v>
      </c>
      <c r="L91" s="364"/>
      <c r="M91" s="364"/>
      <c r="N91" s="29"/>
      <c r="O91" s="29"/>
      <c r="P91" s="53"/>
      <c r="Q91" s="139"/>
      <c r="R91" s="53"/>
      <c r="S91" s="56"/>
      <c r="T91" s="56"/>
      <c r="U91" s="56"/>
      <c r="V91" s="56"/>
      <c r="W91" s="56"/>
    </row>
    <row r="92" spans="1:23" ht="15.75" hidden="1" customHeight="1">
      <c r="A92" s="1094"/>
      <c r="B92" s="11">
        <v>13295</v>
      </c>
      <c r="C92" s="33">
        <v>0.1</v>
      </c>
      <c r="D92" s="35" t="s">
        <v>97</v>
      </c>
      <c r="E92" s="12">
        <v>1500000</v>
      </c>
      <c r="F92" s="257">
        <v>0.05</v>
      </c>
      <c r="G92" s="258">
        <f t="shared" si="3"/>
        <v>75000</v>
      </c>
      <c r="H92" s="35" t="s">
        <v>98</v>
      </c>
      <c r="I92" s="35"/>
      <c r="J92" s="36" t="s">
        <v>99</v>
      </c>
      <c r="K92" s="15" t="s">
        <v>19</v>
      </c>
      <c r="L92" s="364"/>
      <c r="M92" s="364"/>
      <c r="N92" s="29"/>
      <c r="O92" s="29"/>
      <c r="P92" s="53"/>
      <c r="Q92" s="139"/>
      <c r="R92" s="53"/>
      <c r="S92" s="56"/>
      <c r="T92" s="56"/>
      <c r="U92" s="56"/>
      <c r="V92" s="56"/>
      <c r="W92" s="56"/>
    </row>
    <row r="93" spans="1:23" ht="15.75" hidden="1" customHeight="1">
      <c r="A93" s="1094"/>
      <c r="B93" s="11">
        <v>13301</v>
      </c>
      <c r="C93" s="33">
        <v>0.1</v>
      </c>
      <c r="D93" s="11" t="s">
        <v>100</v>
      </c>
      <c r="E93" s="12">
        <v>1800000</v>
      </c>
      <c r="F93" s="257">
        <v>0.1</v>
      </c>
      <c r="G93" s="258">
        <f t="shared" si="3"/>
        <v>180000</v>
      </c>
      <c r="H93" s="35" t="s">
        <v>17</v>
      </c>
      <c r="I93" s="35"/>
      <c r="J93" s="36" t="s">
        <v>27</v>
      </c>
      <c r="K93" s="15" t="s">
        <v>19</v>
      </c>
      <c r="L93" s="364"/>
      <c r="M93" s="364"/>
      <c r="N93" s="29"/>
      <c r="O93" s="137"/>
      <c r="P93" s="53"/>
      <c r="Q93" s="52"/>
      <c r="R93" s="53"/>
    </row>
    <row r="94" spans="1:23" ht="15.75" hidden="1" customHeight="1">
      <c r="A94" s="1094"/>
      <c r="B94" s="11">
        <v>13306</v>
      </c>
      <c r="C94" s="127">
        <v>0.08</v>
      </c>
      <c r="D94" s="35" t="s">
        <v>101</v>
      </c>
      <c r="E94" s="12">
        <v>1600000</v>
      </c>
      <c r="F94" s="257">
        <v>0.05</v>
      </c>
      <c r="G94" s="258">
        <f t="shared" si="3"/>
        <v>80000</v>
      </c>
      <c r="H94" s="35" t="s">
        <v>53</v>
      </c>
      <c r="I94" s="35"/>
      <c r="J94" s="36" t="s">
        <v>27</v>
      </c>
      <c r="K94" s="15" t="s">
        <v>19</v>
      </c>
      <c r="L94" s="364"/>
      <c r="M94" s="364"/>
      <c r="N94" s="388"/>
      <c r="O94" s="54"/>
      <c r="P94" s="138"/>
      <c r="Q94" s="246"/>
      <c r="R94" s="262"/>
    </row>
    <row r="95" spans="1:23" ht="15.75" hidden="1" customHeight="1">
      <c r="A95" s="1094"/>
      <c r="B95" s="11" t="s">
        <v>102</v>
      </c>
      <c r="C95" s="33">
        <v>0.1</v>
      </c>
      <c r="D95" s="35" t="s">
        <v>103</v>
      </c>
      <c r="E95" s="12">
        <v>2500000</v>
      </c>
      <c r="F95" s="257">
        <v>0.05</v>
      </c>
      <c r="G95" s="258">
        <f t="shared" si="3"/>
        <v>125000</v>
      </c>
      <c r="H95" s="35" t="s">
        <v>104</v>
      </c>
      <c r="I95" s="35"/>
      <c r="J95" s="36" t="s">
        <v>18</v>
      </c>
      <c r="K95" s="15" t="s">
        <v>19</v>
      </c>
      <c r="L95" s="364"/>
      <c r="M95" s="364"/>
      <c r="N95" s="388"/>
      <c r="O95" s="54"/>
      <c r="P95" s="138"/>
      <c r="Q95" s="246"/>
      <c r="R95" s="262"/>
    </row>
    <row r="96" spans="1:23" ht="15.75" hidden="1" customHeight="1">
      <c r="A96" s="1094"/>
      <c r="B96" s="11">
        <v>13374</v>
      </c>
      <c r="C96" s="127">
        <v>0.08</v>
      </c>
      <c r="D96" s="35" t="s">
        <v>105</v>
      </c>
      <c r="E96" s="12">
        <v>1150000</v>
      </c>
      <c r="F96" s="257">
        <v>0.05</v>
      </c>
      <c r="G96" s="258">
        <f>E96*F96</f>
        <v>57500</v>
      </c>
      <c r="H96" s="35" t="s">
        <v>53</v>
      </c>
      <c r="I96" s="35"/>
      <c r="J96" s="36" t="s">
        <v>18</v>
      </c>
      <c r="K96" s="15" t="s">
        <v>19</v>
      </c>
      <c r="L96" s="364"/>
      <c r="M96" s="364"/>
      <c r="N96" s="388"/>
      <c r="O96" s="54"/>
      <c r="P96" s="138"/>
      <c r="Q96" s="246"/>
      <c r="R96" s="262"/>
    </row>
    <row r="97" spans="1:23" ht="15.75" hidden="1" customHeight="1">
      <c r="A97" s="1094"/>
      <c r="B97" s="319">
        <v>13402</v>
      </c>
      <c r="C97" s="33">
        <v>0.1</v>
      </c>
      <c r="D97" s="35" t="s">
        <v>106</v>
      </c>
      <c r="E97" s="12">
        <v>1850000</v>
      </c>
      <c r="F97" s="257">
        <v>0.05</v>
      </c>
      <c r="G97" s="258">
        <f>E97*F97</f>
        <v>92500</v>
      </c>
      <c r="H97" s="35" t="s">
        <v>53</v>
      </c>
      <c r="I97" s="35"/>
      <c r="J97" s="36" t="s">
        <v>27</v>
      </c>
      <c r="K97" s="88"/>
      <c r="L97" s="364"/>
      <c r="M97" s="364"/>
      <c r="N97" s="388"/>
      <c r="O97" s="54"/>
      <c r="P97" s="138"/>
      <c r="Q97" s="246"/>
      <c r="R97" s="262"/>
    </row>
    <row r="98" spans="1:23" ht="15.75" hidden="1" customHeight="1">
      <c r="A98" s="1094"/>
      <c r="B98" s="89" t="s">
        <v>39</v>
      </c>
      <c r="C98" s="40"/>
      <c r="D98" s="45" t="s">
        <v>107</v>
      </c>
      <c r="E98" s="42"/>
      <c r="F98" s="265"/>
      <c r="G98" s="266"/>
      <c r="H98" s="45"/>
      <c r="I98" s="45"/>
      <c r="J98" s="46" t="s">
        <v>18</v>
      </c>
      <c r="K98" s="15"/>
      <c r="L98" s="364"/>
      <c r="M98" s="364"/>
      <c r="N98" s="388"/>
      <c r="O98" s="54"/>
      <c r="P98" s="138"/>
      <c r="Q98" s="246"/>
      <c r="R98" s="262"/>
    </row>
    <row r="99" spans="1:23" ht="15.75" hidden="1" customHeight="1">
      <c r="A99" s="1094"/>
      <c r="B99" s="89" t="s">
        <v>39</v>
      </c>
      <c r="C99" s="142">
        <v>0.08</v>
      </c>
      <c r="D99" s="45" t="s">
        <v>108</v>
      </c>
      <c r="E99" s="42"/>
      <c r="F99" s="260"/>
      <c r="G99" s="44"/>
      <c r="H99" s="45"/>
      <c r="I99" s="45"/>
      <c r="J99" s="46" t="s">
        <v>18</v>
      </c>
      <c r="K99" s="15"/>
      <c r="L99" s="364"/>
      <c r="M99" s="364"/>
      <c r="N99" s="388"/>
      <c r="O99" s="54"/>
      <c r="P99" s="138"/>
      <c r="Q99" s="246"/>
      <c r="R99" s="262"/>
    </row>
    <row r="100" spans="1:23" ht="15.75" hidden="1" customHeight="1">
      <c r="A100" s="1094"/>
      <c r="B100" s="89" t="s">
        <v>39</v>
      </c>
      <c r="C100" s="40"/>
      <c r="D100" s="45" t="s">
        <v>109</v>
      </c>
      <c r="E100" s="42"/>
      <c r="F100" s="260"/>
      <c r="G100" s="44"/>
      <c r="H100" s="45"/>
      <c r="I100" s="45"/>
      <c r="J100" s="46" t="s">
        <v>27</v>
      </c>
      <c r="K100" s="15"/>
      <c r="L100" s="364"/>
      <c r="M100" s="364"/>
      <c r="N100" s="388"/>
      <c r="O100" s="54"/>
      <c r="P100" s="138"/>
      <c r="Q100" s="246"/>
      <c r="R100" s="262"/>
    </row>
    <row r="101" spans="1:23" ht="15.75" hidden="1" customHeight="1">
      <c r="A101" s="1094"/>
      <c r="B101" s="89" t="s">
        <v>39</v>
      </c>
      <c r="C101" s="40"/>
      <c r="D101" s="89" t="s">
        <v>110</v>
      </c>
      <c r="E101" s="42"/>
      <c r="F101" s="40"/>
      <c r="G101" s="42"/>
      <c r="H101" s="45"/>
      <c r="I101" s="45"/>
      <c r="J101" s="89" t="s">
        <v>27</v>
      </c>
      <c r="K101" s="15"/>
      <c r="L101" s="364"/>
      <c r="M101" s="364"/>
      <c r="N101" s="388"/>
      <c r="O101" s="54"/>
      <c r="P101" s="138"/>
      <c r="Q101" s="246"/>
      <c r="R101" s="262"/>
    </row>
    <row r="102" spans="1:23" ht="18.75" hidden="1" customHeight="1">
      <c r="A102" s="1094"/>
      <c r="B102" s="89" t="s">
        <v>39</v>
      </c>
      <c r="C102" s="40"/>
      <c r="D102" s="89" t="s">
        <v>110</v>
      </c>
      <c r="E102" s="42"/>
      <c r="F102" s="40"/>
      <c r="G102" s="42"/>
      <c r="H102" s="45"/>
      <c r="I102" s="45"/>
      <c r="J102" s="89" t="s">
        <v>27</v>
      </c>
      <c r="K102" s="29"/>
      <c r="L102" s="364"/>
      <c r="M102" s="364"/>
      <c r="N102" s="263"/>
      <c r="O102" s="263"/>
      <c r="P102" s="263"/>
      <c r="Q102" s="389"/>
      <c r="R102" s="261">
        <f>SUM(R89:R101)</f>
        <v>116000</v>
      </c>
    </row>
    <row r="103" spans="1:23" ht="15.75" hidden="1" customHeight="1">
      <c r="A103" s="1094"/>
      <c r="B103" s="92" t="s">
        <v>39</v>
      </c>
      <c r="C103" s="144"/>
      <c r="D103" s="145" t="s">
        <v>111</v>
      </c>
      <c r="E103" s="42"/>
      <c r="F103" s="142"/>
      <c r="G103" s="42"/>
      <c r="H103" s="45"/>
      <c r="I103" s="45"/>
      <c r="J103" s="46" t="s">
        <v>27</v>
      </c>
      <c r="K103" s="15"/>
      <c r="L103" s="364"/>
      <c r="M103" s="364"/>
      <c r="N103" s="263"/>
      <c r="O103" s="263"/>
      <c r="P103" s="263"/>
      <c r="Q103" s="389"/>
      <c r="R103" s="262"/>
    </row>
    <row r="104" spans="1:23" ht="30.75" hidden="1" customHeight="1">
      <c r="A104" s="1095"/>
      <c r="B104" s="32"/>
      <c r="C104" s="32"/>
      <c r="D104" s="16"/>
      <c r="E104" s="81">
        <f>SUM(E89:E103)</f>
        <v>15400000</v>
      </c>
      <c r="F104" s="32"/>
      <c r="G104" s="82">
        <f>SUM(G89:G103)</f>
        <v>1042000</v>
      </c>
      <c r="H104" s="16"/>
      <c r="I104" s="16"/>
      <c r="J104" s="16"/>
      <c r="K104" s="16"/>
      <c r="L104" s="364"/>
      <c r="M104" s="364"/>
      <c r="N104" s="263"/>
      <c r="O104" s="263"/>
      <c r="P104" s="259">
        <f>SUM(P89:P103)</f>
        <v>2320000</v>
      </c>
      <c r="Q104" s="389"/>
      <c r="R104" s="264">
        <f>G104+R102</f>
        <v>1158000</v>
      </c>
    </row>
    <row r="105" spans="1:23" hidden="1">
      <c r="A105" s="20"/>
      <c r="B105" s="262"/>
      <c r="C105" s="262"/>
      <c r="D105" s="262"/>
      <c r="E105" s="262"/>
      <c r="F105" s="262"/>
      <c r="G105" s="262"/>
      <c r="H105" s="262"/>
      <c r="I105" s="262"/>
      <c r="J105" s="262"/>
      <c r="K105" s="262"/>
      <c r="L105" s="395"/>
      <c r="M105" s="395"/>
      <c r="N105" s="262"/>
      <c r="O105" s="262"/>
      <c r="P105" s="262"/>
      <c r="Q105" s="390"/>
      <c r="R105" s="262"/>
    </row>
    <row r="106" spans="1:23" hidden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95"/>
      <c r="M106" s="95"/>
      <c r="N106" s="20"/>
      <c r="O106" s="20"/>
      <c r="P106" s="20"/>
      <c r="Q106" s="20"/>
      <c r="R106" s="20"/>
    </row>
    <row r="107" spans="1:23" hidden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95"/>
      <c r="M107" s="95"/>
      <c r="N107" s="20"/>
      <c r="O107" s="20"/>
      <c r="P107" s="20"/>
      <c r="Q107" s="20"/>
      <c r="R107" s="20"/>
    </row>
    <row r="108" spans="1:23" ht="15.75" hidden="1" customHeight="1">
      <c r="A108" s="1101" t="s">
        <v>46</v>
      </c>
      <c r="B108" s="1138"/>
      <c r="C108" s="1138"/>
      <c r="D108" s="1138"/>
      <c r="E108" s="1138"/>
      <c r="F108" s="1138"/>
      <c r="G108" s="1138"/>
      <c r="H108" s="1138"/>
      <c r="I108" s="1138"/>
      <c r="J108" s="1138"/>
      <c r="K108" s="1138"/>
      <c r="L108" s="1139"/>
      <c r="M108" s="394"/>
      <c r="N108" s="1106" t="s">
        <v>2</v>
      </c>
      <c r="O108" s="1106"/>
      <c r="P108" s="1106"/>
      <c r="Q108" s="1106"/>
      <c r="R108" s="2"/>
    </row>
    <row r="109" spans="1:23" ht="15.75" hidden="1">
      <c r="A109" s="3" t="s">
        <v>3</v>
      </c>
      <c r="B109" s="3" t="s">
        <v>4</v>
      </c>
      <c r="C109" s="3" t="s">
        <v>5</v>
      </c>
      <c r="D109" s="3" t="s">
        <v>6</v>
      </c>
      <c r="E109" s="49" t="s">
        <v>7</v>
      </c>
      <c r="F109" s="3" t="s">
        <v>8</v>
      </c>
      <c r="G109" s="50" t="s">
        <v>9</v>
      </c>
      <c r="H109" s="3" t="s">
        <v>10</v>
      </c>
      <c r="I109" s="3"/>
      <c r="J109" s="3" t="s">
        <v>11</v>
      </c>
      <c r="K109" s="7" t="s">
        <v>12</v>
      </c>
      <c r="L109" s="393" t="s">
        <v>13</v>
      </c>
      <c r="M109" s="393"/>
      <c r="N109" s="58" t="s">
        <v>4</v>
      </c>
      <c r="O109" s="58" t="s">
        <v>6</v>
      </c>
      <c r="P109" s="58" t="s">
        <v>14</v>
      </c>
      <c r="Q109" s="58" t="s">
        <v>8</v>
      </c>
      <c r="R109" s="387" t="s">
        <v>15</v>
      </c>
    </row>
    <row r="110" spans="1:23" ht="15.75" hidden="1" customHeight="1">
      <c r="A110" s="1094" t="s">
        <v>89</v>
      </c>
      <c r="B110" s="9">
        <v>13155</v>
      </c>
      <c r="C110" s="163">
        <v>7.0000000000000007E-2</v>
      </c>
      <c r="D110" s="140" t="s">
        <v>112</v>
      </c>
      <c r="E110" s="12">
        <v>950000</v>
      </c>
      <c r="F110" s="127">
        <v>0.05</v>
      </c>
      <c r="G110" s="218">
        <f>E110*F110</f>
        <v>47500</v>
      </c>
      <c r="H110" s="9" t="s">
        <v>22</v>
      </c>
      <c r="I110" s="9"/>
      <c r="J110" s="35" t="s">
        <v>113</v>
      </c>
      <c r="K110" s="15" t="s">
        <v>19</v>
      </c>
      <c r="L110" s="364"/>
      <c r="M110" s="364"/>
      <c r="N110" s="9">
        <v>13306</v>
      </c>
      <c r="O110" s="35" t="s">
        <v>101</v>
      </c>
      <c r="P110" s="12">
        <v>1600000</v>
      </c>
      <c r="Q110" s="219">
        <v>0.04</v>
      </c>
      <c r="R110" s="68">
        <f>P110*Q110</f>
        <v>64000</v>
      </c>
      <c r="S110" s="252"/>
      <c r="T110" s="240"/>
      <c r="U110" s="241"/>
      <c r="V110" s="56"/>
      <c r="W110" s="56"/>
    </row>
    <row r="111" spans="1:23" ht="15.75" hidden="1" customHeight="1">
      <c r="A111" s="1094"/>
      <c r="B111" s="9">
        <v>13138</v>
      </c>
      <c r="C111" s="33">
        <v>0.1</v>
      </c>
      <c r="D111" s="140" t="s">
        <v>114</v>
      </c>
      <c r="E111" s="12">
        <v>1200000</v>
      </c>
      <c r="F111" s="33">
        <v>0.1</v>
      </c>
      <c r="G111" s="218">
        <f t="shared" ref="G111:G121" si="4">E111*F111</f>
        <v>120000</v>
      </c>
      <c r="H111" s="9" t="s">
        <v>53</v>
      </c>
      <c r="I111" s="9"/>
      <c r="J111" s="35" t="s">
        <v>113</v>
      </c>
      <c r="K111" s="15" t="s">
        <v>19</v>
      </c>
      <c r="L111" s="364"/>
      <c r="M111" s="364"/>
      <c r="N111" s="9">
        <v>13374</v>
      </c>
      <c r="O111" s="35" t="s">
        <v>115</v>
      </c>
      <c r="P111" s="12">
        <v>1150000</v>
      </c>
      <c r="Q111" s="219">
        <v>0.04</v>
      </c>
      <c r="R111" s="68">
        <f>P111*Q111</f>
        <v>46000</v>
      </c>
      <c r="S111" s="245"/>
      <c r="T111" s="25"/>
      <c r="U111" s="54"/>
      <c r="V111" s="56"/>
      <c r="W111" s="56"/>
    </row>
    <row r="112" spans="1:23" ht="15.75" hidden="1" customHeight="1">
      <c r="A112" s="1094"/>
      <c r="B112" s="9">
        <v>13172</v>
      </c>
      <c r="C112" s="33">
        <v>0.1</v>
      </c>
      <c r="D112" s="140" t="s">
        <v>116</v>
      </c>
      <c r="E112" s="12">
        <v>1100000</v>
      </c>
      <c r="F112" s="33">
        <v>0.1</v>
      </c>
      <c r="G112" s="218">
        <f t="shared" si="4"/>
        <v>110000</v>
      </c>
      <c r="H112" s="9" t="s">
        <v>53</v>
      </c>
      <c r="I112" s="9"/>
      <c r="J112" s="35" t="s">
        <v>113</v>
      </c>
      <c r="K112" s="15" t="s">
        <v>19</v>
      </c>
      <c r="L112" s="364"/>
      <c r="M112" s="364"/>
      <c r="N112" s="9">
        <v>13229</v>
      </c>
      <c r="O112" s="140" t="s">
        <v>117</v>
      </c>
      <c r="P112" s="12">
        <v>3300000</v>
      </c>
      <c r="Q112" s="33">
        <v>0.04</v>
      </c>
      <c r="R112" s="68">
        <f t="shared" ref="R112:R113" si="5">P112*Q112</f>
        <v>132000</v>
      </c>
      <c r="S112" s="56"/>
      <c r="T112" s="56"/>
      <c r="U112" s="56"/>
      <c r="V112" s="56"/>
      <c r="W112" s="56"/>
    </row>
    <row r="113" spans="1:23" ht="15.75" hidden="1" customHeight="1">
      <c r="A113" s="1094"/>
      <c r="B113" s="9">
        <v>13179</v>
      </c>
      <c r="C113" s="33">
        <v>0.1</v>
      </c>
      <c r="D113" s="140" t="s">
        <v>118</v>
      </c>
      <c r="E113" s="12">
        <v>1300000</v>
      </c>
      <c r="F113" s="33">
        <v>0.1</v>
      </c>
      <c r="G113" s="218">
        <f t="shared" si="4"/>
        <v>130000</v>
      </c>
      <c r="H113" s="9" t="s">
        <v>53</v>
      </c>
      <c r="I113" s="9"/>
      <c r="J113" s="35" t="s">
        <v>27</v>
      </c>
      <c r="K113" s="15" t="s">
        <v>19</v>
      </c>
      <c r="L113" s="364"/>
      <c r="M113" s="364"/>
      <c r="N113" s="9">
        <v>13402</v>
      </c>
      <c r="O113" s="35" t="s">
        <v>106</v>
      </c>
      <c r="P113" s="12">
        <v>1850000</v>
      </c>
      <c r="Q113" s="33">
        <v>0.05</v>
      </c>
      <c r="R113" s="68">
        <f t="shared" si="5"/>
        <v>92500</v>
      </c>
      <c r="S113" s="56"/>
      <c r="T113" s="56"/>
      <c r="U113" s="56"/>
      <c r="V113" s="56"/>
      <c r="W113" s="56"/>
    </row>
    <row r="114" spans="1:23" ht="15.75" hidden="1" customHeight="1">
      <c r="A114" s="1094"/>
      <c r="B114" s="9">
        <v>13201</v>
      </c>
      <c r="C114" s="33">
        <v>0.1</v>
      </c>
      <c r="D114" s="140" t="s">
        <v>119</v>
      </c>
      <c r="E114" s="12">
        <v>1200000</v>
      </c>
      <c r="F114" s="33">
        <v>0.1</v>
      </c>
      <c r="G114" s="218">
        <f t="shared" si="4"/>
        <v>120000</v>
      </c>
      <c r="H114" s="9" t="s">
        <v>53</v>
      </c>
      <c r="I114" s="9"/>
      <c r="J114" s="35" t="s">
        <v>113</v>
      </c>
      <c r="K114" s="15" t="s">
        <v>19</v>
      </c>
      <c r="L114" s="364"/>
      <c r="M114" s="364"/>
      <c r="N114" s="26"/>
      <c r="O114" s="137"/>
      <c r="P114" s="53"/>
      <c r="Q114" s="52"/>
      <c r="R114" s="53"/>
      <c r="S114" s="56"/>
      <c r="T114" s="56"/>
      <c r="U114" s="56"/>
      <c r="V114" s="56"/>
      <c r="W114" s="56"/>
    </row>
    <row r="115" spans="1:23" ht="15.75" hidden="1" customHeight="1">
      <c r="A115" s="1094"/>
      <c r="B115" s="9">
        <v>13217</v>
      </c>
      <c r="C115" s="33">
        <v>0.1</v>
      </c>
      <c r="D115" s="140" t="s">
        <v>120</v>
      </c>
      <c r="E115" s="12">
        <v>1250000</v>
      </c>
      <c r="F115" s="219">
        <v>0.05</v>
      </c>
      <c r="G115" s="218">
        <f t="shared" si="4"/>
        <v>62500</v>
      </c>
      <c r="H115" s="9" t="s">
        <v>121</v>
      </c>
      <c r="I115" s="9"/>
      <c r="J115" s="35" t="s">
        <v>113</v>
      </c>
      <c r="K115" s="15" t="s">
        <v>19</v>
      </c>
      <c r="L115" s="364"/>
      <c r="M115" s="364"/>
      <c r="N115" s="26"/>
      <c r="O115" s="137"/>
      <c r="P115" s="53"/>
      <c r="Q115" s="52"/>
      <c r="R115" s="53"/>
    </row>
    <row r="116" spans="1:23" ht="15.75" hidden="1" customHeight="1">
      <c r="A116" s="1094"/>
      <c r="B116" s="9">
        <v>13285</v>
      </c>
      <c r="C116" s="320">
        <v>0.08</v>
      </c>
      <c r="D116" s="140" t="s">
        <v>122</v>
      </c>
      <c r="E116" s="12">
        <v>1200000</v>
      </c>
      <c r="F116" s="33">
        <v>0.05</v>
      </c>
      <c r="G116" s="218">
        <f t="shared" si="4"/>
        <v>60000</v>
      </c>
      <c r="H116" s="9" t="s">
        <v>56</v>
      </c>
      <c r="I116" s="9"/>
      <c r="J116" s="35" t="s">
        <v>27</v>
      </c>
      <c r="K116" s="15" t="s">
        <v>19</v>
      </c>
      <c r="L116" s="364"/>
      <c r="M116" s="364"/>
      <c r="N116" s="26"/>
      <c r="O116" s="137"/>
      <c r="P116" s="53"/>
      <c r="Q116" s="52"/>
      <c r="R116" s="53"/>
    </row>
    <row r="117" spans="1:23" ht="15.75" hidden="1" customHeight="1">
      <c r="A117" s="1094"/>
      <c r="B117" s="9">
        <v>13293</v>
      </c>
      <c r="C117" s="33">
        <v>0.1</v>
      </c>
      <c r="D117" s="35" t="s">
        <v>123</v>
      </c>
      <c r="E117" s="12">
        <v>1300000</v>
      </c>
      <c r="F117" s="33">
        <v>0.1</v>
      </c>
      <c r="G117" s="218">
        <f t="shared" si="4"/>
        <v>130000</v>
      </c>
      <c r="H117" s="35" t="s">
        <v>53</v>
      </c>
      <c r="I117" s="35"/>
      <c r="J117" s="36" t="s">
        <v>113</v>
      </c>
      <c r="K117" s="15" t="s">
        <v>19</v>
      </c>
      <c r="L117" s="364"/>
      <c r="M117" s="364"/>
      <c r="N117" s="26"/>
      <c r="O117" s="137"/>
      <c r="P117" s="53"/>
      <c r="Q117" s="52"/>
      <c r="R117" s="53"/>
    </row>
    <row r="118" spans="1:23" ht="15.75" hidden="1" customHeight="1">
      <c r="A118" s="1094"/>
      <c r="B118" s="9" t="s">
        <v>91</v>
      </c>
      <c r="C118" s="33">
        <v>0.1</v>
      </c>
      <c r="D118" s="35" t="s">
        <v>92</v>
      </c>
      <c r="E118" s="12">
        <v>820000</v>
      </c>
      <c r="F118" s="33">
        <v>0.05</v>
      </c>
      <c r="G118" s="218">
        <f t="shared" si="4"/>
        <v>41000</v>
      </c>
      <c r="H118" s="35" t="s">
        <v>17</v>
      </c>
      <c r="I118" s="35"/>
      <c r="J118" s="36" t="s">
        <v>113</v>
      </c>
      <c r="K118" s="15" t="s">
        <v>19</v>
      </c>
      <c r="L118" s="364"/>
      <c r="M118" s="364"/>
      <c r="N118" s="26"/>
      <c r="O118" s="137"/>
      <c r="P118" s="53"/>
      <c r="Q118" s="52"/>
      <c r="R118" s="53"/>
    </row>
    <row r="119" spans="1:23" ht="15.75" hidden="1" customHeight="1">
      <c r="A119" s="1094"/>
      <c r="B119" s="9">
        <v>13309</v>
      </c>
      <c r="C119" s="33">
        <v>0.1</v>
      </c>
      <c r="D119" s="182" t="s">
        <v>124</v>
      </c>
      <c r="E119" s="12">
        <v>1200000</v>
      </c>
      <c r="F119" s="33">
        <v>0.1</v>
      </c>
      <c r="G119" s="218">
        <f t="shared" si="4"/>
        <v>120000</v>
      </c>
      <c r="H119" s="35" t="s">
        <v>53</v>
      </c>
      <c r="I119" s="35"/>
      <c r="J119" s="35" t="s">
        <v>27</v>
      </c>
      <c r="K119" s="15" t="s">
        <v>19</v>
      </c>
      <c r="L119" s="364"/>
      <c r="M119" s="364"/>
      <c r="N119" s="26"/>
      <c r="O119" s="137"/>
      <c r="P119" s="53"/>
      <c r="Q119" s="52"/>
      <c r="R119" s="53"/>
    </row>
    <row r="120" spans="1:23" ht="15.75" hidden="1" customHeight="1">
      <c r="A120" s="1094"/>
      <c r="B120" s="9">
        <v>13341</v>
      </c>
      <c r="C120" s="127">
        <v>0.08</v>
      </c>
      <c r="D120" s="35" t="s">
        <v>125</v>
      </c>
      <c r="E120" s="12">
        <v>1800000</v>
      </c>
      <c r="F120" s="33">
        <v>0.04</v>
      </c>
      <c r="G120" s="218">
        <f t="shared" si="4"/>
        <v>72000</v>
      </c>
      <c r="H120" s="35" t="s">
        <v>126</v>
      </c>
      <c r="I120" s="35"/>
      <c r="J120" s="35" t="s">
        <v>27</v>
      </c>
      <c r="K120" s="15" t="s">
        <v>19</v>
      </c>
      <c r="L120" s="364"/>
      <c r="M120" s="364"/>
      <c r="N120" s="26"/>
      <c r="O120" s="137"/>
      <c r="P120" s="53"/>
      <c r="Q120" s="52"/>
      <c r="R120" s="53"/>
    </row>
    <row r="121" spans="1:23" ht="15.75" hidden="1" customHeight="1">
      <c r="A121" s="1094"/>
      <c r="B121" s="9">
        <v>13348</v>
      </c>
      <c r="C121" s="33">
        <v>0.1</v>
      </c>
      <c r="D121" s="182" t="s">
        <v>127</v>
      </c>
      <c r="E121" s="12">
        <v>1200000</v>
      </c>
      <c r="F121" s="33">
        <v>0.1</v>
      </c>
      <c r="G121" s="218">
        <f t="shared" si="4"/>
        <v>120000</v>
      </c>
      <c r="H121" s="35" t="s">
        <v>53</v>
      </c>
      <c r="I121" s="35"/>
      <c r="J121" s="35" t="s">
        <v>18</v>
      </c>
      <c r="K121" s="15" t="s">
        <v>19</v>
      </c>
      <c r="L121" s="364"/>
      <c r="M121" s="364"/>
      <c r="N121" s="26"/>
      <c r="O121" s="137"/>
      <c r="P121" s="53"/>
      <c r="Q121" s="52"/>
      <c r="R121" s="53"/>
    </row>
    <row r="122" spans="1:23" ht="15.75" hidden="1" customHeight="1">
      <c r="A122" s="1094"/>
      <c r="B122" s="38" t="s">
        <v>128</v>
      </c>
      <c r="C122" s="40"/>
      <c r="D122" s="45" t="s">
        <v>129</v>
      </c>
      <c r="E122" s="42"/>
      <c r="F122" s="40"/>
      <c r="G122" s="70"/>
      <c r="H122" s="45"/>
      <c r="I122" s="45"/>
      <c r="J122" s="45" t="s">
        <v>18</v>
      </c>
      <c r="K122" s="15"/>
      <c r="L122" s="364"/>
      <c r="M122" s="364"/>
      <c r="N122" s="26"/>
      <c r="O122" s="137"/>
      <c r="P122" s="53"/>
      <c r="Q122" s="52"/>
      <c r="R122" s="53"/>
    </row>
    <row r="123" spans="1:23" ht="15.75" hidden="1" customHeight="1">
      <c r="A123" s="1094"/>
      <c r="B123" s="85" t="s">
        <v>37</v>
      </c>
      <c r="C123" s="142">
        <v>0.08</v>
      </c>
      <c r="D123" s="45" t="s">
        <v>108</v>
      </c>
      <c r="E123" s="42"/>
      <c r="F123" s="70"/>
      <c r="G123" s="70"/>
      <c r="H123" s="45"/>
      <c r="I123" s="45"/>
      <c r="J123" s="45" t="s">
        <v>18</v>
      </c>
      <c r="K123" s="15"/>
      <c r="L123" s="364"/>
      <c r="M123" s="364"/>
      <c r="N123" s="26"/>
      <c r="O123" s="137"/>
      <c r="P123" s="53"/>
      <c r="Q123" s="52"/>
      <c r="R123" s="53"/>
    </row>
    <row r="124" spans="1:23" ht="15.75" hidden="1" customHeight="1">
      <c r="A124" s="1094"/>
      <c r="B124" s="38" t="s">
        <v>130</v>
      </c>
      <c r="C124" s="40"/>
      <c r="D124" s="217" t="s">
        <v>131</v>
      </c>
      <c r="E124" s="42"/>
      <c r="F124" s="70"/>
      <c r="G124" s="70"/>
      <c r="H124" s="45"/>
      <c r="I124" s="45"/>
      <c r="J124" s="45" t="s">
        <v>27</v>
      </c>
      <c r="K124" s="15"/>
      <c r="L124" s="364"/>
      <c r="M124" s="364"/>
      <c r="N124" s="26"/>
      <c r="O124" s="137"/>
      <c r="P124" s="53"/>
      <c r="Q124" s="52"/>
      <c r="R124" s="53"/>
    </row>
    <row r="125" spans="1:23" ht="15.75" hidden="1" customHeight="1">
      <c r="A125" s="1094"/>
      <c r="B125" s="38" t="s">
        <v>39</v>
      </c>
      <c r="C125" s="40"/>
      <c r="D125" s="45" t="s">
        <v>132</v>
      </c>
      <c r="E125" s="42"/>
      <c r="F125" s="70"/>
      <c r="G125" s="70"/>
      <c r="H125" s="45"/>
      <c r="I125" s="45"/>
      <c r="J125" s="46" t="s">
        <v>18</v>
      </c>
      <c r="K125" s="15"/>
      <c r="L125" s="364"/>
      <c r="M125" s="364"/>
      <c r="N125" s="17"/>
      <c r="O125" s="54"/>
      <c r="P125" s="138"/>
      <c r="Q125" s="246"/>
      <c r="R125" s="117"/>
    </row>
    <row r="126" spans="1:23" ht="18.75" hidden="1" customHeight="1">
      <c r="A126" s="1094"/>
      <c r="B126" s="38" t="s">
        <v>39</v>
      </c>
      <c r="C126" s="40"/>
      <c r="D126" s="145" t="s">
        <v>133</v>
      </c>
      <c r="E126" s="70"/>
      <c r="F126" s="70"/>
      <c r="G126" s="70"/>
      <c r="H126" s="70"/>
      <c r="I126" s="70"/>
      <c r="J126" s="45" t="s">
        <v>99</v>
      </c>
      <c r="K126" s="29"/>
      <c r="L126" s="364"/>
      <c r="M126" s="364"/>
      <c r="N126" s="76"/>
      <c r="O126" s="76"/>
      <c r="P126" s="76"/>
      <c r="Q126" s="79"/>
      <c r="R126" s="105">
        <f>SUM(R110:R125)</f>
        <v>334500</v>
      </c>
    </row>
    <row r="127" spans="1:23" ht="15.75" hidden="1" customHeight="1">
      <c r="A127" s="1094"/>
      <c r="B127" s="38" t="s">
        <v>39</v>
      </c>
      <c r="C127" s="40"/>
      <c r="D127" s="145" t="s">
        <v>134</v>
      </c>
      <c r="E127" s="42"/>
      <c r="F127" s="43"/>
      <c r="G127" s="44"/>
      <c r="H127" s="45"/>
      <c r="I127" s="45"/>
      <c r="J127" s="45" t="s">
        <v>27</v>
      </c>
      <c r="K127" s="15"/>
      <c r="L127" s="364"/>
      <c r="M127" s="364"/>
      <c r="N127" s="76"/>
      <c r="O127" s="76"/>
      <c r="P127" s="76"/>
      <c r="Q127" s="79"/>
      <c r="R127" s="117"/>
    </row>
    <row r="128" spans="1:23" ht="15.75" hidden="1" customHeight="1">
      <c r="A128" s="1094"/>
      <c r="B128" s="38" t="s">
        <v>39</v>
      </c>
      <c r="C128" s="40"/>
      <c r="D128" s="45" t="s">
        <v>67</v>
      </c>
      <c r="E128" s="42"/>
      <c r="F128" s="43"/>
      <c r="G128" s="44"/>
      <c r="H128" s="45"/>
      <c r="I128" s="45"/>
      <c r="J128" s="45" t="s">
        <v>18</v>
      </c>
      <c r="K128" s="15"/>
      <c r="L128" s="364"/>
      <c r="M128" s="364"/>
      <c r="N128" s="76"/>
      <c r="O128" s="76"/>
      <c r="P128" s="76"/>
      <c r="Q128" s="79"/>
      <c r="R128" s="117"/>
    </row>
    <row r="129" spans="1:32" ht="18.75" hidden="1" customHeight="1">
      <c r="A129" s="1095"/>
      <c r="B129" s="32"/>
      <c r="C129" s="32"/>
      <c r="D129" s="16"/>
      <c r="E129" s="81">
        <f>SUM(E110:E128)</f>
        <v>14520000</v>
      </c>
      <c r="F129" s="32"/>
      <c r="G129" s="82">
        <f>SUM(G110:G128)</f>
        <v>1133000</v>
      </c>
      <c r="H129" s="16"/>
      <c r="I129" s="16"/>
      <c r="J129" s="16"/>
      <c r="K129" s="16"/>
      <c r="L129" s="364"/>
      <c r="M129" s="364"/>
      <c r="N129" s="76"/>
      <c r="O129" s="76"/>
      <c r="P129" s="68">
        <f>SUM(P110:P128)</f>
        <v>7900000</v>
      </c>
      <c r="Q129" s="79"/>
      <c r="R129" s="379">
        <f>G129+R126</f>
        <v>1467500</v>
      </c>
    </row>
    <row r="130" spans="1:32" ht="18.75" hidden="1" customHeight="1">
      <c r="A130" s="243"/>
      <c r="B130" s="32"/>
      <c r="C130" s="32"/>
      <c r="D130" s="16"/>
      <c r="E130" s="47"/>
      <c r="F130" s="32"/>
      <c r="G130" s="48"/>
      <c r="H130" s="16"/>
      <c r="I130" s="16"/>
      <c r="J130" s="16"/>
      <c r="K130" s="16"/>
      <c r="L130" s="364"/>
      <c r="M130" s="364"/>
      <c r="N130" s="76"/>
      <c r="O130" s="76"/>
      <c r="P130" s="78"/>
      <c r="Q130" s="79"/>
      <c r="R130" s="76"/>
    </row>
    <row r="131" spans="1:32" hidden="1">
      <c r="A131" s="31"/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120"/>
      <c r="M131" s="120"/>
      <c r="N131" s="76"/>
      <c r="O131" s="117"/>
      <c r="P131" s="76"/>
      <c r="Q131" s="79"/>
      <c r="R131" s="20"/>
      <c r="S131" s="56"/>
      <c r="T131" s="56"/>
    </row>
    <row r="132" spans="1:32" hidden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59"/>
      <c r="M132" s="359"/>
      <c r="N132" s="31"/>
      <c r="O132" s="20"/>
      <c r="P132" s="20"/>
      <c r="Q132" s="57"/>
      <c r="R132" s="20"/>
      <c r="S132" s="56"/>
      <c r="T132" s="56"/>
    </row>
    <row r="133" spans="1:32" ht="15.75" hidden="1" customHeight="1">
      <c r="A133" s="1101" t="s">
        <v>56</v>
      </c>
      <c r="B133" s="1138"/>
      <c r="C133" s="1138"/>
      <c r="D133" s="1138"/>
      <c r="E133" s="1138"/>
      <c r="F133" s="1138"/>
      <c r="G133" s="1138"/>
      <c r="H133" s="1138"/>
      <c r="I133" s="1138"/>
      <c r="J133" s="1138"/>
      <c r="K133" s="1138"/>
      <c r="L133" s="1139"/>
      <c r="M133" s="394"/>
      <c r="N133" s="1085" t="s">
        <v>2</v>
      </c>
      <c r="O133" s="1085"/>
      <c r="P133" s="1085"/>
      <c r="Q133" s="1085"/>
      <c r="R133" s="391"/>
      <c r="S133" s="56"/>
      <c r="T133" s="56"/>
    </row>
    <row r="134" spans="1:32" ht="15.75" hidden="1">
      <c r="A134" s="3" t="s">
        <v>3</v>
      </c>
      <c r="B134" s="3" t="s">
        <v>4</v>
      </c>
      <c r="C134" s="3" t="s">
        <v>5</v>
      </c>
      <c r="D134" s="3" t="s">
        <v>6</v>
      </c>
      <c r="E134" s="49" t="s">
        <v>7</v>
      </c>
      <c r="F134" s="3" t="s">
        <v>8</v>
      </c>
      <c r="G134" s="50" t="s">
        <v>9</v>
      </c>
      <c r="H134" s="3" t="s">
        <v>10</v>
      </c>
      <c r="I134" s="3"/>
      <c r="J134" s="3" t="s">
        <v>11</v>
      </c>
      <c r="K134" s="7" t="s">
        <v>12</v>
      </c>
      <c r="L134" s="393" t="s">
        <v>13</v>
      </c>
      <c r="M134" s="393"/>
      <c r="N134" s="269" t="s">
        <v>4</v>
      </c>
      <c r="O134" s="269" t="s">
        <v>6</v>
      </c>
      <c r="P134" s="269" t="s">
        <v>14</v>
      </c>
      <c r="Q134" s="269" t="s">
        <v>8</v>
      </c>
      <c r="R134" s="392" t="s">
        <v>15</v>
      </c>
      <c r="S134" s="56"/>
      <c r="T134" s="56"/>
    </row>
    <row r="135" spans="1:32" ht="15.75" hidden="1" customHeight="1">
      <c r="A135" s="1094"/>
      <c r="B135" s="26"/>
      <c r="C135" s="139"/>
      <c r="D135" s="29"/>
      <c r="E135" s="53"/>
      <c r="F135" s="139"/>
      <c r="G135" s="53"/>
      <c r="H135" s="25"/>
      <c r="I135" s="25"/>
      <c r="J135" s="54"/>
      <c r="K135" s="15"/>
      <c r="L135" s="364"/>
      <c r="M135" s="364"/>
      <c r="N135" s="9">
        <v>13285</v>
      </c>
      <c r="O135" s="140" t="s">
        <v>135</v>
      </c>
      <c r="P135" s="12">
        <v>1200000</v>
      </c>
      <c r="Q135" s="33">
        <v>0.04</v>
      </c>
      <c r="R135" s="218">
        <f>P135*Q135</f>
        <v>48000</v>
      </c>
      <c r="S135" s="245"/>
      <c r="T135" s="26"/>
      <c r="U135" s="26"/>
      <c r="V135" s="56"/>
    </row>
    <row r="136" spans="1:32" ht="18.75" hidden="1" customHeight="1">
      <c r="A136" s="1095"/>
      <c r="B136" s="32"/>
      <c r="C136" s="32"/>
      <c r="D136" s="16"/>
      <c r="E136" s="81"/>
      <c r="F136" s="32"/>
      <c r="G136" s="82"/>
      <c r="H136" s="16"/>
      <c r="I136" s="16"/>
      <c r="J136" s="16"/>
      <c r="K136" s="16"/>
      <c r="L136" s="364"/>
      <c r="M136" s="364"/>
      <c r="N136" s="26"/>
      <c r="O136" s="52"/>
      <c r="P136" s="137"/>
      <c r="Q136" s="53"/>
      <c r="R136" s="52"/>
      <c r="S136" s="245"/>
      <c r="T136" s="26"/>
      <c r="U136" s="25"/>
      <c r="V136" s="56"/>
    </row>
    <row r="137" spans="1:32" hidden="1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304"/>
      <c r="M137" s="304"/>
      <c r="N137" s="76"/>
      <c r="O137" s="76"/>
      <c r="P137" s="76"/>
      <c r="Q137" s="76"/>
      <c r="R137" s="72">
        <f>SUM(R135:R136)</f>
        <v>48000</v>
      </c>
      <c r="S137" s="111"/>
      <c r="T137" s="31"/>
      <c r="U137" s="31"/>
      <c r="V137" s="56"/>
    </row>
    <row r="138" spans="1:32" ht="15.75" hidden="1" customHeight="1">
      <c r="A138" s="1101" t="s">
        <v>136</v>
      </c>
      <c r="B138" s="1138"/>
      <c r="C138" s="1138"/>
      <c r="D138" s="1138"/>
      <c r="E138" s="1138"/>
      <c r="F138" s="1138"/>
      <c r="G138" s="1138"/>
      <c r="H138" s="1138"/>
      <c r="I138" s="1138"/>
      <c r="J138" s="1138"/>
      <c r="K138" s="1138"/>
      <c r="L138" s="1139"/>
      <c r="M138" s="394"/>
      <c r="N138" s="1085" t="s">
        <v>2</v>
      </c>
      <c r="O138" s="1085"/>
      <c r="P138" s="1085"/>
      <c r="Q138" s="1085"/>
      <c r="R138" s="391"/>
    </row>
    <row r="139" spans="1:32" ht="15.75" hidden="1">
      <c r="A139" s="3" t="s">
        <v>3</v>
      </c>
      <c r="B139" s="3" t="s">
        <v>4</v>
      </c>
      <c r="C139" s="3" t="s">
        <v>5</v>
      </c>
      <c r="D139" s="3" t="s">
        <v>6</v>
      </c>
      <c r="E139" s="49" t="s">
        <v>7</v>
      </c>
      <c r="F139" s="3" t="s">
        <v>8</v>
      </c>
      <c r="G139" s="50" t="s">
        <v>9</v>
      </c>
      <c r="H139" s="3" t="s">
        <v>10</v>
      </c>
      <c r="I139" s="3"/>
      <c r="J139" s="3" t="s">
        <v>11</v>
      </c>
      <c r="K139" s="7" t="s">
        <v>12</v>
      </c>
      <c r="L139" s="393" t="s">
        <v>13</v>
      </c>
      <c r="M139" s="393"/>
      <c r="N139" s="269" t="s">
        <v>4</v>
      </c>
      <c r="O139" s="269" t="s">
        <v>6</v>
      </c>
      <c r="P139" s="269" t="s">
        <v>14</v>
      </c>
      <c r="Q139" s="269" t="s">
        <v>8</v>
      </c>
      <c r="R139" s="392" t="s">
        <v>15</v>
      </c>
    </row>
    <row r="140" spans="1:32" ht="15.75" hidden="1" customHeight="1">
      <c r="A140" s="1094"/>
      <c r="B140" s="26"/>
      <c r="C140" s="139"/>
      <c r="D140" s="29"/>
      <c r="E140" s="53"/>
      <c r="F140" s="139"/>
      <c r="G140" s="53"/>
      <c r="H140" s="25"/>
      <c r="I140" s="25"/>
      <c r="J140" s="54"/>
      <c r="K140" s="15"/>
      <c r="L140" s="364"/>
      <c r="M140" s="364"/>
      <c r="N140" s="9">
        <v>13341</v>
      </c>
      <c r="O140" s="35" t="s">
        <v>137</v>
      </c>
      <c r="P140" s="12">
        <v>1800000</v>
      </c>
      <c r="Q140" s="33">
        <v>0.04</v>
      </c>
      <c r="R140" s="218">
        <f>P140*Q140</f>
        <v>72000</v>
      </c>
      <c r="T140" s="240"/>
      <c r="U140" s="25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</row>
    <row r="141" spans="1:32" ht="18.75" hidden="1" customHeight="1">
      <c r="A141" s="1094"/>
      <c r="B141" s="26"/>
      <c r="C141" s="29"/>
      <c r="D141" s="18"/>
      <c r="E141" s="53"/>
      <c r="F141" s="29"/>
      <c r="G141" s="29"/>
      <c r="H141" s="25"/>
      <c r="I141" s="25"/>
      <c r="J141" s="54"/>
      <c r="K141" s="29"/>
      <c r="L141" s="364"/>
      <c r="M141" s="364"/>
      <c r="N141" s="26"/>
      <c r="O141" s="52"/>
      <c r="P141" s="25"/>
      <c r="Q141" s="53"/>
      <c r="R141" s="268">
        <f>SUM(R140)</f>
        <v>72000</v>
      </c>
      <c r="S141" s="245"/>
      <c r="T141" s="25"/>
      <c r="U141" s="54"/>
      <c r="V141" s="56"/>
    </row>
    <row r="142" spans="1:32" hidden="1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304"/>
      <c r="M142" s="304"/>
      <c r="N142" s="117"/>
      <c r="O142" s="117"/>
      <c r="P142" s="117"/>
      <c r="Q142" s="117"/>
      <c r="R142" s="117"/>
    </row>
    <row r="143" spans="1:32" ht="15.75" hidden="1" customHeight="1">
      <c r="A143" s="1101" t="s">
        <v>22</v>
      </c>
      <c r="B143" s="1138"/>
      <c r="C143" s="1138"/>
      <c r="D143" s="1138"/>
      <c r="E143" s="1138"/>
      <c r="F143" s="1138"/>
      <c r="G143" s="1138"/>
      <c r="H143" s="1138"/>
      <c r="I143" s="1138"/>
      <c r="J143" s="1138"/>
      <c r="K143" s="1138"/>
      <c r="L143" s="1139"/>
      <c r="M143" s="394"/>
      <c r="N143" s="1085" t="s">
        <v>2</v>
      </c>
      <c r="O143" s="1085"/>
      <c r="P143" s="1085"/>
      <c r="Q143" s="1085"/>
      <c r="R143" s="391"/>
    </row>
    <row r="144" spans="1:32" ht="15.75" hidden="1">
      <c r="A144" s="3" t="s">
        <v>3</v>
      </c>
      <c r="B144" s="3" t="s">
        <v>4</v>
      </c>
      <c r="C144" s="3" t="s">
        <v>5</v>
      </c>
      <c r="D144" s="3" t="s">
        <v>6</v>
      </c>
      <c r="E144" s="49" t="s">
        <v>7</v>
      </c>
      <c r="F144" s="3" t="s">
        <v>8</v>
      </c>
      <c r="G144" s="50" t="s">
        <v>9</v>
      </c>
      <c r="H144" s="3" t="s">
        <v>10</v>
      </c>
      <c r="I144" s="3"/>
      <c r="J144" s="3" t="s">
        <v>11</v>
      </c>
      <c r="K144" s="7" t="s">
        <v>12</v>
      </c>
      <c r="L144" s="393" t="s">
        <v>13</v>
      </c>
      <c r="M144" s="393"/>
      <c r="N144" s="269" t="s">
        <v>4</v>
      </c>
      <c r="O144" s="269" t="s">
        <v>6</v>
      </c>
      <c r="P144" s="269" t="s">
        <v>14</v>
      </c>
      <c r="Q144" s="269" t="s">
        <v>8</v>
      </c>
      <c r="R144" s="392" t="s">
        <v>15</v>
      </c>
    </row>
    <row r="145" spans="1:22" ht="15.75" hidden="1" customHeight="1">
      <c r="A145" s="1094"/>
      <c r="B145" s="26"/>
      <c r="C145" s="139"/>
      <c r="D145" s="29"/>
      <c r="E145" s="53"/>
      <c r="F145" s="139"/>
      <c r="G145" s="53"/>
      <c r="H145" s="25"/>
      <c r="I145" s="25"/>
      <c r="J145" s="54"/>
      <c r="K145" s="15"/>
      <c r="L145" s="364"/>
      <c r="M145" s="364"/>
      <c r="N145" s="9">
        <v>13184</v>
      </c>
      <c r="O145" s="9" t="s">
        <v>90</v>
      </c>
      <c r="P145" s="12">
        <v>1700000</v>
      </c>
      <c r="Q145" s="219">
        <v>0.06</v>
      </c>
      <c r="R145" s="255">
        <f>P145*Q145</f>
        <v>102000</v>
      </c>
      <c r="S145" s="245"/>
      <c r="T145" s="26"/>
      <c r="U145" s="26"/>
      <c r="V145" s="56"/>
    </row>
    <row r="146" spans="1:22" ht="15.75" hidden="1" customHeight="1">
      <c r="A146" s="1094"/>
      <c r="B146" s="26"/>
      <c r="C146" s="29"/>
      <c r="D146" s="29"/>
      <c r="E146" s="29"/>
      <c r="F146" s="29"/>
      <c r="G146" s="29"/>
      <c r="H146" s="29"/>
      <c r="I146" s="29"/>
      <c r="J146" s="29"/>
      <c r="K146" s="15"/>
      <c r="L146" s="364"/>
      <c r="M146" s="364"/>
      <c r="N146" s="9">
        <v>13155</v>
      </c>
      <c r="O146" s="140" t="s">
        <v>138</v>
      </c>
      <c r="P146" s="12">
        <v>950000</v>
      </c>
      <c r="Q146" s="127">
        <v>0.05</v>
      </c>
      <c r="R146" s="255">
        <f t="shared" ref="R146" si="6">P146*Q146</f>
        <v>47500</v>
      </c>
      <c r="S146" s="245"/>
      <c r="T146" s="26"/>
      <c r="U146" s="25"/>
      <c r="V146" s="56"/>
    </row>
    <row r="147" spans="1:22" ht="18.75" hidden="1" customHeight="1">
      <c r="A147" s="1095"/>
      <c r="B147" s="32"/>
      <c r="C147" s="32"/>
      <c r="D147" s="16"/>
      <c r="E147" s="81"/>
      <c r="F147" s="32"/>
      <c r="G147" s="82"/>
      <c r="H147" s="16"/>
      <c r="I147" s="16"/>
      <c r="J147" s="16"/>
      <c r="K147" s="16"/>
      <c r="L147" s="364"/>
      <c r="M147" s="364"/>
      <c r="N147" s="26"/>
      <c r="O147" s="137"/>
      <c r="P147" s="53"/>
      <c r="Q147" s="52"/>
      <c r="R147" s="78"/>
      <c r="S147" s="245"/>
      <c r="T147" s="26"/>
      <c r="U147" s="244"/>
      <c r="V147" s="56"/>
    </row>
    <row r="148" spans="1:22" hidden="1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304"/>
      <c r="M148" s="304"/>
      <c r="N148" s="117"/>
      <c r="O148" s="117"/>
      <c r="P148" s="117"/>
      <c r="Q148" s="117"/>
      <c r="R148" s="117"/>
      <c r="S148" s="56"/>
      <c r="T148" s="56"/>
      <c r="U148" s="56"/>
      <c r="V148" s="56"/>
    </row>
    <row r="149" spans="1:22" hidden="1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304"/>
      <c r="M149" s="304"/>
      <c r="N149" s="117"/>
      <c r="O149" s="117"/>
      <c r="P149" s="117"/>
      <c r="Q149" s="117"/>
      <c r="R149" s="72">
        <f>SUM(R145:R148)</f>
        <v>149500</v>
      </c>
      <c r="S149" s="56"/>
      <c r="T149" s="56"/>
      <c r="U149" s="56"/>
      <c r="V149" s="56"/>
    </row>
    <row r="150" spans="1:22" hidden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95"/>
      <c r="M150" s="95"/>
      <c r="N150" s="20"/>
      <c r="O150" s="20"/>
      <c r="P150" s="20"/>
      <c r="Q150" s="20"/>
      <c r="R150" s="20"/>
      <c r="S150" s="56"/>
      <c r="T150" s="56"/>
      <c r="U150" s="56"/>
      <c r="V150" s="56"/>
    </row>
    <row r="151" spans="1:22" hidden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95"/>
      <c r="M151" s="95"/>
      <c r="N151" s="20"/>
      <c r="O151" s="20"/>
      <c r="P151" s="20"/>
      <c r="Q151" s="20"/>
      <c r="R151" s="20"/>
    </row>
    <row r="152" spans="1:22" hidden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95"/>
      <c r="M152" s="95"/>
      <c r="N152" s="20"/>
      <c r="O152" s="20"/>
      <c r="P152" s="20"/>
      <c r="Q152" s="20"/>
      <c r="R152" s="20"/>
    </row>
    <row r="153" spans="1:22" ht="29.25" hidden="1" customHeight="1">
      <c r="A153" s="1089" t="s">
        <v>82</v>
      </c>
      <c r="B153" s="1140"/>
      <c r="C153" s="183"/>
      <c r="D153" s="288">
        <f>E104+E129</f>
        <v>29920000</v>
      </c>
      <c r="E153" s="20"/>
      <c r="F153" s="20"/>
      <c r="G153" s="20"/>
      <c r="H153" s="20"/>
      <c r="I153" s="20"/>
      <c r="J153" s="20"/>
      <c r="K153" s="20"/>
      <c r="L153" s="95"/>
      <c r="M153" s="95"/>
      <c r="N153" s="20"/>
      <c r="O153" s="20"/>
      <c r="P153" s="20"/>
      <c r="Q153" s="20"/>
      <c r="R153" s="20"/>
    </row>
    <row r="154" spans="1:22" ht="15.75" hidden="1">
      <c r="A154" s="1090" t="s">
        <v>83</v>
      </c>
      <c r="B154" s="1141"/>
      <c r="C154" s="185"/>
      <c r="D154" s="80">
        <v>5000000</v>
      </c>
      <c r="E154" s="20"/>
      <c r="F154" s="20"/>
      <c r="G154" s="20"/>
      <c r="H154" s="20"/>
      <c r="I154" s="20"/>
      <c r="J154" s="20"/>
      <c r="K154" s="20"/>
      <c r="L154" s="95"/>
      <c r="M154" s="95"/>
      <c r="N154" s="20"/>
      <c r="O154" s="20"/>
      <c r="P154" s="20"/>
      <c r="Q154" s="20"/>
      <c r="R154" s="20"/>
    </row>
    <row r="155" spans="1:22" ht="15.75" hidden="1">
      <c r="A155" s="1091" t="s">
        <v>84</v>
      </c>
      <c r="B155" s="1142"/>
      <c r="C155" s="186"/>
      <c r="D155" s="187"/>
      <c r="E155" s="20"/>
      <c r="F155" s="20"/>
      <c r="G155" s="20"/>
      <c r="H155" s="20"/>
      <c r="I155" s="20"/>
      <c r="J155" s="20"/>
      <c r="K155" s="20"/>
      <c r="L155" s="95"/>
      <c r="M155" s="95"/>
      <c r="N155" s="20"/>
      <c r="O155" s="20"/>
      <c r="P155" s="20"/>
      <c r="Q155" s="20"/>
      <c r="R155" s="20"/>
    </row>
    <row r="156" spans="1:22" ht="15.75" hidden="1">
      <c r="A156" s="1092" t="s">
        <v>85</v>
      </c>
      <c r="B156" s="1140"/>
      <c r="C156" s="186"/>
      <c r="D156" s="188"/>
      <c r="E156" s="20"/>
      <c r="F156" s="20"/>
      <c r="G156" s="20"/>
      <c r="H156" s="20"/>
      <c r="I156" s="20"/>
      <c r="J156" s="20"/>
      <c r="K156" s="20"/>
      <c r="L156" s="95"/>
      <c r="M156" s="95"/>
      <c r="N156" s="20"/>
      <c r="O156" s="20"/>
      <c r="P156" s="20"/>
      <c r="Q156" s="20"/>
      <c r="R156" s="20"/>
    </row>
    <row r="157" spans="1:22" ht="27.75" hidden="1" customHeight="1">
      <c r="A157" s="1088" t="s">
        <v>86</v>
      </c>
      <c r="B157" s="1088"/>
      <c r="C157" s="189"/>
      <c r="D157" s="270">
        <f>SUM(D153:D156)</f>
        <v>34920000</v>
      </c>
      <c r="E157" s="20"/>
      <c r="F157" s="20"/>
      <c r="G157" s="20"/>
      <c r="H157" s="20"/>
      <c r="I157" s="20"/>
      <c r="J157" s="20"/>
      <c r="K157" s="20"/>
      <c r="L157" s="95"/>
      <c r="M157" s="95"/>
      <c r="N157" s="20"/>
      <c r="O157" s="20"/>
      <c r="P157" s="20"/>
      <c r="Q157" s="20"/>
      <c r="R157" s="20"/>
    </row>
    <row r="158" spans="1:22" hidden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95"/>
      <c r="M158" s="95"/>
      <c r="N158" s="20"/>
      <c r="O158" s="20"/>
      <c r="P158" s="20"/>
      <c r="Q158" s="20"/>
      <c r="R158" s="20"/>
    </row>
    <row r="159" spans="1:22" hidden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95"/>
      <c r="M159" s="95"/>
      <c r="N159" s="20"/>
      <c r="O159" s="20"/>
      <c r="P159" s="20"/>
      <c r="Q159" s="20"/>
      <c r="R159" s="20"/>
    </row>
    <row r="160" spans="1:22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95"/>
      <c r="M160" s="95"/>
      <c r="N160" s="20"/>
      <c r="O160" s="20"/>
      <c r="P160" s="20"/>
      <c r="Q160" s="20"/>
      <c r="R160" s="20"/>
    </row>
    <row r="161" spans="1:18" ht="46.5">
      <c r="A161" s="1096" t="s">
        <v>139</v>
      </c>
      <c r="B161" s="1097"/>
      <c r="C161" s="1097"/>
      <c r="D161" s="1097"/>
      <c r="E161" s="1097"/>
      <c r="F161" s="1097"/>
      <c r="G161" s="1097"/>
      <c r="H161" s="1097"/>
      <c r="I161" s="1097"/>
      <c r="J161" s="1097"/>
      <c r="K161" s="1097"/>
      <c r="L161" s="1097"/>
      <c r="M161" s="1097"/>
      <c r="N161" s="1097"/>
      <c r="O161" s="1097"/>
      <c r="P161" s="1097"/>
      <c r="Q161" s="1097"/>
      <c r="R161" s="1098"/>
    </row>
    <row r="162" spans="1:18" ht="15.75">
      <c r="A162" s="1093" t="s">
        <v>1</v>
      </c>
      <c r="B162" s="1143"/>
      <c r="C162" s="1143"/>
      <c r="D162" s="1143"/>
      <c r="E162" s="1143"/>
      <c r="F162" s="1143"/>
      <c r="G162" s="1143"/>
      <c r="H162" s="1143"/>
      <c r="I162" s="1143"/>
      <c r="J162" s="1143"/>
      <c r="K162" s="1143"/>
      <c r="L162" s="1143"/>
      <c r="M162" s="756"/>
      <c r="N162" s="1085" t="s">
        <v>2</v>
      </c>
      <c r="O162" s="1085"/>
      <c r="P162" s="1085"/>
      <c r="Q162" s="1085"/>
      <c r="R162" s="391"/>
    </row>
    <row r="163" spans="1:18" ht="15.75">
      <c r="A163" s="3" t="s">
        <v>3</v>
      </c>
      <c r="B163" s="4" t="s">
        <v>4</v>
      </c>
      <c r="C163" s="4" t="s">
        <v>5</v>
      </c>
      <c r="D163" s="4" t="s">
        <v>6</v>
      </c>
      <c r="E163" s="5" t="s">
        <v>7</v>
      </c>
      <c r="F163" s="4" t="s">
        <v>8</v>
      </c>
      <c r="G163" s="6" t="s">
        <v>9</v>
      </c>
      <c r="H163" s="4" t="s">
        <v>10</v>
      </c>
      <c r="I163" s="4"/>
      <c r="J163" s="4" t="s">
        <v>11</v>
      </c>
      <c r="K163" s="7" t="s">
        <v>12</v>
      </c>
      <c r="L163" s="393" t="s">
        <v>13</v>
      </c>
      <c r="M163" s="393"/>
      <c r="N163" s="269" t="s">
        <v>4</v>
      </c>
      <c r="O163" s="269" t="s">
        <v>6</v>
      </c>
      <c r="P163" s="269" t="s">
        <v>14</v>
      </c>
      <c r="Q163" s="269" t="s">
        <v>8</v>
      </c>
      <c r="R163" s="392" t="s">
        <v>15</v>
      </c>
    </row>
    <row r="164" spans="1:18" ht="15.75">
      <c r="A164" s="1086" t="s">
        <v>89</v>
      </c>
      <c r="B164" s="83">
        <v>13419</v>
      </c>
      <c r="C164" s="33">
        <v>0.1</v>
      </c>
      <c r="D164" s="35" t="s">
        <v>140</v>
      </c>
      <c r="E164" s="12">
        <v>1150000</v>
      </c>
      <c r="F164" s="257">
        <v>0.06</v>
      </c>
      <c r="G164" s="330">
        <f>E164*F164</f>
        <v>69000</v>
      </c>
      <c r="H164" s="35" t="s">
        <v>22</v>
      </c>
      <c r="I164" s="35"/>
      <c r="J164" s="36" t="s">
        <v>18</v>
      </c>
      <c r="K164" s="321" t="s">
        <v>19</v>
      </c>
      <c r="L164" s="363"/>
      <c r="M164" s="363"/>
      <c r="N164" s="11">
        <v>13583</v>
      </c>
      <c r="O164" s="11" t="s">
        <v>141</v>
      </c>
      <c r="P164" s="330">
        <v>1400000</v>
      </c>
      <c r="Q164" s="33">
        <v>0.05</v>
      </c>
      <c r="R164" s="330">
        <f>P164*Q164</f>
        <v>70000</v>
      </c>
    </row>
    <row r="165" spans="1:18" ht="15.75">
      <c r="A165" s="1086"/>
      <c r="B165" s="83">
        <v>13424</v>
      </c>
      <c r="C165" s="37">
        <v>0.1</v>
      </c>
      <c r="D165" s="224" t="s">
        <v>142</v>
      </c>
      <c r="E165" s="156">
        <v>1450000</v>
      </c>
      <c r="F165" s="374">
        <v>0.06</v>
      </c>
      <c r="G165" s="340">
        <f t="shared" ref="G165:G173" si="7">E165*F165</f>
        <v>87000</v>
      </c>
      <c r="H165" s="231" t="s">
        <v>22</v>
      </c>
      <c r="I165" s="231"/>
      <c r="J165" s="234" t="s">
        <v>18</v>
      </c>
      <c r="K165" s="30" t="s">
        <v>19</v>
      </c>
      <c r="L165" s="364"/>
      <c r="M165" s="364"/>
      <c r="N165" s="26"/>
      <c r="O165" s="25"/>
      <c r="P165" s="53"/>
      <c r="Q165" s="290"/>
      <c r="R165" s="78"/>
    </row>
    <row r="166" spans="1:18" ht="15.75">
      <c r="A166" s="1086"/>
      <c r="B166" s="342">
        <v>13426</v>
      </c>
      <c r="C166" s="33">
        <v>0.1</v>
      </c>
      <c r="D166" s="11" t="s">
        <v>143</v>
      </c>
      <c r="E166" s="12">
        <v>1750000</v>
      </c>
      <c r="F166" s="33">
        <v>0.1</v>
      </c>
      <c r="G166" s="330">
        <f t="shared" si="7"/>
        <v>175000</v>
      </c>
      <c r="H166" s="11" t="s">
        <v>17</v>
      </c>
      <c r="I166" s="11"/>
      <c r="J166" s="11" t="s">
        <v>27</v>
      </c>
      <c r="K166" s="30" t="s">
        <v>19</v>
      </c>
      <c r="L166" s="364"/>
      <c r="M166" s="364"/>
      <c r="N166" s="26"/>
      <c r="O166" s="137"/>
      <c r="P166" s="53"/>
      <c r="Q166" s="139"/>
      <c r="R166" s="78"/>
    </row>
    <row r="167" spans="1:18" ht="15.75">
      <c r="A167" s="1099"/>
      <c r="B167" s="342">
        <v>13547</v>
      </c>
      <c r="C167" s="33">
        <v>0.1</v>
      </c>
      <c r="D167" s="69" t="s">
        <v>144</v>
      </c>
      <c r="E167" s="12">
        <v>950000</v>
      </c>
      <c r="F167" s="257">
        <v>0.06</v>
      </c>
      <c r="G167" s="330">
        <f t="shared" si="7"/>
        <v>57000</v>
      </c>
      <c r="H167" s="11" t="s">
        <v>22</v>
      </c>
      <c r="I167" s="11"/>
      <c r="J167" s="11" t="s">
        <v>27</v>
      </c>
      <c r="K167" s="131" t="s">
        <v>19</v>
      </c>
      <c r="L167" s="363"/>
      <c r="M167" s="363"/>
      <c r="N167" s="26"/>
      <c r="O167" s="137"/>
      <c r="P167" s="53"/>
      <c r="Q167" s="139"/>
      <c r="R167" s="78"/>
    </row>
    <row r="168" spans="1:18" ht="15.75">
      <c r="A168" s="1099"/>
      <c r="B168" s="373">
        <v>13584</v>
      </c>
      <c r="C168" s="33">
        <v>0.1</v>
      </c>
      <c r="D168" s="11" t="s">
        <v>145</v>
      </c>
      <c r="E168" s="12">
        <v>850000</v>
      </c>
      <c r="F168" s="257">
        <v>0.06</v>
      </c>
      <c r="G168" s="330">
        <f t="shared" si="7"/>
        <v>51000</v>
      </c>
      <c r="H168" s="11" t="s">
        <v>22</v>
      </c>
      <c r="I168" s="11"/>
      <c r="J168" s="11" t="s">
        <v>18</v>
      </c>
      <c r="K168" s="131" t="s">
        <v>19</v>
      </c>
      <c r="L168" s="363"/>
      <c r="M168" s="363"/>
      <c r="N168" s="26"/>
      <c r="O168" s="137"/>
      <c r="P168" s="53"/>
      <c r="Q168" s="139"/>
      <c r="R168" s="78"/>
    </row>
    <row r="169" spans="1:18" ht="15.75">
      <c r="A169" s="1099"/>
      <c r="B169" s="342">
        <v>13570</v>
      </c>
      <c r="C169" s="33">
        <v>0.1</v>
      </c>
      <c r="D169" s="69" t="s">
        <v>146</v>
      </c>
      <c r="E169" s="12">
        <v>1500000</v>
      </c>
      <c r="F169" s="33">
        <v>0.05</v>
      </c>
      <c r="G169" s="330">
        <f t="shared" si="7"/>
        <v>75000</v>
      </c>
      <c r="H169" s="11" t="s">
        <v>147</v>
      </c>
      <c r="I169" s="11"/>
      <c r="J169" s="11" t="s">
        <v>27</v>
      </c>
      <c r="K169" s="321" t="s">
        <v>19</v>
      </c>
      <c r="L169" s="363"/>
      <c r="M169" s="363"/>
      <c r="N169" s="26"/>
      <c r="O169" s="137"/>
      <c r="P169" s="53"/>
      <c r="Q169" s="139"/>
      <c r="R169" s="78"/>
    </row>
    <row r="170" spans="1:18" ht="15.75">
      <c r="A170" s="1099"/>
      <c r="B170" s="342">
        <v>13614</v>
      </c>
      <c r="C170" s="33">
        <v>0.1</v>
      </c>
      <c r="D170" s="11" t="s">
        <v>148</v>
      </c>
      <c r="E170" s="12">
        <v>800000</v>
      </c>
      <c r="F170" s="33">
        <v>0.1</v>
      </c>
      <c r="G170" s="330">
        <f t="shared" si="7"/>
        <v>80000</v>
      </c>
      <c r="H170" s="11" t="s">
        <v>17</v>
      </c>
      <c r="I170" s="11"/>
      <c r="J170" s="11" t="s">
        <v>18</v>
      </c>
      <c r="K170" s="321" t="s">
        <v>19</v>
      </c>
      <c r="L170" s="363"/>
      <c r="M170" s="363"/>
      <c r="N170" s="26"/>
      <c r="O170" s="137"/>
      <c r="P170" s="53"/>
      <c r="Q170" s="139"/>
      <c r="R170" s="78"/>
    </row>
    <row r="171" spans="1:18" ht="15.75">
      <c r="A171" s="1099"/>
      <c r="B171" s="339">
        <v>13607</v>
      </c>
      <c r="C171" s="33">
        <v>0.1</v>
      </c>
      <c r="D171" s="69" t="s">
        <v>149</v>
      </c>
      <c r="E171" s="12">
        <v>1000000</v>
      </c>
      <c r="F171" s="33">
        <v>0.1</v>
      </c>
      <c r="G171" s="330">
        <f t="shared" si="7"/>
        <v>100000</v>
      </c>
      <c r="H171" s="11" t="s">
        <v>17</v>
      </c>
      <c r="I171" s="11"/>
      <c r="J171" s="11" t="s">
        <v>27</v>
      </c>
      <c r="K171" s="321" t="s">
        <v>19</v>
      </c>
      <c r="L171" s="363"/>
      <c r="M171" s="363"/>
      <c r="N171" s="26"/>
      <c r="O171" s="137"/>
      <c r="P171" s="53"/>
      <c r="Q171" s="139"/>
      <c r="R171" s="78"/>
    </row>
    <row r="172" spans="1:18" ht="15.75">
      <c r="A172" s="1099"/>
      <c r="B172" s="339">
        <v>13622</v>
      </c>
      <c r="C172" s="127">
        <v>0.08</v>
      </c>
      <c r="D172" s="69" t="s">
        <v>150</v>
      </c>
      <c r="E172" s="12">
        <v>1600000</v>
      </c>
      <c r="F172" s="33">
        <v>0.04</v>
      </c>
      <c r="G172" s="330">
        <f t="shared" si="7"/>
        <v>64000</v>
      </c>
      <c r="H172" s="11" t="s">
        <v>147</v>
      </c>
      <c r="I172" s="11"/>
      <c r="J172" s="11" t="s">
        <v>18</v>
      </c>
      <c r="K172" s="321" t="s">
        <v>19</v>
      </c>
      <c r="L172" s="396" t="s">
        <v>151</v>
      </c>
      <c r="M172" s="396"/>
      <c r="N172" s="26"/>
      <c r="O172" s="137"/>
      <c r="P172" s="53"/>
      <c r="Q172" s="139"/>
      <c r="R172" s="78"/>
    </row>
    <row r="173" spans="1:18" ht="15.75">
      <c r="A173" s="1099"/>
      <c r="B173" s="83">
        <v>13660</v>
      </c>
      <c r="C173" s="33">
        <v>0.1</v>
      </c>
      <c r="D173" s="11" t="s">
        <v>152</v>
      </c>
      <c r="E173" s="12">
        <v>2700000</v>
      </c>
      <c r="F173" s="33">
        <v>0.05</v>
      </c>
      <c r="G173" s="330">
        <f t="shared" si="7"/>
        <v>135000</v>
      </c>
      <c r="H173" s="11" t="s">
        <v>147</v>
      </c>
      <c r="I173" s="11"/>
      <c r="J173" s="11" t="s">
        <v>27</v>
      </c>
      <c r="K173" s="143"/>
      <c r="L173" s="363"/>
      <c r="M173" s="363"/>
      <c r="N173" s="26"/>
      <c r="O173" s="137"/>
      <c r="P173" s="53"/>
      <c r="Q173" s="139"/>
      <c r="R173" s="78">
        <f>SUM(R164:R172)</f>
        <v>70000</v>
      </c>
    </row>
    <row r="174" spans="1:18" ht="15.75">
      <c r="A174" s="1099"/>
      <c r="B174" s="38" t="s">
        <v>153</v>
      </c>
      <c r="C174" s="90">
        <v>0.1</v>
      </c>
      <c r="D174" s="375" t="s">
        <v>154</v>
      </c>
      <c r="E174" s="376"/>
      <c r="F174" s="376"/>
      <c r="G174" s="376"/>
      <c r="H174" s="376"/>
      <c r="I174" s="376"/>
      <c r="J174" s="376" t="s">
        <v>27</v>
      </c>
      <c r="K174" s="143"/>
      <c r="L174" s="363"/>
      <c r="M174" s="363"/>
      <c r="N174" s="26"/>
      <c r="O174" s="137"/>
      <c r="P174" s="53"/>
      <c r="Q174" s="139"/>
      <c r="R174" s="78"/>
    </row>
    <row r="175" spans="1:18" ht="15.75">
      <c r="A175" s="1099"/>
      <c r="B175" s="38" t="s">
        <v>153</v>
      </c>
      <c r="C175" s="40"/>
      <c r="D175" s="89" t="s">
        <v>155</v>
      </c>
      <c r="E175" s="89"/>
      <c r="F175" s="89"/>
      <c r="G175" s="266"/>
      <c r="H175" s="89"/>
      <c r="I175" s="89"/>
      <c r="J175" s="89" t="s">
        <v>18</v>
      </c>
      <c r="K175" s="143"/>
      <c r="L175" s="363"/>
      <c r="M175" s="363"/>
      <c r="N175" s="26"/>
      <c r="O175" s="137"/>
      <c r="P175" s="53"/>
      <c r="Q175" s="139"/>
      <c r="R175" s="78"/>
    </row>
    <row r="176" spans="1:18" ht="15.75">
      <c r="A176" s="1099"/>
      <c r="B176" s="38" t="s">
        <v>153</v>
      </c>
      <c r="C176" s="90"/>
      <c r="D176" s="39" t="s">
        <v>156</v>
      </c>
      <c r="E176" s="350"/>
      <c r="F176" s="39"/>
      <c r="G176" s="335"/>
      <c r="H176" s="39" t="s">
        <v>22</v>
      </c>
      <c r="I176" s="39"/>
      <c r="J176" s="39" t="s">
        <v>18</v>
      </c>
      <c r="K176" s="143"/>
      <c r="L176" s="363"/>
      <c r="M176" s="363"/>
      <c r="N176" s="26"/>
      <c r="O176" s="137"/>
      <c r="P176" s="53"/>
      <c r="Q176" s="139"/>
      <c r="R176" s="78"/>
    </row>
    <row r="177" spans="1:18" ht="15.75">
      <c r="A177" s="1099"/>
      <c r="B177" s="334" t="s">
        <v>66</v>
      </c>
      <c r="C177" s="90">
        <v>0.08</v>
      </c>
      <c r="D177" s="39" t="s">
        <v>157</v>
      </c>
      <c r="E177" s="39"/>
      <c r="F177" s="39"/>
      <c r="G177" s="335"/>
      <c r="H177" s="39" t="s">
        <v>17</v>
      </c>
      <c r="I177" s="39"/>
      <c r="J177" s="39" t="s">
        <v>27</v>
      </c>
      <c r="K177" s="143"/>
      <c r="L177" s="363"/>
      <c r="M177" s="363"/>
      <c r="N177" s="26"/>
      <c r="O177" s="137"/>
      <c r="P177" s="53"/>
      <c r="Q177" s="139"/>
      <c r="R177" s="78"/>
    </row>
    <row r="178" spans="1:18" ht="15.75">
      <c r="A178" s="1099"/>
      <c r="B178" s="85" t="s">
        <v>66</v>
      </c>
      <c r="C178" s="40">
        <v>0.1</v>
      </c>
      <c r="D178" s="89" t="s">
        <v>158</v>
      </c>
      <c r="E178" s="89"/>
      <c r="F178" s="89"/>
      <c r="G178" s="266"/>
      <c r="H178" s="89" t="s">
        <v>53</v>
      </c>
      <c r="I178" s="89"/>
      <c r="J178" s="89" t="s">
        <v>27</v>
      </c>
      <c r="K178" s="143"/>
      <c r="L178" s="363"/>
      <c r="M178" s="363"/>
      <c r="N178" s="26"/>
      <c r="O178" s="137"/>
      <c r="P178" s="53"/>
      <c r="Q178" s="139"/>
      <c r="R178" s="78"/>
    </row>
    <row r="179" spans="1:18" ht="15.75">
      <c r="A179" s="1100"/>
      <c r="B179" s="85" t="s">
        <v>66</v>
      </c>
      <c r="C179" s="40">
        <v>0.1</v>
      </c>
      <c r="D179" s="326" t="s">
        <v>159</v>
      </c>
      <c r="E179" s="327"/>
      <c r="F179" s="328"/>
      <c r="G179" s="329"/>
      <c r="H179" s="326" t="s">
        <v>17</v>
      </c>
      <c r="I179" s="326"/>
      <c r="J179" s="326" t="s">
        <v>27</v>
      </c>
      <c r="K179" s="302"/>
      <c r="L179" s="363"/>
      <c r="M179" s="363"/>
      <c r="N179" s="26"/>
      <c r="O179" s="137"/>
      <c r="P179" s="53"/>
      <c r="Q179" s="52"/>
      <c r="R179" s="78"/>
    </row>
    <row r="180" spans="1:18" ht="15.75">
      <c r="A180" s="324"/>
      <c r="B180" s="369" t="s">
        <v>160</v>
      </c>
      <c r="C180" s="371">
        <v>0.1</v>
      </c>
      <c r="D180" s="369" t="s">
        <v>161</v>
      </c>
      <c r="E180" s="369"/>
      <c r="F180" s="369"/>
      <c r="G180" s="372"/>
      <c r="H180" s="369" t="s">
        <v>22</v>
      </c>
      <c r="I180" s="369"/>
      <c r="J180" s="369" t="s">
        <v>18</v>
      </c>
      <c r="K180" s="302"/>
      <c r="L180" s="363"/>
      <c r="M180" s="363"/>
      <c r="N180" s="26"/>
      <c r="O180" s="137"/>
      <c r="P180" s="53"/>
      <c r="Q180" s="52"/>
      <c r="R180" s="78"/>
    </row>
    <row r="181" spans="1:18" ht="15.75">
      <c r="A181" s="324"/>
      <c r="B181" s="301" t="s">
        <v>162</v>
      </c>
      <c r="C181" s="295">
        <v>0.1</v>
      </c>
      <c r="D181" s="301" t="s">
        <v>163</v>
      </c>
      <c r="E181" s="301"/>
      <c r="F181" s="301"/>
      <c r="G181" s="370"/>
      <c r="H181" s="301"/>
      <c r="I181" s="301"/>
      <c r="J181" s="301"/>
      <c r="K181" s="302"/>
      <c r="L181" s="363"/>
      <c r="M181" s="363"/>
      <c r="N181" s="26"/>
      <c r="O181" s="137"/>
      <c r="P181" s="53"/>
      <c r="Q181" s="52"/>
      <c r="R181" s="78"/>
    </row>
    <row r="182" spans="1:18" ht="18">
      <c r="A182" s="304"/>
      <c r="B182" s="294" t="s">
        <v>162</v>
      </c>
      <c r="C182" s="295">
        <v>0.1</v>
      </c>
      <c r="D182" s="296" t="s">
        <v>164</v>
      </c>
      <c r="E182" s="316"/>
      <c r="F182" s="348"/>
      <c r="G182" s="348"/>
      <c r="H182" s="348"/>
      <c r="I182" s="348"/>
      <c r="J182" s="301"/>
      <c r="K182" s="305"/>
      <c r="L182" s="304"/>
      <c r="M182" s="304"/>
      <c r="N182" s="117"/>
      <c r="O182" s="117"/>
      <c r="P182" s="117"/>
      <c r="Q182" s="117"/>
      <c r="R182" s="365"/>
    </row>
    <row r="183" spans="1:18" ht="19.5" customHeight="1">
      <c r="A183" s="117"/>
      <c r="B183" s="303"/>
      <c r="C183" s="303"/>
      <c r="D183" s="303"/>
      <c r="E183" s="360">
        <f>SUM(E164:E182)</f>
        <v>13750000</v>
      </c>
      <c r="F183" s="303"/>
      <c r="G183" s="360">
        <f>SUM(G164:G182)</f>
        <v>893000</v>
      </c>
      <c r="H183" s="303"/>
      <c r="I183" s="303"/>
      <c r="J183" s="303"/>
      <c r="K183" s="117"/>
      <c r="L183" s="304"/>
      <c r="M183" s="304"/>
      <c r="N183" s="117"/>
      <c r="O183" s="117"/>
      <c r="P183" s="117"/>
      <c r="Q183" s="117"/>
      <c r="R183" s="366">
        <f>G183+R173</f>
        <v>963000</v>
      </c>
    </row>
    <row r="184" spans="1:18" ht="15.75">
      <c r="A184" s="1093" t="s">
        <v>165</v>
      </c>
      <c r="B184" s="1143"/>
      <c r="C184" s="1143"/>
      <c r="D184" s="1143"/>
      <c r="E184" s="1143"/>
      <c r="F184" s="1143"/>
      <c r="G184" s="1143"/>
      <c r="H184" s="1143"/>
      <c r="I184" s="1143"/>
      <c r="J184" s="1143"/>
      <c r="K184" s="1143"/>
      <c r="L184" s="1143"/>
      <c r="M184" s="756"/>
      <c r="N184" s="1085" t="s">
        <v>2</v>
      </c>
      <c r="O184" s="1085"/>
      <c r="P184" s="1085"/>
      <c r="Q184" s="1085"/>
      <c r="R184" s="391"/>
    </row>
    <row r="185" spans="1:18" ht="15.75">
      <c r="A185" s="3" t="s">
        <v>3</v>
      </c>
      <c r="B185" s="4" t="s">
        <v>4</v>
      </c>
      <c r="C185" s="4" t="s">
        <v>5</v>
      </c>
      <c r="D185" s="4" t="s">
        <v>6</v>
      </c>
      <c r="E185" s="5" t="s">
        <v>7</v>
      </c>
      <c r="F185" s="4" t="s">
        <v>8</v>
      </c>
      <c r="G185" s="6" t="s">
        <v>9</v>
      </c>
      <c r="H185" s="4" t="s">
        <v>10</v>
      </c>
      <c r="I185" s="4"/>
      <c r="J185" s="4" t="s">
        <v>11</v>
      </c>
      <c r="K185" s="7" t="s">
        <v>12</v>
      </c>
      <c r="L185" s="393" t="s">
        <v>13</v>
      </c>
      <c r="M185" s="393"/>
      <c r="N185" s="269" t="s">
        <v>4</v>
      </c>
      <c r="O185" s="269" t="s">
        <v>6</v>
      </c>
      <c r="P185" s="269" t="s">
        <v>14</v>
      </c>
      <c r="Q185" s="269" t="s">
        <v>8</v>
      </c>
      <c r="R185" s="392" t="s">
        <v>15</v>
      </c>
    </row>
    <row r="186" spans="1:18" ht="15.75">
      <c r="A186" s="1086" t="s">
        <v>89</v>
      </c>
      <c r="B186" s="11" t="s">
        <v>166</v>
      </c>
      <c r="C186" s="33">
        <v>0.1</v>
      </c>
      <c r="D186" s="35" t="s">
        <v>167</v>
      </c>
      <c r="E186" s="12">
        <v>1250000</v>
      </c>
      <c r="F186" s="37">
        <v>0.1</v>
      </c>
      <c r="G186" s="258">
        <f>E186*F186</f>
        <v>125000</v>
      </c>
      <c r="H186" s="68" t="s">
        <v>53</v>
      </c>
      <c r="I186" s="68"/>
      <c r="J186" s="36" t="s">
        <v>27</v>
      </c>
      <c r="K186" s="336" t="s">
        <v>19</v>
      </c>
      <c r="L186" s="363"/>
      <c r="M186" s="363"/>
      <c r="N186" s="11">
        <v>13560</v>
      </c>
      <c r="O186" s="10" t="s">
        <v>168</v>
      </c>
      <c r="P186" s="330">
        <v>750000</v>
      </c>
      <c r="Q186" s="33">
        <v>0.05</v>
      </c>
      <c r="R186" s="330">
        <f>P186*Q186</f>
        <v>37500</v>
      </c>
    </row>
    <row r="187" spans="1:18" ht="15.75">
      <c r="A187" s="1086"/>
      <c r="B187" s="11">
        <v>13423</v>
      </c>
      <c r="C187" s="33">
        <v>0.1</v>
      </c>
      <c r="D187" s="34" t="s">
        <v>169</v>
      </c>
      <c r="E187" s="12">
        <v>1150000</v>
      </c>
      <c r="F187" s="257">
        <v>0.06</v>
      </c>
      <c r="G187" s="258">
        <f t="shared" ref="G187:G198" si="8">E187*F187</f>
        <v>69000</v>
      </c>
      <c r="H187" s="35" t="s">
        <v>22</v>
      </c>
      <c r="I187" s="35"/>
      <c r="J187" s="36" t="s">
        <v>18</v>
      </c>
      <c r="K187" s="87" t="s">
        <v>19</v>
      </c>
      <c r="L187" s="364"/>
      <c r="M187" s="364"/>
      <c r="N187" s="26"/>
      <c r="O187" s="25"/>
      <c r="P187" s="53"/>
      <c r="Q187" s="290"/>
      <c r="R187" s="78"/>
    </row>
    <row r="188" spans="1:18" ht="15.75">
      <c r="A188" s="1086"/>
      <c r="B188" s="11">
        <v>13478</v>
      </c>
      <c r="C188" s="33">
        <v>0.1</v>
      </c>
      <c r="D188" s="325" t="s">
        <v>170</v>
      </c>
      <c r="E188" s="81">
        <v>1300000</v>
      </c>
      <c r="F188" s="37">
        <v>0.1</v>
      </c>
      <c r="G188" s="258">
        <f t="shared" si="8"/>
        <v>130000</v>
      </c>
      <c r="H188" s="325" t="s">
        <v>53</v>
      </c>
      <c r="I188" s="325"/>
      <c r="J188" s="325" t="s">
        <v>27</v>
      </c>
      <c r="K188" s="87" t="s">
        <v>19</v>
      </c>
      <c r="L188" s="364"/>
      <c r="M188" s="364"/>
      <c r="N188" s="26"/>
      <c r="O188" s="25"/>
      <c r="P188" s="53"/>
      <c r="Q188" s="290"/>
      <c r="R188" s="78"/>
    </row>
    <row r="189" spans="1:18" ht="15.75">
      <c r="A189" s="1086"/>
      <c r="B189" s="11" t="s">
        <v>171</v>
      </c>
      <c r="C189" s="33">
        <v>0.1</v>
      </c>
      <c r="D189" s="11" t="s">
        <v>172</v>
      </c>
      <c r="E189" s="340">
        <v>1150000</v>
      </c>
      <c r="F189" s="257">
        <v>0.06</v>
      </c>
      <c r="G189" s="258">
        <f t="shared" si="8"/>
        <v>69000</v>
      </c>
      <c r="H189" s="224" t="s">
        <v>22</v>
      </c>
      <c r="I189" s="224"/>
      <c r="J189" s="224" t="s">
        <v>18</v>
      </c>
      <c r="K189" s="337" t="s">
        <v>19</v>
      </c>
      <c r="L189" s="364"/>
      <c r="M189" s="364"/>
      <c r="N189" s="26"/>
      <c r="O189" s="137"/>
      <c r="P189" s="53"/>
      <c r="Q189" s="139"/>
      <c r="R189" s="78"/>
    </row>
    <row r="190" spans="1:18" ht="15.75">
      <c r="A190" s="324"/>
      <c r="B190" s="11">
        <v>13520</v>
      </c>
      <c r="C190" s="33">
        <v>0.1</v>
      </c>
      <c r="D190" s="339" t="s">
        <v>173</v>
      </c>
      <c r="E190" s="330">
        <v>1200000</v>
      </c>
      <c r="F190" s="37">
        <v>0.1</v>
      </c>
      <c r="G190" s="258">
        <f t="shared" si="8"/>
        <v>120000</v>
      </c>
      <c r="H190" s="11" t="s">
        <v>53</v>
      </c>
      <c r="I190" s="11"/>
      <c r="J190" s="11" t="s">
        <v>27</v>
      </c>
      <c r="K190" s="302" t="s">
        <v>19</v>
      </c>
      <c r="L190" s="363"/>
      <c r="M190" s="363"/>
      <c r="N190" s="26"/>
      <c r="O190" s="137"/>
      <c r="P190" s="53"/>
      <c r="Q190" s="52"/>
      <c r="R190" s="78"/>
    </row>
    <row r="191" spans="1:18" ht="15.75">
      <c r="A191" s="324"/>
      <c r="B191" s="11" t="s">
        <v>174</v>
      </c>
      <c r="C191" s="33">
        <v>0.1</v>
      </c>
      <c r="D191" s="339" t="s">
        <v>175</v>
      </c>
      <c r="E191" s="330">
        <v>1650000</v>
      </c>
      <c r="F191" s="37">
        <v>0.1</v>
      </c>
      <c r="G191" s="258">
        <f t="shared" si="8"/>
        <v>165000</v>
      </c>
      <c r="H191" s="11" t="s">
        <v>53</v>
      </c>
      <c r="I191" s="11"/>
      <c r="J191" s="11" t="s">
        <v>18</v>
      </c>
      <c r="K191" s="302" t="s">
        <v>19</v>
      </c>
      <c r="L191" s="363"/>
      <c r="M191" s="363"/>
      <c r="N191" s="26"/>
      <c r="O191" s="137"/>
      <c r="P191" s="53"/>
      <c r="Q191" s="52"/>
      <c r="R191" s="78"/>
    </row>
    <row r="192" spans="1:18" ht="15.75">
      <c r="A192" s="324"/>
      <c r="B192" s="11">
        <v>13583</v>
      </c>
      <c r="C192" s="33">
        <v>0.1</v>
      </c>
      <c r="D192" s="342" t="s">
        <v>141</v>
      </c>
      <c r="E192" s="340">
        <v>1400000</v>
      </c>
      <c r="F192" s="33">
        <v>0.05</v>
      </c>
      <c r="G192" s="258">
        <f t="shared" si="8"/>
        <v>70000</v>
      </c>
      <c r="H192" s="224" t="s">
        <v>17</v>
      </c>
      <c r="I192" s="224"/>
      <c r="J192" s="224" t="s">
        <v>18</v>
      </c>
      <c r="K192" s="302" t="s">
        <v>19</v>
      </c>
      <c r="L192" s="363"/>
      <c r="M192" s="363"/>
      <c r="N192" s="26"/>
      <c r="O192" s="137"/>
      <c r="P192" s="53"/>
      <c r="Q192" s="52"/>
      <c r="R192" s="78"/>
    </row>
    <row r="193" spans="1:18" ht="15.75">
      <c r="A193" s="324"/>
      <c r="B193" s="11">
        <v>13610</v>
      </c>
      <c r="C193" s="33">
        <v>0.1</v>
      </c>
      <c r="D193" s="11" t="s">
        <v>176</v>
      </c>
      <c r="E193" s="330">
        <v>1300000</v>
      </c>
      <c r="F193" s="257">
        <v>0.06</v>
      </c>
      <c r="G193" s="258">
        <f t="shared" si="8"/>
        <v>78000</v>
      </c>
      <c r="H193" s="11" t="s">
        <v>22</v>
      </c>
      <c r="I193" s="11"/>
      <c r="J193" s="11" t="s">
        <v>18</v>
      </c>
      <c r="K193" s="302" t="s">
        <v>19</v>
      </c>
      <c r="L193" s="363"/>
      <c r="M193" s="363"/>
      <c r="N193" s="26"/>
      <c r="O193" s="137"/>
      <c r="P193" s="53"/>
      <c r="Q193" s="52"/>
      <c r="R193" s="78"/>
    </row>
    <row r="194" spans="1:18" ht="15.75">
      <c r="A194" s="324"/>
      <c r="B194" s="83">
        <v>13608</v>
      </c>
      <c r="C194" s="127">
        <v>0.08</v>
      </c>
      <c r="D194" s="325" t="s">
        <v>177</v>
      </c>
      <c r="E194" s="330">
        <v>1700000</v>
      </c>
      <c r="F194" s="37">
        <v>0.08</v>
      </c>
      <c r="G194" s="258">
        <f t="shared" si="8"/>
        <v>136000</v>
      </c>
      <c r="H194" s="11" t="s">
        <v>53</v>
      </c>
      <c r="I194" s="11"/>
      <c r="J194" s="325" t="s">
        <v>27</v>
      </c>
      <c r="K194" s="302" t="s">
        <v>19</v>
      </c>
      <c r="L194" s="363"/>
      <c r="M194" s="363"/>
      <c r="N194" s="26"/>
      <c r="O194" s="137"/>
      <c r="P194" s="53"/>
      <c r="Q194" s="52"/>
      <c r="R194" s="78"/>
    </row>
    <row r="195" spans="1:18" s="56" customFormat="1" ht="15.75">
      <c r="A195" s="322"/>
      <c r="B195" s="83">
        <v>13613</v>
      </c>
      <c r="C195" s="33">
        <v>0.1</v>
      </c>
      <c r="D195" s="325" t="s">
        <v>178</v>
      </c>
      <c r="E195" s="81">
        <v>1300000</v>
      </c>
      <c r="F195" s="37">
        <v>0.1</v>
      </c>
      <c r="G195" s="258">
        <f t="shared" si="8"/>
        <v>130000</v>
      </c>
      <c r="H195" s="325" t="s">
        <v>53</v>
      </c>
      <c r="I195" s="325"/>
      <c r="J195" s="325" t="s">
        <v>179</v>
      </c>
      <c r="K195" s="302" t="s">
        <v>19</v>
      </c>
      <c r="L195" s="363"/>
      <c r="M195" s="363"/>
      <c r="N195" s="26"/>
      <c r="O195" s="137"/>
      <c r="P195" s="53"/>
      <c r="Q195" s="52"/>
      <c r="R195" s="78"/>
    </row>
    <row r="196" spans="1:18" s="56" customFormat="1" ht="15.75">
      <c r="A196" s="322"/>
      <c r="B196" s="83">
        <v>13632</v>
      </c>
      <c r="C196" s="127">
        <v>0.08</v>
      </c>
      <c r="D196" s="325" t="s">
        <v>180</v>
      </c>
      <c r="E196" s="81">
        <v>1900000</v>
      </c>
      <c r="F196" s="37">
        <v>0.08</v>
      </c>
      <c r="G196" s="258">
        <f t="shared" si="8"/>
        <v>152000</v>
      </c>
      <c r="H196" s="325" t="s">
        <v>53</v>
      </c>
      <c r="I196" s="325"/>
      <c r="J196" s="325" t="s">
        <v>18</v>
      </c>
      <c r="K196" s="351"/>
      <c r="L196" s="363"/>
      <c r="M196" s="363"/>
      <c r="N196" s="26"/>
      <c r="O196" s="137"/>
      <c r="P196" s="53"/>
      <c r="Q196" s="52"/>
      <c r="R196" s="78"/>
    </row>
    <row r="197" spans="1:18" s="56" customFormat="1" ht="15.75">
      <c r="A197" s="322"/>
      <c r="B197" s="83">
        <v>13646</v>
      </c>
      <c r="C197" s="33">
        <v>0.1</v>
      </c>
      <c r="D197" s="325" t="s">
        <v>181</v>
      </c>
      <c r="E197" s="81">
        <v>500000</v>
      </c>
      <c r="F197" s="257">
        <v>0.06</v>
      </c>
      <c r="G197" s="258">
        <f t="shared" si="8"/>
        <v>30000</v>
      </c>
      <c r="H197" s="325" t="s">
        <v>22</v>
      </c>
      <c r="I197" s="325"/>
      <c r="J197" s="325" t="s">
        <v>18</v>
      </c>
      <c r="K197" s="351"/>
      <c r="L197" s="363"/>
      <c r="M197" s="363"/>
      <c r="N197" s="26"/>
      <c r="O197" s="137"/>
      <c r="P197" s="53"/>
      <c r="Q197" s="52"/>
      <c r="R197" s="78"/>
    </row>
    <row r="198" spans="1:18" s="56" customFormat="1" ht="15.75">
      <c r="A198" s="322"/>
      <c r="B198" s="83">
        <v>13648</v>
      </c>
      <c r="C198" s="127">
        <v>0.08</v>
      </c>
      <c r="D198" s="325" t="s">
        <v>182</v>
      </c>
      <c r="E198" s="81">
        <v>1800000</v>
      </c>
      <c r="F198" s="257">
        <v>0.05</v>
      </c>
      <c r="G198" s="258">
        <f t="shared" si="8"/>
        <v>90000</v>
      </c>
      <c r="H198" s="325" t="s">
        <v>22</v>
      </c>
      <c r="I198" s="325"/>
      <c r="J198" s="325" t="s">
        <v>18</v>
      </c>
      <c r="K198" s="302"/>
      <c r="L198" s="363"/>
      <c r="M198" s="363"/>
      <c r="N198" s="26"/>
      <c r="O198" s="137"/>
      <c r="P198" s="53"/>
      <c r="Q198" s="52"/>
      <c r="R198" s="78">
        <f>SUM(R186:R197)</f>
        <v>37500</v>
      </c>
    </row>
    <row r="199" spans="1:18" ht="15.75">
      <c r="A199" s="304"/>
      <c r="B199" s="301" t="s">
        <v>162</v>
      </c>
      <c r="C199" s="343">
        <v>10</v>
      </c>
      <c r="D199" s="344" t="s">
        <v>183</v>
      </c>
      <c r="E199" s="345"/>
      <c r="F199" s="343"/>
      <c r="G199" s="346"/>
      <c r="H199" s="344" t="s">
        <v>53</v>
      </c>
      <c r="I199" s="344"/>
      <c r="J199" s="344" t="s">
        <v>27</v>
      </c>
      <c r="K199" s="110"/>
      <c r="L199" s="304"/>
      <c r="M199" s="304"/>
      <c r="N199" s="117"/>
      <c r="O199" s="117"/>
      <c r="P199" s="117"/>
      <c r="Q199" s="117"/>
      <c r="R199" s="117"/>
    </row>
    <row r="200" spans="1:18" ht="23.25">
      <c r="A200" s="117"/>
      <c r="B200" s="303"/>
      <c r="C200" s="303"/>
      <c r="D200" s="303"/>
      <c r="E200" s="239">
        <f>SUM(E186:E199)</f>
        <v>17600000</v>
      </c>
      <c r="F200" s="303"/>
      <c r="G200" s="239">
        <f>SUM(G186:G199)</f>
        <v>1364000</v>
      </c>
      <c r="H200" s="303"/>
      <c r="I200" s="303"/>
      <c r="J200" s="303"/>
      <c r="K200" s="117"/>
      <c r="L200" s="304"/>
      <c r="M200" s="304"/>
      <c r="N200" s="117"/>
      <c r="O200" s="117"/>
      <c r="P200" s="117"/>
      <c r="Q200" s="117"/>
      <c r="R200" s="366">
        <f>G200+R198</f>
        <v>1401500</v>
      </c>
    </row>
    <row r="201" spans="1:18" ht="15.75">
      <c r="A201" s="1093" t="s">
        <v>22</v>
      </c>
      <c r="B201" s="1143"/>
      <c r="C201" s="1143"/>
      <c r="D201" s="1143"/>
      <c r="E201" s="1143"/>
      <c r="F201" s="1143"/>
      <c r="G201" s="1143"/>
      <c r="H201" s="1143"/>
      <c r="I201" s="1143"/>
      <c r="J201" s="1143"/>
      <c r="K201" s="1143"/>
      <c r="L201" s="1143"/>
      <c r="M201" s="756"/>
      <c r="N201" s="1085" t="s">
        <v>2</v>
      </c>
      <c r="O201" s="1085"/>
      <c r="P201" s="1085"/>
      <c r="Q201" s="1085"/>
      <c r="R201" s="391"/>
    </row>
    <row r="202" spans="1:18" ht="15.75">
      <c r="A202" s="3" t="s">
        <v>3</v>
      </c>
      <c r="B202" s="4" t="s">
        <v>4</v>
      </c>
      <c r="C202" s="4" t="s">
        <v>5</v>
      </c>
      <c r="D202" s="4" t="s">
        <v>6</v>
      </c>
      <c r="E202" s="5" t="s">
        <v>7</v>
      </c>
      <c r="F202" s="4" t="s">
        <v>8</v>
      </c>
      <c r="G202" s="6" t="s">
        <v>9</v>
      </c>
      <c r="H202" s="4" t="s">
        <v>10</v>
      </c>
      <c r="I202" s="4"/>
      <c r="J202" s="4" t="s">
        <v>11</v>
      </c>
      <c r="K202" s="7" t="s">
        <v>12</v>
      </c>
      <c r="L202" s="393" t="s">
        <v>13</v>
      </c>
      <c r="M202" s="393"/>
      <c r="N202" s="269" t="s">
        <v>4</v>
      </c>
      <c r="O202" s="269" t="s">
        <v>6</v>
      </c>
      <c r="P202" s="269" t="s">
        <v>14</v>
      </c>
      <c r="Q202" s="269" t="s">
        <v>8</v>
      </c>
      <c r="R202" s="392" t="s">
        <v>15</v>
      </c>
    </row>
    <row r="203" spans="1:18" ht="18">
      <c r="A203" s="1086"/>
      <c r="B203" s="323">
        <v>13550</v>
      </c>
      <c r="C203" s="223">
        <v>0.08</v>
      </c>
      <c r="D203" s="69" t="s">
        <v>184</v>
      </c>
      <c r="E203" s="156">
        <v>2150000</v>
      </c>
      <c r="F203" s="257">
        <v>0.06</v>
      </c>
      <c r="G203" s="156"/>
      <c r="H203" s="325" t="s">
        <v>22</v>
      </c>
      <c r="I203" s="530"/>
      <c r="J203" s="234" t="s">
        <v>27</v>
      </c>
      <c r="K203" s="321" t="s">
        <v>19</v>
      </c>
      <c r="L203" s="363"/>
      <c r="M203" s="363"/>
      <c r="N203" s="26"/>
      <c r="O203" s="26"/>
      <c r="P203" s="53"/>
      <c r="Q203" s="290"/>
      <c r="R203" s="78"/>
    </row>
    <row r="204" spans="1:18" ht="15.75">
      <c r="A204" s="1086"/>
      <c r="B204" s="247"/>
      <c r="C204" s="29"/>
      <c r="D204" s="18"/>
      <c r="E204" s="53"/>
      <c r="F204" s="29"/>
      <c r="G204" s="29"/>
      <c r="H204" s="25"/>
      <c r="I204" s="25"/>
      <c r="J204" s="54"/>
      <c r="K204" s="29"/>
      <c r="L204" s="364"/>
      <c r="M204" s="364"/>
      <c r="N204" s="26"/>
      <c r="O204" s="25"/>
      <c r="P204" s="53"/>
      <c r="Q204" s="290"/>
      <c r="R204" s="78"/>
    </row>
    <row r="205" spans="1:18" ht="15.75">
      <c r="A205" s="1086"/>
      <c r="B205" s="247"/>
      <c r="C205" s="29"/>
      <c r="D205" s="29"/>
      <c r="E205" s="29"/>
      <c r="F205" s="29"/>
      <c r="G205" s="29"/>
      <c r="H205" s="29"/>
      <c r="I205" s="29"/>
      <c r="J205" s="29"/>
      <c r="K205" s="15"/>
      <c r="L205" s="364"/>
      <c r="M205" s="364"/>
      <c r="N205" s="26"/>
      <c r="O205" s="137"/>
      <c r="P205" s="53"/>
      <c r="Q205" s="139"/>
      <c r="R205" s="78"/>
    </row>
    <row r="206" spans="1:18" ht="15.75">
      <c r="A206" s="1087"/>
      <c r="B206" s="55"/>
      <c r="C206" s="250"/>
      <c r="D206" s="242"/>
      <c r="E206" s="251">
        <f>SUM(E203:E205)</f>
        <v>2150000</v>
      </c>
      <c r="F206" s="250"/>
      <c r="G206" s="353"/>
      <c r="H206" s="242"/>
      <c r="I206" s="242"/>
      <c r="J206" s="242"/>
      <c r="K206" s="242"/>
      <c r="L206" s="363"/>
      <c r="M206" s="363"/>
      <c r="N206" s="26"/>
      <c r="O206" s="137"/>
      <c r="P206" s="53"/>
      <c r="Q206" s="52"/>
      <c r="R206" s="78"/>
    </row>
    <row r="207" spans="1:18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304"/>
      <c r="M207" s="304"/>
      <c r="N207" s="117"/>
      <c r="O207" s="117"/>
      <c r="P207" s="117"/>
      <c r="Q207" s="117"/>
      <c r="R207" s="117"/>
    </row>
    <row r="208" spans="1:18" ht="15.75">
      <c r="A208" s="1093" t="s">
        <v>56</v>
      </c>
      <c r="B208" s="1143"/>
      <c r="C208" s="1143"/>
      <c r="D208" s="1143"/>
      <c r="E208" s="1143"/>
      <c r="F208" s="1143"/>
      <c r="G208" s="1143"/>
      <c r="H208" s="1143"/>
      <c r="I208" s="1143"/>
      <c r="J208" s="1143"/>
      <c r="K208" s="1143"/>
      <c r="L208" s="1143"/>
      <c r="M208" s="756"/>
      <c r="N208" s="1085" t="s">
        <v>2</v>
      </c>
      <c r="O208" s="1085"/>
      <c r="P208" s="1085"/>
      <c r="Q208" s="1085"/>
      <c r="R208" s="391"/>
    </row>
    <row r="209" spans="1:19" ht="15.75">
      <c r="A209" s="3" t="s">
        <v>3</v>
      </c>
      <c r="B209" s="4" t="s">
        <v>4</v>
      </c>
      <c r="C209" s="4" t="s">
        <v>5</v>
      </c>
      <c r="D209" s="4" t="s">
        <v>6</v>
      </c>
      <c r="E209" s="5" t="s">
        <v>7</v>
      </c>
      <c r="F209" s="4" t="s">
        <v>8</v>
      </c>
      <c r="G209" s="6" t="s">
        <v>9</v>
      </c>
      <c r="H209" s="4" t="s">
        <v>10</v>
      </c>
      <c r="I209" s="4"/>
      <c r="J209" s="4" t="s">
        <v>11</v>
      </c>
      <c r="K209" s="7" t="s">
        <v>12</v>
      </c>
      <c r="L209" s="393" t="s">
        <v>13</v>
      </c>
      <c r="M209" s="393"/>
      <c r="N209" s="269" t="s">
        <v>4</v>
      </c>
      <c r="O209" s="269" t="s">
        <v>6</v>
      </c>
      <c r="P209" s="269" t="s">
        <v>14</v>
      </c>
      <c r="Q209" s="269" t="s">
        <v>8</v>
      </c>
      <c r="R209" s="392" t="s">
        <v>15</v>
      </c>
    </row>
    <row r="210" spans="1:19" ht="18">
      <c r="A210" s="1086"/>
      <c r="B210" s="361"/>
      <c r="C210" s="248"/>
      <c r="D210" s="108"/>
      <c r="E210" s="249"/>
      <c r="F210" s="362"/>
      <c r="G210" s="249"/>
      <c r="H210" s="16"/>
      <c r="I210" s="242"/>
      <c r="J210" s="241"/>
      <c r="K210" s="321"/>
      <c r="L210" s="363"/>
      <c r="M210" s="363"/>
      <c r="N210" s="11">
        <v>13570</v>
      </c>
      <c r="O210" s="69" t="s">
        <v>146</v>
      </c>
      <c r="P210" s="330">
        <v>1500000</v>
      </c>
      <c r="Q210" s="219">
        <v>0.05</v>
      </c>
      <c r="R210" s="68">
        <f>P210*Q210</f>
        <v>75000</v>
      </c>
    </row>
    <row r="211" spans="1:19" ht="15.75">
      <c r="A211" s="1086"/>
      <c r="B211" s="247"/>
      <c r="C211" s="29"/>
      <c r="D211" s="18"/>
      <c r="E211" s="53"/>
      <c r="F211" s="29"/>
      <c r="G211" s="29"/>
      <c r="H211" s="25"/>
      <c r="I211" s="25"/>
      <c r="J211" s="54"/>
      <c r="K211" s="29"/>
      <c r="L211" s="364"/>
      <c r="M211" s="364"/>
      <c r="N211" s="11">
        <v>13622</v>
      </c>
      <c r="O211" s="69" t="s">
        <v>150</v>
      </c>
      <c r="P211" s="330">
        <v>160000</v>
      </c>
      <c r="Q211" s="219">
        <v>0.04</v>
      </c>
      <c r="R211" s="68">
        <f t="shared" ref="R211:R212" si="9">P211*Q211</f>
        <v>6400</v>
      </c>
    </row>
    <row r="212" spans="1:19" ht="15.75">
      <c r="A212" s="1086"/>
      <c r="B212" s="367"/>
      <c r="C212" s="115"/>
      <c r="D212" s="115"/>
      <c r="E212" s="115"/>
      <c r="F212" s="115"/>
      <c r="G212" s="115"/>
      <c r="H212" s="115"/>
      <c r="I212" s="115"/>
      <c r="J212" s="115"/>
      <c r="K212" s="368"/>
      <c r="L212" s="363"/>
      <c r="M212" s="363"/>
      <c r="N212" s="89"/>
      <c r="O212" s="11" t="s">
        <v>152</v>
      </c>
      <c r="P212" s="330">
        <v>2700000</v>
      </c>
      <c r="Q212" s="219">
        <v>0.05</v>
      </c>
      <c r="R212" s="68">
        <f t="shared" si="9"/>
        <v>135000</v>
      </c>
    </row>
    <row r="213" spans="1:19" s="20" customFormat="1" ht="15.75">
      <c r="A213" s="1087"/>
      <c r="B213" s="32"/>
      <c r="C213" s="32"/>
      <c r="D213" s="16"/>
      <c r="E213" s="47"/>
      <c r="F213" s="32"/>
      <c r="G213" s="48"/>
      <c r="H213" s="16"/>
      <c r="I213" s="16"/>
      <c r="J213" s="16"/>
      <c r="K213" s="16"/>
      <c r="L213" s="364"/>
      <c r="M213" s="364"/>
      <c r="N213" s="26"/>
      <c r="O213" s="137"/>
      <c r="P213" s="53"/>
      <c r="Q213" s="52"/>
      <c r="R213" s="78"/>
      <c r="S213" s="112"/>
    </row>
    <row r="214" spans="1:19">
      <c r="N214" s="20"/>
      <c r="O214" s="20"/>
      <c r="P214" s="20"/>
      <c r="Q214" s="20"/>
      <c r="R214" s="20"/>
    </row>
    <row r="215" spans="1:19" ht="20.25">
      <c r="A215" s="1089" t="s">
        <v>82</v>
      </c>
      <c r="B215" s="1140"/>
      <c r="C215" s="183"/>
      <c r="D215" s="288">
        <f>E183+E200+E206</f>
        <v>33500000</v>
      </c>
      <c r="N215" s="20"/>
      <c r="O215" s="20"/>
      <c r="P215" s="20"/>
      <c r="Q215" s="20"/>
      <c r="R215" s="20"/>
    </row>
    <row r="216" spans="1:19" ht="15.75">
      <c r="A216" s="1090" t="s">
        <v>83</v>
      </c>
      <c r="B216" s="1141"/>
      <c r="C216" s="185"/>
      <c r="D216" s="80"/>
      <c r="N216" s="20"/>
      <c r="O216" s="20"/>
      <c r="P216" s="20"/>
      <c r="Q216" s="20"/>
      <c r="R216" s="20"/>
    </row>
    <row r="217" spans="1:19" ht="15.75">
      <c r="A217" s="1091" t="s">
        <v>84</v>
      </c>
      <c r="B217" s="1142"/>
      <c r="C217" s="186"/>
      <c r="D217" s="187"/>
      <c r="N217" s="20"/>
      <c r="O217" s="20"/>
      <c r="P217" s="20"/>
      <c r="Q217" s="20"/>
      <c r="R217" s="20"/>
    </row>
    <row r="218" spans="1:19" ht="15.75">
      <c r="A218" s="1092" t="s">
        <v>85</v>
      </c>
      <c r="B218" s="1140"/>
      <c r="C218" s="186"/>
      <c r="D218" s="188"/>
      <c r="N218" s="20"/>
      <c r="O218" s="20"/>
      <c r="P218" s="20"/>
      <c r="Q218" s="20"/>
      <c r="R218" s="20"/>
    </row>
    <row r="219" spans="1:19" ht="15.75">
      <c r="A219" s="1088" t="s">
        <v>86</v>
      </c>
      <c r="B219" s="1088"/>
      <c r="C219" s="189"/>
      <c r="D219" s="190">
        <f>D215+D216+D217</f>
        <v>33500000</v>
      </c>
      <c r="N219" s="20"/>
      <c r="O219" s="20"/>
      <c r="P219" s="20"/>
      <c r="Q219" s="20"/>
      <c r="R219" s="20"/>
    </row>
    <row r="220" spans="1:19">
      <c r="A220" s="20"/>
      <c r="B220" s="20"/>
      <c r="C220" s="20"/>
      <c r="D220" s="20"/>
      <c r="N220" s="65"/>
      <c r="O220" s="65"/>
      <c r="P220" s="65"/>
      <c r="Q220" s="65"/>
      <c r="R220" s="65"/>
    </row>
    <row r="226" spans="1:18" ht="46.5">
      <c r="A226" s="1033" t="s">
        <v>185</v>
      </c>
      <c r="B226" s="1033"/>
      <c r="C226" s="1033"/>
      <c r="D226" s="1033"/>
      <c r="E226" s="1033"/>
      <c r="F226" s="1033"/>
      <c r="G226" s="1033"/>
      <c r="H226" s="1033"/>
      <c r="I226" s="1033"/>
      <c r="J226" s="1033"/>
      <c r="K226" s="1033"/>
      <c r="L226" s="1033"/>
      <c r="M226" s="1033"/>
      <c r="N226" s="1033"/>
      <c r="O226" s="1033"/>
      <c r="P226" s="1033"/>
      <c r="Q226" s="1033"/>
      <c r="R226" s="531"/>
    </row>
    <row r="228" spans="1:18" ht="31.5">
      <c r="A228" s="1080" t="s">
        <v>186</v>
      </c>
      <c r="B228" s="1080"/>
      <c r="C228" s="1080"/>
      <c r="D228" s="1080"/>
      <c r="E228" s="1080"/>
      <c r="F228" s="1080"/>
      <c r="G228" s="1080"/>
      <c r="H228" s="1080"/>
      <c r="I228" s="1080"/>
      <c r="J228" s="1080"/>
      <c r="K228" s="1080"/>
      <c r="L228" s="1080"/>
      <c r="M228" s="1080"/>
      <c r="N228" s="1080"/>
      <c r="O228" s="1080"/>
      <c r="P228" s="1080"/>
      <c r="Q228" s="1080"/>
    </row>
    <row r="229" spans="1:18" ht="15.75">
      <c r="A229" s="1065" t="s">
        <v>1</v>
      </c>
      <c r="B229" s="1065"/>
      <c r="C229" s="1065"/>
      <c r="D229" s="1065"/>
      <c r="E229" s="1065"/>
      <c r="F229" s="1065"/>
      <c r="G229" s="1065"/>
      <c r="H229" s="1065"/>
      <c r="I229" s="1065"/>
      <c r="J229" s="1065"/>
      <c r="K229" s="1065"/>
      <c r="L229" s="1071" t="s">
        <v>2</v>
      </c>
      <c r="M229" s="1071"/>
      <c r="N229" s="1071"/>
      <c r="O229" s="1071"/>
      <c r="P229" s="1071"/>
      <c r="Q229" s="1072"/>
    </row>
    <row r="230" spans="1:18" ht="16.5">
      <c r="A230" s="398" t="s">
        <v>3</v>
      </c>
      <c r="B230" s="399" t="s">
        <v>4</v>
      </c>
      <c r="C230" s="400" t="s">
        <v>187</v>
      </c>
      <c r="D230" s="398" t="s">
        <v>6</v>
      </c>
      <c r="E230" s="398" t="s">
        <v>188</v>
      </c>
      <c r="F230" s="401" t="s">
        <v>8</v>
      </c>
      <c r="G230" s="398" t="s">
        <v>189</v>
      </c>
      <c r="H230" s="402" t="s">
        <v>190</v>
      </c>
      <c r="I230" s="402" t="s">
        <v>191</v>
      </c>
      <c r="J230" s="398" t="s">
        <v>4</v>
      </c>
      <c r="K230" s="398" t="s">
        <v>192</v>
      </c>
      <c r="L230" s="403" t="s">
        <v>4</v>
      </c>
      <c r="M230" s="403"/>
      <c r="N230" s="403" t="s">
        <v>6</v>
      </c>
      <c r="O230" s="403" t="s">
        <v>14</v>
      </c>
      <c r="P230" s="522" t="s">
        <v>8</v>
      </c>
      <c r="Q230" s="419" t="s">
        <v>193</v>
      </c>
    </row>
    <row r="231" spans="1:18">
      <c r="A231" s="1084">
        <v>23</v>
      </c>
      <c r="B231" s="517">
        <v>13666</v>
      </c>
      <c r="C231" s="495">
        <v>0.1</v>
      </c>
      <c r="D231" s="496" t="s">
        <v>194</v>
      </c>
      <c r="E231" s="497">
        <v>1600000</v>
      </c>
      <c r="F231" s="511">
        <v>0.05</v>
      </c>
      <c r="G231" s="497">
        <f>E231*F231</f>
        <v>80000</v>
      </c>
      <c r="H231" s="512" t="s">
        <v>22</v>
      </c>
      <c r="I231" s="498"/>
      <c r="J231" s="517">
        <v>13718</v>
      </c>
      <c r="K231" s="388" t="s">
        <v>19</v>
      </c>
      <c r="L231" s="581"/>
      <c r="M231" s="581"/>
      <c r="N231" s="516" t="s">
        <v>195</v>
      </c>
      <c r="O231" s="562">
        <v>1900000</v>
      </c>
      <c r="P231" s="579">
        <v>0.05</v>
      </c>
      <c r="Q231" s="580">
        <f>O231*P231</f>
        <v>95000</v>
      </c>
      <c r="R231" s="520"/>
    </row>
    <row r="232" spans="1:18" ht="15.75">
      <c r="A232" s="1081"/>
      <c r="B232" s="517">
        <v>13693</v>
      </c>
      <c r="C232" s="495">
        <v>0.1</v>
      </c>
      <c r="D232" s="496" t="s">
        <v>164</v>
      </c>
      <c r="E232" s="497">
        <v>1800000</v>
      </c>
      <c r="F232" s="511">
        <v>0.05</v>
      </c>
      <c r="G232" s="497">
        <f t="shared" ref="G232:G243" si="10">E232*F232</f>
        <v>90000</v>
      </c>
      <c r="H232" s="496" t="s">
        <v>53</v>
      </c>
      <c r="I232" s="498"/>
      <c r="J232" s="498"/>
      <c r="K232" s="29"/>
      <c r="L232" s="16"/>
      <c r="M232" s="16"/>
      <c r="N232" s="26"/>
      <c r="O232" s="337"/>
      <c r="P232" s="523"/>
      <c r="Q232" s="290"/>
      <c r="R232" s="520"/>
    </row>
    <row r="233" spans="1:18" ht="15.75">
      <c r="A233" s="1081"/>
      <c r="B233" s="517">
        <v>13687</v>
      </c>
      <c r="C233" s="495">
        <v>0.1</v>
      </c>
      <c r="D233" s="496" t="s">
        <v>196</v>
      </c>
      <c r="E233" s="497">
        <v>1350000</v>
      </c>
      <c r="F233" s="511">
        <v>0.1</v>
      </c>
      <c r="G233" s="497">
        <f t="shared" si="10"/>
        <v>135000</v>
      </c>
      <c r="H233" s="496" t="s">
        <v>17</v>
      </c>
      <c r="I233" s="498"/>
      <c r="J233" s="498"/>
      <c r="K233" s="29"/>
      <c r="L233" s="16"/>
      <c r="M233" s="16"/>
      <c r="N233" s="26"/>
      <c r="O233" s="337"/>
      <c r="P233" s="523"/>
      <c r="Q233" s="290"/>
      <c r="R233" s="520"/>
    </row>
    <row r="234" spans="1:18" ht="15.75">
      <c r="A234" s="1081"/>
      <c r="B234" s="517">
        <v>13717</v>
      </c>
      <c r="C234" s="495">
        <v>0.1</v>
      </c>
      <c r="D234" s="496" t="s">
        <v>197</v>
      </c>
      <c r="E234" s="497">
        <v>850000</v>
      </c>
      <c r="F234" s="513">
        <v>0.1</v>
      </c>
      <c r="G234" s="497">
        <f t="shared" si="10"/>
        <v>85000</v>
      </c>
      <c r="H234" s="496" t="s">
        <v>17</v>
      </c>
      <c r="I234" s="498"/>
      <c r="J234" s="498"/>
      <c r="K234" s="31"/>
      <c r="L234" s="31"/>
      <c r="M234" s="31"/>
      <c r="N234" s="31"/>
      <c r="O234" s="386"/>
      <c r="P234" s="523"/>
      <c r="Q234" s="139"/>
      <c r="R234" s="520"/>
    </row>
    <row r="235" spans="1:18" ht="15.75">
      <c r="A235" s="1081"/>
      <c r="B235" s="517">
        <v>13726</v>
      </c>
      <c r="C235" s="495">
        <v>0.1</v>
      </c>
      <c r="D235" s="496" t="s">
        <v>198</v>
      </c>
      <c r="E235" s="497">
        <v>1300000</v>
      </c>
      <c r="F235" s="513">
        <v>0.1</v>
      </c>
      <c r="G235" s="497">
        <f t="shared" si="10"/>
        <v>130000</v>
      </c>
      <c r="H235" s="496" t="s">
        <v>17</v>
      </c>
      <c r="I235" s="498"/>
      <c r="J235" s="498"/>
      <c r="K235" s="31"/>
      <c r="L235" s="31"/>
      <c r="M235" s="31"/>
      <c r="N235" s="31"/>
      <c r="O235" s="386"/>
      <c r="P235" s="523"/>
      <c r="Q235" s="139"/>
      <c r="R235" s="520"/>
    </row>
    <row r="236" spans="1:18" ht="15.75">
      <c r="A236" s="1081"/>
      <c r="B236" s="517">
        <v>13749</v>
      </c>
      <c r="C236" s="495">
        <v>0.1</v>
      </c>
      <c r="D236" s="496" t="s">
        <v>199</v>
      </c>
      <c r="E236" s="497">
        <v>650000</v>
      </c>
      <c r="F236" s="513">
        <v>0.1</v>
      </c>
      <c r="G236" s="497">
        <f t="shared" si="10"/>
        <v>65000</v>
      </c>
      <c r="H236" s="496" t="s">
        <v>17</v>
      </c>
      <c r="I236" s="498"/>
      <c r="J236" s="498"/>
      <c r="K236" s="31"/>
      <c r="L236" s="31"/>
      <c r="M236" s="31"/>
      <c r="N236" s="31"/>
      <c r="O236" s="386"/>
      <c r="P236" s="523"/>
      <c r="Q236" s="139"/>
      <c r="R236" s="520"/>
    </row>
    <row r="237" spans="1:18" ht="15.75">
      <c r="A237" s="1081"/>
      <c r="B237" s="517">
        <v>13746</v>
      </c>
      <c r="C237" s="495">
        <v>0.1</v>
      </c>
      <c r="D237" s="496" t="s">
        <v>200</v>
      </c>
      <c r="E237" s="497">
        <v>1300000</v>
      </c>
      <c r="F237" s="513">
        <v>0.1</v>
      </c>
      <c r="G237" s="497">
        <f t="shared" si="10"/>
        <v>130000</v>
      </c>
      <c r="H237" s="496" t="s">
        <v>17</v>
      </c>
      <c r="I237" s="498"/>
      <c r="J237" s="498"/>
      <c r="K237" s="31"/>
      <c r="L237" s="31"/>
      <c r="M237" s="31"/>
      <c r="N237" s="31"/>
      <c r="O237" s="386"/>
      <c r="P237" s="523"/>
      <c r="Q237" s="139"/>
      <c r="R237" s="520"/>
    </row>
    <row r="238" spans="1:18" ht="15.75">
      <c r="A238" s="1081"/>
      <c r="B238" s="517">
        <v>13782</v>
      </c>
      <c r="C238" s="495">
        <v>0.1</v>
      </c>
      <c r="D238" s="496" t="s">
        <v>201</v>
      </c>
      <c r="E238" s="497">
        <v>2000000</v>
      </c>
      <c r="F238" s="513">
        <v>0.1</v>
      </c>
      <c r="G238" s="497">
        <f t="shared" si="10"/>
        <v>200000</v>
      </c>
      <c r="H238" s="496" t="s">
        <v>17</v>
      </c>
      <c r="I238" s="498"/>
      <c r="J238" s="498"/>
      <c r="K238" s="76"/>
      <c r="L238" s="76"/>
      <c r="M238" s="76"/>
      <c r="N238" s="76"/>
      <c r="O238" s="386"/>
      <c r="P238" s="523"/>
      <c r="Q238" s="139"/>
      <c r="R238" s="520"/>
    </row>
    <row r="239" spans="1:18" ht="15.75">
      <c r="A239" s="1081"/>
      <c r="B239" s="517">
        <v>13800</v>
      </c>
      <c r="C239" s="502">
        <v>0.08</v>
      </c>
      <c r="D239" s="496" t="s">
        <v>202</v>
      </c>
      <c r="E239" s="497">
        <v>1500000</v>
      </c>
      <c r="F239" s="514">
        <v>0.04</v>
      </c>
      <c r="G239" s="497">
        <f t="shared" si="10"/>
        <v>60000</v>
      </c>
      <c r="H239" s="496" t="s">
        <v>147</v>
      </c>
      <c r="I239" s="498"/>
      <c r="J239" s="498"/>
      <c r="K239" s="76"/>
      <c r="L239" s="76"/>
      <c r="M239" s="76"/>
      <c r="N239" s="76"/>
      <c r="O239" s="386"/>
      <c r="P239" s="523"/>
      <c r="Q239" s="139"/>
      <c r="R239" s="520"/>
    </row>
    <row r="240" spans="1:18" ht="15.75">
      <c r="A240" s="1081"/>
      <c r="B240" s="517">
        <v>13804</v>
      </c>
      <c r="C240" s="495">
        <v>0.1</v>
      </c>
      <c r="D240" s="496" t="s">
        <v>203</v>
      </c>
      <c r="E240" s="497">
        <v>1500000</v>
      </c>
      <c r="F240" s="513">
        <v>0.05</v>
      </c>
      <c r="G240" s="497">
        <f t="shared" si="10"/>
        <v>75000</v>
      </c>
      <c r="H240" s="496" t="s">
        <v>53</v>
      </c>
      <c r="I240" s="498"/>
      <c r="J240" s="498"/>
      <c r="K240" s="76"/>
      <c r="L240" s="76"/>
      <c r="M240" s="76"/>
      <c r="N240" s="76"/>
      <c r="O240" s="386"/>
      <c r="P240" s="523"/>
      <c r="Q240" s="139"/>
      <c r="R240" s="520"/>
    </row>
    <row r="241" spans="1:18" ht="15.75">
      <c r="A241" s="1081"/>
      <c r="B241" s="517">
        <v>13808</v>
      </c>
      <c r="C241" s="495">
        <v>0.1</v>
      </c>
      <c r="D241" s="496" t="s">
        <v>204</v>
      </c>
      <c r="E241" s="497">
        <v>2500000</v>
      </c>
      <c r="F241" s="513">
        <v>0.05</v>
      </c>
      <c r="G241" s="497">
        <f t="shared" si="10"/>
        <v>125000</v>
      </c>
      <c r="H241" s="496" t="s">
        <v>147</v>
      </c>
      <c r="I241" s="498"/>
      <c r="J241" s="498"/>
      <c r="K241" s="76"/>
      <c r="L241" s="76"/>
      <c r="M241" s="76"/>
      <c r="N241" s="76"/>
      <c r="O241" s="386"/>
      <c r="P241" s="523"/>
      <c r="Q241" s="139"/>
      <c r="R241" s="520"/>
    </row>
    <row r="242" spans="1:18" ht="15.75">
      <c r="A242" s="1081"/>
      <c r="B242" s="517">
        <v>13812</v>
      </c>
      <c r="C242" s="495">
        <v>0.1</v>
      </c>
      <c r="D242" s="496" t="s">
        <v>205</v>
      </c>
      <c r="E242" s="497">
        <v>1520000</v>
      </c>
      <c r="F242" s="513">
        <v>0.1</v>
      </c>
      <c r="G242" s="497">
        <f t="shared" si="10"/>
        <v>152000</v>
      </c>
      <c r="H242" s="496" t="s">
        <v>17</v>
      </c>
      <c r="I242" s="498"/>
      <c r="J242" s="498"/>
      <c r="K242" s="76"/>
      <c r="L242" s="76"/>
      <c r="M242" s="76"/>
      <c r="N242" s="76"/>
      <c r="O242" s="386"/>
      <c r="P242" s="523"/>
      <c r="Q242" s="139"/>
      <c r="R242" s="520"/>
    </row>
    <row r="243" spans="1:18" ht="15.75">
      <c r="A243" s="1081"/>
      <c r="B243" s="518">
        <v>13837</v>
      </c>
      <c r="C243" s="495">
        <v>0.1</v>
      </c>
      <c r="D243" s="503" t="s">
        <v>206</v>
      </c>
      <c r="E243" s="504">
        <v>1350000</v>
      </c>
      <c r="F243" s="515">
        <v>0.1</v>
      </c>
      <c r="G243" s="497">
        <f t="shared" si="10"/>
        <v>135000</v>
      </c>
      <c r="H243" s="503" t="s">
        <v>17</v>
      </c>
      <c r="I243" s="505"/>
      <c r="J243" s="505"/>
      <c r="K243" s="229"/>
      <c r="L243" s="229"/>
      <c r="M243" s="229"/>
      <c r="N243" s="229"/>
      <c r="O243" s="386"/>
      <c r="P243" s="523"/>
      <c r="Q243" s="139"/>
      <c r="R243" s="520"/>
    </row>
    <row r="244" spans="1:18" ht="15.75">
      <c r="A244" s="1081"/>
      <c r="B244" s="519" t="s">
        <v>153</v>
      </c>
      <c r="C244" s="500"/>
      <c r="D244" s="506" t="s">
        <v>207</v>
      </c>
      <c r="E244" s="501"/>
      <c r="F244" s="413"/>
      <c r="G244" s="507"/>
      <c r="H244" s="507"/>
      <c r="I244" s="507"/>
      <c r="J244" s="507"/>
      <c r="K244" s="15"/>
      <c r="L244" s="16"/>
      <c r="M244" s="16"/>
      <c r="N244" s="26"/>
      <c r="O244" s="386"/>
      <c r="P244" s="523"/>
      <c r="Q244" s="139"/>
      <c r="R244" s="520"/>
    </row>
    <row r="245" spans="1:18" ht="15.75">
      <c r="A245" s="1081"/>
      <c r="B245" s="519" t="s">
        <v>153</v>
      </c>
      <c r="C245" s="500"/>
      <c r="D245" s="506" t="s">
        <v>208</v>
      </c>
      <c r="E245" s="501"/>
      <c r="F245" s="413"/>
      <c r="G245" s="507"/>
      <c r="H245" s="507"/>
      <c r="I245" s="507"/>
      <c r="J245" s="507"/>
      <c r="K245" s="15"/>
      <c r="L245" s="16"/>
      <c r="M245" s="16"/>
      <c r="N245" s="26"/>
      <c r="O245" s="386"/>
      <c r="P245" s="523"/>
      <c r="Q245" s="139"/>
      <c r="R245" s="520"/>
    </row>
    <row r="246" spans="1:18" ht="15.75">
      <c r="A246" s="1081"/>
      <c r="B246" s="519" t="s">
        <v>153</v>
      </c>
      <c r="C246" s="500"/>
      <c r="D246" s="508" t="s">
        <v>209</v>
      </c>
      <c r="E246" s="501"/>
      <c r="F246" s="413"/>
      <c r="G246" s="507"/>
      <c r="H246" s="499"/>
      <c r="I246" s="498"/>
      <c r="J246" s="498"/>
      <c r="K246" s="29"/>
      <c r="L246" s="16"/>
      <c r="M246" s="16"/>
      <c r="N246" s="26"/>
      <c r="O246" s="386"/>
      <c r="P246" s="523"/>
      <c r="Q246" s="139"/>
      <c r="R246" s="520"/>
    </row>
    <row r="247" spans="1:18">
      <c r="A247" s="1081"/>
      <c r="B247" s="457"/>
      <c r="C247" s="460"/>
      <c r="D247" s="404"/>
      <c r="E247" s="408"/>
      <c r="F247" s="410"/>
      <c r="G247" s="408"/>
      <c r="H247" s="405"/>
      <c r="I247" s="405"/>
      <c r="J247" s="404"/>
      <c r="K247" s="404" t="s">
        <v>210</v>
      </c>
      <c r="L247" s="407"/>
      <c r="M247" s="407"/>
      <c r="N247" s="406"/>
      <c r="O247" s="409"/>
      <c r="P247" s="411"/>
      <c r="Q247" s="412"/>
    </row>
    <row r="248" spans="1:18" ht="12.75" customHeight="1">
      <c r="A248" s="1081"/>
      <c r="B248" s="413"/>
      <c r="C248" s="414"/>
      <c r="D248" s="415"/>
      <c r="E248" s="416"/>
      <c r="F248" s="417"/>
      <c r="G248" s="416"/>
      <c r="H248" s="417"/>
      <c r="I248" s="417"/>
      <c r="J248" s="417"/>
      <c r="K248" s="417"/>
      <c r="L248" s="418"/>
      <c r="M248" s="418"/>
      <c r="N248" s="419" t="s">
        <v>45</v>
      </c>
      <c r="O248" s="582">
        <f>SUM(O231:O247)</f>
        <v>1900000</v>
      </c>
      <c r="P248" s="435" t="s">
        <v>45</v>
      </c>
      <c r="Q248" s="420">
        <f>SUM(Q231:Q246)</f>
        <v>95000</v>
      </c>
    </row>
    <row r="249" spans="1:18" ht="12.75" customHeight="1">
      <c r="A249" s="1082"/>
      <c r="B249" s="421"/>
      <c r="C249" s="422"/>
      <c r="D249" s="423" t="s">
        <v>45</v>
      </c>
      <c r="E249" s="510">
        <f>SUM(E231:E248)</f>
        <v>19220000</v>
      </c>
      <c r="F249" s="398" t="s">
        <v>45</v>
      </c>
      <c r="G249" s="509">
        <f>SUM(G231:G248)</f>
        <v>1462000</v>
      </c>
      <c r="H249" s="425"/>
      <c r="I249" s="425"/>
      <c r="J249" s="425"/>
      <c r="K249" s="425"/>
      <c r="L249" s="426" t="s">
        <v>211</v>
      </c>
      <c r="M249" s="427"/>
      <c r="N249" s="427"/>
      <c r="O249" s="428"/>
      <c r="P249" s="437" t="s">
        <v>212</v>
      </c>
      <c r="Q249" s="550">
        <f>G249+Q248</f>
        <v>1557000</v>
      </c>
    </row>
    <row r="250" spans="1:18">
      <c r="A250" s="430"/>
      <c r="B250" s="431"/>
      <c r="C250" s="432"/>
      <c r="D250" s="430"/>
      <c r="E250" s="430"/>
      <c r="F250" s="430"/>
      <c r="G250" s="430"/>
      <c r="H250" s="430"/>
      <c r="I250" s="430"/>
      <c r="J250" s="430"/>
      <c r="K250" s="430"/>
    </row>
    <row r="251" spans="1:18">
      <c r="B251" s="454"/>
      <c r="C251" s="455"/>
    </row>
    <row r="252" spans="1:18" ht="15.75">
      <c r="A252" s="1065" t="s">
        <v>213</v>
      </c>
      <c r="B252" s="1066"/>
      <c r="C252" s="1066"/>
      <c r="D252" s="1066"/>
      <c r="E252" s="1066"/>
      <c r="F252" s="1066"/>
      <c r="G252" s="1066"/>
      <c r="H252" s="1066"/>
      <c r="I252" s="1066"/>
      <c r="J252" s="1066"/>
      <c r="K252" s="1066"/>
      <c r="L252" s="1067" t="s">
        <v>2</v>
      </c>
      <c r="M252" s="1067"/>
      <c r="N252" s="1144"/>
      <c r="O252" s="1144"/>
      <c r="P252" s="1144"/>
      <c r="Q252" s="1144"/>
    </row>
    <row r="253" spans="1:18" ht="16.5">
      <c r="A253" s="398" t="s">
        <v>3</v>
      </c>
      <c r="B253" s="399" t="s">
        <v>4</v>
      </c>
      <c r="C253" s="400" t="s">
        <v>187</v>
      </c>
      <c r="D253" s="398" t="s">
        <v>6</v>
      </c>
      <c r="E253" s="398" t="s">
        <v>188</v>
      </c>
      <c r="F253" s="401" t="s">
        <v>8</v>
      </c>
      <c r="G253" s="398" t="s">
        <v>189</v>
      </c>
      <c r="H253" s="402" t="s">
        <v>190</v>
      </c>
      <c r="I253" s="402" t="s">
        <v>191</v>
      </c>
      <c r="J253" s="398" t="s">
        <v>4</v>
      </c>
      <c r="K253" s="525" t="s">
        <v>192</v>
      </c>
      <c r="L253" s="419" t="s">
        <v>4</v>
      </c>
      <c r="M253" s="419"/>
      <c r="N253" s="419" t="s">
        <v>6</v>
      </c>
      <c r="O253" s="419" t="s">
        <v>14</v>
      </c>
      <c r="P253" s="524" t="s">
        <v>8</v>
      </c>
      <c r="Q253" s="419" t="s">
        <v>193</v>
      </c>
    </row>
    <row r="254" spans="1:18" ht="15.75">
      <c r="A254" s="1084">
        <v>23</v>
      </c>
      <c r="B254" s="517">
        <v>13690</v>
      </c>
      <c r="C254" s="502">
        <v>0.08</v>
      </c>
      <c r="D254" s="496" t="s">
        <v>214</v>
      </c>
      <c r="E254" s="491">
        <v>1700000</v>
      </c>
      <c r="F254" s="514">
        <v>0.08</v>
      </c>
      <c r="G254" s="497">
        <f>E254*F254</f>
        <v>136000</v>
      </c>
      <c r="H254" s="512" t="s">
        <v>53</v>
      </c>
      <c r="I254" s="498"/>
      <c r="J254" s="517">
        <v>13693</v>
      </c>
      <c r="K254" s="534" t="s">
        <v>19</v>
      </c>
      <c r="L254" s="535"/>
      <c r="M254" s="535"/>
      <c r="N254" s="496" t="s">
        <v>164</v>
      </c>
      <c r="O254" s="542">
        <v>1800000</v>
      </c>
      <c r="P254" s="511">
        <v>0.05</v>
      </c>
      <c r="Q254" s="543">
        <f>O254*P254</f>
        <v>90000</v>
      </c>
      <c r="R254" s="520"/>
    </row>
    <row r="255" spans="1:18" ht="15.75">
      <c r="A255" s="1081"/>
      <c r="B255" s="517">
        <v>13718</v>
      </c>
      <c r="C255" s="495">
        <v>0.1</v>
      </c>
      <c r="D255" s="516" t="s">
        <v>195</v>
      </c>
      <c r="E255" s="491">
        <v>1900000</v>
      </c>
      <c r="F255" s="511">
        <v>0.05</v>
      </c>
      <c r="G255" s="497">
        <f t="shared" ref="G255:G259" si="11">E255*F255</f>
        <v>95000</v>
      </c>
      <c r="H255" s="512" t="s">
        <v>53</v>
      </c>
      <c r="I255" s="498"/>
      <c r="J255" s="517">
        <v>13804</v>
      </c>
      <c r="K255" s="538"/>
      <c r="L255" s="535"/>
      <c r="M255" s="535"/>
      <c r="N255" s="496" t="s">
        <v>203</v>
      </c>
      <c r="O255" s="544">
        <v>1500000</v>
      </c>
      <c r="P255" s="511">
        <v>0.05</v>
      </c>
      <c r="Q255" s="543">
        <f>O255*P255</f>
        <v>75000</v>
      </c>
      <c r="R255" s="520"/>
    </row>
    <row r="256" spans="1:18" ht="15.75">
      <c r="A256" s="1081"/>
      <c r="B256" s="517">
        <v>13725</v>
      </c>
      <c r="C256" s="495">
        <v>0.1</v>
      </c>
      <c r="D256" s="496" t="s">
        <v>215</v>
      </c>
      <c r="E256" s="491">
        <v>1700000</v>
      </c>
      <c r="F256" s="511">
        <v>0.1</v>
      </c>
      <c r="G256" s="497">
        <f t="shared" si="11"/>
        <v>170000</v>
      </c>
      <c r="H256" s="494" t="s">
        <v>53</v>
      </c>
      <c r="I256" s="507"/>
      <c r="J256" s="482"/>
      <c r="K256" s="539"/>
      <c r="L256" s="535"/>
      <c r="M256" s="535"/>
      <c r="N256" s="536"/>
      <c r="O256" s="545"/>
      <c r="P256" s="546"/>
      <c r="Q256" s="547"/>
      <c r="R256" s="520"/>
    </row>
    <row r="257" spans="1:18" ht="15.75">
      <c r="A257" s="1081"/>
      <c r="B257" s="517">
        <v>13730</v>
      </c>
      <c r="C257" s="495">
        <v>0.1</v>
      </c>
      <c r="D257" s="496" t="s">
        <v>216</v>
      </c>
      <c r="E257" s="491">
        <v>1100000</v>
      </c>
      <c r="F257" s="511">
        <v>0.06</v>
      </c>
      <c r="G257" s="497">
        <f t="shared" si="11"/>
        <v>66000</v>
      </c>
      <c r="H257" s="494" t="s">
        <v>217</v>
      </c>
      <c r="I257" s="507"/>
      <c r="J257" s="482"/>
      <c r="K257" s="539"/>
      <c r="L257" s="535"/>
      <c r="M257" s="535"/>
      <c r="N257" s="536"/>
      <c r="O257" s="545"/>
      <c r="P257" s="546"/>
      <c r="Q257" s="548"/>
      <c r="R257" s="520"/>
    </row>
    <row r="258" spans="1:18" ht="15.75">
      <c r="A258" s="1081"/>
      <c r="B258" s="517">
        <v>13769</v>
      </c>
      <c r="C258" s="502">
        <v>0.08</v>
      </c>
      <c r="D258" s="496" t="s">
        <v>218</v>
      </c>
      <c r="E258" s="491">
        <v>1300000</v>
      </c>
      <c r="F258" s="514">
        <v>0.08</v>
      </c>
      <c r="G258" s="497">
        <f t="shared" si="11"/>
        <v>104000</v>
      </c>
      <c r="H258" s="494" t="s">
        <v>53</v>
      </c>
      <c r="I258" s="507"/>
      <c r="J258" s="482"/>
      <c r="K258" s="539"/>
      <c r="L258" s="535"/>
      <c r="M258" s="535"/>
      <c r="N258" s="536"/>
      <c r="O258" s="545"/>
      <c r="P258" s="546"/>
      <c r="Q258" s="548"/>
      <c r="R258" s="520"/>
    </row>
    <row r="259" spans="1:18" ht="15.75">
      <c r="A259" s="1081"/>
      <c r="B259" s="517">
        <v>13850</v>
      </c>
      <c r="C259" s="502">
        <v>0.08</v>
      </c>
      <c r="D259" s="496" t="s">
        <v>219</v>
      </c>
      <c r="E259" s="491">
        <v>1200000</v>
      </c>
      <c r="F259" s="511">
        <v>0.1</v>
      </c>
      <c r="G259" s="497">
        <f t="shared" si="11"/>
        <v>120000</v>
      </c>
      <c r="H259" s="494" t="s">
        <v>53</v>
      </c>
      <c r="I259" s="507"/>
      <c r="J259" s="482"/>
      <c r="K259" s="539"/>
      <c r="L259" s="535"/>
      <c r="M259" s="535"/>
      <c r="N259" s="536"/>
      <c r="O259" s="545"/>
      <c r="P259" s="546"/>
      <c r="Q259" s="548"/>
      <c r="R259" s="520"/>
    </row>
    <row r="260" spans="1:18" ht="15.75" customHeight="1">
      <c r="A260" s="1081"/>
      <c r="B260" s="519" t="s">
        <v>153</v>
      </c>
      <c r="C260" s="500"/>
      <c r="D260" s="508" t="s">
        <v>220</v>
      </c>
      <c r="E260" s="492"/>
      <c r="F260" s="413"/>
      <c r="G260" s="507"/>
      <c r="H260" s="507"/>
      <c r="I260" s="507"/>
      <c r="J260" s="482"/>
      <c r="K260" s="539"/>
      <c r="L260" s="535"/>
      <c r="M260" s="535"/>
      <c r="N260" s="536"/>
      <c r="O260" s="545"/>
      <c r="P260" s="549"/>
      <c r="Q260" s="548"/>
      <c r="R260" s="520"/>
    </row>
    <row r="261" spans="1:18" ht="15.75" customHeight="1">
      <c r="A261" s="1081"/>
      <c r="B261" s="519" t="s">
        <v>153</v>
      </c>
      <c r="C261" s="500"/>
      <c r="D261" s="508" t="s">
        <v>209</v>
      </c>
      <c r="E261" s="493"/>
      <c r="F261" s="507"/>
      <c r="G261" s="507"/>
      <c r="H261" s="499"/>
      <c r="I261" s="498"/>
      <c r="J261" s="532"/>
      <c r="K261" s="538"/>
      <c r="L261" s="535"/>
      <c r="M261" s="535"/>
      <c r="N261" s="536"/>
      <c r="O261" s="540"/>
      <c r="P261" s="537"/>
      <c r="Q261" s="541"/>
      <c r="R261" s="520"/>
    </row>
    <row r="262" spans="1:18" ht="15.75" customHeight="1">
      <c r="A262" s="1081"/>
      <c r="B262" s="443"/>
      <c r="C262" s="444"/>
      <c r="D262" s="445"/>
      <c r="E262" s="446"/>
      <c r="F262" s="533"/>
      <c r="G262" s="533"/>
      <c r="H262" s="533"/>
      <c r="I262" s="533"/>
      <c r="J262" s="447"/>
      <c r="K262" s="526"/>
      <c r="L262" s="448"/>
      <c r="M262" s="448"/>
      <c r="N262" s="419" t="s">
        <v>45</v>
      </c>
      <c r="O262" s="420">
        <f>SUM(O254:O261)</f>
        <v>3300000</v>
      </c>
      <c r="P262" s="419" t="s">
        <v>45</v>
      </c>
      <c r="Q262" s="420">
        <f>SUM(Q254:Q261)</f>
        <v>165000</v>
      </c>
    </row>
    <row r="263" spans="1:18" ht="15.75" customHeight="1">
      <c r="A263" s="1082"/>
      <c r="B263" s="449"/>
      <c r="C263" s="436"/>
      <c r="D263" s="423" t="s">
        <v>45</v>
      </c>
      <c r="E263" s="510">
        <f>SUM(E254:E262)</f>
        <v>8900000</v>
      </c>
      <c r="F263" s="398" t="s">
        <v>45</v>
      </c>
      <c r="G263" s="510">
        <f>SUM(G254:G262)</f>
        <v>691000</v>
      </c>
      <c r="H263" s="425"/>
      <c r="I263" s="425"/>
      <c r="J263" s="425"/>
      <c r="K263" s="527"/>
      <c r="L263" s="426" t="s">
        <v>211</v>
      </c>
      <c r="M263" s="426"/>
      <c r="N263" s="426"/>
      <c r="O263" s="426"/>
      <c r="P263" s="429" t="s">
        <v>212</v>
      </c>
      <c r="Q263" s="550">
        <f>G263+Q262</f>
        <v>856000</v>
      </c>
    </row>
    <row r="264" spans="1:18" ht="33.75">
      <c r="A264" s="451"/>
      <c r="B264" s="452"/>
      <c r="C264" s="453"/>
      <c r="D264" s="438"/>
      <c r="E264" s="439"/>
      <c r="F264" s="438"/>
      <c r="G264" s="439"/>
      <c r="H264" s="438"/>
      <c r="I264" s="438"/>
      <c r="J264" s="438"/>
      <c r="K264" s="438"/>
      <c r="L264" s="440"/>
      <c r="M264" s="440"/>
      <c r="N264" s="440"/>
      <c r="O264" s="440"/>
      <c r="P264" s="441"/>
      <c r="Q264" s="442"/>
    </row>
    <row r="265" spans="1:18" ht="15.75">
      <c r="A265" s="1065" t="s">
        <v>221</v>
      </c>
      <c r="B265" s="1066"/>
      <c r="C265" s="1066"/>
      <c r="D265" s="1066"/>
      <c r="E265" s="1066"/>
      <c r="F265" s="1066"/>
      <c r="G265" s="1066"/>
      <c r="H265" s="1066"/>
      <c r="I265" s="1066"/>
      <c r="J265" s="1066"/>
      <c r="K265" s="1066"/>
      <c r="L265" s="1067" t="s">
        <v>2</v>
      </c>
      <c r="M265" s="1067"/>
      <c r="N265" s="1144"/>
      <c r="O265" s="1144"/>
      <c r="P265" s="1144"/>
      <c r="Q265" s="1144"/>
    </row>
    <row r="266" spans="1:18" ht="16.5">
      <c r="A266" s="398" t="s">
        <v>3</v>
      </c>
      <c r="B266" s="399" t="s">
        <v>4</v>
      </c>
      <c r="C266" s="400" t="s">
        <v>187</v>
      </c>
      <c r="D266" s="398" t="s">
        <v>6</v>
      </c>
      <c r="E266" s="398" t="s">
        <v>188</v>
      </c>
      <c r="F266" s="401" t="s">
        <v>8</v>
      </c>
      <c r="G266" s="398" t="s">
        <v>189</v>
      </c>
      <c r="H266" s="402" t="s">
        <v>190</v>
      </c>
      <c r="I266" s="402"/>
      <c r="J266" s="398" t="s">
        <v>13</v>
      </c>
      <c r="K266" s="525" t="s">
        <v>192</v>
      </c>
      <c r="L266" s="419" t="s">
        <v>4</v>
      </c>
      <c r="M266" s="419"/>
      <c r="N266" s="419" t="s">
        <v>6</v>
      </c>
      <c r="O266" s="419" t="s">
        <v>14</v>
      </c>
      <c r="P266" s="524" t="s">
        <v>8</v>
      </c>
      <c r="Q266" s="419" t="s">
        <v>193</v>
      </c>
    </row>
    <row r="267" spans="1:18">
      <c r="A267" s="1081">
        <v>4</v>
      </c>
      <c r="B267" s="461"/>
      <c r="C267" s="460"/>
      <c r="D267" s="462"/>
      <c r="E267" s="408"/>
      <c r="F267" s="456"/>
      <c r="G267" s="408"/>
      <c r="H267" s="404"/>
      <c r="I267" s="404"/>
      <c r="J267" s="404"/>
      <c r="K267" s="529"/>
      <c r="L267" s="448"/>
      <c r="M267" s="448"/>
      <c r="N267" s="448"/>
      <c r="O267" s="528"/>
      <c r="P267" s="448"/>
      <c r="Q267" s="528"/>
    </row>
    <row r="268" spans="1:18" ht="15.75">
      <c r="A268" s="1081"/>
      <c r="B268" s="443"/>
      <c r="C268" s="444"/>
      <c r="D268" s="445"/>
      <c r="E268" s="446"/>
      <c r="F268" s="447"/>
      <c r="G268" s="447"/>
      <c r="H268" s="447"/>
      <c r="I268" s="447"/>
      <c r="J268" s="447"/>
      <c r="K268" s="526"/>
      <c r="L268" s="448"/>
      <c r="M268" s="448"/>
      <c r="N268" s="419" t="s">
        <v>45</v>
      </c>
      <c r="O268" s="420">
        <f>SUM(O267:O267)</f>
        <v>0</v>
      </c>
      <c r="P268" s="419" t="s">
        <v>45</v>
      </c>
      <c r="Q268" s="420"/>
      <c r="R268" s="521"/>
    </row>
    <row r="269" spans="1:18" ht="15.75">
      <c r="A269" s="1082"/>
      <c r="B269" s="449"/>
      <c r="C269" s="436"/>
      <c r="D269" s="423" t="s">
        <v>45</v>
      </c>
      <c r="E269" s="424">
        <f>SUM(E267:E268)</f>
        <v>0</v>
      </c>
      <c r="F269" s="398" t="s">
        <v>45</v>
      </c>
      <c r="G269" s="424">
        <f>SUM(G267:G268)</f>
        <v>0</v>
      </c>
      <c r="H269" s="425"/>
      <c r="I269" s="425"/>
      <c r="J269" s="425"/>
      <c r="K269" s="527"/>
      <c r="L269" s="426" t="s">
        <v>211</v>
      </c>
      <c r="M269" s="426"/>
      <c r="N269" s="426"/>
      <c r="O269" s="426"/>
      <c r="P269" s="429" t="s">
        <v>212</v>
      </c>
      <c r="Q269" s="450">
        <f>G269+Q268</f>
        <v>0</v>
      </c>
    </row>
    <row r="270" spans="1:18">
      <c r="B270" s="454"/>
      <c r="C270" s="455"/>
    </row>
    <row r="271" spans="1:18">
      <c r="B271" s="454"/>
      <c r="C271" s="455"/>
    </row>
    <row r="272" spans="1:18" ht="15.75">
      <c r="A272" s="1083">
        <f>A231+A254+A267</f>
        <v>50</v>
      </c>
      <c r="B272" s="1060" t="s">
        <v>82</v>
      </c>
      <c r="C272" s="1060"/>
      <c r="D272" s="1060"/>
      <c r="E272" s="551">
        <f>E249+E263</f>
        <v>28120000</v>
      </c>
    </row>
    <row r="273" spans="1:18" ht="15.75">
      <c r="A273" s="1083"/>
      <c r="B273" s="1061" t="s">
        <v>222</v>
      </c>
      <c r="C273" s="1061"/>
      <c r="D273" s="1062"/>
      <c r="E273" s="552"/>
    </row>
    <row r="274" spans="1:18" ht="15.75">
      <c r="A274" s="1083"/>
      <c r="B274" s="1063" t="s">
        <v>223</v>
      </c>
      <c r="C274" s="1063"/>
      <c r="D274" s="1064"/>
      <c r="E274" s="553"/>
    </row>
    <row r="278" spans="1:18" ht="46.5">
      <c r="A278" s="1033" t="s">
        <v>224</v>
      </c>
      <c r="B278" s="1033"/>
      <c r="C278" s="1033"/>
      <c r="D278" s="1033"/>
      <c r="E278" s="1033"/>
      <c r="F278" s="1033"/>
      <c r="G278" s="1033"/>
      <c r="H278" s="1033"/>
      <c r="I278" s="1033"/>
      <c r="J278" s="1033"/>
      <c r="K278" s="1033"/>
      <c r="L278" s="1033"/>
      <c r="M278" s="1033"/>
      <c r="N278" s="1033"/>
      <c r="O278" s="1033"/>
      <c r="P278" s="1033"/>
      <c r="Q278" s="1033"/>
      <c r="R278" s="531"/>
    </row>
    <row r="280" spans="1:18" ht="31.5">
      <c r="A280" s="1080" t="s">
        <v>225</v>
      </c>
      <c r="B280" s="1080"/>
      <c r="C280" s="1080"/>
      <c r="D280" s="1080"/>
      <c r="E280" s="1080"/>
      <c r="F280" s="1080"/>
      <c r="G280" s="1080"/>
      <c r="H280" s="1080"/>
      <c r="I280" s="1080"/>
      <c r="J280" s="1080"/>
      <c r="K280" s="1080"/>
      <c r="L280" s="1080"/>
      <c r="M280" s="1080"/>
      <c r="N280" s="1080"/>
      <c r="O280" s="1080"/>
      <c r="P280" s="1080"/>
      <c r="Q280" s="1080"/>
    </row>
    <row r="281" spans="1:18" ht="15.75">
      <c r="A281" s="1065" t="s">
        <v>1</v>
      </c>
      <c r="B281" s="1065"/>
      <c r="C281" s="1065"/>
      <c r="D281" s="1065"/>
      <c r="E281" s="1065"/>
      <c r="F281" s="1065"/>
      <c r="G281" s="1065"/>
      <c r="H281" s="1065"/>
      <c r="I281" s="1065"/>
      <c r="J281" s="1065"/>
      <c r="K281" s="1065"/>
      <c r="L281" s="1071" t="s">
        <v>2</v>
      </c>
      <c r="M281" s="1071"/>
      <c r="N281" s="1071"/>
      <c r="O281" s="1071"/>
      <c r="P281" s="1071"/>
      <c r="Q281" s="1072"/>
    </row>
    <row r="282" spans="1:18" ht="16.5">
      <c r="A282" s="398" t="s">
        <v>3</v>
      </c>
      <c r="B282" s="399" t="s">
        <v>4</v>
      </c>
      <c r="C282" s="400" t="s">
        <v>187</v>
      </c>
      <c r="D282" s="398" t="s">
        <v>6</v>
      </c>
      <c r="E282" s="398" t="s">
        <v>188</v>
      </c>
      <c r="F282" s="401" t="s">
        <v>8</v>
      </c>
      <c r="G282" s="398" t="s">
        <v>189</v>
      </c>
      <c r="H282" s="402" t="s">
        <v>190</v>
      </c>
      <c r="I282" s="402" t="s">
        <v>191</v>
      </c>
      <c r="J282" s="398" t="s">
        <v>4</v>
      </c>
      <c r="K282" s="398" t="s">
        <v>192</v>
      </c>
      <c r="L282" s="403" t="s">
        <v>4</v>
      </c>
      <c r="M282" s="403"/>
      <c r="N282" s="403" t="s">
        <v>6</v>
      </c>
      <c r="O282" s="403" t="s">
        <v>14</v>
      </c>
      <c r="P282" s="522" t="s">
        <v>8</v>
      </c>
      <c r="Q282" s="419" t="s">
        <v>193</v>
      </c>
    </row>
    <row r="283" spans="1:18" ht="15.75">
      <c r="A283" s="1073">
        <v>23</v>
      </c>
      <c r="B283" s="517">
        <v>13887</v>
      </c>
      <c r="C283" s="583">
        <v>0.1</v>
      </c>
      <c r="D283" s="516" t="s">
        <v>226</v>
      </c>
      <c r="E283" s="569">
        <v>900000</v>
      </c>
      <c r="F283" s="495">
        <v>0.1</v>
      </c>
      <c r="G283" s="570">
        <f>'INFORME EXTERNOS'!E283*F283</f>
        <v>90000</v>
      </c>
      <c r="H283" s="590" t="s">
        <v>17</v>
      </c>
      <c r="I283" s="584"/>
      <c r="J283" s="517">
        <v>14066</v>
      </c>
      <c r="K283" s="398"/>
      <c r="L283" s="403"/>
      <c r="M283" s="403"/>
      <c r="N283" s="496" t="s">
        <v>227</v>
      </c>
      <c r="O283" s="596">
        <v>1500000</v>
      </c>
      <c r="P283" s="591">
        <v>0.04</v>
      </c>
      <c r="Q283" s="597">
        <f>O283*P283</f>
        <v>60000</v>
      </c>
    </row>
    <row r="284" spans="1:18" ht="15.75">
      <c r="A284" s="1074"/>
      <c r="B284" s="517">
        <v>13891</v>
      </c>
      <c r="C284" s="495">
        <v>0.1</v>
      </c>
      <c r="D284" s="496" t="s">
        <v>228</v>
      </c>
      <c r="E284" s="570">
        <v>2500000</v>
      </c>
      <c r="F284" s="495">
        <v>0.06</v>
      </c>
      <c r="G284" s="570">
        <f>E284*F284</f>
        <v>150000</v>
      </c>
      <c r="H284" s="516" t="s">
        <v>217</v>
      </c>
      <c r="I284" s="498"/>
      <c r="J284" s="498"/>
      <c r="K284" s="76"/>
      <c r="L284" s="76"/>
      <c r="M284" s="76"/>
      <c r="N284" s="76"/>
      <c r="O284" s="592"/>
      <c r="P284" s="523"/>
      <c r="Q284" s="594"/>
      <c r="R284" s="520"/>
    </row>
    <row r="285" spans="1:18" ht="15.75">
      <c r="A285" s="1074"/>
      <c r="B285" s="517">
        <v>13900</v>
      </c>
      <c r="C285" s="495">
        <v>0.1</v>
      </c>
      <c r="D285" s="496" t="s">
        <v>229</v>
      </c>
      <c r="E285" s="570">
        <v>1600000</v>
      </c>
      <c r="F285" s="511">
        <v>0.1</v>
      </c>
      <c r="G285" s="570">
        <f>E285*F285</f>
        <v>160000</v>
      </c>
      <c r="H285" s="516" t="s">
        <v>17</v>
      </c>
      <c r="I285" s="498"/>
      <c r="J285" s="498"/>
      <c r="K285" s="31"/>
      <c r="L285" s="31"/>
      <c r="M285" s="31"/>
      <c r="N285" s="31"/>
      <c r="O285" s="592"/>
      <c r="P285" s="523"/>
      <c r="Q285" s="594"/>
      <c r="R285" s="520"/>
    </row>
    <row r="286" spans="1:18" ht="15.75" customHeight="1">
      <c r="A286" s="1074"/>
      <c r="B286" s="517">
        <v>13926</v>
      </c>
      <c r="C286" s="495">
        <v>0.1</v>
      </c>
      <c r="D286" s="496" t="s">
        <v>230</v>
      </c>
      <c r="E286" s="570">
        <v>1400000</v>
      </c>
      <c r="F286" s="511">
        <v>0.1</v>
      </c>
      <c r="G286" s="570">
        <f>E286*F286</f>
        <v>140000</v>
      </c>
      <c r="H286" s="516" t="s">
        <v>17</v>
      </c>
      <c r="I286" s="498"/>
      <c r="J286" s="498"/>
      <c r="K286" s="29"/>
      <c r="L286" s="16"/>
      <c r="M286" s="16"/>
      <c r="N286" s="26"/>
      <c r="O286" s="593"/>
      <c r="P286" s="523"/>
      <c r="Q286" s="595"/>
      <c r="R286" s="520"/>
    </row>
    <row r="287" spans="1:18" ht="15.75" customHeight="1">
      <c r="A287" s="1074"/>
      <c r="B287" s="517">
        <v>13968</v>
      </c>
      <c r="C287" s="495">
        <v>0.1</v>
      </c>
      <c r="D287" s="496" t="s">
        <v>231</v>
      </c>
      <c r="E287" s="570">
        <v>1300000</v>
      </c>
      <c r="F287" s="511">
        <v>0.1</v>
      </c>
      <c r="G287" s="570">
        <f>E287*F287</f>
        <v>130000</v>
      </c>
      <c r="H287" s="516" t="s">
        <v>17</v>
      </c>
      <c r="I287" s="498"/>
      <c r="J287" s="498"/>
      <c r="K287" s="29"/>
      <c r="L287" s="16"/>
      <c r="M287" s="16"/>
      <c r="N287" s="26"/>
      <c r="O287" s="593"/>
      <c r="P287" s="523"/>
      <c r="Q287" s="595"/>
      <c r="R287" s="520"/>
    </row>
    <row r="288" spans="1:18" ht="15.75" customHeight="1">
      <c r="A288" s="1074"/>
      <c r="B288" s="517">
        <v>13971</v>
      </c>
      <c r="C288" s="502">
        <v>0.08</v>
      </c>
      <c r="D288" s="496" t="s">
        <v>232</v>
      </c>
      <c r="E288" s="570">
        <v>1100000</v>
      </c>
      <c r="F288" s="514">
        <v>0.08</v>
      </c>
      <c r="G288" s="570">
        <f>E288*F288</f>
        <v>88000</v>
      </c>
      <c r="H288" s="516" t="s">
        <v>17</v>
      </c>
      <c r="I288" s="498"/>
      <c r="J288" s="498"/>
      <c r="K288" s="29"/>
      <c r="L288" s="16"/>
      <c r="M288" s="16"/>
      <c r="N288" s="26"/>
      <c r="O288" s="593"/>
      <c r="P288" s="523"/>
      <c r="Q288" s="595"/>
      <c r="R288" s="520"/>
    </row>
    <row r="289" spans="1:18" ht="15.75" customHeight="1">
      <c r="A289" s="1074"/>
      <c r="B289" s="517">
        <v>13994</v>
      </c>
      <c r="C289" s="495">
        <v>0.1</v>
      </c>
      <c r="D289" s="496" t="s">
        <v>233</v>
      </c>
      <c r="E289" s="570">
        <v>730000</v>
      </c>
      <c r="F289" s="513">
        <v>0.05</v>
      </c>
      <c r="G289" s="570">
        <f>E289*F289</f>
        <v>36500</v>
      </c>
      <c r="H289" s="496" t="s">
        <v>234</v>
      </c>
      <c r="I289" s="498"/>
      <c r="J289" s="498"/>
      <c r="K289" s="76"/>
      <c r="L289" s="76"/>
      <c r="M289" s="76"/>
      <c r="N289" s="76"/>
      <c r="O289" s="592"/>
      <c r="P289" s="523"/>
      <c r="Q289" s="594"/>
      <c r="R289" s="520"/>
    </row>
    <row r="290" spans="1:18" ht="15.75" customHeight="1">
      <c r="A290" s="1074"/>
      <c r="B290" s="517">
        <v>14005</v>
      </c>
      <c r="C290" s="495">
        <v>0.1</v>
      </c>
      <c r="D290" s="496" t="s">
        <v>235</v>
      </c>
      <c r="E290" s="570">
        <v>1300000</v>
      </c>
      <c r="F290" s="513">
        <v>0.05</v>
      </c>
      <c r="G290" s="570">
        <f>E290*F290</f>
        <v>65000</v>
      </c>
      <c r="H290" s="496" t="s">
        <v>53</v>
      </c>
      <c r="I290" s="498"/>
      <c r="J290" s="498"/>
      <c r="K290" s="76"/>
      <c r="L290" s="76"/>
      <c r="M290" s="76"/>
      <c r="N290" s="76"/>
      <c r="O290" s="592"/>
      <c r="P290" s="523"/>
      <c r="Q290" s="594"/>
      <c r="R290" s="520"/>
    </row>
    <row r="291" spans="1:18" ht="15.75" customHeight="1">
      <c r="A291" s="1074"/>
      <c r="B291" s="517">
        <v>14011</v>
      </c>
      <c r="C291" s="495">
        <v>0.1</v>
      </c>
      <c r="D291" s="496" t="s">
        <v>236</v>
      </c>
      <c r="E291" s="570">
        <v>1350000</v>
      </c>
      <c r="F291" s="511">
        <v>0.06</v>
      </c>
      <c r="G291" s="570">
        <f>E291*F291</f>
        <v>81000</v>
      </c>
      <c r="H291" s="496" t="s">
        <v>217</v>
      </c>
      <c r="I291" s="498"/>
      <c r="J291" s="498"/>
      <c r="K291" s="76"/>
      <c r="L291" s="76"/>
      <c r="M291" s="76"/>
      <c r="N291" s="76"/>
      <c r="O291" s="592"/>
      <c r="P291" s="523"/>
      <c r="Q291" s="594"/>
      <c r="R291" s="520"/>
    </row>
    <row r="292" spans="1:18" ht="15" customHeight="1">
      <c r="A292" s="1074"/>
      <c r="B292" s="457"/>
      <c r="C292" s="460"/>
      <c r="D292" s="404"/>
      <c r="E292" s="408"/>
      <c r="F292" s="410"/>
      <c r="G292" s="408"/>
      <c r="H292" s="405"/>
      <c r="I292" s="405"/>
      <c r="J292" s="404"/>
      <c r="K292" s="404" t="s">
        <v>210</v>
      </c>
      <c r="L292" s="407"/>
      <c r="M292" s="407"/>
      <c r="N292" s="406"/>
      <c r="O292" s="409"/>
      <c r="P292" s="411"/>
      <c r="Q292" s="412"/>
    </row>
    <row r="293" spans="1:18" ht="12.75" customHeight="1">
      <c r="A293" s="1074"/>
      <c r="B293" s="413"/>
      <c r="C293" s="414"/>
      <c r="D293" s="415"/>
      <c r="E293" s="416"/>
      <c r="F293" s="417"/>
      <c r="G293" s="416"/>
      <c r="H293" s="417"/>
      <c r="I293" s="417"/>
      <c r="J293" s="417"/>
      <c r="K293" s="417"/>
      <c r="L293" s="418"/>
      <c r="M293" s="418"/>
      <c r="N293" s="419" t="s">
        <v>45</v>
      </c>
      <c r="O293" s="420">
        <f>SUM(O283:O292)</f>
        <v>1500000</v>
      </c>
      <c r="P293" s="435" t="s">
        <v>45</v>
      </c>
      <c r="Q293" s="420">
        <f>SUM(Q283:Q292)</f>
        <v>60000</v>
      </c>
    </row>
    <row r="294" spans="1:18" ht="12.75" customHeight="1">
      <c r="A294" s="1075"/>
      <c r="B294" s="421"/>
      <c r="C294" s="422"/>
      <c r="D294" s="423" t="s">
        <v>45</v>
      </c>
      <c r="E294" s="510">
        <f>SUM(E283:E293)</f>
        <v>12180000</v>
      </c>
      <c r="F294" s="398" t="s">
        <v>45</v>
      </c>
      <c r="G294" s="509">
        <f>SUM(G283:G293)</f>
        <v>940500</v>
      </c>
      <c r="H294" s="425"/>
      <c r="I294" s="425"/>
      <c r="J294" s="425"/>
      <c r="K294" s="425"/>
      <c r="L294" s="426" t="s">
        <v>211</v>
      </c>
      <c r="M294" s="427"/>
      <c r="N294" s="427"/>
      <c r="O294" s="428"/>
      <c r="P294" s="437" t="s">
        <v>212</v>
      </c>
      <c r="Q294" s="550">
        <f>G294+Q293</f>
        <v>1000500</v>
      </c>
    </row>
    <row r="295" spans="1:18">
      <c r="A295" s="430"/>
      <c r="B295" s="431"/>
      <c r="C295" s="432"/>
      <c r="D295" s="430"/>
      <c r="E295" s="430"/>
      <c r="F295" s="430"/>
      <c r="G295" s="430"/>
      <c r="H295" s="430"/>
      <c r="I295" s="430"/>
      <c r="J295" s="430"/>
      <c r="K295" s="430"/>
    </row>
    <row r="296" spans="1:18">
      <c r="B296" s="454"/>
      <c r="C296" s="455"/>
    </row>
    <row r="297" spans="1:18" ht="15.75">
      <c r="A297" s="1065" t="s">
        <v>213</v>
      </c>
      <c r="B297" s="1066"/>
      <c r="C297" s="1066"/>
      <c r="D297" s="1066"/>
      <c r="E297" s="1066"/>
      <c r="F297" s="1066"/>
      <c r="G297" s="1066"/>
      <c r="H297" s="1066"/>
      <c r="I297" s="1066"/>
      <c r="J297" s="1066"/>
      <c r="K297" s="1066"/>
      <c r="L297" s="1067" t="s">
        <v>2</v>
      </c>
      <c r="M297" s="1067"/>
      <c r="N297" s="1144"/>
      <c r="O297" s="1144"/>
      <c r="P297" s="1144"/>
      <c r="Q297" s="1144"/>
    </row>
    <row r="298" spans="1:18" ht="16.5">
      <c r="A298" s="398" t="s">
        <v>3</v>
      </c>
      <c r="B298" s="399" t="s">
        <v>4</v>
      </c>
      <c r="C298" s="400" t="s">
        <v>187</v>
      </c>
      <c r="D298" s="398" t="s">
        <v>6</v>
      </c>
      <c r="E298" s="398" t="s">
        <v>188</v>
      </c>
      <c r="F298" s="401" t="s">
        <v>8</v>
      </c>
      <c r="G298" s="398" t="s">
        <v>189</v>
      </c>
      <c r="H298" s="402" t="s">
        <v>190</v>
      </c>
      <c r="I298" s="402" t="s">
        <v>191</v>
      </c>
      <c r="J298" s="398" t="s">
        <v>4</v>
      </c>
      <c r="K298" s="525" t="s">
        <v>192</v>
      </c>
      <c r="L298" s="419" t="s">
        <v>4</v>
      </c>
      <c r="M298" s="419"/>
      <c r="N298" s="419" t="s">
        <v>6</v>
      </c>
      <c r="O298" s="419" t="s">
        <v>14</v>
      </c>
      <c r="P298" s="524" t="s">
        <v>8</v>
      </c>
      <c r="Q298" s="419" t="s">
        <v>193</v>
      </c>
    </row>
    <row r="299" spans="1:18" ht="15.75">
      <c r="A299" s="1073">
        <v>23</v>
      </c>
      <c r="B299" s="517">
        <v>13898</v>
      </c>
      <c r="C299" s="495">
        <v>0.1</v>
      </c>
      <c r="D299" s="496" t="s">
        <v>237</v>
      </c>
      <c r="E299" s="585">
        <v>900000</v>
      </c>
      <c r="F299" s="511">
        <v>0.05</v>
      </c>
      <c r="G299" s="497">
        <f>E299*F299</f>
        <v>45000</v>
      </c>
      <c r="H299" s="494" t="s">
        <v>238</v>
      </c>
      <c r="I299" s="507"/>
      <c r="J299" s="517">
        <v>14005</v>
      </c>
      <c r="K299" s="539"/>
      <c r="L299" s="535"/>
      <c r="M299" s="535"/>
      <c r="N299" s="496" t="s">
        <v>235</v>
      </c>
      <c r="O299" s="570">
        <v>1300000</v>
      </c>
      <c r="P299" s="513">
        <v>0.05</v>
      </c>
      <c r="Q299" s="607">
        <f>O299*P299</f>
        <v>65000</v>
      </c>
      <c r="R299" s="520"/>
    </row>
    <row r="300" spans="1:18" ht="15.75" customHeight="1">
      <c r="A300" s="1074"/>
      <c r="B300" s="517">
        <v>13904</v>
      </c>
      <c r="C300" s="495">
        <v>0.1</v>
      </c>
      <c r="D300" s="496" t="s">
        <v>239</v>
      </c>
      <c r="E300" s="585">
        <v>1250000</v>
      </c>
      <c r="F300" s="511">
        <v>0.06</v>
      </c>
      <c r="G300" s="497">
        <f>E300*F300</f>
        <v>75000</v>
      </c>
      <c r="H300" s="494" t="s">
        <v>22</v>
      </c>
      <c r="I300" s="507"/>
      <c r="J300" s="482"/>
      <c r="K300" s="539"/>
      <c r="L300" s="535"/>
      <c r="M300" s="535"/>
      <c r="N300" s="536"/>
      <c r="O300" s="545"/>
      <c r="P300" s="546"/>
      <c r="Q300" s="548"/>
      <c r="R300" s="520"/>
    </row>
    <row r="301" spans="1:18" ht="15.75" customHeight="1">
      <c r="A301" s="1074"/>
      <c r="B301" s="517">
        <v>13899</v>
      </c>
      <c r="C301" s="495">
        <v>0.1</v>
      </c>
      <c r="D301" s="496" t="s">
        <v>240</v>
      </c>
      <c r="E301" s="585">
        <v>800000</v>
      </c>
      <c r="F301" s="511">
        <v>0.05</v>
      </c>
      <c r="G301" s="497">
        <f>E301*F301</f>
        <v>40000</v>
      </c>
      <c r="H301" s="494" t="s">
        <v>17</v>
      </c>
      <c r="I301" s="507"/>
      <c r="J301" s="482"/>
      <c r="K301" s="539"/>
      <c r="L301" s="535"/>
      <c r="M301" s="535"/>
      <c r="N301" s="536"/>
      <c r="O301" s="545"/>
      <c r="P301" s="546"/>
      <c r="Q301" s="547"/>
      <c r="R301" s="520"/>
    </row>
    <row r="302" spans="1:18" ht="15.75" customHeight="1">
      <c r="A302" s="1074"/>
      <c r="B302" s="517">
        <v>13951</v>
      </c>
      <c r="C302" s="495">
        <v>0.1</v>
      </c>
      <c r="D302" s="496" t="s">
        <v>241</v>
      </c>
      <c r="E302" s="585">
        <v>1300000</v>
      </c>
      <c r="F302" s="511">
        <v>0.1</v>
      </c>
      <c r="G302" s="497">
        <f>E302*F302</f>
        <v>130000</v>
      </c>
      <c r="H302" s="494" t="s">
        <v>53</v>
      </c>
      <c r="I302" s="507"/>
      <c r="J302" s="482"/>
      <c r="K302" s="539"/>
      <c r="L302" s="535"/>
      <c r="M302" s="535"/>
      <c r="N302" s="536"/>
      <c r="O302" s="545"/>
      <c r="P302" s="546"/>
      <c r="Q302" s="548"/>
      <c r="R302" s="520"/>
    </row>
    <row r="303" spans="1:18" ht="15.75" customHeight="1">
      <c r="A303" s="1074"/>
      <c r="B303" s="517">
        <v>13947</v>
      </c>
      <c r="C303" s="495">
        <v>0.1</v>
      </c>
      <c r="D303" s="496" t="s">
        <v>242</v>
      </c>
      <c r="E303" s="585">
        <v>800000</v>
      </c>
      <c r="F303" s="511">
        <v>0.06</v>
      </c>
      <c r="G303" s="497">
        <f>E303*F303</f>
        <v>48000</v>
      </c>
      <c r="H303" s="494" t="s">
        <v>217</v>
      </c>
      <c r="I303" s="507"/>
      <c r="J303" s="482"/>
      <c r="K303" s="539"/>
      <c r="L303" s="535"/>
      <c r="M303" s="535"/>
      <c r="N303" s="536"/>
      <c r="O303" s="545"/>
      <c r="P303" s="546"/>
      <c r="Q303" s="548"/>
      <c r="R303" s="520"/>
    </row>
    <row r="304" spans="1:18" ht="15.75" customHeight="1">
      <c r="A304" s="1074"/>
      <c r="B304" s="517">
        <v>13976</v>
      </c>
      <c r="C304" s="495">
        <v>0.1</v>
      </c>
      <c r="D304" s="496" t="s">
        <v>243</v>
      </c>
      <c r="E304" s="585">
        <v>1400000</v>
      </c>
      <c r="F304" s="511">
        <v>0.1</v>
      </c>
      <c r="G304" s="497">
        <f t="shared" ref="G304:G314" si="12">E304*F304</f>
        <v>140000</v>
      </c>
      <c r="H304" s="494" t="s">
        <v>53</v>
      </c>
      <c r="I304" s="507"/>
      <c r="J304" s="482"/>
      <c r="K304" s="539"/>
      <c r="L304" s="535"/>
      <c r="M304" s="535"/>
      <c r="N304" s="536"/>
      <c r="O304" s="545"/>
      <c r="P304" s="546"/>
      <c r="Q304" s="548"/>
      <c r="R304" s="520"/>
    </row>
    <row r="305" spans="1:18" ht="15.75" customHeight="1">
      <c r="A305" s="1074"/>
      <c r="B305" s="517">
        <v>14038</v>
      </c>
      <c r="C305" s="495">
        <v>0.1</v>
      </c>
      <c r="D305" s="496" t="s">
        <v>244</v>
      </c>
      <c r="E305" s="585">
        <v>1700000</v>
      </c>
      <c r="F305" s="511">
        <v>0.05</v>
      </c>
      <c r="G305" s="497">
        <f t="shared" si="12"/>
        <v>85000</v>
      </c>
      <c r="H305" s="494" t="s">
        <v>245</v>
      </c>
      <c r="I305" s="507"/>
      <c r="J305" s="482"/>
      <c r="K305" s="539"/>
      <c r="L305" s="535"/>
      <c r="M305" s="535"/>
      <c r="N305" s="536"/>
      <c r="O305" s="545"/>
      <c r="P305" s="546"/>
      <c r="Q305" s="548"/>
      <c r="R305" s="520"/>
    </row>
    <row r="306" spans="1:18" ht="15.75" customHeight="1">
      <c r="A306" s="1074"/>
      <c r="B306" s="517">
        <v>14042</v>
      </c>
      <c r="C306" s="495">
        <v>0.1</v>
      </c>
      <c r="D306" s="496" t="s">
        <v>246</v>
      </c>
      <c r="E306" s="585">
        <v>1350000</v>
      </c>
      <c r="F306" s="511">
        <v>0.06</v>
      </c>
      <c r="G306" s="497">
        <f t="shared" si="12"/>
        <v>81000</v>
      </c>
      <c r="H306" s="494" t="s">
        <v>217</v>
      </c>
      <c r="I306" s="507"/>
      <c r="J306" s="589"/>
      <c r="K306" s="539"/>
      <c r="L306" s="535"/>
      <c r="M306" s="535"/>
      <c r="N306" s="536"/>
      <c r="O306" s="545"/>
      <c r="P306" s="546"/>
      <c r="Q306" s="548"/>
      <c r="R306" s="520"/>
    </row>
    <row r="307" spans="1:18" ht="15.75" customHeight="1">
      <c r="A307" s="1074"/>
      <c r="B307" s="517">
        <v>14061</v>
      </c>
      <c r="C307" s="511">
        <v>0.1</v>
      </c>
      <c r="D307" s="496" t="s">
        <v>247</v>
      </c>
      <c r="E307" s="585">
        <v>1200000</v>
      </c>
      <c r="F307" s="511">
        <v>0.06</v>
      </c>
      <c r="G307" s="497">
        <f t="shared" si="12"/>
        <v>72000</v>
      </c>
      <c r="H307" s="494" t="s">
        <v>217</v>
      </c>
      <c r="I307" s="507"/>
      <c r="J307" s="589"/>
      <c r="K307" s="539"/>
      <c r="L307" s="535"/>
      <c r="M307" s="535"/>
      <c r="N307" s="536"/>
      <c r="O307" s="545"/>
      <c r="P307" s="546"/>
      <c r="Q307" s="548"/>
      <c r="R307" s="520"/>
    </row>
    <row r="308" spans="1:18" ht="15.75" customHeight="1">
      <c r="A308" s="1074"/>
      <c r="B308" s="517">
        <v>14062</v>
      </c>
      <c r="C308" s="495">
        <v>0.1</v>
      </c>
      <c r="D308" s="516" t="s">
        <v>248</v>
      </c>
      <c r="E308" s="587">
        <v>2300000</v>
      </c>
      <c r="F308" s="511">
        <v>0.1</v>
      </c>
      <c r="G308" s="497">
        <f t="shared" si="12"/>
        <v>230000</v>
      </c>
      <c r="H308" s="494" t="s">
        <v>53</v>
      </c>
      <c r="I308" s="507"/>
      <c r="J308" s="482"/>
      <c r="K308" s="539"/>
      <c r="L308" s="535"/>
      <c r="M308" s="535"/>
      <c r="N308" s="536"/>
      <c r="O308" s="545"/>
      <c r="P308" s="549"/>
      <c r="Q308" s="548"/>
      <c r="R308" s="520"/>
    </row>
    <row r="309" spans="1:18" ht="15.75" customHeight="1">
      <c r="A309" s="1074"/>
      <c r="B309" s="517">
        <v>14066</v>
      </c>
      <c r="C309" s="502">
        <v>0.08</v>
      </c>
      <c r="D309" s="496" t="s">
        <v>227</v>
      </c>
      <c r="E309" s="570">
        <v>1500000</v>
      </c>
      <c r="F309" s="514">
        <v>0.04</v>
      </c>
      <c r="G309" s="497">
        <f t="shared" si="12"/>
        <v>60000</v>
      </c>
      <c r="H309" s="496" t="s">
        <v>17</v>
      </c>
      <c r="I309" s="498"/>
      <c r="J309" s="498"/>
      <c r="K309" s="31"/>
      <c r="L309" s="31"/>
      <c r="M309" s="31"/>
      <c r="N309" s="31"/>
      <c r="O309" s="386"/>
      <c r="P309" s="523"/>
      <c r="Q309" s="139"/>
      <c r="R309" s="520"/>
    </row>
    <row r="310" spans="1:18" ht="15.75" customHeight="1">
      <c r="A310" s="1074"/>
      <c r="B310" s="517">
        <v>14074</v>
      </c>
      <c r="C310" s="495">
        <v>0.1</v>
      </c>
      <c r="D310" s="496" t="s">
        <v>249</v>
      </c>
      <c r="E310" s="585">
        <v>1200000</v>
      </c>
      <c r="F310" s="511">
        <v>0.1</v>
      </c>
      <c r="G310" s="497">
        <f t="shared" si="12"/>
        <v>120000</v>
      </c>
      <c r="H310" s="494" t="s">
        <v>53</v>
      </c>
      <c r="I310" s="507"/>
      <c r="J310" s="482"/>
      <c r="K310" s="539"/>
      <c r="L310" s="535"/>
      <c r="M310" s="535"/>
      <c r="N310" s="536"/>
      <c r="O310" s="545"/>
      <c r="P310" s="546"/>
      <c r="Q310" s="548"/>
      <c r="R310" s="520"/>
    </row>
    <row r="311" spans="1:18" ht="15.75" customHeight="1">
      <c r="A311" s="1074"/>
      <c r="B311" s="517">
        <v>14112</v>
      </c>
      <c r="C311" s="495">
        <v>0.1</v>
      </c>
      <c r="D311" s="496" t="s">
        <v>250</v>
      </c>
      <c r="E311" s="570">
        <v>1600000</v>
      </c>
      <c r="F311" s="511">
        <v>0.05</v>
      </c>
      <c r="G311" s="497">
        <f t="shared" si="12"/>
        <v>80000</v>
      </c>
      <c r="H311" s="496" t="s">
        <v>17</v>
      </c>
      <c r="I311" s="498"/>
      <c r="J311" s="498"/>
      <c r="K311" s="31"/>
      <c r="L311" s="31"/>
      <c r="M311" s="31"/>
      <c r="N311" s="31"/>
      <c r="O311" s="386"/>
      <c r="P311" s="523"/>
      <c r="Q311" s="139"/>
      <c r="R311" s="520"/>
    </row>
    <row r="312" spans="1:18" ht="15.75" customHeight="1">
      <c r="A312" s="1074"/>
      <c r="B312" s="517">
        <v>14083</v>
      </c>
      <c r="C312" s="495">
        <v>0.1</v>
      </c>
      <c r="D312" s="496" t="s">
        <v>251</v>
      </c>
      <c r="E312" s="585">
        <v>1800000</v>
      </c>
      <c r="F312" s="511">
        <v>0.1</v>
      </c>
      <c r="G312" s="497">
        <f t="shared" si="12"/>
        <v>180000</v>
      </c>
      <c r="H312" s="494" t="s">
        <v>53</v>
      </c>
      <c r="I312" s="507"/>
      <c r="J312" s="482"/>
      <c r="K312" s="539"/>
      <c r="L312" s="535"/>
      <c r="M312" s="535"/>
      <c r="N312" s="536"/>
      <c r="O312" s="545"/>
      <c r="P312" s="546"/>
      <c r="Q312" s="548"/>
      <c r="R312" s="520"/>
    </row>
    <row r="313" spans="1:18" ht="15.75" customHeight="1">
      <c r="A313" s="1074"/>
      <c r="B313" s="518">
        <v>14103</v>
      </c>
      <c r="C313" s="495">
        <v>0.1</v>
      </c>
      <c r="D313" s="503" t="s">
        <v>252</v>
      </c>
      <c r="E313" s="601">
        <v>1700000</v>
      </c>
      <c r="F313" s="511">
        <v>0.05</v>
      </c>
      <c r="G313" s="497">
        <f t="shared" si="12"/>
        <v>85000</v>
      </c>
      <c r="H313" s="503" t="s">
        <v>253</v>
      </c>
      <c r="I313" s="505"/>
      <c r="J313" s="505"/>
      <c r="K313" s="159"/>
      <c r="L313" s="229"/>
      <c r="M313" s="229"/>
      <c r="N313" s="229"/>
      <c r="O313" s="386"/>
      <c r="P313" s="523"/>
      <c r="Q313" s="139"/>
      <c r="R313" s="520"/>
    </row>
    <row r="314" spans="1:18" ht="15.75" customHeight="1">
      <c r="A314" s="1074"/>
      <c r="B314" s="517">
        <v>14101</v>
      </c>
      <c r="C314" s="511">
        <v>0.1</v>
      </c>
      <c r="D314" s="496" t="s">
        <v>254</v>
      </c>
      <c r="E314" s="585">
        <v>1700000</v>
      </c>
      <c r="F314" s="511">
        <v>0.1</v>
      </c>
      <c r="G314" s="497">
        <f t="shared" si="12"/>
        <v>170000</v>
      </c>
      <c r="H314" s="494" t="s">
        <v>53</v>
      </c>
      <c r="I314" s="507"/>
      <c r="J314" s="482"/>
      <c r="K314" s="539"/>
      <c r="L314" s="535"/>
      <c r="M314" s="535"/>
      <c r="N314" s="536"/>
      <c r="O314" s="545"/>
      <c r="P314" s="546"/>
      <c r="Q314" s="548"/>
      <c r="R314" s="520"/>
    </row>
    <row r="315" spans="1:18" ht="15.75" customHeight="1">
      <c r="A315" s="1074"/>
      <c r="B315" s="443"/>
      <c r="C315" s="444"/>
      <c r="D315" s="445"/>
      <c r="E315" s="446"/>
      <c r="F315" s="533"/>
      <c r="G315" s="533"/>
      <c r="H315" s="533"/>
      <c r="I315" s="533"/>
      <c r="J315" s="447"/>
      <c r="K315" s="526"/>
      <c r="L315" s="448"/>
      <c r="M315" s="448"/>
      <c r="N315" s="419" t="s">
        <v>45</v>
      </c>
      <c r="O315" s="420">
        <f>SUM(O299:O314)</f>
        <v>1300000</v>
      </c>
      <c r="P315" s="419" t="s">
        <v>45</v>
      </c>
      <c r="Q315" s="420">
        <f>SUM(Q299:Q314)</f>
        <v>65000</v>
      </c>
    </row>
    <row r="316" spans="1:18" ht="15.75" customHeight="1">
      <c r="A316" s="1075"/>
      <c r="B316" s="449"/>
      <c r="C316" s="436"/>
      <c r="D316" s="423" t="s">
        <v>45</v>
      </c>
      <c r="E316" s="510">
        <f>SUM(E299:E315)</f>
        <v>22500000</v>
      </c>
      <c r="F316" s="398" t="s">
        <v>45</v>
      </c>
      <c r="G316" s="510">
        <f>SUM(G299:G315)</f>
        <v>1641000</v>
      </c>
      <c r="H316" s="425"/>
      <c r="I316" s="425"/>
      <c r="J316" s="425"/>
      <c r="K316" s="527"/>
      <c r="L316" s="426" t="s">
        <v>211</v>
      </c>
      <c r="M316" s="426"/>
      <c r="N316" s="426"/>
      <c r="O316" s="426"/>
      <c r="P316" s="429" t="s">
        <v>212</v>
      </c>
      <c r="Q316" s="550">
        <f>G316+Q315</f>
        <v>1706000</v>
      </c>
    </row>
    <row r="317" spans="1:18" ht="33.75">
      <c r="A317" s="451"/>
      <c r="B317" s="452"/>
      <c r="C317" s="453"/>
      <c r="D317" s="438"/>
      <c r="E317" s="439"/>
      <c r="F317" s="438"/>
      <c r="G317" s="439"/>
      <c r="H317" s="438"/>
      <c r="I317" s="438"/>
      <c r="J317" s="438"/>
      <c r="K317" s="438"/>
      <c r="L317" s="440"/>
      <c r="M317" s="440"/>
      <c r="N317" s="440"/>
      <c r="O317" s="440"/>
      <c r="P317" s="441"/>
      <c r="Q317" s="442"/>
    </row>
    <row r="318" spans="1:18" ht="15.75">
      <c r="A318" s="1065" t="s">
        <v>255</v>
      </c>
      <c r="B318" s="1066"/>
      <c r="C318" s="1066"/>
      <c r="D318" s="1066"/>
      <c r="E318" s="1066"/>
      <c r="F318" s="1066"/>
      <c r="G318" s="1066"/>
      <c r="H318" s="1066"/>
      <c r="I318" s="1066"/>
      <c r="J318" s="1066"/>
      <c r="K318" s="1066"/>
      <c r="L318" s="1067" t="s">
        <v>2</v>
      </c>
      <c r="M318" s="1067"/>
      <c r="N318" s="1144"/>
      <c r="O318" s="1144"/>
      <c r="P318" s="1144"/>
      <c r="Q318" s="1144"/>
    </row>
    <row r="319" spans="1:18" ht="16.5">
      <c r="A319" s="398" t="s">
        <v>3</v>
      </c>
      <c r="B319" s="399" t="s">
        <v>4</v>
      </c>
      <c r="C319" s="400" t="s">
        <v>187</v>
      </c>
      <c r="D319" s="398" t="s">
        <v>6</v>
      </c>
      <c r="E319" s="398" t="s">
        <v>188</v>
      </c>
      <c r="F319" s="401" t="s">
        <v>8</v>
      </c>
      <c r="G319" s="398" t="s">
        <v>189</v>
      </c>
      <c r="H319" s="402" t="s">
        <v>190</v>
      </c>
      <c r="I319" s="402" t="s">
        <v>191</v>
      </c>
      <c r="J319" s="398" t="s">
        <v>4</v>
      </c>
      <c r="K319" s="525" t="s">
        <v>192</v>
      </c>
      <c r="L319" s="419" t="s">
        <v>4</v>
      </c>
      <c r="M319" s="419"/>
      <c r="N319" s="419" t="s">
        <v>6</v>
      </c>
      <c r="O319" s="419" t="s">
        <v>14</v>
      </c>
      <c r="P319" s="524" t="s">
        <v>8</v>
      </c>
      <c r="Q319" s="419" t="s">
        <v>193</v>
      </c>
    </row>
    <row r="320" spans="1:18" ht="15.75">
      <c r="A320" s="1077">
        <v>8</v>
      </c>
      <c r="B320" s="517" t="s">
        <v>256</v>
      </c>
      <c r="C320" s="608">
        <v>0.1</v>
      </c>
      <c r="D320" s="516" t="s">
        <v>257</v>
      </c>
      <c r="E320" s="605">
        <v>1200000</v>
      </c>
      <c r="F320" s="617">
        <v>0.04</v>
      </c>
      <c r="G320" s="605">
        <f>E320*F320</f>
        <v>48000</v>
      </c>
      <c r="H320" s="590" t="s">
        <v>22</v>
      </c>
      <c r="I320" s="402"/>
      <c r="J320" s="401"/>
      <c r="K320" s="525"/>
      <c r="L320" s="419"/>
      <c r="M320" s="419"/>
      <c r="N320" s="419"/>
      <c r="O320" s="419"/>
      <c r="P320" s="524"/>
      <c r="Q320" s="419"/>
    </row>
    <row r="321" spans="1:18" ht="15.75">
      <c r="A321" s="1078"/>
      <c r="B321" s="517">
        <v>14113</v>
      </c>
      <c r="C321" s="608">
        <v>0.1</v>
      </c>
      <c r="D321" s="516" t="s">
        <v>258</v>
      </c>
      <c r="E321" s="605">
        <v>1250000</v>
      </c>
      <c r="F321" s="617">
        <v>0.05</v>
      </c>
      <c r="G321" s="605">
        <f>E321*F321</f>
        <v>62500</v>
      </c>
      <c r="H321" s="590" t="s">
        <v>217</v>
      </c>
      <c r="I321" s="402"/>
      <c r="J321" s="623"/>
      <c r="K321" s="525"/>
      <c r="L321" s="419"/>
      <c r="M321" s="419"/>
      <c r="N321" s="419"/>
      <c r="O321" s="419"/>
      <c r="P321" s="524"/>
      <c r="Q321" s="419"/>
    </row>
    <row r="322" spans="1:18" ht="15.75">
      <c r="A322" s="1078"/>
      <c r="B322" s="517">
        <v>14003</v>
      </c>
      <c r="C322" s="608">
        <v>0.1</v>
      </c>
      <c r="D322" s="516" t="s">
        <v>259</v>
      </c>
      <c r="E322" s="605">
        <v>2700000</v>
      </c>
      <c r="F322" s="617">
        <v>0.05</v>
      </c>
      <c r="G322" s="605">
        <f t="shared" ref="G322:G324" si="13">E322*F322</f>
        <v>135000</v>
      </c>
      <c r="H322" s="590" t="s">
        <v>217</v>
      </c>
      <c r="I322" s="402"/>
      <c r="J322" s="398"/>
      <c r="K322" s="525"/>
      <c r="L322" s="419"/>
      <c r="M322" s="419"/>
      <c r="N322" s="419"/>
      <c r="O322" s="419"/>
      <c r="P322" s="524"/>
      <c r="Q322" s="419"/>
    </row>
    <row r="323" spans="1:18" ht="15.75">
      <c r="A323" s="1078"/>
      <c r="B323" s="517">
        <v>14004</v>
      </c>
      <c r="C323" s="608">
        <v>0.1</v>
      </c>
      <c r="D323" s="516" t="s">
        <v>260</v>
      </c>
      <c r="E323" s="605">
        <v>2300000</v>
      </c>
      <c r="F323" s="617">
        <v>0.04</v>
      </c>
      <c r="G323" s="605">
        <f t="shared" si="13"/>
        <v>92000</v>
      </c>
      <c r="H323" s="590" t="s">
        <v>261</v>
      </c>
      <c r="I323" s="402"/>
      <c r="J323" s="398"/>
      <c r="K323" s="525"/>
      <c r="L323" s="419"/>
      <c r="M323" s="419"/>
      <c r="N323" s="419"/>
      <c r="O323" s="419"/>
      <c r="P323" s="524"/>
      <c r="Q323" s="419"/>
    </row>
    <row r="324" spans="1:18" ht="15.75">
      <c r="A324" s="1078"/>
      <c r="B324" s="517">
        <v>14058</v>
      </c>
      <c r="C324" s="616">
        <v>0.08</v>
      </c>
      <c r="D324" s="516" t="s">
        <v>262</v>
      </c>
      <c r="E324" s="605">
        <v>2300000</v>
      </c>
      <c r="F324" s="617">
        <v>0.03</v>
      </c>
      <c r="G324" s="605">
        <f t="shared" si="13"/>
        <v>69000</v>
      </c>
      <c r="H324" s="590" t="s">
        <v>263</v>
      </c>
      <c r="I324" s="402"/>
      <c r="J324" s="398"/>
      <c r="K324" s="525"/>
      <c r="L324" s="419"/>
      <c r="M324" s="419"/>
      <c r="N324" s="419"/>
      <c r="O324" s="419"/>
      <c r="P324" s="524"/>
      <c r="Q324" s="419"/>
    </row>
    <row r="325" spans="1:18" ht="15.75" customHeight="1">
      <c r="A325" s="1078"/>
      <c r="B325" s="443"/>
      <c r="C325" s="444"/>
      <c r="D325" s="445"/>
      <c r="E325" s="446"/>
      <c r="F325" s="447"/>
      <c r="G325" s="447"/>
      <c r="H325" s="533"/>
      <c r="I325" s="447"/>
      <c r="J325" s="447"/>
      <c r="K325" s="526"/>
      <c r="L325" s="448"/>
      <c r="M325" s="448"/>
      <c r="N325" s="419" t="s">
        <v>45</v>
      </c>
      <c r="O325" s="420"/>
      <c r="P325" s="419" t="s">
        <v>45</v>
      </c>
      <c r="Q325" s="420"/>
      <c r="R325" s="521"/>
    </row>
    <row r="326" spans="1:18" ht="15.75" customHeight="1">
      <c r="A326" s="1079"/>
      <c r="B326" s="449"/>
      <c r="C326" s="436"/>
      <c r="D326" s="423" t="s">
        <v>45</v>
      </c>
      <c r="E326" s="424">
        <f>SUM(E320:E325)</f>
        <v>9750000</v>
      </c>
      <c r="F326" s="398" t="s">
        <v>45</v>
      </c>
      <c r="G326" s="424">
        <f>SUM(G320:G325)</f>
        <v>406500</v>
      </c>
      <c r="H326" s="425"/>
      <c r="I326" s="425"/>
      <c r="J326" s="425"/>
      <c r="K326" s="527"/>
      <c r="L326" s="426" t="s">
        <v>211</v>
      </c>
      <c r="M326" s="426"/>
      <c r="N326" s="426"/>
      <c r="O326" s="426"/>
      <c r="P326" s="429" t="s">
        <v>212</v>
      </c>
      <c r="Q326" s="450">
        <f>G326+Q325</f>
        <v>406500</v>
      </c>
    </row>
    <row r="329" spans="1:18" ht="15.75">
      <c r="A329" s="1076">
        <f>A283+A299+A320</f>
        <v>54</v>
      </c>
      <c r="B329" s="1060" t="s">
        <v>82</v>
      </c>
      <c r="C329" s="1060"/>
      <c r="D329" s="1060"/>
      <c r="E329" s="551">
        <f>E294+E316+E326</f>
        <v>44430000</v>
      </c>
    </row>
    <row r="330" spans="1:18" ht="15.75">
      <c r="A330" s="1076"/>
      <c r="B330" s="1061" t="s">
        <v>222</v>
      </c>
      <c r="C330" s="1061"/>
      <c r="D330" s="1062"/>
      <c r="E330" s="552"/>
    </row>
    <row r="331" spans="1:18" ht="15.75">
      <c r="A331" s="1076"/>
      <c r="B331" s="1063" t="s">
        <v>223</v>
      </c>
      <c r="C331" s="1063"/>
      <c r="D331" s="1064"/>
      <c r="E331" s="553"/>
      <c r="H331" s="639"/>
    </row>
    <row r="335" spans="1:18" ht="46.5">
      <c r="A335" s="1033" t="s">
        <v>264</v>
      </c>
      <c r="B335" s="1033"/>
      <c r="C335" s="1033"/>
      <c r="D335" s="1033"/>
      <c r="E335" s="1033"/>
      <c r="F335" s="1033"/>
      <c r="G335" s="1033"/>
      <c r="H335" s="1033"/>
      <c r="I335" s="1033"/>
      <c r="J335" s="1033"/>
      <c r="K335" s="1033"/>
      <c r="L335" s="1033"/>
      <c r="M335" s="1033"/>
      <c r="N335" s="1033"/>
      <c r="O335" s="1033"/>
      <c r="P335" s="1033"/>
      <c r="Q335" s="1033"/>
      <c r="R335" s="531"/>
    </row>
    <row r="337" spans="1:18" ht="31.5">
      <c r="A337" s="1080" t="s">
        <v>265</v>
      </c>
      <c r="B337" s="1080"/>
      <c r="C337" s="1080"/>
      <c r="D337" s="1080"/>
      <c r="E337" s="1080"/>
      <c r="F337" s="1080"/>
      <c r="G337" s="1080"/>
      <c r="H337" s="1080"/>
      <c r="I337" s="1080"/>
      <c r="J337" s="1080"/>
      <c r="K337" s="1080"/>
      <c r="L337" s="1080"/>
      <c r="M337" s="1080"/>
      <c r="N337" s="1080"/>
      <c r="O337" s="1080"/>
      <c r="P337" s="1080"/>
      <c r="Q337" s="1080"/>
    </row>
    <row r="338" spans="1:18" ht="15.75">
      <c r="A338" s="1065" t="s">
        <v>255</v>
      </c>
      <c r="B338" s="1065"/>
      <c r="C338" s="1065"/>
      <c r="D338" s="1065"/>
      <c r="E338" s="1065"/>
      <c r="F338" s="1065"/>
      <c r="G338" s="1065"/>
      <c r="H338" s="1065"/>
      <c r="I338" s="1065"/>
      <c r="J338" s="1065"/>
      <c r="K338" s="1065"/>
      <c r="L338" s="1071" t="s">
        <v>2</v>
      </c>
      <c r="M338" s="1071"/>
      <c r="N338" s="1071"/>
      <c r="O338" s="1071"/>
      <c r="P338" s="1071"/>
      <c r="Q338" s="1072"/>
    </row>
    <row r="339" spans="1:18" ht="16.5">
      <c r="A339" s="398" t="s">
        <v>3</v>
      </c>
      <c r="B339" s="399" t="s">
        <v>4</v>
      </c>
      <c r="C339" s="400" t="s">
        <v>187</v>
      </c>
      <c r="D339" s="398" t="s">
        <v>6</v>
      </c>
      <c r="E339" s="398" t="s">
        <v>188</v>
      </c>
      <c r="F339" s="401" t="s">
        <v>8</v>
      </c>
      <c r="G339" s="398" t="s">
        <v>189</v>
      </c>
      <c r="H339" s="402" t="s">
        <v>190</v>
      </c>
      <c r="I339" s="402" t="s">
        <v>191</v>
      </c>
      <c r="J339" s="398" t="s">
        <v>4</v>
      </c>
      <c r="K339" s="398" t="s">
        <v>192</v>
      </c>
      <c r="L339" s="403" t="s">
        <v>4</v>
      </c>
      <c r="M339" s="403"/>
      <c r="N339" s="403" t="s">
        <v>6</v>
      </c>
      <c r="O339" s="403" t="s">
        <v>14</v>
      </c>
      <c r="P339" s="522" t="s">
        <v>8</v>
      </c>
      <c r="Q339" s="419" t="s">
        <v>193</v>
      </c>
    </row>
    <row r="340" spans="1:18" ht="15.75">
      <c r="A340" s="1068">
        <v>16</v>
      </c>
      <c r="B340" s="517">
        <v>14175</v>
      </c>
      <c r="C340" s="495">
        <v>0.1</v>
      </c>
      <c r="D340" s="496" t="s">
        <v>266</v>
      </c>
      <c r="E340" s="570">
        <v>1500000</v>
      </c>
      <c r="F340" s="502">
        <v>0.08</v>
      </c>
      <c r="G340" s="570">
        <f>E340*F340</f>
        <v>120000</v>
      </c>
      <c r="H340" s="516" t="s">
        <v>267</v>
      </c>
      <c r="I340" s="498"/>
      <c r="J340" s="498">
        <v>14220</v>
      </c>
      <c r="K340" s="76"/>
      <c r="L340" s="76"/>
      <c r="M340" s="76"/>
      <c r="N340" s="76" t="s">
        <v>268</v>
      </c>
      <c r="O340" s="592">
        <v>2200000</v>
      </c>
      <c r="P340" s="684">
        <v>0.04</v>
      </c>
      <c r="Q340" s="594">
        <f>O340*P340</f>
        <v>88000</v>
      </c>
      <c r="R340" s="520"/>
    </row>
    <row r="341" spans="1:18" ht="15.75" customHeight="1">
      <c r="A341" s="1069"/>
      <c r="B341" s="517">
        <v>14190</v>
      </c>
      <c r="C341" s="495">
        <v>0.1</v>
      </c>
      <c r="D341" s="496" t="s">
        <v>269</v>
      </c>
      <c r="E341" s="585">
        <v>1700000</v>
      </c>
      <c r="F341" s="502">
        <v>0.04</v>
      </c>
      <c r="G341" s="570">
        <f t="shared" ref="G341:G344" si="14">E341*F341</f>
        <v>68000</v>
      </c>
      <c r="H341" s="494" t="s">
        <v>53</v>
      </c>
      <c r="I341" s="507"/>
      <c r="J341" s="482"/>
      <c r="K341" s="539"/>
      <c r="L341" s="535"/>
      <c r="M341" s="535"/>
      <c r="N341" s="536"/>
      <c r="O341" s="545"/>
      <c r="P341" s="546"/>
      <c r="Q341" s="548"/>
      <c r="R341" s="520"/>
    </row>
    <row r="342" spans="1:18" ht="15.75" customHeight="1">
      <c r="A342" s="1069"/>
      <c r="B342" s="517">
        <v>14207</v>
      </c>
      <c r="C342" s="495">
        <v>0.1</v>
      </c>
      <c r="D342" s="496" t="s">
        <v>270</v>
      </c>
      <c r="E342" s="570">
        <v>1400000</v>
      </c>
      <c r="F342" s="502">
        <v>0.05</v>
      </c>
      <c r="G342" s="570">
        <f t="shared" si="14"/>
        <v>70000</v>
      </c>
      <c r="H342" s="516" t="s">
        <v>217</v>
      </c>
      <c r="I342" s="498"/>
      <c r="J342" s="498"/>
      <c r="K342" s="76"/>
      <c r="L342" s="76"/>
      <c r="M342" s="76"/>
      <c r="N342" s="76"/>
      <c r="O342" s="592"/>
      <c r="P342" s="523"/>
      <c r="Q342" s="594"/>
      <c r="R342" s="520"/>
    </row>
    <row r="343" spans="1:18" ht="15.75" customHeight="1">
      <c r="A343" s="1069"/>
      <c r="B343" s="517">
        <v>14248</v>
      </c>
      <c r="C343" s="502">
        <v>0.08</v>
      </c>
      <c r="D343" s="496" t="s">
        <v>271</v>
      </c>
      <c r="E343" s="570">
        <v>1750000</v>
      </c>
      <c r="F343" s="514">
        <v>0.08</v>
      </c>
      <c r="G343" s="570">
        <f t="shared" si="14"/>
        <v>140000</v>
      </c>
      <c r="H343" s="496" t="s">
        <v>267</v>
      </c>
      <c r="I343" s="498"/>
      <c r="J343" s="498"/>
      <c r="K343" s="76"/>
      <c r="L343" s="76"/>
      <c r="M343" s="76"/>
      <c r="N343" s="76"/>
      <c r="O343" s="592"/>
      <c r="P343" s="523"/>
      <c r="Q343" s="594"/>
      <c r="R343" s="520"/>
    </row>
    <row r="344" spans="1:18" ht="15.75" customHeight="1">
      <c r="A344" s="1069"/>
      <c r="B344" s="517">
        <v>14272</v>
      </c>
      <c r="C344" s="495">
        <v>0.1</v>
      </c>
      <c r="D344" s="496" t="s">
        <v>272</v>
      </c>
      <c r="E344" s="570">
        <v>1300000</v>
      </c>
      <c r="F344" s="514">
        <v>0.05</v>
      </c>
      <c r="G344" s="570">
        <f t="shared" si="14"/>
        <v>65000</v>
      </c>
      <c r="H344" s="516" t="s">
        <v>217</v>
      </c>
      <c r="I344" s="498"/>
      <c r="J344" s="498"/>
      <c r="K344" s="29"/>
      <c r="L344" s="16"/>
      <c r="M344" s="16"/>
      <c r="N344" s="26"/>
      <c r="O344" s="593"/>
      <c r="P344" s="523"/>
      <c r="Q344" s="595"/>
      <c r="R344" s="520"/>
    </row>
    <row r="345" spans="1:18" ht="15" customHeight="1">
      <c r="A345" s="1069"/>
      <c r="B345" s="457"/>
      <c r="C345" s="460"/>
      <c r="D345" s="404"/>
      <c r="E345" s="408"/>
      <c r="F345" s="410"/>
      <c r="G345" s="408"/>
      <c r="H345" s="405"/>
      <c r="I345" s="405"/>
      <c r="J345" s="404"/>
      <c r="K345" s="404" t="s">
        <v>210</v>
      </c>
      <c r="L345" s="407"/>
      <c r="M345" s="407"/>
      <c r="N345" s="406"/>
      <c r="O345" s="409"/>
      <c r="P345" s="411"/>
      <c r="Q345" s="412"/>
    </row>
    <row r="346" spans="1:18" ht="12.75" customHeight="1">
      <c r="A346" s="1069"/>
      <c r="B346" s="413"/>
      <c r="C346" s="414"/>
      <c r="D346" s="415"/>
      <c r="E346" s="416"/>
      <c r="F346" s="417"/>
      <c r="G346" s="416"/>
      <c r="H346" s="417"/>
      <c r="I346" s="417"/>
      <c r="J346" s="417"/>
      <c r="K346" s="417"/>
      <c r="L346" s="418"/>
      <c r="M346" s="418"/>
      <c r="N346" s="419" t="s">
        <v>45</v>
      </c>
      <c r="O346" s="420">
        <f>SUM(O341:O345)</f>
        <v>0</v>
      </c>
      <c r="P346" s="435" t="s">
        <v>45</v>
      </c>
      <c r="Q346" s="420">
        <f>SUM(Q341:Q345)</f>
        <v>0</v>
      </c>
    </row>
    <row r="347" spans="1:18" ht="12.75" customHeight="1">
      <c r="A347" s="1070"/>
      <c r="B347" s="421"/>
      <c r="C347" s="422"/>
      <c r="D347" s="423" t="s">
        <v>45</v>
      </c>
      <c r="E347" s="510">
        <f>SUM(E340:E346)</f>
        <v>7650000</v>
      </c>
      <c r="F347" s="398" t="s">
        <v>45</v>
      </c>
      <c r="G347" s="509">
        <f>SUM(G340:G346)</f>
        <v>463000</v>
      </c>
      <c r="H347" s="425"/>
      <c r="I347" s="425"/>
      <c r="J347" s="425"/>
      <c r="K347" s="425"/>
      <c r="L347" s="426" t="s">
        <v>211</v>
      </c>
      <c r="M347" s="427"/>
      <c r="N347" s="427"/>
      <c r="O347" s="428"/>
      <c r="P347" s="437" t="s">
        <v>212</v>
      </c>
      <c r="Q347" s="550">
        <f>G347+Q340</f>
        <v>551000</v>
      </c>
    </row>
    <row r="348" spans="1:18">
      <c r="A348" s="430"/>
      <c r="B348" s="431"/>
      <c r="C348" s="432"/>
      <c r="D348" s="430"/>
      <c r="E348" s="430"/>
      <c r="F348" s="430"/>
      <c r="G348" s="430"/>
      <c r="H348" s="430"/>
      <c r="I348" s="430"/>
      <c r="J348" s="430"/>
      <c r="K348" s="430"/>
    </row>
    <row r="349" spans="1:18">
      <c r="B349" s="454"/>
      <c r="C349" s="455"/>
    </row>
    <row r="350" spans="1:18" ht="15.75">
      <c r="A350" s="1065" t="s">
        <v>213</v>
      </c>
      <c r="B350" s="1066"/>
      <c r="C350" s="1066"/>
      <c r="D350" s="1066"/>
      <c r="E350" s="1066"/>
      <c r="F350" s="1066"/>
      <c r="G350" s="1066"/>
      <c r="H350" s="1066"/>
      <c r="I350" s="1066"/>
      <c r="J350" s="1066"/>
      <c r="K350" s="1066"/>
      <c r="L350" s="1067" t="s">
        <v>2</v>
      </c>
      <c r="M350" s="1067"/>
      <c r="N350" s="1144"/>
      <c r="O350" s="1144"/>
      <c r="P350" s="1144"/>
      <c r="Q350" s="1144"/>
    </row>
    <row r="351" spans="1:18" ht="16.5">
      <c r="A351" s="398" t="s">
        <v>3</v>
      </c>
      <c r="B351" s="399" t="s">
        <v>4</v>
      </c>
      <c r="C351" s="400" t="s">
        <v>187</v>
      </c>
      <c r="D351" s="398" t="s">
        <v>6</v>
      </c>
      <c r="E351" s="398" t="s">
        <v>188</v>
      </c>
      <c r="F351" s="401" t="s">
        <v>8</v>
      </c>
      <c r="G351" s="398" t="s">
        <v>189</v>
      </c>
      <c r="H351" s="402" t="s">
        <v>190</v>
      </c>
      <c r="I351" s="402" t="s">
        <v>191</v>
      </c>
      <c r="J351" s="398" t="s">
        <v>4</v>
      </c>
      <c r="K351" s="525" t="s">
        <v>192</v>
      </c>
      <c r="L351" s="419" t="s">
        <v>4</v>
      </c>
      <c r="M351" s="419"/>
      <c r="N351" s="419" t="s">
        <v>6</v>
      </c>
      <c r="O351" s="419" t="s">
        <v>14</v>
      </c>
      <c r="P351" s="524" t="s">
        <v>8</v>
      </c>
      <c r="Q351" s="419" t="s">
        <v>193</v>
      </c>
    </row>
    <row r="352" spans="1:18" ht="15.75" customHeight="1">
      <c r="A352" s="1068">
        <v>14</v>
      </c>
      <c r="B352" s="517">
        <v>14134</v>
      </c>
      <c r="C352" s="502">
        <v>0.08</v>
      </c>
      <c r="D352" s="496" t="s">
        <v>273</v>
      </c>
      <c r="E352" s="585">
        <v>1900000</v>
      </c>
      <c r="F352" s="514">
        <v>0.08</v>
      </c>
      <c r="G352" s="542">
        <f>E352*F352</f>
        <v>152000</v>
      </c>
      <c r="H352" s="494" t="s">
        <v>53</v>
      </c>
      <c r="I352" s="507"/>
      <c r="J352" s="517">
        <v>14190</v>
      </c>
      <c r="K352" s="539"/>
      <c r="L352" s="535"/>
      <c r="M352" s="535"/>
      <c r="N352" s="496" t="s">
        <v>269</v>
      </c>
      <c r="O352" s="544">
        <v>1700000</v>
      </c>
      <c r="P352" s="514">
        <v>0.04</v>
      </c>
      <c r="Q352" s="607">
        <f>O352*P352</f>
        <v>68000</v>
      </c>
      <c r="R352" s="520"/>
    </row>
    <row r="353" spans="1:18" ht="15.75" customHeight="1">
      <c r="A353" s="1069"/>
      <c r="B353" s="517">
        <v>14158</v>
      </c>
      <c r="C353" s="511">
        <v>0.1</v>
      </c>
      <c r="D353" s="516" t="s">
        <v>274</v>
      </c>
      <c r="E353" s="587">
        <v>1200000</v>
      </c>
      <c r="F353" s="514">
        <v>0.05</v>
      </c>
      <c r="G353" s="542">
        <f t="shared" ref="G353:G358" si="15">E353*F353</f>
        <v>60000</v>
      </c>
      <c r="H353" s="494" t="s">
        <v>275</v>
      </c>
      <c r="I353" s="507"/>
      <c r="J353" s="517">
        <v>14166</v>
      </c>
      <c r="K353" s="668"/>
      <c r="L353" s="512"/>
      <c r="M353" s="512"/>
      <c r="N353" s="494" t="s">
        <v>276</v>
      </c>
      <c r="O353" s="544">
        <v>1300000</v>
      </c>
      <c r="P353" s="514">
        <v>0.04</v>
      </c>
      <c r="Q353" s="607">
        <f>O353*P353</f>
        <v>52000</v>
      </c>
      <c r="R353" s="520"/>
    </row>
    <row r="354" spans="1:18" ht="15.75" customHeight="1">
      <c r="A354" s="1069"/>
      <c r="B354" s="517">
        <v>14156</v>
      </c>
      <c r="C354" s="511">
        <v>0.1</v>
      </c>
      <c r="D354" s="516" t="s">
        <v>277</v>
      </c>
      <c r="E354" s="587">
        <v>1350000</v>
      </c>
      <c r="F354" s="514">
        <v>0.05</v>
      </c>
      <c r="G354" s="542">
        <f t="shared" si="15"/>
        <v>67500</v>
      </c>
      <c r="H354" s="494" t="s">
        <v>217</v>
      </c>
      <c r="I354" s="507"/>
      <c r="J354" s="482"/>
      <c r="K354" s="539"/>
      <c r="L354" s="535"/>
      <c r="M354" s="535"/>
      <c r="N354" s="536"/>
      <c r="O354" s="630"/>
      <c r="P354" s="631"/>
      <c r="Q354" s="548"/>
      <c r="R354" s="520"/>
    </row>
    <row r="355" spans="1:18" ht="15.75" customHeight="1">
      <c r="A355" s="1069"/>
      <c r="B355" s="518">
        <v>14159</v>
      </c>
      <c r="C355" s="511">
        <v>0.1</v>
      </c>
      <c r="D355" s="637" t="s">
        <v>278</v>
      </c>
      <c r="E355" s="638">
        <v>1350000</v>
      </c>
      <c r="F355" s="644">
        <v>0.05</v>
      </c>
      <c r="G355" s="542">
        <f t="shared" si="15"/>
        <v>67500</v>
      </c>
      <c r="H355" s="645" t="s">
        <v>217</v>
      </c>
      <c r="I355" s="632"/>
      <c r="J355" s="633"/>
      <c r="K355" s="634"/>
      <c r="L355" s="635"/>
      <c r="M355" s="635"/>
      <c r="N355" s="636"/>
      <c r="O355" s="630"/>
      <c r="P355" s="631"/>
      <c r="Q355" s="548"/>
      <c r="R355" s="520"/>
    </row>
    <row r="356" spans="1:18" ht="15.75" customHeight="1">
      <c r="A356" s="1069"/>
      <c r="B356" s="517">
        <v>14171</v>
      </c>
      <c r="C356" s="495">
        <v>0.1</v>
      </c>
      <c r="D356" s="496" t="s">
        <v>279</v>
      </c>
      <c r="E356" s="585">
        <v>1350000</v>
      </c>
      <c r="F356" s="514">
        <v>0.08</v>
      </c>
      <c r="G356" s="542">
        <f t="shared" si="15"/>
        <v>108000</v>
      </c>
      <c r="H356" s="494" t="s">
        <v>53</v>
      </c>
      <c r="I356" s="507"/>
      <c r="J356" s="482"/>
      <c r="K356" s="539"/>
      <c r="L356" s="535"/>
      <c r="M356" s="535"/>
      <c r="N356" s="536"/>
      <c r="O356" s="545"/>
      <c r="P356" s="546"/>
      <c r="Q356" s="548"/>
      <c r="R356" s="520"/>
    </row>
    <row r="357" spans="1:18" ht="15.75" customHeight="1">
      <c r="A357" s="1069"/>
      <c r="B357" s="517">
        <v>14212</v>
      </c>
      <c r="C357" s="502">
        <v>0.08</v>
      </c>
      <c r="D357" s="496" t="s">
        <v>280</v>
      </c>
      <c r="E357" s="585">
        <v>1450000</v>
      </c>
      <c r="F357" s="514">
        <v>0.08</v>
      </c>
      <c r="G357" s="542">
        <f t="shared" si="15"/>
        <v>116000</v>
      </c>
      <c r="H357" s="494" t="s">
        <v>53</v>
      </c>
      <c r="I357" s="507"/>
      <c r="J357" s="589"/>
      <c r="K357" s="539"/>
      <c r="L357" s="535"/>
      <c r="M357" s="535"/>
      <c r="N357" s="536"/>
      <c r="O357" s="545"/>
      <c r="P357" s="546"/>
      <c r="Q357" s="548"/>
      <c r="R357" s="520"/>
    </row>
    <row r="358" spans="1:18" ht="15.75" customHeight="1">
      <c r="A358" s="1069"/>
      <c r="B358" s="517">
        <v>14231</v>
      </c>
      <c r="C358" s="502">
        <v>0.08</v>
      </c>
      <c r="D358" s="516" t="s">
        <v>281</v>
      </c>
      <c r="E358" s="587">
        <v>2000000</v>
      </c>
      <c r="F358" s="514">
        <v>0.08</v>
      </c>
      <c r="G358" s="542">
        <f t="shared" si="15"/>
        <v>160000</v>
      </c>
      <c r="H358" s="494" t="s">
        <v>53</v>
      </c>
      <c r="I358" s="507"/>
      <c r="J358" s="482"/>
      <c r="K358" s="539"/>
      <c r="L358" s="535"/>
      <c r="M358" s="535"/>
      <c r="N358" s="536"/>
      <c r="O358" s="545"/>
      <c r="P358" s="549"/>
      <c r="Q358" s="548"/>
      <c r="R358" s="520"/>
    </row>
    <row r="359" spans="1:18" ht="15.75" customHeight="1">
      <c r="A359" s="1069"/>
      <c r="B359" s="413"/>
      <c r="C359" s="507"/>
      <c r="D359" s="415"/>
      <c r="E359" s="606"/>
      <c r="F359" s="413"/>
      <c r="G359" s="642"/>
      <c r="H359" s="507"/>
      <c r="I359" s="507"/>
      <c r="J359" s="482"/>
      <c r="K359" s="539"/>
      <c r="L359" s="535"/>
      <c r="M359" s="535"/>
      <c r="N359" s="536"/>
      <c r="O359" s="545"/>
      <c r="P359" s="549"/>
      <c r="Q359" s="548"/>
      <c r="R359" s="520"/>
    </row>
    <row r="360" spans="1:18" ht="15.75" customHeight="1">
      <c r="A360" s="1069"/>
      <c r="B360" s="443"/>
      <c r="C360" s="444"/>
      <c r="D360" s="445"/>
      <c r="E360" s="446"/>
      <c r="F360" s="533"/>
      <c r="G360" s="643"/>
      <c r="H360" s="533"/>
      <c r="I360" s="533"/>
      <c r="J360" s="447"/>
      <c r="K360" s="526"/>
      <c r="L360" s="448"/>
      <c r="M360" s="448"/>
      <c r="N360" s="419" t="s">
        <v>45</v>
      </c>
      <c r="O360" s="420">
        <f>SUM(O352:O359)</f>
        <v>3000000</v>
      </c>
      <c r="P360" s="419" t="s">
        <v>45</v>
      </c>
      <c r="Q360" s="420">
        <f>SUM(Q352:Q359)</f>
        <v>120000</v>
      </c>
    </row>
    <row r="361" spans="1:18" ht="15.75" customHeight="1">
      <c r="A361" s="1070"/>
      <c r="B361" s="449"/>
      <c r="C361" s="436"/>
      <c r="D361" s="423" t="s">
        <v>45</v>
      </c>
      <c r="E361" s="510">
        <f>SUM(E352:E360)</f>
        <v>10600000</v>
      </c>
      <c r="F361" s="398" t="s">
        <v>45</v>
      </c>
      <c r="G361" s="510">
        <f>SUM(G352:G360)</f>
        <v>731000</v>
      </c>
      <c r="H361" s="425"/>
      <c r="I361" s="425"/>
      <c r="J361" s="425"/>
      <c r="K361" s="527"/>
      <c r="L361" s="426" t="s">
        <v>211</v>
      </c>
      <c r="M361" s="426"/>
      <c r="N361" s="426"/>
      <c r="O361" s="426"/>
      <c r="P361" s="429" t="s">
        <v>212</v>
      </c>
      <c r="Q361" s="550">
        <f>G361+Q360</f>
        <v>851000</v>
      </c>
    </row>
    <row r="362" spans="1:18" ht="33.75">
      <c r="A362" s="451"/>
      <c r="B362" s="452"/>
      <c r="C362" s="453"/>
      <c r="D362" s="438"/>
      <c r="E362" s="439"/>
      <c r="F362" s="438"/>
      <c r="G362" s="439"/>
      <c r="H362" s="438"/>
      <c r="I362" s="438"/>
      <c r="J362" s="438"/>
      <c r="K362" s="438"/>
      <c r="L362" s="440"/>
      <c r="M362" s="440"/>
      <c r="N362" s="440"/>
      <c r="O362" s="440"/>
      <c r="P362" s="441"/>
      <c r="Q362" s="442"/>
    </row>
    <row r="363" spans="1:18" ht="15.75">
      <c r="A363" s="1065" t="s">
        <v>282</v>
      </c>
      <c r="B363" s="1066"/>
      <c r="C363" s="1066"/>
      <c r="D363" s="1066"/>
      <c r="E363" s="1066"/>
      <c r="F363" s="1066"/>
      <c r="G363" s="1066"/>
      <c r="H363" s="1066"/>
      <c r="I363" s="1066"/>
      <c r="J363" s="1066"/>
      <c r="K363" s="1066"/>
      <c r="L363" s="1067" t="s">
        <v>2</v>
      </c>
      <c r="M363" s="1067"/>
      <c r="N363" s="1144"/>
      <c r="O363" s="1144"/>
      <c r="P363" s="1144"/>
      <c r="Q363" s="1144"/>
    </row>
    <row r="364" spans="1:18" ht="16.5">
      <c r="A364" s="398" t="s">
        <v>3</v>
      </c>
      <c r="B364" s="399" t="s">
        <v>4</v>
      </c>
      <c r="C364" s="400" t="s">
        <v>187</v>
      </c>
      <c r="D364" s="602" t="s">
        <v>6</v>
      </c>
      <c r="E364" s="602" t="s">
        <v>188</v>
      </c>
      <c r="F364" s="401" t="s">
        <v>8</v>
      </c>
      <c r="G364" s="398" t="s">
        <v>189</v>
      </c>
      <c r="H364" s="402" t="s">
        <v>190</v>
      </c>
      <c r="I364" s="402" t="s">
        <v>191</v>
      </c>
      <c r="J364" s="398" t="s">
        <v>13</v>
      </c>
      <c r="K364" s="525" t="s">
        <v>192</v>
      </c>
      <c r="L364" s="419" t="s">
        <v>4</v>
      </c>
      <c r="M364" s="419"/>
      <c r="N364" s="419" t="s">
        <v>6</v>
      </c>
      <c r="O364" s="419" t="s">
        <v>14</v>
      </c>
      <c r="P364" s="524" t="s">
        <v>8</v>
      </c>
      <c r="Q364" s="419" t="s">
        <v>193</v>
      </c>
    </row>
    <row r="365" spans="1:18" ht="16.5">
      <c r="A365" s="1068">
        <v>13</v>
      </c>
      <c r="B365" s="517">
        <v>14280</v>
      </c>
      <c r="C365" s="646">
        <v>0.08</v>
      </c>
      <c r="D365" s="640" t="s">
        <v>283</v>
      </c>
      <c r="E365" s="641">
        <v>1200000</v>
      </c>
      <c r="F365" s="653">
        <v>0.04</v>
      </c>
      <c r="G365" s="605">
        <f>E365*F365</f>
        <v>48000</v>
      </c>
      <c r="H365" s="654" t="s">
        <v>261</v>
      </c>
      <c r="I365" s="402"/>
      <c r="J365" s="398"/>
      <c r="K365" s="525"/>
      <c r="L365" s="419"/>
      <c r="M365" s="419"/>
      <c r="N365" s="419"/>
      <c r="O365" s="419"/>
      <c r="P365" s="524"/>
      <c r="Q365" s="419"/>
    </row>
    <row r="366" spans="1:18" ht="15.75" customHeight="1">
      <c r="A366" s="1069"/>
      <c r="B366" s="517">
        <v>14295</v>
      </c>
      <c r="C366" s="502">
        <v>0.08</v>
      </c>
      <c r="D366" s="496" t="s">
        <v>284</v>
      </c>
      <c r="E366" s="570">
        <v>1650000</v>
      </c>
      <c r="F366" s="514">
        <v>0.04</v>
      </c>
      <c r="G366" s="605">
        <f t="shared" ref="G366:G368" si="16">E366*F366</f>
        <v>66000</v>
      </c>
      <c r="H366" s="496" t="s">
        <v>22</v>
      </c>
      <c r="I366" s="498"/>
      <c r="J366" s="498"/>
      <c r="K366" s="76"/>
      <c r="L366" s="76"/>
      <c r="M366" s="76"/>
      <c r="N366" s="76"/>
      <c r="O366" s="592"/>
      <c r="P366" s="523"/>
      <c r="Q366" s="594"/>
      <c r="R366" s="520"/>
    </row>
    <row r="367" spans="1:18" ht="16.5">
      <c r="A367" s="1069"/>
      <c r="B367" s="517">
        <v>14311</v>
      </c>
      <c r="C367" s="646">
        <v>0.08</v>
      </c>
      <c r="D367" s="640" t="s">
        <v>285</v>
      </c>
      <c r="E367" s="641">
        <v>1700000</v>
      </c>
      <c r="F367" s="655">
        <v>0.04</v>
      </c>
      <c r="G367" s="656">
        <f t="shared" si="16"/>
        <v>68000</v>
      </c>
      <c r="H367" s="654" t="s">
        <v>261</v>
      </c>
      <c r="I367" s="402"/>
      <c r="J367" s="398"/>
      <c r="K367" s="525"/>
      <c r="L367" s="419"/>
      <c r="M367" s="419"/>
      <c r="N367" s="419"/>
      <c r="O367" s="419"/>
      <c r="P367" s="524"/>
      <c r="Q367" s="419"/>
    </row>
    <row r="368" spans="1:18" ht="15.75" customHeight="1">
      <c r="A368" s="1069"/>
      <c r="B368" s="586">
        <v>14317</v>
      </c>
      <c r="C368" s="603">
        <v>0.1</v>
      </c>
      <c r="D368" s="512" t="s">
        <v>286</v>
      </c>
      <c r="E368" s="570">
        <v>1300000</v>
      </c>
      <c r="F368" s="514">
        <v>0.04</v>
      </c>
      <c r="G368" s="605">
        <f t="shared" si="16"/>
        <v>52000</v>
      </c>
      <c r="H368" s="648" t="s">
        <v>217</v>
      </c>
      <c r="I368" s="588"/>
      <c r="J368" s="404"/>
      <c r="K368" s="529"/>
      <c r="L368" s="448"/>
      <c r="M368" s="448"/>
      <c r="N368" s="448"/>
      <c r="O368" s="528"/>
      <c r="P368" s="448"/>
      <c r="Q368" s="528"/>
    </row>
    <row r="369" spans="1:18" ht="15.75" customHeight="1">
      <c r="A369" s="1069"/>
      <c r="B369" s="443"/>
      <c r="C369" s="647"/>
      <c r="D369" s="445"/>
      <c r="E369" s="446"/>
      <c r="F369" s="447"/>
      <c r="G369" s="447"/>
      <c r="H369" s="649"/>
      <c r="I369" s="447"/>
      <c r="J369" s="447"/>
      <c r="K369" s="526"/>
      <c r="L369" s="448"/>
      <c r="M369" s="448"/>
      <c r="N369" s="419" t="s">
        <v>45</v>
      </c>
      <c r="O369" s="420">
        <f>SUM(O368:O368)</f>
        <v>0</v>
      </c>
      <c r="P369" s="419" t="s">
        <v>45</v>
      </c>
      <c r="Q369" s="420"/>
      <c r="R369" s="521"/>
    </row>
    <row r="370" spans="1:18" ht="15.75" customHeight="1">
      <c r="A370" s="1070"/>
      <c r="B370" s="449"/>
      <c r="C370" s="436"/>
      <c r="D370" s="650" t="s">
        <v>45</v>
      </c>
      <c r="E370" s="651">
        <f>SUM(E365:E369)</f>
        <v>5850000</v>
      </c>
      <c r="F370" s="652" t="s">
        <v>45</v>
      </c>
      <c r="G370" s="651">
        <f>SUM(G365:G369)</f>
        <v>234000</v>
      </c>
      <c r="H370" s="425"/>
      <c r="I370" s="425"/>
      <c r="J370" s="425"/>
      <c r="K370" s="527"/>
      <c r="L370" s="426" t="s">
        <v>211</v>
      </c>
      <c r="M370" s="426"/>
      <c r="N370" s="426"/>
      <c r="O370" s="426"/>
      <c r="P370" s="429" t="s">
        <v>212</v>
      </c>
      <c r="Q370" s="450">
        <f>G370+Q369</f>
        <v>234000</v>
      </c>
    </row>
    <row r="371" spans="1:18">
      <c r="B371" s="454"/>
      <c r="C371" s="455"/>
    </row>
    <row r="373" spans="1:18" ht="15.75">
      <c r="A373" s="1059">
        <f>A340+A352+A365</f>
        <v>43</v>
      </c>
      <c r="B373" s="1060" t="s">
        <v>82</v>
      </c>
      <c r="C373" s="1060"/>
      <c r="D373" s="1060"/>
      <c r="E373" s="551">
        <f>E347+E361+E370</f>
        <v>24100000</v>
      </c>
    </row>
    <row r="374" spans="1:18" ht="15.75">
      <c r="A374" s="1059"/>
      <c r="B374" s="1061" t="s">
        <v>222</v>
      </c>
      <c r="C374" s="1061"/>
      <c r="D374" s="1062"/>
      <c r="E374" s="552"/>
    </row>
    <row r="375" spans="1:18" ht="15.75">
      <c r="A375" s="1059"/>
      <c r="B375" s="1063" t="s">
        <v>223</v>
      </c>
      <c r="C375" s="1063"/>
      <c r="D375" s="1064"/>
      <c r="E375" s="553"/>
    </row>
    <row r="379" spans="1:18" ht="46.5">
      <c r="A379" s="1033" t="s">
        <v>287</v>
      </c>
      <c r="B379" s="1033"/>
      <c r="C379" s="1033"/>
      <c r="D379" s="1033"/>
      <c r="E379" s="1033"/>
      <c r="F379" s="1033"/>
      <c r="G379" s="1033"/>
      <c r="H379" s="1033"/>
      <c r="I379" s="1033"/>
      <c r="J379" s="1033"/>
      <c r="K379" s="1033"/>
      <c r="L379" s="1033"/>
      <c r="M379" s="1033"/>
      <c r="N379" s="1033"/>
      <c r="O379" s="1033"/>
      <c r="P379" s="1033"/>
      <c r="Q379" s="1033"/>
      <c r="R379" s="531"/>
    </row>
    <row r="381" spans="1:18" ht="30.75" customHeight="1">
      <c r="A381" s="1034" t="s">
        <v>288</v>
      </c>
      <c r="B381" s="1034"/>
      <c r="C381" s="1034"/>
      <c r="D381" s="1034"/>
      <c r="E381" s="1034"/>
      <c r="F381" s="1034"/>
      <c r="G381" s="1034"/>
      <c r="H381" s="1034"/>
      <c r="I381" s="1034"/>
      <c r="J381" s="1034"/>
      <c r="K381" s="1034"/>
      <c r="L381" s="1035" t="s">
        <v>2</v>
      </c>
      <c r="M381" s="1035"/>
      <c r="N381" s="1035"/>
      <c r="O381" s="1035"/>
      <c r="P381" s="1035"/>
      <c r="Q381" s="1036"/>
    </row>
    <row r="382" spans="1:18" ht="16.5">
      <c r="A382" s="398" t="s">
        <v>3</v>
      </c>
      <c r="B382" s="399" t="s">
        <v>4</v>
      </c>
      <c r="C382" s="400" t="s">
        <v>187</v>
      </c>
      <c r="D382" s="398" t="s">
        <v>6</v>
      </c>
      <c r="E382" s="398" t="s">
        <v>188</v>
      </c>
      <c r="F382" s="401" t="s">
        <v>8</v>
      </c>
      <c r="G382" s="398" t="s">
        <v>189</v>
      </c>
      <c r="H382" s="402" t="s">
        <v>190</v>
      </c>
      <c r="I382" s="402" t="s">
        <v>191</v>
      </c>
      <c r="J382" s="398" t="s">
        <v>289</v>
      </c>
      <c r="K382" s="398" t="s">
        <v>192</v>
      </c>
      <c r="L382" s="403" t="s">
        <v>4</v>
      </c>
      <c r="M382" s="791" t="s">
        <v>290</v>
      </c>
      <c r="N382" s="791" t="s">
        <v>6</v>
      </c>
      <c r="O382" s="791" t="s">
        <v>14</v>
      </c>
      <c r="P382" s="522" t="s">
        <v>8</v>
      </c>
      <c r="Q382" s="419" t="s">
        <v>193</v>
      </c>
    </row>
    <row r="383" spans="1:18" ht="15.75">
      <c r="A383" s="1055" t="s">
        <v>291</v>
      </c>
      <c r="B383" s="709">
        <v>14400</v>
      </c>
      <c r="C383" s="33">
        <v>0.1</v>
      </c>
      <c r="D383" s="35" t="s">
        <v>292</v>
      </c>
      <c r="E383" s="12">
        <v>750000</v>
      </c>
      <c r="F383" s="33">
        <v>0.08</v>
      </c>
      <c r="G383" s="12">
        <f>E383*F383</f>
        <v>60000</v>
      </c>
      <c r="H383" s="712" t="s">
        <v>293</v>
      </c>
      <c r="I383" s="728" t="s">
        <v>27</v>
      </c>
      <c r="J383" s="728" t="s">
        <v>294</v>
      </c>
      <c r="K383" s="76"/>
      <c r="L383" s="76"/>
      <c r="M383" s="709">
        <v>14398</v>
      </c>
      <c r="N383" s="711" t="s">
        <v>295</v>
      </c>
      <c r="O383" s="330">
        <v>1000000</v>
      </c>
      <c r="P383" s="141">
        <v>0.04</v>
      </c>
      <c r="Q383" s="802">
        <f>O383*P383</f>
        <v>40000</v>
      </c>
      <c r="R383" s="520"/>
    </row>
    <row r="384" spans="1:18" ht="15.75" customHeight="1">
      <c r="A384" s="1056"/>
      <c r="B384" s="709">
        <v>14396</v>
      </c>
      <c r="C384" s="33">
        <v>0.1</v>
      </c>
      <c r="D384" s="35" t="s">
        <v>296</v>
      </c>
      <c r="E384" s="12">
        <v>1500000</v>
      </c>
      <c r="F384" s="33">
        <v>0.08</v>
      </c>
      <c r="G384" s="12">
        <f t="shared" ref="G384:G390" si="17">E384*F384</f>
        <v>120000</v>
      </c>
      <c r="H384" s="712" t="s">
        <v>293</v>
      </c>
      <c r="I384" s="712" t="s">
        <v>113</v>
      </c>
      <c r="J384" s="712" t="s">
        <v>294</v>
      </c>
      <c r="K384" s="539"/>
      <c r="L384" s="535"/>
      <c r="M384" s="709">
        <v>14398</v>
      </c>
      <c r="N384" s="711" t="s">
        <v>297</v>
      </c>
      <c r="O384" s="330">
        <v>1050000</v>
      </c>
      <c r="P384" s="141">
        <v>0.04</v>
      </c>
      <c r="Q384" s="802">
        <f>O384*P384</f>
        <v>42000</v>
      </c>
      <c r="R384" s="520"/>
    </row>
    <row r="385" spans="1:18" ht="15.75" customHeight="1">
      <c r="A385" s="1056"/>
      <c r="B385" s="709">
        <v>14459</v>
      </c>
      <c r="C385" s="33">
        <v>0.1</v>
      </c>
      <c r="D385" s="35" t="s">
        <v>298</v>
      </c>
      <c r="E385" s="12">
        <v>1300000</v>
      </c>
      <c r="F385" s="33">
        <v>0.04</v>
      </c>
      <c r="G385" s="12">
        <f t="shared" si="17"/>
        <v>52000</v>
      </c>
      <c r="H385" s="712" t="s">
        <v>299</v>
      </c>
      <c r="I385" s="712" t="s">
        <v>18</v>
      </c>
      <c r="J385" s="712" t="s">
        <v>294</v>
      </c>
      <c r="K385" s="539"/>
      <c r="L385" s="535"/>
      <c r="M385" s="535"/>
      <c r="N385" s="536"/>
      <c r="O385" s="630"/>
      <c r="P385" s="734"/>
      <c r="Q385" s="548"/>
      <c r="R385" s="520"/>
    </row>
    <row r="386" spans="1:18" ht="15.75" customHeight="1">
      <c r="A386" s="1056"/>
      <c r="B386" s="709">
        <v>14524</v>
      </c>
      <c r="C386" s="33">
        <v>0.1</v>
      </c>
      <c r="D386" s="35" t="s">
        <v>300</v>
      </c>
      <c r="E386" s="12">
        <v>900000</v>
      </c>
      <c r="F386" s="33">
        <v>0.08</v>
      </c>
      <c r="G386" s="12">
        <f t="shared" si="17"/>
        <v>72000</v>
      </c>
      <c r="H386" s="712" t="s">
        <v>293</v>
      </c>
      <c r="I386" s="712" t="s">
        <v>27</v>
      </c>
      <c r="J386" s="712" t="s">
        <v>294</v>
      </c>
      <c r="K386" s="539"/>
      <c r="L386" s="535"/>
      <c r="M386" s="535"/>
      <c r="N386" s="536"/>
      <c r="O386" s="630"/>
      <c r="P386" s="734"/>
      <c r="Q386" s="548"/>
      <c r="R386" s="520"/>
    </row>
    <row r="387" spans="1:18" ht="15.75" customHeight="1">
      <c r="A387" s="1056"/>
      <c r="B387" s="709">
        <v>14527</v>
      </c>
      <c r="C387" s="33">
        <v>0.1</v>
      </c>
      <c r="D387" s="35" t="s">
        <v>301</v>
      </c>
      <c r="E387" s="12">
        <v>1600000</v>
      </c>
      <c r="F387" s="33">
        <v>0.05</v>
      </c>
      <c r="G387" s="12">
        <f t="shared" si="17"/>
        <v>80000</v>
      </c>
      <c r="H387" s="712" t="s">
        <v>22</v>
      </c>
      <c r="I387" s="712" t="s">
        <v>27</v>
      </c>
      <c r="J387" s="712" t="s">
        <v>294</v>
      </c>
      <c r="K387" s="539"/>
      <c r="L387" s="535"/>
      <c r="M387" s="535"/>
      <c r="N387" s="536"/>
      <c r="O387" s="630"/>
      <c r="P387" s="734"/>
      <c r="Q387" s="548"/>
      <c r="R387" s="520"/>
    </row>
    <row r="388" spans="1:18" ht="15.75" customHeight="1">
      <c r="A388" s="1056"/>
      <c r="B388" s="709">
        <v>14550</v>
      </c>
      <c r="C388" s="33">
        <v>0.1</v>
      </c>
      <c r="D388" s="35" t="s">
        <v>302</v>
      </c>
      <c r="E388" s="12">
        <v>1200000</v>
      </c>
      <c r="F388" s="33">
        <v>0.08</v>
      </c>
      <c r="G388" s="12">
        <f t="shared" si="17"/>
        <v>96000</v>
      </c>
      <c r="H388" s="712" t="s">
        <v>293</v>
      </c>
      <c r="I388" s="712" t="s">
        <v>27</v>
      </c>
      <c r="J388" s="712" t="s">
        <v>294</v>
      </c>
      <c r="K388" s="539"/>
      <c r="L388" s="535"/>
      <c r="M388" s="535"/>
      <c r="N388" s="536"/>
      <c r="O388" s="630"/>
      <c r="P388" s="734"/>
      <c r="Q388" s="548"/>
      <c r="R388" s="520"/>
    </row>
    <row r="389" spans="1:18" ht="15.75" customHeight="1">
      <c r="A389" s="1056"/>
      <c r="B389" s="709">
        <v>14599</v>
      </c>
      <c r="C389" s="33">
        <v>0.1</v>
      </c>
      <c r="D389" s="35" t="s">
        <v>303</v>
      </c>
      <c r="E389" s="12">
        <v>950000</v>
      </c>
      <c r="F389" s="33">
        <v>0.08</v>
      </c>
      <c r="G389" s="12">
        <f t="shared" si="17"/>
        <v>76000</v>
      </c>
      <c r="H389" s="712" t="s">
        <v>293</v>
      </c>
      <c r="I389" s="712" t="s">
        <v>27</v>
      </c>
      <c r="J389" s="712" t="s">
        <v>294</v>
      </c>
      <c r="K389" s="539"/>
      <c r="L389" s="535"/>
      <c r="M389" s="535"/>
      <c r="N389" s="536"/>
      <c r="O389" s="630"/>
      <c r="P389" s="734"/>
      <c r="Q389" s="548"/>
      <c r="R389" s="520"/>
    </row>
    <row r="390" spans="1:18" ht="15.75" customHeight="1">
      <c r="A390" s="1056"/>
      <c r="B390" s="709">
        <v>14578</v>
      </c>
      <c r="C390" s="127">
        <v>0.08</v>
      </c>
      <c r="D390" s="35" t="s">
        <v>304</v>
      </c>
      <c r="E390" s="12">
        <v>1750000</v>
      </c>
      <c r="F390" s="127">
        <v>0.04</v>
      </c>
      <c r="G390" s="12">
        <f t="shared" si="17"/>
        <v>70000</v>
      </c>
      <c r="H390" s="712" t="s">
        <v>22</v>
      </c>
      <c r="I390" s="712" t="s">
        <v>27</v>
      </c>
      <c r="J390" s="712" t="s">
        <v>294</v>
      </c>
      <c r="K390" s="539"/>
      <c r="L390" s="535"/>
      <c r="M390" s="535"/>
      <c r="N390" s="536"/>
      <c r="O390" s="630"/>
      <c r="P390" s="734"/>
      <c r="Q390" s="548"/>
      <c r="R390" s="520"/>
    </row>
    <row r="391" spans="1:18" ht="15.75" customHeight="1">
      <c r="A391" s="1056"/>
      <c r="B391" s="733" t="s">
        <v>305</v>
      </c>
      <c r="C391" s="729"/>
      <c r="D391" s="45" t="s">
        <v>306</v>
      </c>
      <c r="E391" s="730"/>
      <c r="F391" s="731"/>
      <c r="G391" s="730"/>
      <c r="H391" s="508"/>
      <c r="I391" s="88" t="s">
        <v>27</v>
      </c>
      <c r="J391" s="732"/>
      <c r="K391" s="76"/>
      <c r="L391" s="76"/>
      <c r="M391" s="76"/>
      <c r="N391" s="76"/>
      <c r="O391" s="592"/>
      <c r="P391" s="523"/>
      <c r="Q391" s="594"/>
      <c r="R391" s="520"/>
    </row>
    <row r="392" spans="1:18" ht="15.75" customHeight="1">
      <c r="A392" s="1056"/>
      <c r="B392" s="733" t="s">
        <v>307</v>
      </c>
      <c r="C392" s="744"/>
      <c r="D392" s="45" t="s">
        <v>308</v>
      </c>
      <c r="E392" s="730"/>
      <c r="F392" s="745"/>
      <c r="G392" s="730"/>
      <c r="H392" s="506"/>
      <c r="I392" s="88" t="s">
        <v>27</v>
      </c>
      <c r="J392" s="732"/>
      <c r="K392" s="76"/>
      <c r="L392" s="76"/>
      <c r="M392" s="76"/>
      <c r="N392" s="76"/>
      <c r="O392" s="592"/>
      <c r="P392" s="523"/>
      <c r="Q392" s="594"/>
      <c r="R392" s="520"/>
    </row>
    <row r="393" spans="1:18" ht="15.75" customHeight="1">
      <c r="A393" s="1057"/>
      <c r="B393" s="421"/>
      <c r="C393" s="422"/>
      <c r="D393" s="18" t="s">
        <v>45</v>
      </c>
      <c r="E393" s="809">
        <f>SUM(E383:E392)</f>
        <v>9950000</v>
      </c>
      <c r="F393" s="18" t="s">
        <v>45</v>
      </c>
      <c r="G393" s="809">
        <f>SUM(G383:G392)</f>
        <v>626000</v>
      </c>
      <c r="H393" s="425"/>
      <c r="I393" s="425"/>
      <c r="J393" s="425"/>
      <c r="K393" s="425"/>
      <c r="L393" s="426" t="s">
        <v>211</v>
      </c>
      <c r="M393" s="427"/>
      <c r="N393" s="427"/>
      <c r="O393" s="428"/>
      <c r="P393" s="707" t="s">
        <v>86</v>
      </c>
      <c r="Q393" s="804">
        <f>G393+Q383+Q384</f>
        <v>708000</v>
      </c>
    </row>
    <row r="394" spans="1:18">
      <c r="A394" s="430"/>
      <c r="B394" s="431"/>
      <c r="C394" s="432"/>
      <c r="D394" s="430"/>
      <c r="E394" s="430"/>
      <c r="F394" s="430"/>
      <c r="G394" s="430"/>
      <c r="H394" s="430"/>
      <c r="I394" s="430"/>
      <c r="J394" s="430"/>
      <c r="K394" s="430"/>
    </row>
    <row r="395" spans="1:18">
      <c r="B395" s="454"/>
      <c r="C395" s="455"/>
    </row>
    <row r="396" spans="1:18" ht="33.75" customHeight="1">
      <c r="A396" s="1034" t="s">
        <v>213</v>
      </c>
      <c r="B396" s="1045"/>
      <c r="C396" s="1045"/>
      <c r="D396" s="1045"/>
      <c r="E396" s="1045"/>
      <c r="F396" s="1045"/>
      <c r="G396" s="1045"/>
      <c r="H396" s="1045"/>
      <c r="I396" s="1045"/>
      <c r="J396" s="1045"/>
      <c r="K396" s="1045"/>
      <c r="L396" s="1042" t="s">
        <v>2</v>
      </c>
      <c r="M396" s="1042"/>
      <c r="N396" s="1145"/>
      <c r="O396" s="1145"/>
      <c r="P396" s="1145"/>
      <c r="Q396" s="1145"/>
    </row>
    <row r="397" spans="1:18" ht="16.5">
      <c r="A397" s="398" t="s">
        <v>3</v>
      </c>
      <c r="B397" s="399" t="s">
        <v>4</v>
      </c>
      <c r="C397" s="400" t="s">
        <v>187</v>
      </c>
      <c r="D397" s="398" t="s">
        <v>6</v>
      </c>
      <c r="E397" s="398" t="s">
        <v>188</v>
      </c>
      <c r="F397" s="401" t="s">
        <v>8</v>
      </c>
      <c r="G397" s="398" t="s">
        <v>189</v>
      </c>
      <c r="H397" s="402" t="s">
        <v>190</v>
      </c>
      <c r="I397" s="402" t="s">
        <v>191</v>
      </c>
      <c r="J397" s="398" t="s">
        <v>289</v>
      </c>
      <c r="K397" s="525" t="s">
        <v>192</v>
      </c>
      <c r="L397" s="419" t="s">
        <v>4</v>
      </c>
      <c r="M397" s="524" t="s">
        <v>290</v>
      </c>
      <c r="N397" s="524" t="s">
        <v>6</v>
      </c>
      <c r="O397" s="419" t="s">
        <v>14</v>
      </c>
      <c r="P397" s="524" t="s">
        <v>8</v>
      </c>
      <c r="Q397" s="419" t="s">
        <v>193</v>
      </c>
    </row>
    <row r="398" spans="1:18" ht="15.75" customHeight="1">
      <c r="A398" s="1056" t="s">
        <v>309</v>
      </c>
      <c r="B398" s="709">
        <v>14374</v>
      </c>
      <c r="C398" s="710">
        <v>0.08</v>
      </c>
      <c r="D398" s="711" t="s">
        <v>310</v>
      </c>
      <c r="E398" s="330">
        <v>1800000</v>
      </c>
      <c r="F398" s="710">
        <v>0.04</v>
      </c>
      <c r="G398" s="330">
        <f>E398*F398</f>
        <v>72000</v>
      </c>
      <c r="H398" s="11" t="s">
        <v>22</v>
      </c>
      <c r="I398" s="11" t="s">
        <v>27</v>
      </c>
      <c r="J398" s="709" t="s">
        <v>294</v>
      </c>
      <c r="K398" s="685"/>
      <c r="L398" s="16"/>
      <c r="M398" s="789">
        <v>14518</v>
      </c>
      <c r="N398" s="11" t="s">
        <v>311</v>
      </c>
      <c r="O398" s="177">
        <v>2300000</v>
      </c>
      <c r="P398" s="257">
        <v>0.04</v>
      </c>
      <c r="Q398" s="802">
        <f>O398*P398</f>
        <v>92000</v>
      </c>
      <c r="R398" s="520"/>
    </row>
    <row r="399" spans="1:18" ht="15.75" customHeight="1">
      <c r="A399" s="1056"/>
      <c r="B399" s="709">
        <v>14398</v>
      </c>
      <c r="C399" s="257">
        <v>0.1</v>
      </c>
      <c r="D399" s="711" t="s">
        <v>295</v>
      </c>
      <c r="E399" s="330">
        <v>1000000</v>
      </c>
      <c r="F399" s="257">
        <v>0.04</v>
      </c>
      <c r="G399" s="330">
        <f t="shared" ref="G399:G408" si="18">E399*F399</f>
        <v>40000</v>
      </c>
      <c r="H399" s="11" t="s">
        <v>293</v>
      </c>
      <c r="I399" s="11" t="s">
        <v>113</v>
      </c>
      <c r="J399" s="709" t="s">
        <v>294</v>
      </c>
      <c r="K399" s="685"/>
      <c r="L399" s="16"/>
      <c r="M399" s="789">
        <v>14432</v>
      </c>
      <c r="N399" s="11" t="s">
        <v>312</v>
      </c>
      <c r="O399" s="790">
        <v>1000000</v>
      </c>
      <c r="P399" s="801">
        <v>0.04</v>
      </c>
      <c r="Q399" s="802">
        <f>O399*P399</f>
        <v>40000</v>
      </c>
      <c r="R399" s="520"/>
    </row>
    <row r="400" spans="1:18" ht="15.75" customHeight="1">
      <c r="A400" s="1056"/>
      <c r="B400" s="709">
        <v>14372</v>
      </c>
      <c r="C400" s="33">
        <v>0.1</v>
      </c>
      <c r="D400" s="35" t="s">
        <v>313</v>
      </c>
      <c r="E400" s="330">
        <v>1700000</v>
      </c>
      <c r="F400" s="257">
        <v>0.05</v>
      </c>
      <c r="G400" s="330">
        <f t="shared" si="18"/>
        <v>85000</v>
      </c>
      <c r="H400" s="11" t="s">
        <v>22</v>
      </c>
      <c r="I400" s="11" t="s">
        <v>23</v>
      </c>
      <c r="J400" s="712" t="s">
        <v>294</v>
      </c>
      <c r="K400" s="685"/>
      <c r="L400" s="16"/>
      <c r="M400" s="765">
        <v>14392</v>
      </c>
      <c r="N400" s="822" t="s">
        <v>314</v>
      </c>
      <c r="O400" s="823">
        <v>2000000</v>
      </c>
      <c r="P400" s="801">
        <v>0.04</v>
      </c>
      <c r="Q400" s="802">
        <f>O400*P400</f>
        <v>80000</v>
      </c>
      <c r="R400" s="520"/>
    </row>
    <row r="401" spans="1:18" ht="15.75" customHeight="1">
      <c r="A401" s="1056"/>
      <c r="B401" s="735">
        <v>14416</v>
      </c>
      <c r="C401" s="257">
        <v>0.1</v>
      </c>
      <c r="D401" s="736" t="s">
        <v>315</v>
      </c>
      <c r="E401" s="741">
        <v>1250000</v>
      </c>
      <c r="F401" s="803">
        <v>0.05</v>
      </c>
      <c r="G401" s="330">
        <f t="shared" si="18"/>
        <v>62500</v>
      </c>
      <c r="H401" s="737" t="s">
        <v>22</v>
      </c>
      <c r="I401" s="737" t="s">
        <v>27</v>
      </c>
      <c r="J401" s="738" t="s">
        <v>294</v>
      </c>
      <c r="K401" s="686"/>
      <c r="L401" s="687"/>
      <c r="M401" s="709">
        <v>14459</v>
      </c>
      <c r="N401" s="35" t="s">
        <v>298</v>
      </c>
      <c r="O401" s="12">
        <v>1300000</v>
      </c>
      <c r="P401" s="801">
        <v>0.04</v>
      </c>
      <c r="Q401" s="802">
        <f>O401*P401</f>
        <v>52000</v>
      </c>
      <c r="R401" s="520"/>
    </row>
    <row r="402" spans="1:18" ht="15.75" customHeight="1">
      <c r="A402" s="1056"/>
      <c r="B402" s="709">
        <v>14428</v>
      </c>
      <c r="C402" s="33">
        <v>0.1</v>
      </c>
      <c r="D402" s="35" t="s">
        <v>316</v>
      </c>
      <c r="E402" s="330">
        <v>1000000</v>
      </c>
      <c r="F402" s="257">
        <v>0.05</v>
      </c>
      <c r="G402" s="330">
        <f t="shared" si="18"/>
        <v>50000</v>
      </c>
      <c r="H402" s="11" t="s">
        <v>22</v>
      </c>
      <c r="I402" s="11" t="s">
        <v>18</v>
      </c>
      <c r="J402" s="712" t="s">
        <v>294</v>
      </c>
      <c r="K402" s="685"/>
      <c r="L402" s="16"/>
      <c r="M402" s="16"/>
      <c r="N402" s="29"/>
      <c r="O402" s="689"/>
      <c r="P402" s="362"/>
      <c r="Q402" s="548"/>
      <c r="R402" s="520"/>
    </row>
    <row r="403" spans="1:18" ht="15.75" customHeight="1">
      <c r="A403" s="1056"/>
      <c r="B403" s="709">
        <v>14446</v>
      </c>
      <c r="C403" s="33">
        <v>0.1</v>
      </c>
      <c r="D403" s="35" t="s">
        <v>317</v>
      </c>
      <c r="E403" s="330">
        <v>2000000</v>
      </c>
      <c r="F403" s="257">
        <v>0.08</v>
      </c>
      <c r="G403" s="330">
        <f t="shared" si="18"/>
        <v>160000</v>
      </c>
      <c r="H403" s="11" t="s">
        <v>53</v>
      </c>
      <c r="I403" s="11" t="s">
        <v>18</v>
      </c>
      <c r="J403" s="712" t="s">
        <v>294</v>
      </c>
      <c r="K403" s="685"/>
      <c r="L403" s="16"/>
      <c r="M403" s="16"/>
      <c r="N403" s="29"/>
      <c r="O403" s="689"/>
      <c r="P403" s="362"/>
      <c r="Q403" s="548"/>
      <c r="R403" s="520"/>
    </row>
    <row r="404" spans="1:18" ht="15.75" customHeight="1">
      <c r="A404" s="1056"/>
      <c r="B404" s="709">
        <v>14453</v>
      </c>
      <c r="C404" s="33">
        <v>0.1</v>
      </c>
      <c r="D404" s="35" t="s">
        <v>318</v>
      </c>
      <c r="E404" s="330">
        <v>1300000</v>
      </c>
      <c r="F404" s="257">
        <v>0.08</v>
      </c>
      <c r="G404" s="330">
        <f t="shared" si="18"/>
        <v>104000</v>
      </c>
      <c r="H404" s="11" t="s">
        <v>299</v>
      </c>
      <c r="I404" s="11" t="s">
        <v>18</v>
      </c>
      <c r="J404" s="712" t="s">
        <v>294</v>
      </c>
      <c r="K404" s="685"/>
      <c r="L404" s="16"/>
      <c r="M404" s="16"/>
      <c r="N404" s="29"/>
      <c r="O404" s="689"/>
      <c r="P404" s="362"/>
      <c r="Q404" s="548"/>
      <c r="R404" s="520"/>
    </row>
    <row r="405" spans="1:18" ht="15.75" customHeight="1">
      <c r="A405" s="1056"/>
      <c r="B405" s="709">
        <v>14494</v>
      </c>
      <c r="C405" s="33">
        <v>0.1</v>
      </c>
      <c r="D405" s="35" t="s">
        <v>319</v>
      </c>
      <c r="E405" s="12">
        <v>1700000</v>
      </c>
      <c r="F405" s="257">
        <v>0.05</v>
      </c>
      <c r="G405" s="330">
        <f t="shared" si="18"/>
        <v>85000</v>
      </c>
      <c r="H405" s="11" t="s">
        <v>22</v>
      </c>
      <c r="I405" s="11" t="s">
        <v>18</v>
      </c>
      <c r="J405" s="712" t="s">
        <v>294</v>
      </c>
      <c r="K405" s="685"/>
      <c r="L405" s="16"/>
      <c r="M405" s="16"/>
      <c r="N405" s="29"/>
      <c r="O405" s="689"/>
      <c r="P405" s="362"/>
      <c r="Q405" s="548"/>
      <c r="R405" s="520"/>
    </row>
    <row r="406" spans="1:18" ht="15.75" customHeight="1">
      <c r="A406" s="1056"/>
      <c r="B406" s="709">
        <v>14526</v>
      </c>
      <c r="C406" s="127">
        <v>0.08</v>
      </c>
      <c r="D406" s="35" t="s">
        <v>320</v>
      </c>
      <c r="E406" s="12">
        <v>1800000</v>
      </c>
      <c r="F406" s="710">
        <v>0.08</v>
      </c>
      <c r="G406" s="330">
        <f t="shared" si="18"/>
        <v>144000</v>
      </c>
      <c r="H406" s="11" t="s">
        <v>299</v>
      </c>
      <c r="I406" s="11" t="s">
        <v>27</v>
      </c>
      <c r="J406" s="712" t="s">
        <v>294</v>
      </c>
      <c r="K406" s="685"/>
      <c r="L406" s="16"/>
      <c r="M406" s="16"/>
      <c r="N406" s="29"/>
      <c r="O406" s="689"/>
      <c r="P406" s="362"/>
      <c r="Q406" s="548"/>
      <c r="R406" s="520"/>
    </row>
    <row r="407" spans="1:18" ht="15.75" customHeight="1">
      <c r="A407" s="1056"/>
      <c r="B407" s="709">
        <v>14574</v>
      </c>
      <c r="C407" s="33">
        <v>0.1</v>
      </c>
      <c r="D407" s="35" t="s">
        <v>321</v>
      </c>
      <c r="E407" s="12">
        <v>1050000</v>
      </c>
      <c r="F407" s="257">
        <v>0.04</v>
      </c>
      <c r="G407" s="330">
        <f t="shared" si="18"/>
        <v>42000</v>
      </c>
      <c r="H407" s="11" t="s">
        <v>293</v>
      </c>
      <c r="I407" s="11" t="s">
        <v>27</v>
      </c>
      <c r="J407" s="712" t="s">
        <v>294</v>
      </c>
      <c r="K407" s="685"/>
      <c r="L407" s="16"/>
      <c r="M407" s="16"/>
      <c r="N407" s="29"/>
      <c r="O407" s="689"/>
      <c r="P407" s="362"/>
      <c r="Q407" s="548"/>
      <c r="R407" s="520"/>
    </row>
    <row r="408" spans="1:18" ht="15.75" customHeight="1">
      <c r="A408" s="1056"/>
      <c r="B408" s="709">
        <v>14595</v>
      </c>
      <c r="C408" s="127">
        <v>0.08</v>
      </c>
      <c r="D408" s="35" t="s">
        <v>322</v>
      </c>
      <c r="E408" s="12">
        <v>1800000</v>
      </c>
      <c r="F408" s="710">
        <v>0.04</v>
      </c>
      <c r="G408" s="330">
        <f t="shared" si="18"/>
        <v>72000</v>
      </c>
      <c r="H408" s="11" t="s">
        <v>22</v>
      </c>
      <c r="I408" s="11" t="s">
        <v>27</v>
      </c>
      <c r="J408" s="712" t="s">
        <v>294</v>
      </c>
      <c r="K408" s="685"/>
      <c r="L408" s="16"/>
      <c r="M408" s="16"/>
      <c r="N408" s="29"/>
      <c r="O408" s="689"/>
      <c r="P408" s="362"/>
      <c r="Q408" s="548"/>
      <c r="R408" s="520"/>
    </row>
    <row r="409" spans="1:18" ht="15.75" customHeight="1">
      <c r="A409" s="1056"/>
      <c r="B409" s="733" t="s">
        <v>305</v>
      </c>
      <c r="C409" s="142"/>
      <c r="D409" s="92" t="s">
        <v>323</v>
      </c>
      <c r="E409" s="746"/>
      <c r="F409" s="747"/>
      <c r="G409" s="746"/>
      <c r="H409" s="89"/>
      <c r="I409" s="89" t="s">
        <v>27</v>
      </c>
      <c r="J409" s="89"/>
      <c r="K409" s="685"/>
      <c r="L409" s="16"/>
      <c r="M409" s="16"/>
      <c r="N409" s="29"/>
      <c r="O409" s="689"/>
      <c r="P409" s="691"/>
      <c r="Q409" s="548"/>
      <c r="R409" s="520"/>
    </row>
    <row r="410" spans="1:18" ht="15.75" customHeight="1">
      <c r="A410" s="1057"/>
      <c r="B410" s="449"/>
      <c r="C410" s="436"/>
      <c r="D410" s="18" t="s">
        <v>45</v>
      </c>
      <c r="E410" s="809">
        <f>SUM(E398:E409)</f>
        <v>16400000</v>
      </c>
      <c r="F410" s="18" t="s">
        <v>45</v>
      </c>
      <c r="G410" s="809">
        <f>SUM(G398:G409)</f>
        <v>916500</v>
      </c>
      <c r="H410" s="425"/>
      <c r="I410" s="425"/>
      <c r="J410" s="425"/>
      <c r="K410" s="527"/>
      <c r="L410" s="426" t="s">
        <v>211</v>
      </c>
      <c r="M410" s="426"/>
      <c r="N410" s="426"/>
      <c r="O410" s="426"/>
      <c r="P410" s="705" t="s">
        <v>45</v>
      </c>
      <c r="Q410" s="804">
        <f>G410+Q398+Q399+Q400+Q401</f>
        <v>1180500</v>
      </c>
    </row>
    <row r="411" spans="1:18" ht="33.75">
      <c r="A411" s="451"/>
      <c r="B411" s="452"/>
      <c r="C411" s="453"/>
      <c r="D411" s="438"/>
      <c r="E411" s="439"/>
      <c r="F411" s="438"/>
      <c r="G411" s="439"/>
      <c r="H411" s="438"/>
      <c r="I411" s="438"/>
      <c r="J411" s="438"/>
      <c r="K411" s="438"/>
      <c r="L411" s="440"/>
      <c r="M411" s="440"/>
      <c r="N411" s="440"/>
      <c r="O411" s="440"/>
      <c r="P411" s="441"/>
      <c r="Q411" s="442"/>
    </row>
    <row r="412" spans="1:18" ht="34.5" customHeight="1">
      <c r="A412" s="1034" t="s">
        <v>221</v>
      </c>
      <c r="B412" s="1045"/>
      <c r="C412" s="1045"/>
      <c r="D412" s="1045"/>
      <c r="E412" s="1045"/>
      <c r="F412" s="1045"/>
      <c r="G412" s="1045"/>
      <c r="H412" s="1045"/>
      <c r="I412" s="1045"/>
      <c r="J412" s="1045"/>
      <c r="K412" s="1045"/>
      <c r="L412" s="1042" t="s">
        <v>2</v>
      </c>
      <c r="M412" s="1042"/>
      <c r="N412" s="1145"/>
      <c r="O412" s="1145"/>
      <c r="P412" s="1145"/>
      <c r="Q412" s="1145"/>
    </row>
    <row r="413" spans="1:18" ht="16.5">
      <c r="A413" s="398" t="s">
        <v>3</v>
      </c>
      <c r="B413" s="399" t="s">
        <v>4</v>
      </c>
      <c r="C413" s="400" t="s">
        <v>187</v>
      </c>
      <c r="D413" s="602" t="s">
        <v>6</v>
      </c>
      <c r="E413" s="602" t="s">
        <v>188</v>
      </c>
      <c r="F413" s="401" t="s">
        <v>8</v>
      </c>
      <c r="G413" s="398" t="s">
        <v>189</v>
      </c>
      <c r="H413" s="402" t="s">
        <v>190</v>
      </c>
      <c r="I413" s="402" t="s">
        <v>191</v>
      </c>
      <c r="J413" s="398" t="s">
        <v>289</v>
      </c>
      <c r="K413" s="525" t="s">
        <v>192</v>
      </c>
      <c r="L413" s="419" t="s">
        <v>4</v>
      </c>
      <c r="M413" s="524" t="s">
        <v>290</v>
      </c>
      <c r="N413" s="524" t="s">
        <v>6</v>
      </c>
      <c r="O413" s="524" t="s">
        <v>14</v>
      </c>
      <c r="P413" s="524" t="s">
        <v>8</v>
      </c>
      <c r="Q413" s="419" t="s">
        <v>193</v>
      </c>
    </row>
    <row r="414" spans="1:18" ht="15.75">
      <c r="A414" s="1052" t="s">
        <v>324</v>
      </c>
      <c r="B414" s="733" t="s">
        <v>305</v>
      </c>
      <c r="C414" s="748"/>
      <c r="D414" s="749" t="s">
        <v>325</v>
      </c>
      <c r="E414" s="750"/>
      <c r="F414" s="751"/>
      <c r="G414" s="752"/>
      <c r="H414" s="753"/>
      <c r="I414" s="753" t="s">
        <v>113</v>
      </c>
      <c r="J414" s="754"/>
      <c r="K414" s="525"/>
      <c r="L414" s="419"/>
      <c r="M414" s="709">
        <v>14459</v>
      </c>
      <c r="N414" s="35" t="s">
        <v>298</v>
      </c>
      <c r="O414" s="12">
        <v>1300000</v>
      </c>
      <c r="P414" s="794"/>
      <c r="Q414" s="795"/>
    </row>
    <row r="415" spans="1:18" ht="15.75" customHeight="1">
      <c r="A415" s="1053"/>
      <c r="B415" s="413"/>
      <c r="C415" s="669"/>
      <c r="D415" s="499"/>
      <c r="E415" s="416"/>
      <c r="F415" s="670"/>
      <c r="G415" s="675"/>
      <c r="H415" s="499"/>
      <c r="I415" s="498"/>
      <c r="J415" s="498"/>
      <c r="K415" s="76"/>
      <c r="L415" s="76"/>
      <c r="M415" s="709">
        <v>14578</v>
      </c>
      <c r="N415" s="35" t="s">
        <v>304</v>
      </c>
      <c r="O415" s="12">
        <v>1750000</v>
      </c>
      <c r="P415" s="792"/>
      <c r="Q415" s="793"/>
      <c r="R415" s="520"/>
    </row>
    <row r="416" spans="1:18" ht="15.75">
      <c r="A416" s="1053"/>
      <c r="B416" s="413"/>
      <c r="C416" s="673"/>
      <c r="D416" s="602"/>
      <c r="E416" s="674"/>
      <c r="F416" s="676"/>
      <c r="G416" s="677"/>
      <c r="H416" s="402"/>
      <c r="I416" s="402"/>
      <c r="J416" s="398"/>
      <c r="K416" s="525"/>
      <c r="L416" s="419"/>
      <c r="M416" s="709">
        <v>14374</v>
      </c>
      <c r="N416" s="711" t="s">
        <v>310</v>
      </c>
      <c r="O416" s="330">
        <v>1800000</v>
      </c>
      <c r="P416" s="794"/>
      <c r="Q416" s="795"/>
    </row>
    <row r="417" spans="1:18" ht="15.75" customHeight="1">
      <c r="A417" s="1053"/>
      <c r="B417" s="678"/>
      <c r="C417" s="679"/>
      <c r="D417" s="588"/>
      <c r="E417" s="416"/>
      <c r="F417" s="670"/>
      <c r="G417" s="675"/>
      <c r="H417" s="680"/>
      <c r="I417" s="588"/>
      <c r="J417" s="404"/>
      <c r="K417" s="529"/>
      <c r="L417" s="448"/>
      <c r="M417" s="709">
        <v>14372</v>
      </c>
      <c r="N417" s="35" t="s">
        <v>313</v>
      </c>
      <c r="O417" s="330">
        <v>1700000</v>
      </c>
      <c r="P417" s="798"/>
      <c r="Q417" s="799"/>
    </row>
    <row r="418" spans="1:18" ht="15.75" customHeight="1">
      <c r="A418" s="1053"/>
      <c r="B418" s="678"/>
      <c r="C418" s="679"/>
      <c r="D418" s="588"/>
      <c r="E418" s="416"/>
      <c r="F418" s="670"/>
      <c r="G418" s="675"/>
      <c r="H418" s="680"/>
      <c r="I418" s="588"/>
      <c r="J418" s="404"/>
      <c r="K418" s="529"/>
      <c r="L418" s="448"/>
      <c r="M418" s="735">
        <v>14416</v>
      </c>
      <c r="N418" s="736" t="s">
        <v>315</v>
      </c>
      <c r="O418" s="741">
        <v>1250000</v>
      </c>
      <c r="P418" s="798"/>
      <c r="Q418" s="799"/>
    </row>
    <row r="419" spans="1:18" ht="15.75" customHeight="1">
      <c r="A419" s="1053"/>
      <c r="B419" s="678"/>
      <c r="C419" s="679"/>
      <c r="D419" s="588"/>
      <c r="E419" s="416"/>
      <c r="F419" s="670"/>
      <c r="G419" s="675"/>
      <c r="H419" s="680"/>
      <c r="I419" s="588"/>
      <c r="J419" s="404"/>
      <c r="K419" s="529"/>
      <c r="L419" s="448"/>
      <c r="M419" s="709">
        <v>14428</v>
      </c>
      <c r="N419" s="35" t="s">
        <v>316</v>
      </c>
      <c r="O419" s="330">
        <v>1000000</v>
      </c>
      <c r="P419" s="798"/>
      <c r="Q419" s="799"/>
    </row>
    <row r="420" spans="1:18" ht="15.75" customHeight="1">
      <c r="A420" s="1053"/>
      <c r="B420" s="678"/>
      <c r="C420" s="679"/>
      <c r="D420" s="588"/>
      <c r="E420" s="416"/>
      <c r="F420" s="670"/>
      <c r="G420" s="675"/>
      <c r="H420" s="680"/>
      <c r="I420" s="588"/>
      <c r="J420" s="404"/>
      <c r="K420" s="529"/>
      <c r="L420" s="448"/>
      <c r="M420" s="709">
        <v>14494</v>
      </c>
      <c r="N420" s="35" t="s">
        <v>319</v>
      </c>
      <c r="O420" s="12">
        <v>1700000</v>
      </c>
      <c r="P420" s="798"/>
      <c r="Q420" s="799"/>
    </row>
    <row r="421" spans="1:18" ht="15.75" customHeight="1">
      <c r="A421" s="1053"/>
      <c r="B421" s="678"/>
      <c r="C421" s="679"/>
      <c r="D421" s="588"/>
      <c r="E421" s="416"/>
      <c r="F421" s="670"/>
      <c r="G421" s="675"/>
      <c r="H421" s="680"/>
      <c r="I421" s="588"/>
      <c r="J421" s="404"/>
      <c r="K421" s="529"/>
      <c r="L421" s="448"/>
      <c r="M421" s="709"/>
      <c r="N421" s="35" t="s">
        <v>322</v>
      </c>
      <c r="O421" s="12">
        <v>1800000</v>
      </c>
      <c r="P421" s="798"/>
      <c r="Q421" s="799"/>
    </row>
    <row r="422" spans="1:18" ht="15.75" customHeight="1">
      <c r="A422" s="1053"/>
      <c r="B422" s="461"/>
      <c r="C422" s="681"/>
      <c r="D422" s="462"/>
      <c r="E422" s="671"/>
      <c r="F422" s="682"/>
      <c r="G422" s="682"/>
      <c r="H422" s="683"/>
      <c r="I422" s="447"/>
      <c r="J422" s="447"/>
      <c r="K422" s="526"/>
      <c r="L422" s="448"/>
      <c r="M422" s="448"/>
      <c r="N422" s="18"/>
      <c r="O422" s="688"/>
      <c r="P422" s="18"/>
      <c r="Q422" s="688"/>
      <c r="R422" s="521"/>
    </row>
    <row r="423" spans="1:18" ht="15.75" customHeight="1">
      <c r="A423" s="1054"/>
      <c r="B423" s="449"/>
      <c r="C423" s="436"/>
      <c r="D423" s="700" t="s">
        <v>45</v>
      </c>
      <c r="E423" s="701">
        <f>SUM(E414:E422)</f>
        <v>0</v>
      </c>
      <c r="F423" s="690" t="s">
        <v>45</v>
      </c>
      <c r="G423" s="701">
        <f>SUM(G414:G422)</f>
        <v>0</v>
      </c>
      <c r="H423" s="425"/>
      <c r="I423" s="425"/>
      <c r="J423" s="425"/>
      <c r="K423" s="527"/>
      <c r="L423" s="426" t="s">
        <v>211</v>
      </c>
      <c r="M423" s="788"/>
      <c r="N423" s="796" t="s">
        <v>45</v>
      </c>
      <c r="O423" s="800">
        <f>SUM(O414:O422)</f>
        <v>12300000</v>
      </c>
      <c r="P423" s="797"/>
      <c r="Q423" s="701"/>
    </row>
    <row r="424" spans="1:18">
      <c r="B424" s="454"/>
      <c r="C424" s="455"/>
    </row>
    <row r="426" spans="1:18" ht="18">
      <c r="B426" s="1146" t="s">
        <v>82</v>
      </c>
      <c r="C426" s="1147"/>
      <c r="D426" s="692"/>
      <c r="E426" s="770">
        <f>E423+E410+E393</f>
        <v>26350000</v>
      </c>
      <c r="F426" s="1058" t="s">
        <v>326</v>
      </c>
      <c r="G426" s="1058"/>
      <c r="H426" s="1058"/>
    </row>
    <row r="427" spans="1:18" ht="18">
      <c r="B427" s="1148" t="s">
        <v>83</v>
      </c>
      <c r="C427" s="1149"/>
      <c r="D427" s="693"/>
      <c r="E427" s="694"/>
    </row>
    <row r="428" spans="1:18" ht="18">
      <c r="B428" s="1150" t="s">
        <v>84</v>
      </c>
      <c r="C428" s="1151"/>
      <c r="D428" s="695"/>
      <c r="E428" s="696"/>
    </row>
    <row r="429" spans="1:18" ht="15.75">
      <c r="B429" s="1152" t="s">
        <v>85</v>
      </c>
      <c r="C429" s="1153"/>
      <c r="D429" s="695"/>
      <c r="E429" s="695"/>
    </row>
    <row r="430" spans="1:18" ht="15.75">
      <c r="B430" s="697"/>
      <c r="C430" s="698" t="s">
        <v>86</v>
      </c>
      <c r="D430" s="695"/>
      <c r="E430" s="699"/>
    </row>
    <row r="434" spans="1:17" ht="46.5">
      <c r="A434" s="1033" t="s">
        <v>327</v>
      </c>
      <c r="B434" s="1033"/>
      <c r="C434" s="1033"/>
      <c r="D434" s="1033"/>
      <c r="E434" s="1033"/>
      <c r="F434" s="1033"/>
      <c r="G434" s="1033"/>
      <c r="H434" s="1033"/>
      <c r="I434" s="1033"/>
      <c r="J434" s="1033"/>
      <c r="K434" s="1033"/>
      <c r="L434" s="1033"/>
      <c r="M434" s="1033"/>
      <c r="N434" s="1033"/>
      <c r="O434" s="1033"/>
      <c r="P434" s="1033"/>
      <c r="Q434" s="1033"/>
    </row>
    <row r="436" spans="1:17" ht="18">
      <c r="A436" s="1034" t="s">
        <v>288</v>
      </c>
      <c r="B436" s="1034"/>
      <c r="C436" s="1034"/>
      <c r="D436" s="1034"/>
      <c r="E436" s="1034"/>
      <c r="F436" s="1034"/>
      <c r="G436" s="1034"/>
      <c r="H436" s="1034"/>
      <c r="I436" s="1034"/>
      <c r="J436" s="1034"/>
      <c r="K436" s="1034"/>
      <c r="L436" s="1035" t="s">
        <v>2</v>
      </c>
      <c r="M436" s="1035"/>
      <c r="N436" s="1035"/>
      <c r="O436" s="1035"/>
      <c r="P436" s="1035"/>
      <c r="Q436" s="1036"/>
    </row>
    <row r="437" spans="1:17" ht="16.5">
      <c r="A437" s="398" t="s">
        <v>3</v>
      </c>
      <c r="B437" s="399" t="s">
        <v>4</v>
      </c>
      <c r="C437" s="400" t="s">
        <v>187</v>
      </c>
      <c r="D437" s="398" t="s">
        <v>6</v>
      </c>
      <c r="E437" s="398" t="s">
        <v>188</v>
      </c>
      <c r="F437" s="401" t="s">
        <v>8</v>
      </c>
      <c r="G437" s="398" t="s">
        <v>189</v>
      </c>
      <c r="H437" s="402" t="s">
        <v>190</v>
      </c>
      <c r="I437" s="402" t="s">
        <v>191</v>
      </c>
      <c r="J437" s="398" t="s">
        <v>289</v>
      </c>
      <c r="K437" s="398" t="s">
        <v>192</v>
      </c>
      <c r="L437" s="403" t="s">
        <v>4</v>
      </c>
      <c r="M437" s="791" t="s">
        <v>290</v>
      </c>
      <c r="N437" s="403" t="s">
        <v>6</v>
      </c>
      <c r="O437" s="403" t="s">
        <v>14</v>
      </c>
      <c r="P437" s="522" t="s">
        <v>8</v>
      </c>
      <c r="Q437" s="419" t="s">
        <v>193</v>
      </c>
    </row>
    <row r="438" spans="1:17" ht="15.75">
      <c r="A438" s="1048" t="s">
        <v>328</v>
      </c>
      <c r="B438" s="709">
        <v>14616</v>
      </c>
      <c r="C438" s="33">
        <v>0.1</v>
      </c>
      <c r="D438" s="35" t="s">
        <v>329</v>
      </c>
      <c r="E438" s="12">
        <v>1785000</v>
      </c>
      <c r="F438" s="33">
        <v>0.06</v>
      </c>
      <c r="G438" s="12">
        <f>E438*F438</f>
        <v>107100</v>
      </c>
      <c r="H438" s="712" t="s">
        <v>22</v>
      </c>
      <c r="I438" s="728" t="s">
        <v>27</v>
      </c>
      <c r="J438" s="728" t="s">
        <v>294</v>
      </c>
      <c r="K438" s="76"/>
      <c r="L438" s="76"/>
      <c r="M438" s="728">
        <v>14629</v>
      </c>
      <c r="N438" s="35" t="s">
        <v>330</v>
      </c>
      <c r="O438" s="790">
        <v>2800000</v>
      </c>
      <c r="P438" s="141">
        <v>0.05</v>
      </c>
      <c r="Q438" s="878">
        <f>O438*P438</f>
        <v>140000</v>
      </c>
    </row>
    <row r="439" spans="1:17" ht="15.75">
      <c r="A439" s="1049"/>
      <c r="B439" s="709">
        <v>14656</v>
      </c>
      <c r="C439" s="127">
        <v>0.08</v>
      </c>
      <c r="D439" s="830" t="s">
        <v>331</v>
      </c>
      <c r="E439" s="12">
        <v>1800000</v>
      </c>
      <c r="F439" s="127">
        <v>0.05</v>
      </c>
      <c r="G439" s="12">
        <f t="shared" ref="G439:G447" si="19">E439*F439</f>
        <v>90000</v>
      </c>
      <c r="H439" s="712" t="s">
        <v>22</v>
      </c>
      <c r="I439" s="728" t="s">
        <v>27</v>
      </c>
      <c r="J439" s="728" t="s">
        <v>294</v>
      </c>
      <c r="K439" s="120"/>
      <c r="L439" s="76"/>
      <c r="M439" s="76"/>
      <c r="N439" s="76"/>
      <c r="O439" s="592"/>
      <c r="P439" s="523"/>
      <c r="Q439" s="594"/>
    </row>
    <row r="440" spans="1:17" ht="15" customHeight="1">
      <c r="A440" s="1049"/>
      <c r="B440" s="709" t="s">
        <v>332</v>
      </c>
      <c r="C440" s="33">
        <v>0.1</v>
      </c>
      <c r="D440" s="835" t="s">
        <v>333</v>
      </c>
      <c r="E440" s="12">
        <v>1400000</v>
      </c>
      <c r="F440" s="33">
        <v>0.05</v>
      </c>
      <c r="G440" s="12">
        <f t="shared" si="19"/>
        <v>70000</v>
      </c>
      <c r="H440" s="712" t="s">
        <v>299</v>
      </c>
      <c r="I440" s="728" t="s">
        <v>27</v>
      </c>
      <c r="J440" s="728" t="s">
        <v>294</v>
      </c>
      <c r="K440" s="120"/>
      <c r="L440" s="76"/>
      <c r="M440" s="76"/>
      <c r="N440" s="76"/>
      <c r="O440" s="592"/>
      <c r="P440" s="523"/>
      <c r="Q440" s="594"/>
    </row>
    <row r="441" spans="1:17" ht="15" customHeight="1">
      <c r="A441" s="1049"/>
      <c r="B441" s="709">
        <v>14724</v>
      </c>
      <c r="C441" s="141">
        <v>0.1</v>
      </c>
      <c r="D441" s="148" t="s">
        <v>334</v>
      </c>
      <c r="E441" s="786">
        <v>700000</v>
      </c>
      <c r="F441" s="33">
        <v>0.05</v>
      </c>
      <c r="G441" s="12">
        <f t="shared" si="19"/>
        <v>35000</v>
      </c>
      <c r="H441" s="712" t="s">
        <v>299</v>
      </c>
      <c r="I441" s="728" t="s">
        <v>335</v>
      </c>
      <c r="J441" s="728" t="s">
        <v>294</v>
      </c>
      <c r="K441" s="120"/>
      <c r="L441" s="76"/>
      <c r="M441" s="76"/>
      <c r="N441" s="76"/>
      <c r="O441" s="592"/>
      <c r="P441" s="523"/>
      <c r="Q441" s="594"/>
    </row>
    <row r="442" spans="1:17" ht="15" customHeight="1">
      <c r="A442" s="1049"/>
      <c r="B442" s="709">
        <v>14747</v>
      </c>
      <c r="C442" s="141">
        <v>0.1</v>
      </c>
      <c r="D442" s="736" t="s">
        <v>336</v>
      </c>
      <c r="E442" s="786">
        <v>1400000</v>
      </c>
      <c r="F442" s="33">
        <v>0.06</v>
      </c>
      <c r="G442" s="12">
        <f t="shared" si="19"/>
        <v>84000</v>
      </c>
      <c r="H442" s="712" t="s">
        <v>22</v>
      </c>
      <c r="I442" s="728" t="s">
        <v>337</v>
      </c>
      <c r="J442" s="728" t="s">
        <v>294</v>
      </c>
      <c r="K442" s="120"/>
      <c r="L442" s="76"/>
      <c r="M442" s="76"/>
      <c r="N442" s="76"/>
      <c r="O442" s="592"/>
      <c r="P442" s="523"/>
      <c r="Q442" s="594"/>
    </row>
    <row r="443" spans="1:17" ht="15" customHeight="1">
      <c r="A443" s="1049"/>
      <c r="B443" s="709">
        <v>14751</v>
      </c>
      <c r="C443" s="141">
        <v>0.1</v>
      </c>
      <c r="D443" s="839" t="s">
        <v>338</v>
      </c>
      <c r="E443" s="786">
        <v>1500000</v>
      </c>
      <c r="F443" s="33">
        <v>0.1</v>
      </c>
      <c r="G443" s="12">
        <f t="shared" si="19"/>
        <v>150000</v>
      </c>
      <c r="H443" s="712" t="s">
        <v>293</v>
      </c>
      <c r="I443" s="728" t="s">
        <v>27</v>
      </c>
      <c r="J443" s="728" t="s">
        <v>294</v>
      </c>
      <c r="K443" s="120"/>
      <c r="L443" s="76"/>
      <c r="M443" s="76"/>
      <c r="N443" s="76"/>
      <c r="O443" s="592"/>
      <c r="P443" s="523"/>
      <c r="Q443" s="594"/>
    </row>
    <row r="444" spans="1:17" ht="15" customHeight="1">
      <c r="A444" s="1049"/>
      <c r="B444" s="709">
        <v>14770</v>
      </c>
      <c r="C444" s="141">
        <v>0.1</v>
      </c>
      <c r="D444" s="839" t="s">
        <v>339</v>
      </c>
      <c r="E444" s="786">
        <v>1350000</v>
      </c>
      <c r="F444" s="33">
        <v>0.05</v>
      </c>
      <c r="G444" s="12">
        <f t="shared" si="19"/>
        <v>67500</v>
      </c>
      <c r="H444" s="712" t="s">
        <v>299</v>
      </c>
      <c r="I444" s="728" t="s">
        <v>27</v>
      </c>
      <c r="J444" s="728" t="s">
        <v>294</v>
      </c>
      <c r="K444" s="120"/>
      <c r="L444" s="76"/>
      <c r="M444" s="76"/>
      <c r="N444" s="76"/>
      <c r="O444" s="592"/>
      <c r="P444" s="523"/>
      <c r="Q444" s="594"/>
    </row>
    <row r="445" spans="1:17" ht="15" customHeight="1">
      <c r="A445" s="1049"/>
      <c r="B445" s="709">
        <v>14782</v>
      </c>
      <c r="C445" s="141">
        <v>0.1</v>
      </c>
      <c r="D445" s="839" t="s">
        <v>340</v>
      </c>
      <c r="E445" s="786">
        <v>1200000</v>
      </c>
      <c r="F445" s="33">
        <v>0.06</v>
      </c>
      <c r="G445" s="12">
        <f t="shared" si="19"/>
        <v>72000</v>
      </c>
      <c r="H445" s="712" t="s">
        <v>22</v>
      </c>
      <c r="I445" s="728" t="s">
        <v>27</v>
      </c>
      <c r="J445" s="728" t="s">
        <v>294</v>
      </c>
      <c r="K445" s="120"/>
      <c r="L445" s="76"/>
      <c r="M445" s="76"/>
      <c r="N445" s="76"/>
      <c r="O445" s="592"/>
      <c r="P445" s="523"/>
      <c r="Q445" s="594"/>
    </row>
    <row r="446" spans="1:17" ht="15" customHeight="1">
      <c r="A446" s="1049"/>
      <c r="B446" s="709">
        <v>14852</v>
      </c>
      <c r="C446" s="141">
        <v>0.1</v>
      </c>
      <c r="D446" s="839" t="s">
        <v>341</v>
      </c>
      <c r="E446" s="786">
        <v>1200000</v>
      </c>
      <c r="F446" s="33">
        <v>0.1</v>
      </c>
      <c r="G446" s="12">
        <f t="shared" si="19"/>
        <v>120000</v>
      </c>
      <c r="H446" s="712" t="s">
        <v>293</v>
      </c>
      <c r="I446" s="728" t="s">
        <v>342</v>
      </c>
      <c r="J446" s="728"/>
      <c r="K446" s="120"/>
      <c r="L446" s="76"/>
      <c r="M446" s="76"/>
      <c r="N446" s="76"/>
      <c r="O446" s="592"/>
      <c r="P446" s="523"/>
      <c r="Q446" s="594"/>
    </row>
    <row r="447" spans="1:17" ht="15" customHeight="1">
      <c r="A447" s="1049"/>
      <c r="B447" s="709">
        <v>14794</v>
      </c>
      <c r="C447" s="805">
        <v>0.08</v>
      </c>
      <c r="D447" s="758" t="s">
        <v>343</v>
      </c>
      <c r="E447" s="786">
        <v>950000</v>
      </c>
      <c r="F447" s="127">
        <v>0.08</v>
      </c>
      <c r="G447" s="12">
        <f t="shared" si="19"/>
        <v>76000</v>
      </c>
      <c r="H447" s="712" t="s">
        <v>293</v>
      </c>
      <c r="I447" s="728" t="s">
        <v>337</v>
      </c>
      <c r="J447" s="728"/>
      <c r="K447" s="120"/>
      <c r="L447" s="76"/>
      <c r="M447" s="76"/>
      <c r="N447" s="76"/>
      <c r="O447" s="592"/>
      <c r="P447" s="523"/>
      <c r="Q447" s="594"/>
    </row>
    <row r="448" spans="1:17" ht="15.75">
      <c r="A448" s="1049"/>
      <c r="B448" s="733" t="s">
        <v>305</v>
      </c>
      <c r="C448" s="40"/>
      <c r="D448" s="147" t="s">
        <v>344</v>
      </c>
      <c r="E448" s="42"/>
      <c r="F448" s="731"/>
      <c r="G448" s="730"/>
      <c r="H448" s="829"/>
      <c r="I448" s="829" t="s">
        <v>27</v>
      </c>
      <c r="J448" s="829"/>
      <c r="K448" s="539"/>
      <c r="L448" s="535"/>
      <c r="M448" s="535"/>
      <c r="N448" s="536"/>
      <c r="O448" s="545"/>
      <c r="P448" s="546"/>
      <c r="Q448" s="548"/>
    </row>
    <row r="449" spans="1:17" ht="15.75">
      <c r="A449" s="1049"/>
      <c r="B449" s="733" t="s">
        <v>345</v>
      </c>
      <c r="C449" s="40"/>
      <c r="D449" s="45" t="s">
        <v>346</v>
      </c>
      <c r="E449" s="42"/>
      <c r="F449" s="731"/>
      <c r="G449" s="730"/>
      <c r="H449" s="829"/>
      <c r="I449" s="829" t="s">
        <v>342</v>
      </c>
      <c r="J449" s="829"/>
      <c r="K449" s="539"/>
      <c r="L449" s="535"/>
      <c r="M449" s="535"/>
      <c r="N449" s="536"/>
      <c r="O449" s="630"/>
      <c r="P449" s="734"/>
      <c r="Q449" s="548"/>
    </row>
    <row r="450" spans="1:17" ht="15.75">
      <c r="A450" s="1050"/>
      <c r="B450" s="421"/>
      <c r="C450" s="422"/>
      <c r="D450" s="702" t="s">
        <v>45</v>
      </c>
      <c r="E450" s="703">
        <f>SUM(E438:E449)</f>
        <v>13285000</v>
      </c>
      <c r="F450" s="18" t="s">
        <v>45</v>
      </c>
      <c r="G450" s="704">
        <f>SUM(G438:G449)</f>
        <v>871600</v>
      </c>
      <c r="H450" s="425"/>
      <c r="I450" s="425"/>
      <c r="J450" s="425"/>
      <c r="K450" s="425"/>
      <c r="L450" s="426" t="s">
        <v>211</v>
      </c>
      <c r="M450" s="427"/>
      <c r="N450" s="427"/>
      <c r="O450" s="428"/>
      <c r="P450" s="707" t="s">
        <v>86</v>
      </c>
      <c r="Q450" s="24">
        <f>G450+Q438</f>
        <v>1011600</v>
      </c>
    </row>
    <row r="451" spans="1:17">
      <c r="A451" s="430"/>
      <c r="B451" s="431"/>
      <c r="C451" s="432"/>
      <c r="D451" s="430"/>
      <c r="E451" s="430"/>
      <c r="F451" s="430"/>
      <c r="G451" s="430"/>
      <c r="H451" s="430"/>
      <c r="I451" s="430"/>
      <c r="J451" s="430"/>
      <c r="K451" s="430"/>
    </row>
    <row r="452" spans="1:17">
      <c r="B452" s="454"/>
      <c r="C452" s="455"/>
    </row>
    <row r="453" spans="1:17" ht="18">
      <c r="A453" s="1034" t="s">
        <v>213</v>
      </c>
      <c r="B453" s="1045"/>
      <c r="C453" s="1045"/>
      <c r="D453" s="1045"/>
      <c r="E453" s="1045"/>
      <c r="F453" s="1045"/>
      <c r="G453" s="1045"/>
      <c r="H453" s="1045"/>
      <c r="I453" s="1045"/>
      <c r="J453" s="1045"/>
      <c r="K453" s="1045"/>
      <c r="L453" s="1042" t="s">
        <v>2</v>
      </c>
      <c r="M453" s="1042"/>
      <c r="N453" s="1145"/>
      <c r="O453" s="1145"/>
      <c r="P453" s="1145"/>
      <c r="Q453" s="1145"/>
    </row>
    <row r="454" spans="1:17" ht="16.5">
      <c r="A454" s="398" t="s">
        <v>3</v>
      </c>
      <c r="B454" s="399" t="s">
        <v>4</v>
      </c>
      <c r="C454" s="400" t="s">
        <v>187</v>
      </c>
      <c r="D454" s="398" t="s">
        <v>6</v>
      </c>
      <c r="E454" s="398" t="s">
        <v>188</v>
      </c>
      <c r="F454" s="401" t="s">
        <v>8</v>
      </c>
      <c r="G454" s="398" t="s">
        <v>189</v>
      </c>
      <c r="H454" s="402" t="s">
        <v>190</v>
      </c>
      <c r="I454" s="402" t="s">
        <v>191</v>
      </c>
      <c r="J454" s="398" t="s">
        <v>289</v>
      </c>
      <c r="K454" s="525" t="s">
        <v>192</v>
      </c>
      <c r="L454" s="419" t="s">
        <v>4</v>
      </c>
      <c r="M454" s="524" t="s">
        <v>290</v>
      </c>
      <c r="N454" s="419" t="s">
        <v>6</v>
      </c>
      <c r="O454" s="419" t="s">
        <v>14</v>
      </c>
      <c r="P454" s="524" t="s">
        <v>8</v>
      </c>
      <c r="Q454" s="419" t="s">
        <v>193</v>
      </c>
    </row>
    <row r="455" spans="1:17" ht="15.75">
      <c r="A455" s="1049" t="s">
        <v>328</v>
      </c>
      <c r="B455" s="709">
        <v>14620</v>
      </c>
      <c r="C455" s="257">
        <v>0.1</v>
      </c>
      <c r="D455" s="711" t="s">
        <v>347</v>
      </c>
      <c r="E455" s="330">
        <v>1300000</v>
      </c>
      <c r="F455" s="257">
        <v>0.06</v>
      </c>
      <c r="G455" s="330">
        <f>E455*F455</f>
        <v>78000</v>
      </c>
      <c r="H455" s="712" t="s">
        <v>22</v>
      </c>
      <c r="I455" s="712" t="s">
        <v>27</v>
      </c>
      <c r="J455" s="709" t="s">
        <v>294</v>
      </c>
      <c r="K455" s="685"/>
      <c r="L455" s="16"/>
      <c r="M455" s="709" t="s">
        <v>332</v>
      </c>
      <c r="N455" s="835" t="s">
        <v>333</v>
      </c>
      <c r="O455" s="12">
        <v>1400000</v>
      </c>
      <c r="P455" s="257">
        <v>0.05</v>
      </c>
      <c r="Q455" s="878">
        <f>O455*P455</f>
        <v>70000</v>
      </c>
    </row>
    <row r="456" spans="1:17" ht="15.75">
      <c r="A456" s="1049"/>
      <c r="B456" s="709">
        <v>14642</v>
      </c>
      <c r="C456" s="257">
        <v>0.1</v>
      </c>
      <c r="D456" s="711" t="s">
        <v>348</v>
      </c>
      <c r="E456" s="330">
        <v>1000000</v>
      </c>
      <c r="F456" s="257">
        <v>0.06</v>
      </c>
      <c r="G456" s="330">
        <f t="shared" ref="G456:G465" si="20">E456*F456</f>
        <v>60000</v>
      </c>
      <c r="H456" s="712" t="s">
        <v>22</v>
      </c>
      <c r="I456" s="712" t="s">
        <v>27</v>
      </c>
      <c r="J456" s="709" t="s">
        <v>294</v>
      </c>
      <c r="K456" s="685"/>
      <c r="L456" s="16"/>
      <c r="M456" s="709">
        <v>14724</v>
      </c>
      <c r="N456" s="148" t="s">
        <v>334</v>
      </c>
      <c r="O456" s="786">
        <v>700000</v>
      </c>
      <c r="P456" s="801">
        <v>0.05</v>
      </c>
      <c r="Q456" s="878">
        <f>O456*P456</f>
        <v>35000</v>
      </c>
    </row>
    <row r="457" spans="1:17" ht="15.75">
      <c r="A457" s="1049"/>
      <c r="B457" s="709">
        <v>14689</v>
      </c>
      <c r="C457" s="257">
        <v>0.1</v>
      </c>
      <c r="D457" s="711" t="s">
        <v>349</v>
      </c>
      <c r="E457" s="330">
        <v>1300000</v>
      </c>
      <c r="F457" s="257">
        <v>0.06</v>
      </c>
      <c r="G457" s="330">
        <f t="shared" si="20"/>
        <v>78000</v>
      </c>
      <c r="H457" s="712" t="s">
        <v>22</v>
      </c>
      <c r="I457" s="712" t="s">
        <v>337</v>
      </c>
      <c r="J457" s="709" t="s">
        <v>294</v>
      </c>
      <c r="K457" s="685"/>
      <c r="L457" s="16"/>
      <c r="M457" s="709">
        <v>14770</v>
      </c>
      <c r="N457" s="839" t="s">
        <v>339</v>
      </c>
      <c r="O457" s="786">
        <v>1350000</v>
      </c>
      <c r="P457" s="801">
        <v>0.05</v>
      </c>
      <c r="Q457" s="878">
        <f>O457*P457</f>
        <v>67500</v>
      </c>
    </row>
    <row r="458" spans="1:17" ht="15.75">
      <c r="A458" s="1049"/>
      <c r="B458" s="709">
        <v>14701</v>
      </c>
      <c r="C458" s="257">
        <v>0.1</v>
      </c>
      <c r="D458" s="711" t="s">
        <v>350</v>
      </c>
      <c r="E458" s="330">
        <v>1200000</v>
      </c>
      <c r="F458" s="257">
        <v>0.1</v>
      </c>
      <c r="G458" s="330">
        <f t="shared" si="20"/>
        <v>120000</v>
      </c>
      <c r="H458" s="712" t="s">
        <v>53</v>
      </c>
      <c r="I458" s="712" t="s">
        <v>27</v>
      </c>
      <c r="J458" s="709" t="s">
        <v>294</v>
      </c>
      <c r="K458" s="685"/>
      <c r="L458" s="16"/>
      <c r="M458" s="883">
        <v>14828</v>
      </c>
      <c r="N458" s="758" t="s">
        <v>351</v>
      </c>
      <c r="O458" s="760">
        <v>1500000</v>
      </c>
      <c r="P458" s="801">
        <v>0.05</v>
      </c>
      <c r="Q458" s="878">
        <f t="shared" ref="Q458:Q459" si="21">O458*P458</f>
        <v>75000</v>
      </c>
    </row>
    <row r="459" spans="1:17" ht="15.75">
      <c r="A459" s="1049"/>
      <c r="B459" s="709">
        <v>14709</v>
      </c>
      <c r="C459" s="257">
        <v>0.1</v>
      </c>
      <c r="D459" s="34" t="s">
        <v>352</v>
      </c>
      <c r="E459" s="330">
        <v>1400000</v>
      </c>
      <c r="F459" s="257">
        <v>0.06</v>
      </c>
      <c r="G459" s="330">
        <f t="shared" si="20"/>
        <v>84000</v>
      </c>
      <c r="H459" s="712" t="s">
        <v>22</v>
      </c>
      <c r="I459" s="712" t="s">
        <v>27</v>
      </c>
      <c r="J459" s="709" t="s">
        <v>294</v>
      </c>
      <c r="K459" s="685"/>
      <c r="L459" s="16"/>
      <c r="M459" s="325"/>
      <c r="N459" s="758" t="s">
        <v>353</v>
      </c>
      <c r="O459" s="760">
        <v>1300000</v>
      </c>
      <c r="P459" s="801">
        <v>0.05</v>
      </c>
      <c r="Q459" s="878">
        <f t="shared" si="21"/>
        <v>65000</v>
      </c>
    </row>
    <row r="460" spans="1:17" ht="15.75">
      <c r="A460" s="1049"/>
      <c r="B460" s="709">
        <v>14730</v>
      </c>
      <c r="C460" s="257">
        <v>0.1</v>
      </c>
      <c r="D460" s="34" t="s">
        <v>354</v>
      </c>
      <c r="E460" s="330">
        <v>3500000</v>
      </c>
      <c r="F460" s="257">
        <v>0.1</v>
      </c>
      <c r="G460" s="330">
        <f t="shared" si="20"/>
        <v>350000</v>
      </c>
      <c r="H460" s="712" t="s">
        <v>299</v>
      </c>
      <c r="I460" s="712" t="s">
        <v>337</v>
      </c>
      <c r="J460" s="709" t="s">
        <v>294</v>
      </c>
      <c r="K460" s="685"/>
      <c r="L460" s="16"/>
      <c r="M460" s="16"/>
      <c r="N460" s="29"/>
      <c r="O460" s="593"/>
      <c r="P460" s="708"/>
      <c r="Q460" s="672"/>
    </row>
    <row r="461" spans="1:17" ht="15.75">
      <c r="A461" s="1049"/>
      <c r="B461" s="709">
        <v>14738</v>
      </c>
      <c r="C461" s="257">
        <v>0.1</v>
      </c>
      <c r="D461" s="34" t="s">
        <v>355</v>
      </c>
      <c r="E461" s="330">
        <v>1800000</v>
      </c>
      <c r="F461" s="257">
        <v>0.06</v>
      </c>
      <c r="G461" s="330">
        <f t="shared" si="20"/>
        <v>108000</v>
      </c>
      <c r="H461" s="712" t="s">
        <v>22</v>
      </c>
      <c r="I461" s="712" t="s">
        <v>27</v>
      </c>
      <c r="J461" s="709" t="s">
        <v>294</v>
      </c>
      <c r="K461" s="685"/>
      <c r="L461" s="16"/>
      <c r="M461" s="16"/>
      <c r="N461" s="29"/>
      <c r="O461" s="593"/>
      <c r="P461" s="708"/>
      <c r="Q461" s="672"/>
    </row>
    <row r="462" spans="1:17" ht="15.75">
      <c r="A462" s="1049"/>
      <c r="B462" s="709">
        <v>14752</v>
      </c>
      <c r="C462" s="257">
        <v>0.1</v>
      </c>
      <c r="D462" s="34" t="s">
        <v>356</v>
      </c>
      <c r="E462" s="330">
        <v>1400000</v>
      </c>
      <c r="F462" s="257">
        <v>0.06</v>
      </c>
      <c r="G462" s="330">
        <f t="shared" si="20"/>
        <v>84000</v>
      </c>
      <c r="H462" s="712" t="s">
        <v>22</v>
      </c>
      <c r="I462" s="712" t="s">
        <v>357</v>
      </c>
      <c r="J462" s="709" t="s">
        <v>294</v>
      </c>
      <c r="K462" s="685"/>
      <c r="L462" s="16"/>
      <c r="M462" s="16"/>
      <c r="N462" s="29"/>
      <c r="O462" s="593"/>
      <c r="P462" s="708"/>
      <c r="Q462" s="672"/>
    </row>
    <row r="463" spans="1:17" ht="15.75">
      <c r="A463" s="1049"/>
      <c r="B463" s="709">
        <v>14767</v>
      </c>
      <c r="C463" s="257">
        <v>0.1</v>
      </c>
      <c r="D463" s="34" t="s">
        <v>358</v>
      </c>
      <c r="E463" s="330">
        <v>2100000</v>
      </c>
      <c r="F463" s="257">
        <v>0.1</v>
      </c>
      <c r="G463" s="330">
        <f t="shared" si="20"/>
        <v>210000</v>
      </c>
      <c r="H463" s="712" t="s">
        <v>299</v>
      </c>
      <c r="I463" s="712" t="s">
        <v>27</v>
      </c>
      <c r="J463" s="709" t="s">
        <v>294</v>
      </c>
      <c r="K463" s="685"/>
      <c r="L463" s="16"/>
      <c r="M463" s="16"/>
      <c r="N463" s="29"/>
      <c r="O463" s="593"/>
      <c r="P463" s="708"/>
      <c r="Q463" s="672"/>
    </row>
    <row r="464" spans="1:17" ht="15.75">
      <c r="A464" s="1049"/>
      <c r="B464" s="709">
        <v>14796</v>
      </c>
      <c r="C464" s="257">
        <v>0.1</v>
      </c>
      <c r="D464" s="34" t="s">
        <v>359</v>
      </c>
      <c r="E464" s="330">
        <v>1050000</v>
      </c>
      <c r="F464" s="257">
        <v>0.06</v>
      </c>
      <c r="G464" s="330">
        <f t="shared" si="20"/>
        <v>63000</v>
      </c>
      <c r="H464" s="712" t="s">
        <v>22</v>
      </c>
      <c r="I464" s="712" t="s">
        <v>337</v>
      </c>
      <c r="J464" s="709" t="s">
        <v>294</v>
      </c>
      <c r="K464" s="685"/>
      <c r="L464" s="16"/>
      <c r="M464" s="16"/>
      <c r="N464" s="29"/>
      <c r="O464" s="593"/>
      <c r="P464" s="708"/>
      <c r="Q464" s="672"/>
    </row>
    <row r="465" spans="1:17" ht="15.75">
      <c r="A465" s="1049"/>
      <c r="B465" s="709">
        <v>14801</v>
      </c>
      <c r="C465" s="257">
        <v>0.1</v>
      </c>
      <c r="D465" s="34" t="s">
        <v>360</v>
      </c>
      <c r="E465" s="330">
        <v>1400000</v>
      </c>
      <c r="F465" s="257">
        <v>0.06</v>
      </c>
      <c r="G465" s="330">
        <f t="shared" si="20"/>
        <v>84000</v>
      </c>
      <c r="H465" s="712" t="s">
        <v>22</v>
      </c>
      <c r="I465" s="712" t="s">
        <v>337</v>
      </c>
      <c r="J465" s="709" t="s">
        <v>294</v>
      </c>
      <c r="K465" s="685"/>
      <c r="L465" s="16"/>
      <c r="M465" s="16"/>
      <c r="N465" s="29"/>
      <c r="O465" s="593"/>
      <c r="P465" s="708"/>
      <c r="Q465" s="672"/>
    </row>
    <row r="466" spans="1:17" ht="15.75">
      <c r="A466" s="1049"/>
      <c r="B466" s="733" t="s">
        <v>305</v>
      </c>
      <c r="C466" s="265"/>
      <c r="D466" s="92" t="s">
        <v>361</v>
      </c>
      <c r="E466" s="836"/>
      <c r="F466" s="747"/>
      <c r="G466" s="746"/>
      <c r="H466" s="89"/>
      <c r="I466" s="829" t="s">
        <v>342</v>
      </c>
      <c r="J466" s="733"/>
      <c r="K466" s="685"/>
      <c r="L466" s="16"/>
      <c r="M466" s="16"/>
      <c r="N466" s="29"/>
      <c r="O466" s="593"/>
      <c r="P466" s="708"/>
      <c r="Q466" s="672"/>
    </row>
    <row r="467" spans="1:17" ht="15.75">
      <c r="A467" s="1049"/>
      <c r="B467" s="733" t="s">
        <v>305</v>
      </c>
      <c r="C467" s="40"/>
      <c r="D467" s="45" t="s">
        <v>362</v>
      </c>
      <c r="E467" s="836"/>
      <c r="F467" s="747"/>
      <c r="G467" s="746"/>
      <c r="H467" s="89"/>
      <c r="I467" s="829" t="s">
        <v>27</v>
      </c>
      <c r="J467" s="829"/>
      <c r="K467" s="685"/>
      <c r="L467" s="16"/>
      <c r="M467" s="16"/>
      <c r="N467" s="29"/>
      <c r="O467" s="689"/>
      <c r="P467" s="362"/>
      <c r="Q467" s="548"/>
    </row>
    <row r="468" spans="1:17" ht="15.75">
      <c r="A468" s="1049"/>
      <c r="B468" s="733" t="s">
        <v>305</v>
      </c>
      <c r="C468" s="40"/>
      <c r="D468" s="45" t="s">
        <v>363</v>
      </c>
      <c r="E468" s="836"/>
      <c r="F468" s="747"/>
      <c r="G468" s="746"/>
      <c r="H468" s="89"/>
      <c r="I468" s="829" t="s">
        <v>364</v>
      </c>
      <c r="J468" s="829"/>
      <c r="K468" s="685"/>
      <c r="L468" s="16"/>
      <c r="M468" s="16"/>
      <c r="N468" s="29"/>
      <c r="O468" s="689"/>
      <c r="P468" s="362"/>
      <c r="Q468" s="548"/>
    </row>
    <row r="469" spans="1:17" ht="15.75">
      <c r="A469" s="1049"/>
      <c r="B469" s="831" t="s">
        <v>305</v>
      </c>
      <c r="C469" s="265"/>
      <c r="D469" s="832" t="s">
        <v>365</v>
      </c>
      <c r="E469" s="833"/>
      <c r="F469" s="834"/>
      <c r="G469" s="746"/>
      <c r="H469" s="39"/>
      <c r="I469" s="829" t="s">
        <v>335</v>
      </c>
      <c r="J469" s="829"/>
      <c r="K469" s="685"/>
      <c r="L469" s="16"/>
      <c r="M469" s="16"/>
      <c r="N469" s="29"/>
      <c r="O469" s="1107" t="s">
        <v>45</v>
      </c>
      <c r="P469" s="1108"/>
      <c r="Q469" s="879">
        <f>SUM(Q455:Q468)</f>
        <v>312500</v>
      </c>
    </row>
    <row r="470" spans="1:17" ht="18">
      <c r="A470" s="1050"/>
      <c r="B470" s="449"/>
      <c r="C470" s="436"/>
      <c r="D470" s="702" t="s">
        <v>45</v>
      </c>
      <c r="E470" s="703">
        <f>SUM(E455:E469)</f>
        <v>17450000</v>
      </c>
      <c r="F470" s="18" t="s">
        <v>45</v>
      </c>
      <c r="G470" s="703">
        <f>SUM(G455:G469)</f>
        <v>1319000</v>
      </c>
      <c r="H470" s="425"/>
      <c r="I470" s="425"/>
      <c r="J470" s="425"/>
      <c r="K470" s="527"/>
      <c r="L470" s="426" t="s">
        <v>211</v>
      </c>
      <c r="M470" s="426"/>
      <c r="N470" s="426"/>
      <c r="O470" s="426"/>
      <c r="P470" s="705" t="s">
        <v>45</v>
      </c>
      <c r="Q470" s="804">
        <f>G470+Q469</f>
        <v>1631500</v>
      </c>
    </row>
    <row r="471" spans="1:17" ht="33.75">
      <c r="A471" s="451"/>
      <c r="B471" s="452"/>
      <c r="C471" s="453"/>
      <c r="D471" s="438"/>
      <c r="E471" s="439"/>
      <c r="F471" s="438"/>
      <c r="G471" s="439"/>
      <c r="H471" s="438"/>
      <c r="I471" s="438"/>
      <c r="J471" s="438"/>
      <c r="K471" s="438"/>
      <c r="L471" s="440"/>
      <c r="M471" s="440"/>
      <c r="N471" s="440"/>
      <c r="O471" s="440"/>
      <c r="P471" s="441"/>
      <c r="Q471" s="442"/>
    </row>
    <row r="472" spans="1:17" ht="18">
      <c r="A472" s="1034" t="s">
        <v>221</v>
      </c>
      <c r="B472" s="1045"/>
      <c r="C472" s="1045"/>
      <c r="D472" s="1045"/>
      <c r="E472" s="1045"/>
      <c r="F472" s="1045"/>
      <c r="G472" s="1045"/>
      <c r="H472" s="1045"/>
      <c r="I472" s="1045"/>
      <c r="J472" s="1045"/>
      <c r="K472" s="1045"/>
      <c r="L472" s="1042" t="s">
        <v>2</v>
      </c>
      <c r="M472" s="1042"/>
      <c r="N472" s="1145"/>
      <c r="O472" s="1145"/>
      <c r="P472" s="1145"/>
      <c r="Q472" s="1145"/>
    </row>
    <row r="473" spans="1:17" ht="16.5">
      <c r="A473" s="398" t="s">
        <v>3</v>
      </c>
      <c r="B473" s="623" t="s">
        <v>4</v>
      </c>
      <c r="C473" s="400" t="s">
        <v>187</v>
      </c>
      <c r="D473" s="837" t="s">
        <v>6</v>
      </c>
      <c r="E473" s="837" t="s">
        <v>188</v>
      </c>
      <c r="F473" s="401" t="s">
        <v>8</v>
      </c>
      <c r="G473" s="401" t="s">
        <v>189</v>
      </c>
      <c r="H473" s="838" t="s">
        <v>190</v>
      </c>
      <c r="I473" s="838" t="s">
        <v>191</v>
      </c>
      <c r="J473" s="398" t="s">
        <v>289</v>
      </c>
      <c r="K473" s="525" t="s">
        <v>192</v>
      </c>
      <c r="L473" s="419" t="s">
        <v>4</v>
      </c>
      <c r="M473" s="419"/>
      <c r="N473" s="524" t="s">
        <v>6</v>
      </c>
      <c r="O473" s="524" t="s">
        <v>14</v>
      </c>
      <c r="P473" s="524" t="s">
        <v>8</v>
      </c>
      <c r="Q473" s="419" t="s">
        <v>193</v>
      </c>
    </row>
    <row r="474" spans="1:17" ht="15.75">
      <c r="A474" s="1047">
        <v>9</v>
      </c>
      <c r="B474" s="709">
        <v>14823</v>
      </c>
      <c r="C474" s="881">
        <v>0.08</v>
      </c>
      <c r="D474" s="711" t="s">
        <v>366</v>
      </c>
      <c r="E474" s="856">
        <v>1850000</v>
      </c>
      <c r="F474" s="857"/>
      <c r="G474" s="828"/>
      <c r="H474" s="858" t="s">
        <v>367</v>
      </c>
      <c r="I474" s="858" t="s">
        <v>368</v>
      </c>
      <c r="J474" s="882" t="s">
        <v>294</v>
      </c>
      <c r="K474" s="525"/>
      <c r="L474" s="419"/>
      <c r="M474" s="709">
        <v>14616</v>
      </c>
      <c r="N474" s="35" t="s">
        <v>329</v>
      </c>
      <c r="O474" s="12">
        <v>1785000</v>
      </c>
      <c r="P474" s="794"/>
      <c r="Q474" s="795"/>
    </row>
    <row r="475" spans="1:17" ht="15.75">
      <c r="A475" s="1043"/>
      <c r="B475" s="413"/>
      <c r="C475" s="669"/>
      <c r="D475" s="499"/>
      <c r="E475" s="416"/>
      <c r="F475" s="670"/>
      <c r="G475" s="675"/>
      <c r="H475" s="499"/>
      <c r="I475" s="498"/>
      <c r="J475" s="498"/>
      <c r="K475" s="76"/>
      <c r="L475" s="76"/>
      <c r="M475" s="709">
        <v>14656</v>
      </c>
      <c r="N475" s="830" t="s">
        <v>331</v>
      </c>
      <c r="O475" s="12">
        <v>1800000</v>
      </c>
      <c r="P475" s="792"/>
      <c r="Q475" s="793"/>
    </row>
    <row r="476" spans="1:17" ht="15.75">
      <c r="A476" s="1043"/>
      <c r="B476" s="413"/>
      <c r="C476" s="673"/>
      <c r="D476" s="602"/>
      <c r="E476" s="674"/>
      <c r="F476" s="676"/>
      <c r="G476" s="677"/>
      <c r="H476" s="402"/>
      <c r="I476" s="402"/>
      <c r="J476" s="398"/>
      <c r="K476" s="525"/>
      <c r="L476" s="419"/>
      <c r="M476" s="709">
        <v>14747</v>
      </c>
      <c r="N476" s="736" t="s">
        <v>336</v>
      </c>
      <c r="O476" s="786">
        <v>1400000</v>
      </c>
      <c r="P476" s="794"/>
      <c r="Q476" s="795"/>
    </row>
    <row r="477" spans="1:17" ht="15.75">
      <c r="A477" s="1043"/>
      <c r="B477" s="413"/>
      <c r="C477" s="673"/>
      <c r="D477" s="602"/>
      <c r="E477" s="674"/>
      <c r="F477" s="676"/>
      <c r="G477" s="677"/>
      <c r="H477" s="880"/>
      <c r="I477" s="402"/>
      <c r="J477" s="398"/>
      <c r="K477" s="525"/>
      <c r="L477" s="419"/>
      <c r="M477" s="709">
        <v>14782</v>
      </c>
      <c r="N477" s="839" t="s">
        <v>340</v>
      </c>
      <c r="O477" s="786">
        <v>1200000</v>
      </c>
      <c r="P477" s="794"/>
      <c r="Q477" s="795"/>
    </row>
    <row r="478" spans="1:17" ht="15.75">
      <c r="A478" s="1043"/>
      <c r="B478" s="413"/>
      <c r="C478" s="673"/>
      <c r="D478" s="602"/>
      <c r="E478" s="674"/>
      <c r="F478" s="676"/>
      <c r="G478" s="677"/>
      <c r="H478" s="880"/>
      <c r="I478" s="402"/>
      <c r="J478" s="398"/>
      <c r="K478" s="525"/>
      <c r="L478" s="419"/>
      <c r="M478" s="709">
        <v>14620</v>
      </c>
      <c r="N478" s="711" t="s">
        <v>347</v>
      </c>
      <c r="O478" s="330">
        <v>1300000</v>
      </c>
      <c r="P478" s="794"/>
      <c r="Q478" s="795"/>
    </row>
    <row r="479" spans="1:17" ht="15.75">
      <c r="A479" s="1043"/>
      <c r="B479" s="413"/>
      <c r="C479" s="673"/>
      <c r="D479" s="602"/>
      <c r="E479" s="674"/>
      <c r="F479" s="676"/>
      <c r="G479" s="677"/>
      <c r="H479" s="880"/>
      <c r="I479" s="402"/>
      <c r="J479" s="398"/>
      <c r="K479" s="525"/>
      <c r="L479" s="419"/>
      <c r="M479" s="709">
        <v>14642</v>
      </c>
      <c r="N479" s="711" t="s">
        <v>348</v>
      </c>
      <c r="O479" s="330">
        <v>1000000</v>
      </c>
      <c r="P479" s="794"/>
      <c r="Q479" s="795"/>
    </row>
    <row r="480" spans="1:17" ht="15.75">
      <c r="A480" s="1043"/>
      <c r="B480" s="413"/>
      <c r="C480" s="673"/>
      <c r="D480" s="602"/>
      <c r="E480" s="674"/>
      <c r="F480" s="676"/>
      <c r="G480" s="677"/>
      <c r="H480" s="880"/>
      <c r="I480" s="402"/>
      <c r="J480" s="398"/>
      <c r="K480" s="525"/>
      <c r="L480" s="419"/>
      <c r="M480" s="709">
        <v>14689</v>
      </c>
      <c r="N480" s="711" t="s">
        <v>349</v>
      </c>
      <c r="O480" s="330">
        <v>1300000</v>
      </c>
      <c r="P480" s="794"/>
      <c r="Q480" s="795"/>
    </row>
    <row r="481" spans="1:17" ht="15.75">
      <c r="A481" s="1043"/>
      <c r="B481" s="413"/>
      <c r="C481" s="673"/>
      <c r="D481" s="602"/>
      <c r="E481" s="674"/>
      <c r="F481" s="676"/>
      <c r="G481" s="677"/>
      <c r="H481" s="880"/>
      <c r="I481" s="402"/>
      <c r="J481" s="398"/>
      <c r="K481" s="525"/>
      <c r="L481" s="419"/>
      <c r="M481" s="709">
        <v>14709</v>
      </c>
      <c r="N481" s="34" t="s">
        <v>352</v>
      </c>
      <c r="O481" s="330">
        <v>1400000</v>
      </c>
      <c r="P481" s="794"/>
      <c r="Q481" s="795"/>
    </row>
    <row r="482" spans="1:17" ht="15.75">
      <c r="A482" s="1043"/>
      <c r="B482" s="413"/>
      <c r="C482" s="673"/>
      <c r="D482" s="602"/>
      <c r="E482" s="674"/>
      <c r="F482" s="676"/>
      <c r="G482" s="677"/>
      <c r="H482" s="880"/>
      <c r="I482" s="402"/>
      <c r="J482" s="398"/>
      <c r="K482" s="525"/>
      <c r="L482" s="419"/>
      <c r="M482" s="709">
        <v>14738</v>
      </c>
      <c r="N482" s="34" t="s">
        <v>355</v>
      </c>
      <c r="O482" s="330">
        <v>1800000</v>
      </c>
      <c r="P482" s="794"/>
      <c r="Q482" s="795"/>
    </row>
    <row r="483" spans="1:17" ht="15.75">
      <c r="A483" s="1043"/>
      <c r="B483" s="413"/>
      <c r="C483" s="673"/>
      <c r="D483" s="602"/>
      <c r="E483" s="674"/>
      <c r="F483" s="676"/>
      <c r="G483" s="677"/>
      <c r="H483" s="880"/>
      <c r="I483" s="402"/>
      <c r="J483" s="398"/>
      <c r="K483" s="525"/>
      <c r="L483" s="419"/>
      <c r="M483" s="709">
        <v>14752</v>
      </c>
      <c r="N483" s="34" t="s">
        <v>356</v>
      </c>
      <c r="O483" s="330">
        <v>1400000</v>
      </c>
      <c r="P483" s="794"/>
      <c r="Q483" s="795"/>
    </row>
    <row r="484" spans="1:17" ht="15.75">
      <c r="A484" s="1043"/>
      <c r="B484" s="413"/>
      <c r="C484" s="673"/>
      <c r="D484" s="602"/>
      <c r="E484" s="674"/>
      <c r="F484" s="676"/>
      <c r="G484" s="677"/>
      <c r="H484" s="880"/>
      <c r="I484" s="402"/>
      <c r="J484" s="398"/>
      <c r="K484" s="525"/>
      <c r="L484" s="419"/>
      <c r="M484" s="709">
        <v>14796</v>
      </c>
      <c r="N484" s="34" t="s">
        <v>359</v>
      </c>
      <c r="O484" s="330">
        <v>1050000</v>
      </c>
      <c r="P484" s="794"/>
      <c r="Q484" s="795"/>
    </row>
    <row r="485" spans="1:17" ht="15.75">
      <c r="A485" s="1043"/>
      <c r="B485" s="678"/>
      <c r="C485" s="679"/>
      <c r="D485" s="588"/>
      <c r="E485" s="416"/>
      <c r="F485" s="670"/>
      <c r="G485" s="675"/>
      <c r="H485" s="680"/>
      <c r="I485" s="588"/>
      <c r="J485" s="404"/>
      <c r="K485" s="529"/>
      <c r="L485" s="448"/>
      <c r="M485" s="709">
        <v>14801</v>
      </c>
      <c r="N485" s="34" t="s">
        <v>360</v>
      </c>
      <c r="O485" s="330">
        <v>1400000</v>
      </c>
      <c r="P485" s="798"/>
      <c r="Q485" s="799"/>
    </row>
    <row r="486" spans="1:17" ht="15.75">
      <c r="A486" s="1044"/>
      <c r="B486" s="449"/>
      <c r="C486" s="436"/>
      <c r="D486" s="700" t="s">
        <v>45</v>
      </c>
      <c r="E486" s="800">
        <f>SUM(E474:E485)</f>
        <v>1850000</v>
      </c>
      <c r="F486" s="690" t="s">
        <v>45</v>
      </c>
      <c r="G486" s="701">
        <f>SUM(G474:G485)</f>
        <v>0</v>
      </c>
      <c r="H486" s="425"/>
      <c r="I486" s="425"/>
      <c r="J486" s="425"/>
      <c r="K486" s="527"/>
      <c r="L486" s="426" t="s">
        <v>211</v>
      </c>
      <c r="M486" s="788"/>
      <c r="N486" s="706" t="s">
        <v>86</v>
      </c>
      <c r="O486" s="800">
        <f>SUM(O474:O485)</f>
        <v>16835000</v>
      </c>
      <c r="P486" s="797"/>
      <c r="Q486" s="701"/>
    </row>
    <row r="489" spans="1:17" ht="18">
      <c r="B489" s="1154" t="s">
        <v>82</v>
      </c>
      <c r="C489" s="1154"/>
      <c r="D489" s="840"/>
      <c r="E489" s="770">
        <f>E486+E470+E450</f>
        <v>32585000</v>
      </c>
      <c r="F489" s="297" t="s">
        <v>369</v>
      </c>
      <c r="G489" s="297"/>
      <c r="H489" s="297"/>
    </row>
    <row r="490" spans="1:17" ht="18">
      <c r="B490" s="1155" t="s">
        <v>83</v>
      </c>
      <c r="C490" s="1155"/>
      <c r="D490" s="693"/>
      <c r="E490" s="694"/>
    </row>
    <row r="491" spans="1:17" ht="18">
      <c r="B491" s="1156" t="s">
        <v>84</v>
      </c>
      <c r="C491" s="1156"/>
      <c r="D491" s="695"/>
      <c r="E491" s="696"/>
    </row>
    <row r="492" spans="1:17" ht="15.75">
      <c r="B492" s="1157" t="s">
        <v>85</v>
      </c>
      <c r="C492" s="1157"/>
      <c r="D492" s="695"/>
      <c r="E492" s="695"/>
    </row>
    <row r="493" spans="1:17" ht="15.75">
      <c r="B493" s="697"/>
      <c r="C493" s="698" t="s">
        <v>86</v>
      </c>
      <c r="D493" s="695"/>
      <c r="E493" s="699"/>
    </row>
    <row r="497" spans="1:17" ht="46.5">
      <c r="A497" s="1033" t="s">
        <v>370</v>
      </c>
      <c r="B497" s="1033"/>
      <c r="C497" s="1033"/>
      <c r="D497" s="1033"/>
      <c r="E497" s="1033"/>
      <c r="F497" s="1033"/>
      <c r="G497" s="1033"/>
      <c r="H497" s="1033"/>
      <c r="I497" s="1033"/>
      <c r="J497" s="1033"/>
      <c r="K497" s="1033"/>
      <c r="L497" s="1033"/>
      <c r="M497" s="1033"/>
      <c r="N497" s="1033"/>
      <c r="O497" s="1033"/>
      <c r="P497" s="1033"/>
      <c r="Q497" s="1033"/>
    </row>
    <row r="499" spans="1:17" ht="18">
      <c r="A499" s="1034" t="s">
        <v>288</v>
      </c>
      <c r="B499" s="1034"/>
      <c r="C499" s="1034"/>
      <c r="D499" s="1034"/>
      <c r="E499" s="1034"/>
      <c r="F499" s="1034"/>
      <c r="G499" s="1034"/>
      <c r="H499" s="1034"/>
      <c r="I499" s="1034"/>
      <c r="J499" s="1034"/>
      <c r="K499" s="1034"/>
      <c r="L499" s="1035" t="s">
        <v>2</v>
      </c>
      <c r="M499" s="1035"/>
      <c r="N499" s="1035"/>
      <c r="O499" s="1035"/>
      <c r="P499" s="1035"/>
      <c r="Q499" s="1036"/>
    </row>
    <row r="500" spans="1:17" ht="16.5">
      <c r="A500" s="398" t="s">
        <v>3</v>
      </c>
      <c r="B500" s="399" t="s">
        <v>4</v>
      </c>
      <c r="C500" s="400" t="s">
        <v>187</v>
      </c>
      <c r="D500" s="398" t="s">
        <v>6</v>
      </c>
      <c r="E500" s="398" t="s">
        <v>188</v>
      </c>
      <c r="F500" s="401" t="s">
        <v>8</v>
      </c>
      <c r="G500" s="398" t="s">
        <v>189</v>
      </c>
      <c r="H500" s="402" t="s">
        <v>190</v>
      </c>
      <c r="I500" s="402" t="s">
        <v>191</v>
      </c>
      <c r="J500" s="398" t="s">
        <v>289</v>
      </c>
      <c r="K500" s="398" t="s">
        <v>192</v>
      </c>
      <c r="L500" s="403" t="s">
        <v>4</v>
      </c>
      <c r="M500" s="403"/>
      <c r="N500" s="403" t="s">
        <v>6</v>
      </c>
      <c r="O500" s="403" t="s">
        <v>14</v>
      </c>
      <c r="P500" s="522" t="s">
        <v>8</v>
      </c>
      <c r="Q500" s="419" t="s">
        <v>193</v>
      </c>
    </row>
    <row r="501" spans="1:17" ht="15.75">
      <c r="A501" s="1048" t="s">
        <v>328</v>
      </c>
      <c r="B501" s="709">
        <v>14881</v>
      </c>
      <c r="C501" s="141">
        <v>0.1</v>
      </c>
      <c r="D501" s="839" t="s">
        <v>371</v>
      </c>
      <c r="E501" s="786">
        <v>1250000</v>
      </c>
      <c r="F501" s="33">
        <v>0.06</v>
      </c>
      <c r="G501" s="12">
        <f>E501*F501</f>
        <v>75000</v>
      </c>
      <c r="H501" s="712" t="s">
        <v>22</v>
      </c>
      <c r="I501" s="728" t="s">
        <v>342</v>
      </c>
      <c r="J501" s="728" t="s">
        <v>294</v>
      </c>
      <c r="K501" s="76"/>
      <c r="L501" s="76"/>
      <c r="M501" s="728">
        <v>14888</v>
      </c>
      <c r="N501" s="35" t="s">
        <v>372</v>
      </c>
      <c r="O501" s="907">
        <v>1200000</v>
      </c>
      <c r="P501" s="805">
        <v>0.04</v>
      </c>
      <c r="Q501" s="878">
        <f>O501*P501</f>
        <v>48000</v>
      </c>
    </row>
    <row r="502" spans="1:17" ht="15.75">
      <c r="A502" s="1049"/>
      <c r="B502" s="709">
        <v>14887</v>
      </c>
      <c r="C502" s="141">
        <v>0.1</v>
      </c>
      <c r="D502" s="839" t="s">
        <v>373</v>
      </c>
      <c r="E502" s="786">
        <v>3057000</v>
      </c>
      <c r="F502" s="33">
        <v>0.1</v>
      </c>
      <c r="G502" s="12">
        <f t="shared" ref="G502:G513" si="22">E502*F502</f>
        <v>305700</v>
      </c>
      <c r="H502" s="712" t="s">
        <v>293</v>
      </c>
      <c r="I502" s="728" t="s">
        <v>342</v>
      </c>
      <c r="J502" s="728" t="s">
        <v>294</v>
      </c>
      <c r="K502" s="120"/>
      <c r="L502" s="76"/>
      <c r="M502" s="758"/>
      <c r="N502" s="758" t="s">
        <v>374</v>
      </c>
      <c r="O502" s="760">
        <v>750000</v>
      </c>
      <c r="P502" s="805">
        <v>0.04</v>
      </c>
      <c r="Q502" s="878">
        <f>O502*P502</f>
        <v>30000</v>
      </c>
    </row>
    <row r="503" spans="1:17" ht="15.75">
      <c r="A503" s="1049"/>
      <c r="B503" s="709">
        <v>14903</v>
      </c>
      <c r="C503" s="805">
        <v>7.0000000000000007E-2</v>
      </c>
      <c r="D503" s="839" t="s">
        <v>375</v>
      </c>
      <c r="E503" s="786">
        <v>1150000</v>
      </c>
      <c r="F503" s="127">
        <v>0.05</v>
      </c>
      <c r="G503" s="12">
        <f t="shared" si="22"/>
        <v>57500</v>
      </c>
      <c r="H503" s="712" t="s">
        <v>22</v>
      </c>
      <c r="I503" s="728" t="s">
        <v>335</v>
      </c>
      <c r="J503" s="728" t="s">
        <v>294</v>
      </c>
      <c r="K503" s="120"/>
      <c r="L503" s="76"/>
      <c r="M503" s="15"/>
      <c r="N503" s="76"/>
      <c r="O503" s="592"/>
      <c r="P503" s="523"/>
      <c r="Q503" s="594"/>
    </row>
    <row r="504" spans="1:17" ht="15.75">
      <c r="A504" s="1049"/>
      <c r="B504" s="709">
        <v>14909</v>
      </c>
      <c r="C504" s="141">
        <v>0.1</v>
      </c>
      <c r="D504" s="839" t="s">
        <v>376</v>
      </c>
      <c r="E504" s="786">
        <v>1100000</v>
      </c>
      <c r="F504" s="33">
        <v>0.05</v>
      </c>
      <c r="G504" s="12">
        <f t="shared" si="22"/>
        <v>55000</v>
      </c>
      <c r="H504" s="712" t="s">
        <v>299</v>
      </c>
      <c r="I504" s="728" t="s">
        <v>357</v>
      </c>
      <c r="J504" s="728" t="s">
        <v>294</v>
      </c>
      <c r="K504" s="120"/>
      <c r="L504" s="76"/>
      <c r="M504" s="15"/>
      <c r="N504" s="76"/>
      <c r="O504" s="592"/>
      <c r="P504" s="523"/>
      <c r="Q504" s="594"/>
    </row>
    <row r="505" spans="1:17" ht="15.75">
      <c r="A505" s="1049"/>
      <c r="B505" s="709">
        <v>14945</v>
      </c>
      <c r="C505" s="805">
        <v>0.08</v>
      </c>
      <c r="D505" s="839" t="s">
        <v>377</v>
      </c>
      <c r="E505" s="786">
        <v>1200000</v>
      </c>
      <c r="F505" s="127">
        <v>0.05</v>
      </c>
      <c r="G505" s="12">
        <f t="shared" si="22"/>
        <v>60000</v>
      </c>
      <c r="H505" s="712" t="s">
        <v>22</v>
      </c>
      <c r="I505" s="728" t="s">
        <v>368</v>
      </c>
      <c r="J505" s="728" t="s">
        <v>294</v>
      </c>
      <c r="K505" s="120"/>
      <c r="L505" s="76"/>
      <c r="M505" s="15"/>
      <c r="N505" s="76"/>
      <c r="O505" s="592"/>
      <c r="P505" s="523"/>
      <c r="Q505" s="594"/>
    </row>
    <row r="506" spans="1:17" ht="15.75">
      <c r="A506" s="1049"/>
      <c r="B506" s="709">
        <v>14943</v>
      </c>
      <c r="C506" s="805">
        <v>0.08</v>
      </c>
      <c r="D506" s="839" t="s">
        <v>378</v>
      </c>
      <c r="E506" s="786">
        <v>1200000</v>
      </c>
      <c r="F506" s="127">
        <v>0.05</v>
      </c>
      <c r="G506" s="12">
        <f t="shared" si="22"/>
        <v>60000</v>
      </c>
      <c r="H506" s="712" t="s">
        <v>22</v>
      </c>
      <c r="I506" s="728" t="s">
        <v>368</v>
      </c>
      <c r="J506" s="728" t="s">
        <v>294</v>
      </c>
      <c r="K506" s="120"/>
      <c r="L506" s="76"/>
      <c r="M506" s="15"/>
      <c r="N506" s="76"/>
      <c r="O506" s="592"/>
      <c r="P506" s="523"/>
      <c r="Q506" s="594"/>
    </row>
    <row r="507" spans="1:17" ht="15.75">
      <c r="A507" s="1049"/>
      <c r="B507" s="709">
        <v>14989</v>
      </c>
      <c r="C507" s="141">
        <v>0.1</v>
      </c>
      <c r="D507" s="839" t="s">
        <v>379</v>
      </c>
      <c r="E507" s="786">
        <v>1350000</v>
      </c>
      <c r="F507" s="33">
        <v>0.05</v>
      </c>
      <c r="G507" s="12">
        <f t="shared" si="22"/>
        <v>67500</v>
      </c>
      <c r="H507" s="712" t="s">
        <v>299</v>
      </c>
      <c r="I507" s="728" t="s">
        <v>342</v>
      </c>
      <c r="J507" s="728" t="s">
        <v>294</v>
      </c>
      <c r="K507" s="120"/>
      <c r="L507" s="76"/>
      <c r="M507" s="76"/>
      <c r="N507" s="76"/>
      <c r="O507" s="592"/>
      <c r="P507" s="523"/>
      <c r="Q507" s="594"/>
    </row>
    <row r="508" spans="1:17" ht="15.75">
      <c r="A508" s="1049"/>
      <c r="B508" s="709">
        <v>15009</v>
      </c>
      <c r="C508" s="141">
        <v>0.1</v>
      </c>
      <c r="D508" s="839" t="s">
        <v>380</v>
      </c>
      <c r="E508" s="786">
        <v>1000000</v>
      </c>
      <c r="F508" s="33">
        <v>0.1</v>
      </c>
      <c r="G508" s="12">
        <f t="shared" si="22"/>
        <v>100000</v>
      </c>
      <c r="H508" s="712" t="s">
        <v>293</v>
      </c>
      <c r="I508" s="728" t="s">
        <v>342</v>
      </c>
      <c r="J508" s="728" t="s">
        <v>294</v>
      </c>
      <c r="K508" s="120"/>
      <c r="L508" s="76"/>
      <c r="M508" s="76"/>
      <c r="N508" s="76"/>
      <c r="O508" s="592"/>
      <c r="P508" s="523"/>
      <c r="Q508" s="594"/>
    </row>
    <row r="509" spans="1:17" ht="15.75">
      <c r="A509" s="1049"/>
      <c r="B509" s="709">
        <v>15013</v>
      </c>
      <c r="C509" s="141">
        <v>0.1</v>
      </c>
      <c r="D509" s="839" t="s">
        <v>381</v>
      </c>
      <c r="E509" s="786">
        <v>1000000</v>
      </c>
      <c r="F509" s="33">
        <v>0.05</v>
      </c>
      <c r="G509" s="12">
        <f t="shared" si="22"/>
        <v>50000</v>
      </c>
      <c r="H509" s="712" t="s">
        <v>299</v>
      </c>
      <c r="I509" s="728" t="s">
        <v>357</v>
      </c>
      <c r="J509" s="728" t="s">
        <v>294</v>
      </c>
      <c r="K509" s="120"/>
      <c r="L509" s="76"/>
      <c r="M509" s="76"/>
      <c r="N509" s="76"/>
      <c r="O509" s="592"/>
      <c r="P509" s="523"/>
      <c r="Q509" s="594"/>
    </row>
    <row r="510" spans="1:17" ht="15.75">
      <c r="A510" s="1049"/>
      <c r="B510" s="709">
        <v>15032</v>
      </c>
      <c r="C510" s="141">
        <v>0.1</v>
      </c>
      <c r="D510" s="839" t="s">
        <v>382</v>
      </c>
      <c r="E510" s="786">
        <v>2200000</v>
      </c>
      <c r="F510" s="33">
        <v>0.1</v>
      </c>
      <c r="G510" s="12">
        <f t="shared" si="22"/>
        <v>220000</v>
      </c>
      <c r="H510" s="712" t="s">
        <v>293</v>
      </c>
      <c r="I510" s="728" t="s">
        <v>342</v>
      </c>
      <c r="J510" s="728" t="s">
        <v>294</v>
      </c>
      <c r="K510" s="120"/>
      <c r="L510" s="76"/>
      <c r="M510" s="76"/>
      <c r="N510" s="76"/>
      <c r="O510" s="592"/>
      <c r="P510" s="523"/>
      <c r="Q510" s="594"/>
    </row>
    <row r="511" spans="1:17" ht="15.75">
      <c r="A511" s="1049"/>
      <c r="B511" s="709">
        <v>15073</v>
      </c>
      <c r="C511" s="805">
        <v>0.08</v>
      </c>
      <c r="D511" s="839" t="s">
        <v>383</v>
      </c>
      <c r="E511" s="786">
        <v>1700000</v>
      </c>
      <c r="F511" s="127">
        <v>0.08</v>
      </c>
      <c r="G511" s="12">
        <f t="shared" si="22"/>
        <v>136000</v>
      </c>
      <c r="H511" s="712" t="s">
        <v>293</v>
      </c>
      <c r="I511" s="728" t="s">
        <v>364</v>
      </c>
      <c r="J511" s="728" t="s">
        <v>294</v>
      </c>
      <c r="K511" s="120"/>
      <c r="L511" s="76"/>
      <c r="M511" s="76"/>
      <c r="N511" s="76"/>
      <c r="O511" s="592"/>
      <c r="P511" s="523"/>
      <c r="Q511" s="594"/>
    </row>
    <row r="512" spans="1:17" ht="15.75">
      <c r="A512" s="1049"/>
      <c r="B512" s="709">
        <v>15084</v>
      </c>
      <c r="C512" s="141">
        <v>0.1</v>
      </c>
      <c r="D512" s="839" t="s">
        <v>384</v>
      </c>
      <c r="E512" s="786">
        <v>1300000</v>
      </c>
      <c r="F512" s="33">
        <v>0.1</v>
      </c>
      <c r="G512" s="12">
        <f t="shared" si="22"/>
        <v>130000</v>
      </c>
      <c r="H512" s="712" t="s">
        <v>293</v>
      </c>
      <c r="I512" s="728" t="s">
        <v>342</v>
      </c>
      <c r="J512" s="728" t="s">
        <v>294</v>
      </c>
      <c r="K512" s="120"/>
      <c r="L512" s="76"/>
      <c r="M512" s="76"/>
      <c r="N512" s="76"/>
      <c r="O512" s="592"/>
      <c r="P512" s="523"/>
      <c r="Q512" s="594"/>
    </row>
    <row r="513" spans="1:19" ht="15.75">
      <c r="A513" s="1049"/>
      <c r="B513" s="709">
        <v>15106</v>
      </c>
      <c r="C513" s="141">
        <v>0.1</v>
      </c>
      <c r="D513" s="839" t="s">
        <v>385</v>
      </c>
      <c r="E513" s="786">
        <v>1400000</v>
      </c>
      <c r="F513" s="33">
        <v>0.1</v>
      </c>
      <c r="G513" s="12">
        <f t="shared" si="22"/>
        <v>140000</v>
      </c>
      <c r="H513" s="712" t="s">
        <v>293</v>
      </c>
      <c r="I513" s="728" t="s">
        <v>342</v>
      </c>
      <c r="J513" s="728" t="s">
        <v>294</v>
      </c>
      <c r="K513" s="120"/>
      <c r="L513" s="76"/>
      <c r="M513" s="76"/>
      <c r="N513" s="76"/>
      <c r="O513" s="592"/>
      <c r="P513" s="523"/>
      <c r="Q513" s="594"/>
    </row>
    <row r="514" spans="1:19" ht="15.75">
      <c r="A514" s="1049"/>
      <c r="B514" s="733" t="s">
        <v>305</v>
      </c>
      <c r="C514" s="887"/>
      <c r="D514" s="334" t="s">
        <v>386</v>
      </c>
      <c r="E514" s="888"/>
      <c r="F514" s="142"/>
      <c r="G514" s="752"/>
      <c r="H514" s="829"/>
      <c r="I514" s="88" t="s">
        <v>27</v>
      </c>
      <c r="J514" s="88"/>
      <c r="K514" s="120"/>
      <c r="L514" s="76"/>
      <c r="M514" s="76"/>
      <c r="N514" s="76"/>
      <c r="O514" s="592"/>
      <c r="P514" s="523"/>
      <c r="Q514" s="594"/>
    </row>
    <row r="515" spans="1:19" ht="15.75">
      <c r="A515" s="1049"/>
      <c r="B515" s="733" t="s">
        <v>305</v>
      </c>
      <c r="C515" s="887"/>
      <c r="D515" s="334" t="s">
        <v>387</v>
      </c>
      <c r="E515" s="888"/>
      <c r="F515" s="142"/>
      <c r="G515" s="752"/>
      <c r="H515" s="829"/>
      <c r="I515" s="88" t="s">
        <v>368</v>
      </c>
      <c r="J515" s="88"/>
      <c r="K515" s="120"/>
      <c r="L515" s="76"/>
      <c r="M515" s="76"/>
      <c r="N515" s="76"/>
      <c r="O515" s="592"/>
      <c r="P515" s="523"/>
      <c r="Q515" s="594"/>
    </row>
    <row r="516" spans="1:19" ht="15.75">
      <c r="A516" s="1049"/>
      <c r="B516" s="733" t="s">
        <v>305</v>
      </c>
      <c r="C516" s="887"/>
      <c r="D516" s="334" t="s">
        <v>388</v>
      </c>
      <c r="E516" s="888"/>
      <c r="F516" s="142"/>
      <c r="G516" s="752"/>
      <c r="H516" s="829"/>
      <c r="I516" s="88" t="s">
        <v>342</v>
      </c>
      <c r="J516" s="88"/>
      <c r="K516" s="120"/>
      <c r="L516" s="76"/>
      <c r="M516" s="76"/>
      <c r="N516" s="76"/>
      <c r="O516" s="592"/>
      <c r="P516" s="523"/>
      <c r="Q516" s="594"/>
    </row>
    <row r="517" spans="1:19" ht="21">
      <c r="A517" s="1050"/>
      <c r="B517" s="421"/>
      <c r="C517" s="422"/>
      <c r="D517" s="702" t="s">
        <v>45</v>
      </c>
      <c r="E517" s="703">
        <f>SUM(E501:E516)</f>
        <v>18907000</v>
      </c>
      <c r="F517" s="18" t="s">
        <v>45</v>
      </c>
      <c r="G517" s="704">
        <f>SUM(G501:G516)</f>
        <v>1456700</v>
      </c>
      <c r="H517" s="425"/>
      <c r="I517" s="425"/>
      <c r="J517" s="425"/>
      <c r="K517" s="425"/>
      <c r="L517" s="426" t="s">
        <v>211</v>
      </c>
      <c r="M517" s="427"/>
      <c r="N517" s="427"/>
      <c r="O517" s="428"/>
      <c r="P517" s="707" t="s">
        <v>86</v>
      </c>
      <c r="Q517" s="24">
        <f>G517+Q501+Q502</f>
        <v>1534700</v>
      </c>
      <c r="R517" s="928" t="s">
        <v>389</v>
      </c>
      <c r="S517" s="927"/>
    </row>
    <row r="518" spans="1:19">
      <c r="A518" s="430"/>
      <c r="B518" s="431"/>
      <c r="C518" s="432"/>
      <c r="D518" s="430"/>
      <c r="E518" s="430"/>
      <c r="F518" s="430"/>
      <c r="G518" s="430"/>
      <c r="H518" s="430"/>
      <c r="I518" s="430"/>
      <c r="J518" s="430"/>
      <c r="K518" s="430"/>
    </row>
    <row r="519" spans="1:19">
      <c r="B519" s="454"/>
      <c r="C519" s="455"/>
    </row>
    <row r="520" spans="1:19" ht="18">
      <c r="A520" s="1034" t="s">
        <v>213</v>
      </c>
      <c r="B520" s="1045"/>
      <c r="C520" s="1045"/>
      <c r="D520" s="1045"/>
      <c r="E520" s="1045"/>
      <c r="F520" s="1045"/>
      <c r="G520" s="1045"/>
      <c r="H520" s="1045"/>
      <c r="I520" s="1045"/>
      <c r="J520" s="1045"/>
      <c r="K520" s="1045"/>
      <c r="L520" s="1042" t="s">
        <v>2</v>
      </c>
      <c r="M520" s="1042"/>
      <c r="N520" s="1145"/>
      <c r="O520" s="1145"/>
      <c r="P520" s="1145"/>
      <c r="Q520" s="1145"/>
    </row>
    <row r="521" spans="1:19" ht="16.5">
      <c r="A521" s="398" t="s">
        <v>3</v>
      </c>
      <c r="B521" s="399" t="s">
        <v>4</v>
      </c>
      <c r="C521" s="400" t="s">
        <v>187</v>
      </c>
      <c r="D521" s="398" t="s">
        <v>6</v>
      </c>
      <c r="E521" s="398" t="s">
        <v>188</v>
      </c>
      <c r="F521" s="401" t="s">
        <v>8</v>
      </c>
      <c r="G521" s="398" t="s">
        <v>189</v>
      </c>
      <c r="H521" s="402" t="s">
        <v>190</v>
      </c>
      <c r="I521" s="402" t="s">
        <v>191</v>
      </c>
      <c r="J521" s="398" t="s">
        <v>289</v>
      </c>
      <c r="K521" s="525" t="s">
        <v>192</v>
      </c>
      <c r="L521" s="419" t="s">
        <v>4</v>
      </c>
      <c r="M521" s="419"/>
      <c r="N521" s="419" t="s">
        <v>6</v>
      </c>
      <c r="O521" s="419" t="s">
        <v>14</v>
      </c>
      <c r="P521" s="524" t="s">
        <v>8</v>
      </c>
      <c r="Q521" s="419" t="s">
        <v>193</v>
      </c>
    </row>
    <row r="522" spans="1:19" ht="15.75">
      <c r="A522" s="1049" t="s">
        <v>390</v>
      </c>
      <c r="B522" s="709">
        <v>14862</v>
      </c>
      <c r="C522" s="257">
        <v>0.1</v>
      </c>
      <c r="D522" s="711" t="s">
        <v>391</v>
      </c>
      <c r="E522" s="330">
        <v>1150000</v>
      </c>
      <c r="F522" s="257">
        <v>0.06</v>
      </c>
      <c r="G522" s="330">
        <f>E522*F522</f>
        <v>69000</v>
      </c>
      <c r="H522" s="712" t="s">
        <v>22</v>
      </c>
      <c r="I522" s="712" t="s">
        <v>342</v>
      </c>
      <c r="J522" s="709" t="s">
        <v>294</v>
      </c>
      <c r="K522" s="685"/>
      <c r="L522" s="16"/>
      <c r="M522" s="709">
        <v>14909</v>
      </c>
      <c r="N522" s="839" t="s">
        <v>376</v>
      </c>
      <c r="O522" s="786">
        <v>1100000</v>
      </c>
      <c r="P522" s="917">
        <v>0.05</v>
      </c>
      <c r="Q522" s="878">
        <f>O522*P522</f>
        <v>55000</v>
      </c>
    </row>
    <row r="523" spans="1:19" ht="15.75">
      <c r="A523" s="1049"/>
      <c r="B523" s="709">
        <v>14874</v>
      </c>
      <c r="C523" s="257">
        <v>0.1</v>
      </c>
      <c r="D523" s="711" t="s">
        <v>392</v>
      </c>
      <c r="E523" s="330">
        <v>950000</v>
      </c>
      <c r="F523" s="257">
        <v>0.06</v>
      </c>
      <c r="G523" s="330">
        <f t="shared" ref="G523:G533" si="23">E523*F523</f>
        <v>57000</v>
      </c>
      <c r="H523" s="712" t="s">
        <v>22</v>
      </c>
      <c r="I523" s="712" t="s">
        <v>393</v>
      </c>
      <c r="J523" s="709" t="s">
        <v>294</v>
      </c>
      <c r="K523" s="685"/>
      <c r="L523" s="16"/>
      <c r="M523" s="709">
        <v>14989</v>
      </c>
      <c r="N523" s="839" t="s">
        <v>379</v>
      </c>
      <c r="O523" s="786">
        <v>1350000</v>
      </c>
      <c r="P523" s="917">
        <v>0.05</v>
      </c>
      <c r="Q523" s="878">
        <f t="shared" ref="Q523:Q525" si="24">O523*P523</f>
        <v>67500</v>
      </c>
    </row>
    <row r="524" spans="1:19" ht="15.75">
      <c r="A524" s="1049"/>
      <c r="B524" s="886">
        <v>14925</v>
      </c>
      <c r="C524" s="257">
        <v>0.1</v>
      </c>
      <c r="D524" s="711" t="s">
        <v>394</v>
      </c>
      <c r="E524" s="330">
        <v>1200000</v>
      </c>
      <c r="F524" s="257">
        <v>0.06</v>
      </c>
      <c r="G524" s="330">
        <f t="shared" si="23"/>
        <v>72000</v>
      </c>
      <c r="H524" s="712" t="s">
        <v>22</v>
      </c>
      <c r="I524" s="712" t="s">
        <v>393</v>
      </c>
      <c r="J524" s="709" t="s">
        <v>294</v>
      </c>
      <c r="K524" s="685"/>
      <c r="L524" s="16"/>
      <c r="M524" s="709">
        <v>15013</v>
      </c>
      <c r="N524" s="839" t="s">
        <v>381</v>
      </c>
      <c r="O524" s="786">
        <v>1000000</v>
      </c>
      <c r="P524" s="917">
        <v>0.05</v>
      </c>
      <c r="Q524" s="878">
        <f t="shared" si="24"/>
        <v>50000</v>
      </c>
    </row>
    <row r="525" spans="1:19" ht="15.75">
      <c r="A525" s="1049"/>
      <c r="B525" s="885">
        <v>14937</v>
      </c>
      <c r="C525" s="257">
        <v>0.1</v>
      </c>
      <c r="D525" s="34" t="s">
        <v>395</v>
      </c>
      <c r="E525" s="330">
        <v>2100000</v>
      </c>
      <c r="F525" s="257">
        <v>0.06</v>
      </c>
      <c r="G525" s="330">
        <f t="shared" si="23"/>
        <v>126000</v>
      </c>
      <c r="H525" s="712" t="s">
        <v>22</v>
      </c>
      <c r="I525" s="712" t="s">
        <v>393</v>
      </c>
      <c r="J525" s="709" t="s">
        <v>294</v>
      </c>
      <c r="K525" s="685"/>
      <c r="L525" s="16"/>
      <c r="M525" s="767">
        <v>15101</v>
      </c>
      <c r="N525" s="758" t="s">
        <v>396</v>
      </c>
      <c r="O525" s="762">
        <v>1200000</v>
      </c>
      <c r="P525" s="917">
        <v>0.05</v>
      </c>
      <c r="Q525" s="878">
        <f t="shared" si="24"/>
        <v>60000</v>
      </c>
    </row>
    <row r="526" spans="1:19" ht="15.75">
      <c r="A526" s="1049"/>
      <c r="B526" s="709">
        <v>14959</v>
      </c>
      <c r="C526" s="710">
        <v>0.08</v>
      </c>
      <c r="D526" s="830" t="s">
        <v>397</v>
      </c>
      <c r="E526" s="330">
        <v>1200000</v>
      </c>
      <c r="F526" s="710">
        <v>0.05</v>
      </c>
      <c r="G526" s="330">
        <f t="shared" si="23"/>
        <v>60000</v>
      </c>
      <c r="H526" s="712" t="s">
        <v>22</v>
      </c>
      <c r="I526" s="712" t="s">
        <v>342</v>
      </c>
      <c r="J526" s="709" t="s">
        <v>294</v>
      </c>
      <c r="K526" s="685"/>
      <c r="L526" s="16"/>
      <c r="M526" s="16"/>
      <c r="N526" s="29"/>
      <c r="O526" s="593"/>
      <c r="P526" s="708"/>
      <c r="Q526" s="672"/>
    </row>
    <row r="527" spans="1:19" ht="15.75">
      <c r="A527" s="1049"/>
      <c r="B527" s="889">
        <v>14960</v>
      </c>
      <c r="C527" s="257">
        <v>0.1</v>
      </c>
      <c r="D527" s="830" t="s">
        <v>398</v>
      </c>
      <c r="E527" s="330">
        <v>900000</v>
      </c>
      <c r="F527" s="257">
        <v>0.05</v>
      </c>
      <c r="G527" s="330">
        <f t="shared" si="23"/>
        <v>45000</v>
      </c>
      <c r="H527" s="712" t="s">
        <v>399</v>
      </c>
      <c r="I527" s="712" t="s">
        <v>342</v>
      </c>
      <c r="J527" s="709" t="s">
        <v>294</v>
      </c>
      <c r="K527" s="685"/>
      <c r="L527" s="16"/>
      <c r="M527" s="16"/>
      <c r="N527" s="29"/>
      <c r="O527" s="593"/>
      <c r="P527" s="708"/>
      <c r="Q527" s="672"/>
    </row>
    <row r="528" spans="1:19" ht="15.75">
      <c r="A528" s="1049"/>
      <c r="B528" s="709">
        <v>14964</v>
      </c>
      <c r="C528" s="257">
        <v>0.1</v>
      </c>
      <c r="D528" s="835" t="s">
        <v>400</v>
      </c>
      <c r="E528" s="330">
        <v>2000000</v>
      </c>
      <c r="F528" s="257">
        <v>0.06</v>
      </c>
      <c r="G528" s="330">
        <f t="shared" si="23"/>
        <v>120000</v>
      </c>
      <c r="H528" s="712" t="s">
        <v>22</v>
      </c>
      <c r="I528" s="712" t="s">
        <v>357</v>
      </c>
      <c r="J528" s="709" t="s">
        <v>294</v>
      </c>
      <c r="K528" s="685"/>
      <c r="L528" s="16"/>
      <c r="M528" s="16"/>
      <c r="N528" s="29"/>
      <c r="O528" s="593"/>
      <c r="P528" s="708"/>
      <c r="Q528" s="672"/>
    </row>
    <row r="529" spans="1:17" ht="15.75">
      <c r="A529" s="1049"/>
      <c r="B529" s="890">
        <v>14998</v>
      </c>
      <c r="C529" s="257">
        <v>0.1</v>
      </c>
      <c r="D529" s="711" t="s">
        <v>401</v>
      </c>
      <c r="E529" s="330">
        <v>1350000</v>
      </c>
      <c r="F529" s="257">
        <v>0.06</v>
      </c>
      <c r="G529" s="330">
        <f t="shared" si="23"/>
        <v>81000</v>
      </c>
      <c r="H529" s="712" t="s">
        <v>22</v>
      </c>
      <c r="I529" s="712" t="s">
        <v>402</v>
      </c>
      <c r="J529" s="709" t="s">
        <v>294</v>
      </c>
      <c r="K529" s="685"/>
      <c r="L529" s="16"/>
      <c r="M529" s="16"/>
      <c r="N529" s="29"/>
      <c r="O529" s="593"/>
      <c r="P529" s="708"/>
      <c r="Q529" s="672"/>
    </row>
    <row r="530" spans="1:17" ht="15.75">
      <c r="A530" s="1049"/>
      <c r="B530" s="889">
        <v>15008</v>
      </c>
      <c r="C530" s="257">
        <v>0.1</v>
      </c>
      <c r="D530" s="711" t="s">
        <v>403</v>
      </c>
      <c r="E530" s="330">
        <v>2050000</v>
      </c>
      <c r="F530" s="257">
        <v>0.06</v>
      </c>
      <c r="G530" s="330">
        <f t="shared" si="23"/>
        <v>123000</v>
      </c>
      <c r="H530" s="712" t="s">
        <v>22</v>
      </c>
      <c r="I530" s="712" t="s">
        <v>364</v>
      </c>
      <c r="J530" s="709" t="s">
        <v>294</v>
      </c>
      <c r="K530" s="685"/>
      <c r="L530" s="16"/>
      <c r="M530" s="16"/>
      <c r="N530" s="29"/>
      <c r="O530" s="593"/>
      <c r="P530" s="708"/>
      <c r="Q530" s="672"/>
    </row>
    <row r="531" spans="1:17" ht="15.75">
      <c r="A531" s="1051"/>
      <c r="B531" s="922">
        <v>15115</v>
      </c>
      <c r="C531" s="921">
        <v>0.1</v>
      </c>
      <c r="D531" s="711" t="s">
        <v>404</v>
      </c>
      <c r="E531" s="330">
        <v>2000000</v>
      </c>
      <c r="F531" s="257">
        <v>0.1</v>
      </c>
      <c r="G531" s="330">
        <f t="shared" si="23"/>
        <v>200000</v>
      </c>
      <c r="H531" s="712" t="s">
        <v>299</v>
      </c>
      <c r="I531" s="712" t="s">
        <v>364</v>
      </c>
      <c r="J531" s="709" t="s">
        <v>294</v>
      </c>
      <c r="K531" s="685"/>
      <c r="L531" s="16"/>
      <c r="M531" s="16"/>
      <c r="N531" s="29"/>
      <c r="O531" s="593"/>
      <c r="P531" s="708"/>
      <c r="Q531" s="672"/>
    </row>
    <row r="532" spans="1:17" ht="15.75">
      <c r="A532" s="1049"/>
      <c r="B532" s="890">
        <v>15111</v>
      </c>
      <c r="C532" s="257">
        <v>0.1</v>
      </c>
      <c r="D532" s="711" t="s">
        <v>405</v>
      </c>
      <c r="E532" s="330">
        <v>1200000</v>
      </c>
      <c r="F532" s="257">
        <v>0.06</v>
      </c>
      <c r="G532" s="330">
        <f t="shared" si="23"/>
        <v>72000</v>
      </c>
      <c r="H532" s="712" t="s">
        <v>22</v>
      </c>
      <c r="I532" s="712" t="s">
        <v>342</v>
      </c>
      <c r="J532" s="709" t="s">
        <v>294</v>
      </c>
      <c r="K532" s="685"/>
      <c r="L532" s="16"/>
      <c r="M532" s="16"/>
      <c r="N532" s="29"/>
      <c r="O532" s="593"/>
      <c r="P532" s="708"/>
      <c r="Q532" s="672"/>
    </row>
    <row r="533" spans="1:17" ht="15.75">
      <c r="A533" s="1049"/>
      <c r="B533" s="890">
        <v>15112</v>
      </c>
      <c r="C533" s="257">
        <v>0.1</v>
      </c>
      <c r="D533" s="711" t="s">
        <v>406</v>
      </c>
      <c r="E533" s="330">
        <v>900000</v>
      </c>
      <c r="F533" s="257">
        <v>0.1</v>
      </c>
      <c r="G533" s="330">
        <f t="shared" si="23"/>
        <v>90000</v>
      </c>
      <c r="H533" s="712" t="s">
        <v>299</v>
      </c>
      <c r="I533" s="712" t="s">
        <v>337</v>
      </c>
      <c r="J533" s="709" t="s">
        <v>294</v>
      </c>
      <c r="K533" s="685"/>
      <c r="L533" s="16"/>
      <c r="M533" s="16"/>
      <c r="N533" s="29"/>
      <c r="O533" s="593"/>
      <c r="P533" s="708"/>
      <c r="Q533" s="672"/>
    </row>
    <row r="534" spans="1:17" ht="15.75">
      <c r="A534" s="1049"/>
      <c r="B534" s="733" t="s">
        <v>305</v>
      </c>
      <c r="C534" s="265"/>
      <c r="D534" s="92" t="s">
        <v>407</v>
      </c>
      <c r="E534" s="836"/>
      <c r="F534" s="747"/>
      <c r="G534" s="746"/>
      <c r="H534" s="829"/>
      <c r="I534" s="829" t="s">
        <v>364</v>
      </c>
      <c r="J534" s="733"/>
      <c r="K534" s="685"/>
      <c r="L534" s="16"/>
      <c r="M534" s="16"/>
      <c r="N534" s="29"/>
      <c r="O534" s="593"/>
      <c r="P534" s="708"/>
      <c r="Q534" s="672"/>
    </row>
    <row r="535" spans="1:17" ht="15.75">
      <c r="A535" s="1049"/>
      <c r="B535" s="733" t="s">
        <v>408</v>
      </c>
      <c r="C535" s="265"/>
      <c r="D535" s="92" t="s">
        <v>409</v>
      </c>
      <c r="E535" s="836"/>
      <c r="F535" s="747"/>
      <c r="G535" s="746"/>
      <c r="H535" s="829"/>
      <c r="I535" s="829" t="s">
        <v>342</v>
      </c>
      <c r="J535" s="733"/>
      <c r="K535" s="685"/>
      <c r="L535" s="16"/>
      <c r="M535" s="16"/>
      <c r="N535" s="29"/>
      <c r="O535" s="593"/>
      <c r="P535" s="708"/>
      <c r="Q535" s="672"/>
    </row>
    <row r="536" spans="1:17" ht="15.75">
      <c r="A536" s="1049"/>
      <c r="B536" s="771"/>
      <c r="C536" s="775"/>
      <c r="D536" s="785"/>
      <c r="E536" s="783"/>
      <c r="F536" s="782"/>
      <c r="G536" s="783"/>
      <c r="H536" s="784"/>
      <c r="I536" s="784"/>
      <c r="J536" s="784"/>
      <c r="K536" s="685"/>
      <c r="L536" s="16"/>
      <c r="M536" s="16"/>
      <c r="N536" s="29"/>
      <c r="O536" s="923"/>
      <c r="P536" s="924" t="s">
        <v>86</v>
      </c>
      <c r="Q536" s="925">
        <f>SUM(Q522:Q535)</f>
        <v>232500</v>
      </c>
    </row>
    <row r="537" spans="1:17" ht="15.75">
      <c r="A537" s="1050"/>
      <c r="B537" s="449"/>
      <c r="C537" s="436"/>
      <c r="D537" s="702" t="s">
        <v>45</v>
      </c>
      <c r="E537" s="703">
        <f>SUM(E522:E536)</f>
        <v>17000000</v>
      </c>
      <c r="F537" s="18" t="s">
        <v>45</v>
      </c>
      <c r="G537" s="703">
        <f>SUM(G522:G536)</f>
        <v>1115000</v>
      </c>
      <c r="H537" s="425"/>
      <c r="I537" s="425"/>
      <c r="J537" s="425"/>
      <c r="K537" s="527"/>
      <c r="L537" s="426" t="s">
        <v>211</v>
      </c>
      <c r="M537" s="426"/>
      <c r="N537" s="426"/>
      <c r="O537" s="426"/>
      <c r="P537" s="705" t="s">
        <v>45</v>
      </c>
      <c r="Q537" s="24">
        <f>G537+Q536</f>
        <v>1347500</v>
      </c>
    </row>
    <row r="538" spans="1:17" ht="33.75">
      <c r="A538" s="451"/>
      <c r="B538" s="452"/>
      <c r="C538" s="453"/>
      <c r="D538" s="438"/>
      <c r="E538" s="439"/>
      <c r="F538" s="438"/>
      <c r="G538" s="439"/>
      <c r="H538" s="438"/>
      <c r="I538" s="438"/>
      <c r="J538" s="438"/>
      <c r="K538" s="438"/>
      <c r="L538" s="440"/>
      <c r="M538" s="440"/>
      <c r="N538" s="440"/>
      <c r="O538" s="440"/>
      <c r="P538" s="441"/>
      <c r="Q538" s="442"/>
    </row>
    <row r="539" spans="1:17" ht="18">
      <c r="A539" s="1034" t="s">
        <v>221</v>
      </c>
      <c r="B539" s="1045"/>
      <c r="C539" s="1045"/>
      <c r="D539" s="1045"/>
      <c r="E539" s="1045"/>
      <c r="F539" s="1045"/>
      <c r="G539" s="1045"/>
      <c r="H539" s="1045"/>
      <c r="I539" s="1045"/>
      <c r="J539" s="1045"/>
      <c r="K539" s="1045"/>
      <c r="L539" s="1042" t="s">
        <v>2</v>
      </c>
      <c r="M539" s="1042"/>
      <c r="N539" s="1145"/>
      <c r="O539" s="1145"/>
      <c r="P539" s="1145"/>
      <c r="Q539" s="1145"/>
    </row>
    <row r="540" spans="1:17" ht="16.5">
      <c r="A540" s="398" t="s">
        <v>3</v>
      </c>
      <c r="B540" s="623" t="s">
        <v>4</v>
      </c>
      <c r="C540" s="400" t="s">
        <v>187</v>
      </c>
      <c r="D540" s="837" t="s">
        <v>6</v>
      </c>
      <c r="E540" s="837" t="s">
        <v>188</v>
      </c>
      <c r="F540" s="401" t="s">
        <v>8</v>
      </c>
      <c r="G540" s="401" t="s">
        <v>189</v>
      </c>
      <c r="H540" s="838" t="s">
        <v>190</v>
      </c>
      <c r="I540" s="838" t="s">
        <v>191</v>
      </c>
      <c r="J540" s="398" t="s">
        <v>289</v>
      </c>
      <c r="K540" s="525" t="s">
        <v>192</v>
      </c>
      <c r="L540" s="419" t="s">
        <v>4</v>
      </c>
      <c r="M540" s="419"/>
      <c r="N540" s="524" t="s">
        <v>6</v>
      </c>
      <c r="O540" s="524" t="s">
        <v>14</v>
      </c>
      <c r="P540" s="524" t="s">
        <v>8</v>
      </c>
      <c r="Q540" s="419" t="s">
        <v>193</v>
      </c>
    </row>
    <row r="541" spans="1:17" ht="15.75">
      <c r="A541" s="1047">
        <v>13</v>
      </c>
      <c r="B541" s="771"/>
      <c r="C541" s="864"/>
      <c r="D541" s="841"/>
      <c r="E541" s="865"/>
      <c r="F541" s="866"/>
      <c r="G541" s="860"/>
      <c r="H541" s="867"/>
      <c r="I541" s="868"/>
      <c r="J541" s="425"/>
      <c r="K541" s="527"/>
      <c r="L541" s="869"/>
      <c r="M541" s="709">
        <v>14881</v>
      </c>
      <c r="N541" s="839" t="s">
        <v>371</v>
      </c>
      <c r="O541" s="786">
        <v>1250000</v>
      </c>
      <c r="P541" s="786"/>
      <c r="Q541" s="786"/>
    </row>
    <row r="542" spans="1:17" ht="15.75">
      <c r="A542" s="1043"/>
      <c r="B542" s="781"/>
      <c r="C542" s="776"/>
      <c r="D542" s="780"/>
      <c r="E542" s="777"/>
      <c r="F542" s="779"/>
      <c r="G542" s="870"/>
      <c r="H542" s="780"/>
      <c r="I542" s="778"/>
      <c r="J542" s="778"/>
      <c r="K542" s="117"/>
      <c r="L542" s="117"/>
      <c r="M542" s="709">
        <v>14903</v>
      </c>
      <c r="N542" s="839" t="s">
        <v>375</v>
      </c>
      <c r="O542" s="786">
        <v>1150000</v>
      </c>
      <c r="P542" s="786"/>
      <c r="Q542" s="786"/>
    </row>
    <row r="543" spans="1:17" ht="15.75">
      <c r="A543" s="1043"/>
      <c r="B543" s="413"/>
      <c r="C543" s="673"/>
      <c r="D543" s="602"/>
      <c r="E543" s="674"/>
      <c r="F543" s="676"/>
      <c r="G543" s="677"/>
      <c r="H543" s="402"/>
      <c r="I543" s="402"/>
      <c r="J543" s="398"/>
      <c r="K543" s="525"/>
      <c r="L543" s="419"/>
      <c r="M543" s="709">
        <v>14945</v>
      </c>
      <c r="N543" s="839" t="s">
        <v>377</v>
      </c>
      <c r="O543" s="786">
        <v>1200000</v>
      </c>
      <c r="P543" s="786"/>
      <c r="Q543" s="786"/>
    </row>
    <row r="544" spans="1:17" ht="15.75">
      <c r="A544" s="1043"/>
      <c r="B544" s="678"/>
      <c r="C544" s="679"/>
      <c r="D544" s="588"/>
      <c r="E544" s="416"/>
      <c r="F544" s="670"/>
      <c r="G544" s="675"/>
      <c r="H544" s="680"/>
      <c r="I544" s="588"/>
      <c r="J544" s="404"/>
      <c r="K544" s="529"/>
      <c r="L544" s="448"/>
      <c r="M544" s="709">
        <v>14943</v>
      </c>
      <c r="N544" s="839" t="s">
        <v>378</v>
      </c>
      <c r="O544" s="786">
        <v>1200000</v>
      </c>
      <c r="P544" s="786"/>
      <c r="Q544" s="786"/>
    </row>
    <row r="545" spans="1:17" ht="15.75">
      <c r="A545" s="1043"/>
      <c r="B545" s="678"/>
      <c r="C545" s="679"/>
      <c r="D545" s="588"/>
      <c r="E545" s="416"/>
      <c r="F545" s="670"/>
      <c r="G545" s="675"/>
      <c r="H545" s="680"/>
      <c r="I545" s="588"/>
      <c r="J545" s="404"/>
      <c r="K545" s="529"/>
      <c r="L545" s="448"/>
      <c r="M545" s="709">
        <v>14862</v>
      </c>
      <c r="N545" s="711" t="s">
        <v>391</v>
      </c>
      <c r="O545" s="330">
        <v>1150000</v>
      </c>
      <c r="P545" s="330"/>
      <c r="Q545" s="786"/>
    </row>
    <row r="546" spans="1:17" ht="15.75">
      <c r="A546" s="1043"/>
      <c r="B546" s="678"/>
      <c r="C546" s="679"/>
      <c r="D546" s="588"/>
      <c r="E546" s="416"/>
      <c r="F546" s="670"/>
      <c r="G546" s="675"/>
      <c r="H546" s="680"/>
      <c r="I546" s="588"/>
      <c r="J546" s="404"/>
      <c r="K546" s="529"/>
      <c r="L546" s="448"/>
      <c r="M546" s="709">
        <v>14874</v>
      </c>
      <c r="N546" s="711" t="s">
        <v>392</v>
      </c>
      <c r="O546" s="330">
        <v>950000</v>
      </c>
      <c r="P546" s="330"/>
      <c r="Q546" s="786"/>
    </row>
    <row r="547" spans="1:17" ht="15.75">
      <c r="A547" s="1043"/>
      <c r="B547" s="678"/>
      <c r="C547" s="679"/>
      <c r="D547" s="588"/>
      <c r="E547" s="416"/>
      <c r="F547" s="670"/>
      <c r="G547" s="675"/>
      <c r="H547" s="680"/>
      <c r="I547" s="588"/>
      <c r="J547" s="404"/>
      <c r="K547" s="529"/>
      <c r="L547" s="448"/>
      <c r="M547" s="886">
        <v>14925</v>
      </c>
      <c r="N547" s="711" t="s">
        <v>394</v>
      </c>
      <c r="O547" s="330">
        <v>1200000</v>
      </c>
      <c r="P547" s="330"/>
      <c r="Q547" s="786"/>
    </row>
    <row r="548" spans="1:17" ht="15.75">
      <c r="A548" s="1043"/>
      <c r="B548" s="678"/>
      <c r="C548" s="679"/>
      <c r="D548" s="588"/>
      <c r="E548" s="416"/>
      <c r="F548" s="670"/>
      <c r="G548" s="675"/>
      <c r="H548" s="680"/>
      <c r="I548" s="588"/>
      <c r="J548" s="404"/>
      <c r="K548" s="529"/>
      <c r="L548" s="448"/>
      <c r="M548" s="885">
        <v>14937</v>
      </c>
      <c r="N548" s="34" t="s">
        <v>395</v>
      </c>
      <c r="O548" s="330">
        <v>2100000</v>
      </c>
      <c r="P548" s="330"/>
      <c r="Q548" s="786"/>
    </row>
    <row r="549" spans="1:17" ht="15.75">
      <c r="A549" s="1043"/>
      <c r="B549" s="678"/>
      <c r="C549" s="679"/>
      <c r="D549" s="588"/>
      <c r="E549" s="416"/>
      <c r="F549" s="670"/>
      <c r="G549" s="675"/>
      <c r="H549" s="680"/>
      <c r="I549" s="588"/>
      <c r="J549" s="404"/>
      <c r="K549" s="529"/>
      <c r="L549" s="448"/>
      <c r="M549" s="709">
        <v>14959</v>
      </c>
      <c r="N549" s="830" t="s">
        <v>397</v>
      </c>
      <c r="O549" s="330">
        <v>1200000</v>
      </c>
      <c r="P549" s="330"/>
      <c r="Q549" s="786"/>
    </row>
    <row r="550" spans="1:17" ht="15.75">
      <c r="A550" s="1043"/>
      <c r="B550" s="678"/>
      <c r="C550" s="679"/>
      <c r="D550" s="588"/>
      <c r="E550" s="416"/>
      <c r="F550" s="670"/>
      <c r="G550" s="675"/>
      <c r="H550" s="680"/>
      <c r="I550" s="588"/>
      <c r="J550" s="404"/>
      <c r="K550" s="529"/>
      <c r="L550" s="448"/>
      <c r="M550" s="709">
        <v>14964</v>
      </c>
      <c r="N550" s="835" t="s">
        <v>400</v>
      </c>
      <c r="O550" s="330">
        <v>2000000</v>
      </c>
      <c r="P550" s="330"/>
      <c r="Q550" s="786"/>
    </row>
    <row r="551" spans="1:17" ht="15.75">
      <c r="A551" s="1043"/>
      <c r="B551" s="461"/>
      <c r="C551" s="681"/>
      <c r="D551" s="462"/>
      <c r="E551" s="671"/>
      <c r="F551" s="682"/>
      <c r="G551" s="682"/>
      <c r="H551" s="683"/>
      <c r="I551" s="447"/>
      <c r="J551" s="447"/>
      <c r="K551" s="526"/>
      <c r="L551" s="448"/>
      <c r="M551" s="890">
        <v>14998</v>
      </c>
      <c r="N551" s="711" t="s">
        <v>401</v>
      </c>
      <c r="O551" s="330">
        <v>1350000</v>
      </c>
      <c r="P551" s="330"/>
      <c r="Q551" s="828"/>
    </row>
    <row r="552" spans="1:17" ht="15.75">
      <c r="A552" s="1043"/>
      <c r="B552" s="461"/>
      <c r="C552" s="681"/>
      <c r="D552" s="909"/>
      <c r="E552" s="910"/>
      <c r="F552" s="911"/>
      <c r="G552" s="911"/>
      <c r="H552" s="683"/>
      <c r="I552" s="447"/>
      <c r="J552" s="447"/>
      <c r="K552" s="526"/>
      <c r="L552" s="448"/>
      <c r="M552" s="890">
        <v>15008</v>
      </c>
      <c r="N552" s="711" t="s">
        <v>403</v>
      </c>
      <c r="O552" s="330">
        <v>2050000</v>
      </c>
      <c r="P552" s="330"/>
      <c r="Q552" s="908"/>
    </row>
    <row r="553" spans="1:17" ht="15.75">
      <c r="A553" s="1043"/>
      <c r="B553" s="461"/>
      <c r="C553" s="681"/>
      <c r="D553" s="909"/>
      <c r="E553" s="910"/>
      <c r="F553" s="911"/>
      <c r="G553" s="911"/>
      <c r="H553" s="683"/>
      <c r="I553" s="447"/>
      <c r="J553" s="447"/>
      <c r="K553" s="526"/>
      <c r="L553" s="448"/>
      <c r="M553" s="889"/>
      <c r="N553" s="711" t="s">
        <v>405</v>
      </c>
      <c r="O553" s="340">
        <v>1200000</v>
      </c>
      <c r="P553" s="340"/>
      <c r="Q553" s="912"/>
    </row>
    <row r="554" spans="1:17" ht="18">
      <c r="A554" s="1044"/>
      <c r="B554" s="449"/>
      <c r="C554" s="436"/>
      <c r="D554" s="700" t="s">
        <v>45</v>
      </c>
      <c r="E554" s="800">
        <f>SUM(E541:E551)</f>
        <v>0</v>
      </c>
      <c r="F554" s="690" t="s">
        <v>45</v>
      </c>
      <c r="G554" s="701">
        <f>SUM(G541:G551)</f>
        <v>0</v>
      </c>
      <c r="H554" s="425"/>
      <c r="I554" s="425"/>
      <c r="J554" s="425"/>
      <c r="K554" s="527"/>
      <c r="L554" s="427" t="s">
        <v>211</v>
      </c>
      <c r="M554" s="926"/>
      <c r="N554" s="915" t="s">
        <v>45</v>
      </c>
      <c r="O554" s="916">
        <f>SUM(O541:O553)</f>
        <v>18000000</v>
      </c>
      <c r="P554" s="884"/>
      <c r="Q554" s="906"/>
    </row>
    <row r="555" spans="1:17" ht="15.75">
      <c r="M555" s="905"/>
      <c r="N555" s="913"/>
      <c r="O555" s="914"/>
      <c r="P555" s="914"/>
    </row>
    <row r="557" spans="1:17" ht="18">
      <c r="B557" s="1154" t="s">
        <v>82</v>
      </c>
      <c r="C557" s="1154"/>
      <c r="D557" s="840"/>
      <c r="E557" s="770">
        <f>E554+E537+E517</f>
        <v>35907000</v>
      </c>
    </row>
    <row r="558" spans="1:17" ht="18">
      <c r="B558" s="1155" t="s">
        <v>83</v>
      </c>
      <c r="C558" s="1155"/>
      <c r="D558" s="693"/>
      <c r="E558" s="694"/>
      <c r="F558" s="872"/>
    </row>
    <row r="559" spans="1:17" ht="18">
      <c r="B559" s="1156" t="s">
        <v>84</v>
      </c>
      <c r="C559" s="1156"/>
      <c r="D559" s="695"/>
      <c r="E559" s="696"/>
      <c r="F559" s="873"/>
    </row>
    <row r="560" spans="1:17" ht="18">
      <c r="B560" s="1157" t="s">
        <v>85</v>
      </c>
      <c r="C560" s="1157"/>
      <c r="D560" s="695"/>
      <c r="E560" s="695"/>
      <c r="F560" s="873"/>
    </row>
    <row r="561" spans="1:17" ht="15.75">
      <c r="B561" s="697"/>
      <c r="C561" s="698" t="s">
        <v>86</v>
      </c>
      <c r="D561" s="695"/>
      <c r="E561" s="699"/>
      <c r="F561" s="871"/>
    </row>
    <row r="562" spans="1:17" ht="15.75">
      <c r="C562" s="875"/>
      <c r="D562" s="876"/>
      <c r="E562" s="871"/>
      <c r="F562" s="874"/>
    </row>
    <row r="566" spans="1:17" ht="46.5">
      <c r="A566" s="1033" t="s">
        <v>410</v>
      </c>
      <c r="B566" s="1033"/>
      <c r="C566" s="1033"/>
      <c r="D566" s="1033"/>
      <c r="E566" s="1033"/>
      <c r="F566" s="1033"/>
      <c r="G566" s="1033"/>
      <c r="H566" s="1033"/>
      <c r="I566" s="1033"/>
      <c r="J566" s="1033"/>
      <c r="K566" s="1033"/>
      <c r="L566" s="1033"/>
      <c r="M566" s="1033"/>
      <c r="N566" s="1033"/>
      <c r="O566" s="1033"/>
      <c r="P566" s="1033"/>
      <c r="Q566" s="1033"/>
    </row>
    <row r="568" spans="1:17" ht="18">
      <c r="A568" s="1034" t="s">
        <v>288</v>
      </c>
      <c r="B568" s="1034"/>
      <c r="C568" s="1034"/>
      <c r="D568" s="1034"/>
      <c r="E568" s="1034"/>
      <c r="F568" s="1034"/>
      <c r="G568" s="1034"/>
      <c r="H568" s="1034"/>
      <c r="I568" s="1034"/>
      <c r="J568" s="1034"/>
      <c r="K568" s="1034"/>
      <c r="L568" s="1035" t="s">
        <v>2</v>
      </c>
      <c r="M568" s="1035"/>
      <c r="N568" s="1035"/>
      <c r="O568" s="1035"/>
      <c r="P568" s="1035"/>
      <c r="Q568" s="1036"/>
    </row>
    <row r="569" spans="1:17" ht="16.5">
      <c r="A569" s="398" t="s">
        <v>3</v>
      </c>
      <c r="B569" s="932" t="s">
        <v>4</v>
      </c>
      <c r="C569" s="930" t="s">
        <v>187</v>
      </c>
      <c r="D569" s="931" t="s">
        <v>6</v>
      </c>
      <c r="E569" s="931" t="s">
        <v>188</v>
      </c>
      <c r="F569" s="931" t="s">
        <v>8</v>
      </c>
      <c r="G569" s="931" t="s">
        <v>189</v>
      </c>
      <c r="H569" s="933" t="s">
        <v>190</v>
      </c>
      <c r="I569" s="933" t="s">
        <v>191</v>
      </c>
      <c r="J569" s="398" t="s">
        <v>289</v>
      </c>
      <c r="K569" s="398" t="s">
        <v>192</v>
      </c>
      <c r="L569" s="403" t="s">
        <v>4</v>
      </c>
      <c r="M569" s="791" t="s">
        <v>290</v>
      </c>
      <c r="N569" s="791" t="s">
        <v>6</v>
      </c>
      <c r="O569" s="791" t="s">
        <v>14</v>
      </c>
      <c r="P569" s="522" t="s">
        <v>8</v>
      </c>
      <c r="Q569" s="524" t="s">
        <v>193</v>
      </c>
    </row>
    <row r="570" spans="1:17" ht="15.75">
      <c r="A570" s="1037" t="s">
        <v>411</v>
      </c>
      <c r="B570" s="709">
        <v>15148</v>
      </c>
      <c r="C570" s="141">
        <v>0.1</v>
      </c>
      <c r="D570" s="839" t="s">
        <v>412</v>
      </c>
      <c r="E570" s="786">
        <v>1000000</v>
      </c>
      <c r="F570" s="33">
        <v>0.04</v>
      </c>
      <c r="G570" s="12">
        <f>E570*F570</f>
        <v>40000</v>
      </c>
      <c r="H570" s="712" t="s">
        <v>299</v>
      </c>
      <c r="I570" s="728" t="s">
        <v>27</v>
      </c>
      <c r="J570" s="728" t="s">
        <v>294</v>
      </c>
      <c r="K570" s="76"/>
      <c r="L570" s="76"/>
      <c r="M570" s="767">
        <v>15206</v>
      </c>
      <c r="N570" s="758" t="s">
        <v>413</v>
      </c>
      <c r="O570" s="762">
        <v>1200000</v>
      </c>
      <c r="P570" s="769">
        <v>0.04</v>
      </c>
      <c r="Q570" s="878">
        <f>O570*P570</f>
        <v>48000</v>
      </c>
    </row>
    <row r="571" spans="1:17" ht="15.75">
      <c r="A571" s="1038"/>
      <c r="B571" s="709">
        <v>15277</v>
      </c>
      <c r="C571" s="141">
        <v>0.1</v>
      </c>
      <c r="D571" s="839" t="s">
        <v>414</v>
      </c>
      <c r="E571" s="786">
        <v>1200000</v>
      </c>
      <c r="F571" s="33">
        <v>0.05</v>
      </c>
      <c r="G571" s="12">
        <f t="shared" ref="G571:G581" si="25">E571*F571</f>
        <v>60000</v>
      </c>
      <c r="H571" s="712" t="s">
        <v>22</v>
      </c>
      <c r="I571" s="728" t="s">
        <v>27</v>
      </c>
      <c r="J571" s="728" t="s">
        <v>294</v>
      </c>
      <c r="K571" s="120"/>
      <c r="L571" s="76"/>
      <c r="M571" s="728">
        <v>15393</v>
      </c>
      <c r="N571" s="35" t="s">
        <v>415</v>
      </c>
      <c r="O571" s="790">
        <v>1700000</v>
      </c>
      <c r="P571" s="948">
        <v>0.03</v>
      </c>
      <c r="Q571" s="878">
        <f>O571*P571</f>
        <v>51000</v>
      </c>
    </row>
    <row r="572" spans="1:17" ht="15.75">
      <c r="A572" s="1038"/>
      <c r="B572" s="709">
        <v>15276</v>
      </c>
      <c r="C572" s="141">
        <v>0.1</v>
      </c>
      <c r="D572" s="839" t="s">
        <v>416</v>
      </c>
      <c r="E572" s="786">
        <v>1180000</v>
      </c>
      <c r="F572" s="33">
        <v>0.05</v>
      </c>
      <c r="G572" s="12">
        <f t="shared" si="25"/>
        <v>59000</v>
      </c>
      <c r="H572" s="712" t="s">
        <v>22</v>
      </c>
      <c r="I572" s="728" t="s">
        <v>417</v>
      </c>
      <c r="J572" s="728" t="s">
        <v>294</v>
      </c>
      <c r="K572" s="120"/>
      <c r="L572" s="76"/>
      <c r="M572" s="76"/>
      <c r="N572" s="76"/>
      <c r="O572" s="592"/>
      <c r="P572" s="523"/>
      <c r="Q572" s="594"/>
    </row>
    <row r="573" spans="1:17" ht="15.75">
      <c r="A573" s="1038"/>
      <c r="B573" s="709">
        <v>15284</v>
      </c>
      <c r="C573" s="141">
        <v>0.1</v>
      </c>
      <c r="D573" s="839" t="s">
        <v>418</v>
      </c>
      <c r="E573" s="786">
        <v>900000</v>
      </c>
      <c r="F573" s="33">
        <v>0.08</v>
      </c>
      <c r="G573" s="12">
        <f t="shared" si="25"/>
        <v>72000</v>
      </c>
      <c r="H573" s="712" t="s">
        <v>293</v>
      </c>
      <c r="I573" s="728" t="s">
        <v>417</v>
      </c>
      <c r="J573" s="728" t="s">
        <v>294</v>
      </c>
      <c r="K573" s="120"/>
      <c r="L573" s="76"/>
      <c r="M573" s="76"/>
      <c r="N573" s="76"/>
      <c r="O573" s="592"/>
      <c r="P573" s="523"/>
      <c r="Q573" s="594"/>
    </row>
    <row r="574" spans="1:17" ht="15.75">
      <c r="A574" s="1038"/>
      <c r="B574" s="709">
        <v>15285</v>
      </c>
      <c r="C574" s="141">
        <v>0.1</v>
      </c>
      <c r="D574" s="839" t="s">
        <v>419</v>
      </c>
      <c r="E574" s="786">
        <v>620000</v>
      </c>
      <c r="F574" s="33">
        <v>0.08</v>
      </c>
      <c r="G574" s="12">
        <f t="shared" si="25"/>
        <v>49600</v>
      </c>
      <c r="H574" s="712" t="s">
        <v>293</v>
      </c>
      <c r="I574" s="728" t="s">
        <v>27</v>
      </c>
      <c r="J574" s="728" t="s">
        <v>294</v>
      </c>
      <c r="K574" s="120"/>
      <c r="L574" s="76"/>
      <c r="M574" s="76"/>
      <c r="N574" s="76"/>
      <c r="O574" s="592"/>
      <c r="P574" s="523"/>
      <c r="Q574" s="594"/>
    </row>
    <row r="575" spans="1:17" ht="15.75">
      <c r="A575" s="1038"/>
      <c r="B575" s="709">
        <v>15319</v>
      </c>
      <c r="C575" s="141">
        <v>0.1</v>
      </c>
      <c r="D575" s="839" t="s">
        <v>420</v>
      </c>
      <c r="E575" s="786">
        <v>1300000</v>
      </c>
      <c r="F575" s="33">
        <v>0.05</v>
      </c>
      <c r="G575" s="12">
        <f t="shared" si="25"/>
        <v>65000</v>
      </c>
      <c r="H575" s="712" t="s">
        <v>22</v>
      </c>
      <c r="I575" s="728" t="s">
        <v>27</v>
      </c>
      <c r="J575" s="728" t="s">
        <v>294</v>
      </c>
      <c r="K575" s="120"/>
      <c r="L575" s="76"/>
      <c r="M575" s="76"/>
      <c r="N575" s="76"/>
      <c r="O575" s="592"/>
      <c r="P575" s="523"/>
      <c r="Q575" s="594"/>
    </row>
    <row r="576" spans="1:17" ht="15.75">
      <c r="A576" s="1038"/>
      <c r="B576" s="709">
        <v>15327</v>
      </c>
      <c r="C576" s="141">
        <v>0.1</v>
      </c>
      <c r="D576" s="839" t="s">
        <v>421</v>
      </c>
      <c r="E576" s="786">
        <v>1400000</v>
      </c>
      <c r="F576" s="33">
        <v>0.05</v>
      </c>
      <c r="G576" s="12">
        <f t="shared" si="25"/>
        <v>70000</v>
      </c>
      <c r="H576" s="712" t="s">
        <v>22</v>
      </c>
      <c r="I576" s="728" t="s">
        <v>27</v>
      </c>
      <c r="J576" s="728" t="s">
        <v>294</v>
      </c>
      <c r="K576" s="120"/>
      <c r="L576" s="76"/>
      <c r="M576" s="76"/>
      <c r="N576" s="76"/>
      <c r="O576" s="592"/>
      <c r="P576" s="523"/>
      <c r="Q576" s="594"/>
    </row>
    <row r="577" spans="1:17" ht="15.75">
      <c r="A577" s="1038"/>
      <c r="B577" s="709">
        <v>15347</v>
      </c>
      <c r="C577" s="141">
        <v>0.1</v>
      </c>
      <c r="D577" s="839" t="s">
        <v>422</v>
      </c>
      <c r="E577" s="786">
        <v>2100000</v>
      </c>
      <c r="F577" s="33">
        <v>0.05</v>
      </c>
      <c r="G577" s="12">
        <f t="shared" si="25"/>
        <v>105000</v>
      </c>
      <c r="H577" s="712" t="s">
        <v>22</v>
      </c>
      <c r="I577" s="728" t="s">
        <v>27</v>
      </c>
      <c r="J577" s="728" t="s">
        <v>294</v>
      </c>
      <c r="K577" s="120"/>
      <c r="L577" s="76"/>
      <c r="M577" s="76"/>
      <c r="N577" s="76"/>
      <c r="O577" s="592"/>
      <c r="P577" s="523"/>
      <c r="Q577" s="594"/>
    </row>
    <row r="578" spans="1:17" ht="15.75">
      <c r="A578" s="1038"/>
      <c r="B578" s="709">
        <v>15360</v>
      </c>
      <c r="C578" s="141">
        <v>0.1</v>
      </c>
      <c r="D578" s="839" t="s">
        <v>423</v>
      </c>
      <c r="E578" s="786">
        <v>1300000</v>
      </c>
      <c r="F578" s="33">
        <v>0.08</v>
      </c>
      <c r="G578" s="12">
        <f t="shared" si="25"/>
        <v>104000</v>
      </c>
      <c r="H578" s="712" t="s">
        <v>293</v>
      </c>
      <c r="I578" s="728" t="s">
        <v>402</v>
      </c>
      <c r="J578" s="728" t="s">
        <v>294</v>
      </c>
      <c r="K578" s="120"/>
      <c r="L578" s="76"/>
      <c r="M578" s="76"/>
      <c r="N578" s="76"/>
      <c r="O578" s="592"/>
      <c r="P578" s="523"/>
      <c r="Q578" s="594"/>
    </row>
    <row r="579" spans="1:17" ht="15.75">
      <c r="A579" s="1038"/>
      <c r="B579" s="709">
        <v>15378</v>
      </c>
      <c r="C579" s="805">
        <v>0.08</v>
      </c>
      <c r="D579" s="839" t="s">
        <v>424</v>
      </c>
      <c r="E579" s="786">
        <v>950000</v>
      </c>
      <c r="F579" s="127">
        <v>0.03</v>
      </c>
      <c r="G579" s="12">
        <f t="shared" si="25"/>
        <v>28500</v>
      </c>
      <c r="H579" s="712" t="s">
        <v>299</v>
      </c>
      <c r="I579" s="728" t="s">
        <v>27</v>
      </c>
      <c r="J579" s="728" t="s">
        <v>294</v>
      </c>
      <c r="K579" s="120"/>
      <c r="L579" s="76"/>
      <c r="M579" s="76"/>
      <c r="N579" s="76"/>
      <c r="O579" s="592"/>
      <c r="P579" s="523"/>
      <c r="Q579" s="594"/>
    </row>
    <row r="580" spans="1:17" ht="15.75">
      <c r="A580" s="1038"/>
      <c r="B580" s="709">
        <v>15382</v>
      </c>
      <c r="C580" s="141">
        <v>0.1</v>
      </c>
      <c r="D580" s="839" t="s">
        <v>425</v>
      </c>
      <c r="E580" s="786">
        <v>1800000</v>
      </c>
      <c r="F580" s="33">
        <v>0.05</v>
      </c>
      <c r="G580" s="12">
        <f t="shared" si="25"/>
        <v>90000</v>
      </c>
      <c r="H580" s="712" t="s">
        <v>22</v>
      </c>
      <c r="I580" s="728" t="s">
        <v>417</v>
      </c>
      <c r="J580" s="728" t="s">
        <v>294</v>
      </c>
      <c r="K580" s="120"/>
      <c r="L580" s="76"/>
      <c r="M580" s="76"/>
      <c r="N580" s="76"/>
      <c r="O580" s="592"/>
      <c r="P580" s="523"/>
      <c r="Q580" s="594"/>
    </row>
    <row r="581" spans="1:17" ht="15.75">
      <c r="A581" s="1038"/>
      <c r="B581" s="709">
        <v>15394</v>
      </c>
      <c r="C581" s="141">
        <v>0.1</v>
      </c>
      <c r="D581" s="839" t="s">
        <v>426</v>
      </c>
      <c r="E581" s="786">
        <v>1450000</v>
      </c>
      <c r="F581" s="33">
        <v>0.08</v>
      </c>
      <c r="G581" s="12">
        <f t="shared" si="25"/>
        <v>116000</v>
      </c>
      <c r="H581" s="712" t="s">
        <v>293</v>
      </c>
      <c r="I581" s="728" t="s">
        <v>417</v>
      </c>
      <c r="J581" s="728" t="s">
        <v>294</v>
      </c>
      <c r="K581" s="120"/>
      <c r="L581" s="76"/>
      <c r="M581" s="76"/>
      <c r="N581" s="76"/>
      <c r="O581" s="592"/>
      <c r="P581" s="523"/>
      <c r="Q581" s="594"/>
    </row>
    <row r="582" spans="1:17" ht="15.75">
      <c r="A582" s="1038"/>
      <c r="B582" s="733" t="s">
        <v>427</v>
      </c>
      <c r="C582" s="887"/>
      <c r="D582" s="334" t="s">
        <v>428</v>
      </c>
      <c r="E582" s="888"/>
      <c r="F582" s="142"/>
      <c r="G582" s="752"/>
      <c r="H582" s="829"/>
      <c r="I582" s="88" t="s">
        <v>357</v>
      </c>
      <c r="J582" s="88"/>
      <c r="K582" s="120"/>
      <c r="L582" s="76"/>
      <c r="M582" s="76"/>
      <c r="N582" s="76"/>
      <c r="O582" s="592"/>
      <c r="P582" s="523"/>
      <c r="Q582" s="594"/>
    </row>
    <row r="583" spans="1:17" ht="18">
      <c r="A583" s="1039"/>
      <c r="B583" s="421"/>
      <c r="C583" s="422"/>
      <c r="D583" s="700" t="s">
        <v>45</v>
      </c>
      <c r="E583" s="800">
        <f>SUM(E570:E582)</f>
        <v>15200000</v>
      </c>
      <c r="F583" s="690" t="s">
        <v>45</v>
      </c>
      <c r="G583" s="800">
        <f>SUM(G570:G582)</f>
        <v>859100</v>
      </c>
      <c r="H583" s="425"/>
      <c r="I583" s="425"/>
      <c r="J583" s="425"/>
      <c r="K583" s="425"/>
      <c r="L583" s="426" t="s">
        <v>211</v>
      </c>
      <c r="M583" s="427"/>
      <c r="N583" s="427"/>
      <c r="O583" s="428"/>
      <c r="P583" s="707" t="s">
        <v>86</v>
      </c>
      <c r="Q583" s="804">
        <f>G583+Q570+Q571</f>
        <v>958100</v>
      </c>
    </row>
    <row r="584" spans="1:17">
      <c r="A584" s="430"/>
      <c r="B584" s="431"/>
      <c r="C584" s="432"/>
      <c r="D584" s="430"/>
      <c r="E584" s="430"/>
      <c r="F584" s="430"/>
      <c r="G584" s="430"/>
      <c r="H584" s="430"/>
      <c r="I584" s="430"/>
      <c r="J584" s="430"/>
      <c r="K584" s="430"/>
    </row>
    <row r="585" spans="1:17">
      <c r="B585" s="454"/>
      <c r="C585" s="455"/>
    </row>
    <row r="586" spans="1:17" ht="18">
      <c r="A586" s="1034" t="s">
        <v>213</v>
      </c>
      <c r="B586" s="1045"/>
      <c r="C586" s="1045"/>
      <c r="D586" s="1045"/>
      <c r="E586" s="1045"/>
      <c r="F586" s="1045"/>
      <c r="G586" s="1045"/>
      <c r="H586" s="1045"/>
      <c r="I586" s="1045"/>
      <c r="J586" s="1045"/>
      <c r="K586" s="1045"/>
      <c r="L586" s="1042" t="s">
        <v>2</v>
      </c>
      <c r="M586" s="1042"/>
      <c r="N586" s="1145"/>
      <c r="O586" s="1145"/>
      <c r="P586" s="1145"/>
      <c r="Q586" s="1145"/>
    </row>
    <row r="587" spans="1:17" ht="16.5">
      <c r="A587" s="401" t="s">
        <v>3</v>
      </c>
      <c r="B587" s="623" t="s">
        <v>4</v>
      </c>
      <c r="C587" s="400" t="s">
        <v>187</v>
      </c>
      <c r="D587" s="401" t="s">
        <v>6</v>
      </c>
      <c r="E587" s="401" t="s">
        <v>188</v>
      </c>
      <c r="F587" s="401" t="s">
        <v>8</v>
      </c>
      <c r="G587" s="401" t="s">
        <v>189</v>
      </c>
      <c r="H587" s="838" t="s">
        <v>190</v>
      </c>
      <c r="I587" s="838" t="s">
        <v>191</v>
      </c>
      <c r="J587" s="401" t="s">
        <v>289</v>
      </c>
      <c r="K587" s="525" t="s">
        <v>192</v>
      </c>
      <c r="L587" s="419" t="s">
        <v>4</v>
      </c>
      <c r="M587" s="524" t="s">
        <v>290</v>
      </c>
      <c r="N587" s="524" t="s">
        <v>6</v>
      </c>
      <c r="O587" s="524" t="s">
        <v>14</v>
      </c>
      <c r="P587" s="524" t="s">
        <v>8</v>
      </c>
      <c r="Q587" s="419" t="s">
        <v>193</v>
      </c>
    </row>
    <row r="588" spans="1:17" ht="15.75">
      <c r="A588" s="1043">
        <v>6</v>
      </c>
      <c r="B588" s="709">
        <v>15146</v>
      </c>
      <c r="C588" s="257">
        <v>0.1</v>
      </c>
      <c r="D588" s="34" t="s">
        <v>429</v>
      </c>
      <c r="E588" s="330">
        <v>1300000</v>
      </c>
      <c r="F588" s="257">
        <v>0.04</v>
      </c>
      <c r="G588" s="330">
        <f>E588*F588</f>
        <v>52000</v>
      </c>
      <c r="H588" s="712" t="s">
        <v>17</v>
      </c>
      <c r="I588" s="712" t="s">
        <v>364</v>
      </c>
      <c r="J588" s="709" t="s">
        <v>294</v>
      </c>
      <c r="K588" s="685"/>
      <c r="L588" s="16"/>
      <c r="M588" s="941">
        <v>15313</v>
      </c>
      <c r="N588" s="758" t="s">
        <v>430</v>
      </c>
      <c r="O588" s="760">
        <v>950000</v>
      </c>
      <c r="P588" s="942">
        <v>0.04</v>
      </c>
      <c r="Q588" s="878">
        <f>O588*P588</f>
        <v>38000</v>
      </c>
    </row>
    <row r="589" spans="1:17" ht="15.75">
      <c r="A589" s="1043"/>
      <c r="B589" s="709">
        <v>15177</v>
      </c>
      <c r="C589" s="710">
        <v>0.08</v>
      </c>
      <c r="D589" s="34" t="s">
        <v>431</v>
      </c>
      <c r="E589" s="330">
        <v>1750000</v>
      </c>
      <c r="F589" s="710">
        <v>0.04</v>
      </c>
      <c r="G589" s="330">
        <f t="shared" ref="G589:G596" si="26">E589*F589</f>
        <v>70000</v>
      </c>
      <c r="H589" s="712" t="s">
        <v>22</v>
      </c>
      <c r="I589" s="712" t="s">
        <v>27</v>
      </c>
      <c r="J589" s="709" t="s">
        <v>294</v>
      </c>
      <c r="K589" s="685"/>
      <c r="L589" s="16"/>
      <c r="M589" s="709">
        <v>15148</v>
      </c>
      <c r="N589" s="839" t="s">
        <v>412</v>
      </c>
      <c r="O589" s="786">
        <v>1000000</v>
      </c>
      <c r="P589" s="942">
        <v>0.04</v>
      </c>
      <c r="Q589" s="878">
        <f t="shared" ref="Q589:Q590" si="27">O589*P589</f>
        <v>40000</v>
      </c>
    </row>
    <row r="590" spans="1:17" ht="15.75">
      <c r="A590" s="1043"/>
      <c r="B590" s="709">
        <v>15178</v>
      </c>
      <c r="C590" s="257">
        <v>0.1</v>
      </c>
      <c r="D590" s="34" t="s">
        <v>432</v>
      </c>
      <c r="E590" s="330">
        <v>1300000</v>
      </c>
      <c r="F590" s="257">
        <v>0.05</v>
      </c>
      <c r="G590" s="330">
        <f t="shared" si="26"/>
        <v>65000</v>
      </c>
      <c r="H590" s="712" t="s">
        <v>22</v>
      </c>
      <c r="I590" s="712" t="s">
        <v>417</v>
      </c>
      <c r="J590" s="709" t="s">
        <v>294</v>
      </c>
      <c r="K590" s="685"/>
      <c r="L590" s="16"/>
      <c r="M590" s="709">
        <v>15378</v>
      </c>
      <c r="N590" s="839" t="s">
        <v>424</v>
      </c>
      <c r="O590" s="786">
        <v>950000</v>
      </c>
      <c r="P590" s="943">
        <v>0.03</v>
      </c>
      <c r="Q590" s="878">
        <f t="shared" si="27"/>
        <v>28500</v>
      </c>
    </row>
    <row r="591" spans="1:17" ht="15.75">
      <c r="A591" s="1043"/>
      <c r="B591" s="709">
        <v>15198</v>
      </c>
      <c r="C591" s="257">
        <v>0.1</v>
      </c>
      <c r="D591" s="34" t="s">
        <v>433</v>
      </c>
      <c r="E591" s="330">
        <v>1400000</v>
      </c>
      <c r="F591" s="257">
        <v>0.04</v>
      </c>
      <c r="G591" s="330">
        <f t="shared" si="26"/>
        <v>56000</v>
      </c>
      <c r="H591" s="712" t="s">
        <v>17</v>
      </c>
      <c r="I591" s="712" t="s">
        <v>402</v>
      </c>
      <c r="J591" s="709" t="s">
        <v>294</v>
      </c>
      <c r="K591" s="685"/>
      <c r="L591" s="16"/>
      <c r="M591" s="16"/>
      <c r="N591" s="29"/>
      <c r="O591" s="593"/>
      <c r="P591" s="708"/>
      <c r="Q591" s="672"/>
    </row>
    <row r="592" spans="1:17" ht="15.75">
      <c r="A592" s="1043"/>
      <c r="B592" s="709">
        <v>15223</v>
      </c>
      <c r="C592" s="710">
        <v>0.08</v>
      </c>
      <c r="D592" s="34" t="s">
        <v>434</v>
      </c>
      <c r="E592" s="330">
        <v>1800000</v>
      </c>
      <c r="F592" s="710">
        <v>0.04</v>
      </c>
      <c r="G592" s="330">
        <f t="shared" si="26"/>
        <v>72000</v>
      </c>
      <c r="H592" s="712" t="s">
        <v>22</v>
      </c>
      <c r="I592" s="712" t="s">
        <v>364</v>
      </c>
      <c r="J592" s="709" t="s">
        <v>294</v>
      </c>
      <c r="K592" s="685"/>
      <c r="L592" s="16"/>
      <c r="M592" s="16"/>
      <c r="N592" s="29"/>
      <c r="O592" s="593"/>
      <c r="P592" s="708"/>
      <c r="Q592" s="672"/>
    </row>
    <row r="593" spans="1:17" ht="15.75">
      <c r="A593" s="1043"/>
      <c r="B593" s="934">
        <v>15230</v>
      </c>
      <c r="C593" s="710">
        <v>0.08</v>
      </c>
      <c r="D593" s="34" t="s">
        <v>435</v>
      </c>
      <c r="E593" s="330">
        <v>2100000</v>
      </c>
      <c r="F593" s="710">
        <v>0.04</v>
      </c>
      <c r="G593" s="330">
        <f t="shared" si="26"/>
        <v>84000</v>
      </c>
      <c r="H593" s="712" t="s">
        <v>22</v>
      </c>
      <c r="I593" s="712" t="s">
        <v>402</v>
      </c>
      <c r="J593" s="709" t="s">
        <v>294</v>
      </c>
      <c r="K593" s="685"/>
      <c r="L593" s="16"/>
      <c r="M593" s="16"/>
      <c r="N593" s="29"/>
      <c r="O593" s="593"/>
      <c r="P593" s="708"/>
      <c r="Q593" s="672"/>
    </row>
    <row r="594" spans="1:17" ht="15.75">
      <c r="A594" s="1043"/>
      <c r="B594" s="934">
        <v>15245</v>
      </c>
      <c r="C594" s="257">
        <v>0.1</v>
      </c>
      <c r="D594" s="34" t="s">
        <v>436</v>
      </c>
      <c r="E594" s="330">
        <v>1900000</v>
      </c>
      <c r="F594" s="257">
        <v>0.08</v>
      </c>
      <c r="G594" s="330">
        <f t="shared" si="26"/>
        <v>152000</v>
      </c>
      <c r="H594" s="712" t="s">
        <v>299</v>
      </c>
      <c r="I594" s="712" t="s">
        <v>364</v>
      </c>
      <c r="J594" s="709" t="s">
        <v>294</v>
      </c>
      <c r="K594" s="685"/>
      <c r="L594" s="16"/>
      <c r="M594" s="16"/>
      <c r="N594" s="29"/>
      <c r="O594" s="593"/>
      <c r="P594" s="708"/>
      <c r="Q594" s="672"/>
    </row>
    <row r="595" spans="1:17" ht="15.75">
      <c r="A595" s="1043"/>
      <c r="B595" s="709">
        <v>15271</v>
      </c>
      <c r="C595" s="257">
        <v>0.1</v>
      </c>
      <c r="D595" s="34" t="s">
        <v>437</v>
      </c>
      <c r="E595" s="330">
        <v>950000</v>
      </c>
      <c r="F595" s="257">
        <v>0.05</v>
      </c>
      <c r="G595" s="330">
        <f t="shared" si="26"/>
        <v>47500</v>
      </c>
      <c r="H595" s="712" t="s">
        <v>22</v>
      </c>
      <c r="I595" s="712" t="s">
        <v>364</v>
      </c>
      <c r="J595" s="709" t="s">
        <v>294</v>
      </c>
      <c r="K595" s="685"/>
      <c r="L595" s="16"/>
      <c r="M595" s="16"/>
      <c r="N595" s="29"/>
      <c r="O595" s="593"/>
      <c r="P595" s="708"/>
      <c r="Q595" s="672"/>
    </row>
    <row r="596" spans="1:17" ht="15.75">
      <c r="A596" s="1043"/>
      <c r="B596" s="890">
        <v>15282</v>
      </c>
      <c r="C596" s="257">
        <v>0.1</v>
      </c>
      <c r="D596" s="830" t="s">
        <v>438</v>
      </c>
      <c r="E596" s="330">
        <v>1300000</v>
      </c>
      <c r="F596" s="257">
        <v>0.05</v>
      </c>
      <c r="G596" s="330">
        <f t="shared" si="26"/>
        <v>65000</v>
      </c>
      <c r="H596" s="712" t="s">
        <v>22</v>
      </c>
      <c r="I596" s="712" t="s">
        <v>27</v>
      </c>
      <c r="J596" s="709" t="s">
        <v>294</v>
      </c>
      <c r="K596" s="685"/>
      <c r="L596" s="16"/>
      <c r="M596" s="16"/>
      <c r="N596" s="29"/>
      <c r="O596" s="593"/>
      <c r="P596" s="708"/>
      <c r="Q596" s="672"/>
    </row>
    <row r="597" spans="1:17" ht="15.75">
      <c r="A597" s="1043"/>
      <c r="B597" s="935" t="s">
        <v>37</v>
      </c>
      <c r="C597" s="265"/>
      <c r="D597" s="92" t="s">
        <v>439</v>
      </c>
      <c r="E597" s="836"/>
      <c r="F597" s="747"/>
      <c r="G597" s="746"/>
      <c r="H597" s="829"/>
      <c r="I597" s="829" t="s">
        <v>27</v>
      </c>
      <c r="J597" s="733"/>
      <c r="K597" s="685"/>
      <c r="L597" s="16"/>
      <c r="M597" s="16"/>
      <c r="N597" s="29"/>
      <c r="O597" s="593"/>
      <c r="P597" s="708"/>
      <c r="Q597" s="672"/>
    </row>
    <row r="598" spans="1:17" ht="15.75">
      <c r="A598" s="1043"/>
      <c r="B598" s="733" t="s">
        <v>37</v>
      </c>
      <c r="C598" s="265"/>
      <c r="D598" s="937" t="s">
        <v>440</v>
      </c>
      <c r="E598" s="836"/>
      <c r="F598" s="747"/>
      <c r="G598" s="746"/>
      <c r="H598" s="829"/>
      <c r="I598" s="829" t="s">
        <v>417</v>
      </c>
      <c r="J598" s="733"/>
      <c r="K598" s="685"/>
      <c r="L598" s="16"/>
      <c r="M598" s="16"/>
      <c r="N598" s="29"/>
      <c r="O598" s="593"/>
      <c r="P598" s="708"/>
      <c r="Q598" s="672"/>
    </row>
    <row r="599" spans="1:17" ht="18">
      <c r="A599" s="1044"/>
      <c r="B599" s="449"/>
      <c r="C599" s="436"/>
      <c r="D599" s="702" t="s">
        <v>45</v>
      </c>
      <c r="E599" s="703">
        <f>SUM(E588:E598)</f>
        <v>13800000</v>
      </c>
      <c r="F599" s="18" t="s">
        <v>45</v>
      </c>
      <c r="G599" s="703">
        <f>SUM(G588:G598)</f>
        <v>663500</v>
      </c>
      <c r="H599" s="425"/>
      <c r="I599" s="425"/>
      <c r="J599" s="425"/>
      <c r="K599" s="527"/>
      <c r="L599" s="426" t="s">
        <v>211</v>
      </c>
      <c r="M599" s="426"/>
      <c r="N599" s="426"/>
      <c r="O599" s="426"/>
      <c r="P599" s="705" t="s">
        <v>45</v>
      </c>
      <c r="Q599" s="804">
        <f>G599+Q588+Q589+Q590</f>
        <v>770000</v>
      </c>
    </row>
    <row r="600" spans="1:17" ht="33.75">
      <c r="A600" s="451"/>
      <c r="B600" s="452"/>
      <c r="C600" s="453"/>
      <c r="D600" s="438"/>
      <c r="E600" s="439"/>
      <c r="F600" s="438"/>
      <c r="G600" s="439"/>
      <c r="H600" s="438"/>
      <c r="I600" s="438"/>
      <c r="J600" s="438"/>
      <c r="K600" s="438"/>
      <c r="L600" s="440"/>
      <c r="M600" s="440"/>
      <c r="N600" s="440"/>
      <c r="O600" s="440"/>
      <c r="P600" s="441"/>
      <c r="Q600" s="442"/>
    </row>
    <row r="601" spans="1:17" ht="18">
      <c r="A601" s="1034" t="s">
        <v>221</v>
      </c>
      <c r="B601" s="1045"/>
      <c r="C601" s="1045"/>
      <c r="D601" s="1045"/>
      <c r="E601" s="1045"/>
      <c r="F601" s="1045"/>
      <c r="G601" s="1045"/>
      <c r="H601" s="1045"/>
      <c r="I601" s="1045"/>
      <c r="J601" s="1045"/>
      <c r="K601" s="1045"/>
      <c r="L601" s="1042" t="s">
        <v>2</v>
      </c>
      <c r="M601" s="1042"/>
      <c r="N601" s="1145"/>
      <c r="O601" s="1145"/>
      <c r="P601" s="1145"/>
      <c r="Q601" s="1145"/>
    </row>
    <row r="602" spans="1:17" ht="16.5">
      <c r="A602" s="398" t="s">
        <v>3</v>
      </c>
      <c r="B602" s="623" t="s">
        <v>4</v>
      </c>
      <c r="C602" s="400" t="s">
        <v>187</v>
      </c>
      <c r="D602" s="837" t="s">
        <v>6</v>
      </c>
      <c r="E602" s="837" t="s">
        <v>188</v>
      </c>
      <c r="F602" s="401" t="s">
        <v>8</v>
      </c>
      <c r="G602" s="401" t="s">
        <v>189</v>
      </c>
      <c r="H602" s="838" t="s">
        <v>190</v>
      </c>
      <c r="I602" s="838" t="s">
        <v>191</v>
      </c>
      <c r="J602" s="398" t="s">
        <v>289</v>
      </c>
      <c r="K602" s="525" t="s">
        <v>192</v>
      </c>
      <c r="L602" s="419" t="s">
        <v>4</v>
      </c>
      <c r="M602" s="419" t="s">
        <v>290</v>
      </c>
      <c r="N602" s="524" t="s">
        <v>6</v>
      </c>
      <c r="O602" s="524" t="s">
        <v>14</v>
      </c>
      <c r="P602" s="524" t="s">
        <v>8</v>
      </c>
      <c r="Q602" s="419" t="s">
        <v>193</v>
      </c>
    </row>
    <row r="603" spans="1:17" ht="15.75">
      <c r="A603" s="1046">
        <v>10</v>
      </c>
      <c r="B603" s="709">
        <v>15140</v>
      </c>
      <c r="C603" s="859">
        <v>0.1</v>
      </c>
      <c r="D603" s="711" t="s">
        <v>441</v>
      </c>
      <c r="E603" s="856">
        <v>1230000</v>
      </c>
      <c r="F603" s="857"/>
      <c r="G603" s="828"/>
      <c r="H603" s="858" t="s">
        <v>22</v>
      </c>
      <c r="I603" s="858" t="s">
        <v>357</v>
      </c>
      <c r="J603" s="882" t="s">
        <v>294</v>
      </c>
      <c r="K603" s="527"/>
      <c r="L603" s="869"/>
      <c r="M603" s="709">
        <v>15277</v>
      </c>
      <c r="N603" s="839" t="s">
        <v>414</v>
      </c>
      <c r="O603" s="786">
        <v>1200000</v>
      </c>
      <c r="P603" s="786"/>
      <c r="Q603" s="795"/>
    </row>
    <row r="604" spans="1:17" ht="15.75">
      <c r="A604" s="1031"/>
      <c r="B604" s="709">
        <v>15295</v>
      </c>
      <c r="C604" s="33">
        <v>0.1</v>
      </c>
      <c r="D604" s="35" t="s">
        <v>442</v>
      </c>
      <c r="E604" s="12">
        <v>1450000</v>
      </c>
      <c r="F604" s="710"/>
      <c r="G604" s="828"/>
      <c r="H604" s="728" t="s">
        <v>22</v>
      </c>
      <c r="I604" s="728" t="s">
        <v>402</v>
      </c>
      <c r="J604" s="936" t="s">
        <v>294</v>
      </c>
      <c r="K604" s="117"/>
      <c r="L604" s="117"/>
      <c r="M604" s="709">
        <v>15276</v>
      </c>
      <c r="N604" s="839" t="s">
        <v>416</v>
      </c>
      <c r="O604" s="786">
        <v>1180000</v>
      </c>
      <c r="P604" s="786"/>
      <c r="Q604" s="793"/>
    </row>
    <row r="605" spans="1:17" ht="15.75">
      <c r="A605" s="1031"/>
      <c r="B605" s="413"/>
      <c r="C605" s="673"/>
      <c r="D605" s="602"/>
      <c r="E605" s="674"/>
      <c r="F605" s="676"/>
      <c r="G605" s="677"/>
      <c r="H605" s="402"/>
      <c r="I605" s="402"/>
      <c r="J605" s="398"/>
      <c r="K605" s="525"/>
      <c r="L605" s="419"/>
      <c r="M605" s="709">
        <v>15327</v>
      </c>
      <c r="N605" s="839" t="s">
        <v>421</v>
      </c>
      <c r="O605" s="786">
        <v>1400000</v>
      </c>
      <c r="P605" s="786"/>
      <c r="Q605" s="795"/>
    </row>
    <row r="606" spans="1:17" ht="15.75">
      <c r="A606" s="1031"/>
      <c r="B606" s="413"/>
      <c r="C606" s="673"/>
      <c r="D606" s="602"/>
      <c r="E606" s="674"/>
      <c r="F606" s="676"/>
      <c r="G606" s="677"/>
      <c r="H606" s="880"/>
      <c r="I606" s="402"/>
      <c r="J606" s="398"/>
      <c r="K606" s="525"/>
      <c r="L606" s="419"/>
      <c r="M606" s="709">
        <v>15347</v>
      </c>
      <c r="N606" s="839" t="s">
        <v>422</v>
      </c>
      <c r="O606" s="786">
        <v>2100000</v>
      </c>
      <c r="P606" s="786"/>
      <c r="Q606" s="795"/>
    </row>
    <row r="607" spans="1:17" ht="15.75">
      <c r="A607" s="1031"/>
      <c r="B607" s="413"/>
      <c r="C607" s="673"/>
      <c r="D607" s="602"/>
      <c r="E607" s="674"/>
      <c r="F607" s="676"/>
      <c r="G607" s="677"/>
      <c r="H607" s="880"/>
      <c r="I607" s="402"/>
      <c r="J607" s="398"/>
      <c r="K607" s="525"/>
      <c r="L607" s="419"/>
      <c r="M607" s="709">
        <v>15382</v>
      </c>
      <c r="N607" s="839" t="s">
        <v>425</v>
      </c>
      <c r="O607" s="786">
        <v>1800000</v>
      </c>
      <c r="P607" s="786"/>
      <c r="Q607" s="795"/>
    </row>
    <row r="608" spans="1:17" ht="15.75">
      <c r="A608" s="1031"/>
      <c r="B608" s="413"/>
      <c r="C608" s="673"/>
      <c r="D608" s="602"/>
      <c r="E608" s="674"/>
      <c r="F608" s="676"/>
      <c r="G608" s="677"/>
      <c r="H608" s="880"/>
      <c r="I608" s="402"/>
      <c r="J608" s="398"/>
      <c r="K608" s="525"/>
      <c r="L608" s="419"/>
      <c r="M608" s="709">
        <v>15177</v>
      </c>
      <c r="N608" s="34" t="s">
        <v>431</v>
      </c>
      <c r="O608" s="330">
        <v>1750000</v>
      </c>
      <c r="P608" s="330"/>
      <c r="Q608" s="795"/>
    </row>
    <row r="609" spans="1:17" ht="15.75">
      <c r="A609" s="1031"/>
      <c r="B609" s="413"/>
      <c r="C609" s="673"/>
      <c r="D609" s="602"/>
      <c r="E609" s="674"/>
      <c r="F609" s="676"/>
      <c r="G609" s="677"/>
      <c r="H609" s="880"/>
      <c r="I609" s="402"/>
      <c r="J609" s="398"/>
      <c r="K609" s="525"/>
      <c r="L609" s="419"/>
      <c r="M609" s="709">
        <v>15178</v>
      </c>
      <c r="N609" s="34" t="s">
        <v>432</v>
      </c>
      <c r="O609" s="330">
        <v>1300000</v>
      </c>
      <c r="P609" s="330"/>
      <c r="Q609" s="795"/>
    </row>
    <row r="610" spans="1:17" ht="15.75">
      <c r="A610" s="1031"/>
      <c r="B610" s="413"/>
      <c r="C610" s="673"/>
      <c r="D610" s="602"/>
      <c r="E610" s="674"/>
      <c r="F610" s="676"/>
      <c r="G610" s="677"/>
      <c r="H610" s="880"/>
      <c r="I610" s="402"/>
      <c r="J610" s="398"/>
      <c r="K610" s="525"/>
      <c r="L610" s="419"/>
      <c r="M610" s="709">
        <v>15223</v>
      </c>
      <c r="N610" s="34" t="s">
        <v>434</v>
      </c>
      <c r="O610" s="330">
        <v>1800000</v>
      </c>
      <c r="P610" s="330"/>
      <c r="Q610" s="795"/>
    </row>
    <row r="611" spans="1:17" ht="15.75">
      <c r="A611" s="1031"/>
      <c r="B611" s="413"/>
      <c r="C611" s="673"/>
      <c r="D611" s="602"/>
      <c r="E611" s="674"/>
      <c r="F611" s="676"/>
      <c r="G611" s="677"/>
      <c r="H611" s="880"/>
      <c r="I611" s="402"/>
      <c r="J611" s="398"/>
      <c r="K611" s="525"/>
      <c r="L611" s="419"/>
      <c r="M611" s="934">
        <v>15230</v>
      </c>
      <c r="N611" s="34" t="s">
        <v>435</v>
      </c>
      <c r="O611" s="330">
        <v>2100000</v>
      </c>
      <c r="P611" s="330"/>
      <c r="Q611" s="795"/>
    </row>
    <row r="612" spans="1:17" ht="15.75">
      <c r="A612" s="1031"/>
      <c r="B612" s="413"/>
      <c r="C612" s="673"/>
      <c r="D612" s="602"/>
      <c r="E612" s="674"/>
      <c r="F612" s="676"/>
      <c r="G612" s="677"/>
      <c r="H612" s="880"/>
      <c r="I612" s="402"/>
      <c r="J612" s="398"/>
      <c r="K612" s="525"/>
      <c r="L612" s="419"/>
      <c r="M612" s="946">
        <v>15271</v>
      </c>
      <c r="N612" s="711" t="s">
        <v>437</v>
      </c>
      <c r="O612" s="330">
        <v>950000</v>
      </c>
      <c r="P612" s="330"/>
      <c r="Q612" s="795"/>
    </row>
    <row r="613" spans="1:17" ht="15.75">
      <c r="A613" s="1031"/>
      <c r="B613" s="413"/>
      <c r="C613" s="673"/>
      <c r="D613" s="398"/>
      <c r="E613" s="416"/>
      <c r="F613" s="670"/>
      <c r="G613" s="675"/>
      <c r="H613" s="880"/>
      <c r="I613" s="402"/>
      <c r="J613" s="398"/>
      <c r="K613" s="525"/>
      <c r="L613" s="435"/>
      <c r="M613" s="922">
        <v>15282</v>
      </c>
      <c r="N613" s="148" t="s">
        <v>438</v>
      </c>
      <c r="O613" s="903">
        <v>1300000</v>
      </c>
      <c r="P613" s="330"/>
      <c r="Q613" s="795"/>
    </row>
    <row r="614" spans="1:17" ht="15.75">
      <c r="A614" s="1031"/>
      <c r="B614" s="413"/>
      <c r="C614" s="673"/>
      <c r="D614" s="398"/>
      <c r="E614" s="416"/>
      <c r="F614" s="670"/>
      <c r="G614" s="675"/>
      <c r="H614" s="880"/>
      <c r="I614" s="402"/>
      <c r="J614" s="398"/>
      <c r="K614" s="525"/>
      <c r="L614" s="435"/>
      <c r="M614" s="709">
        <v>15319</v>
      </c>
      <c r="N614" s="839" t="s">
        <v>420</v>
      </c>
      <c r="O614" s="786">
        <v>1300000</v>
      </c>
      <c r="P614" s="786"/>
      <c r="Q614" s="947"/>
    </row>
    <row r="615" spans="1:17" ht="15.75">
      <c r="A615" s="1032"/>
      <c r="B615" s="449"/>
      <c r="C615" s="436"/>
      <c r="D615" s="700" t="s">
        <v>45</v>
      </c>
      <c r="E615" s="800">
        <f>SUM(E603:E613)</f>
        <v>2680000</v>
      </c>
      <c r="F615" s="690" t="s">
        <v>45</v>
      </c>
      <c r="G615" s="701">
        <f>SUM(G603:G613)</f>
        <v>0</v>
      </c>
      <c r="H615" s="425"/>
      <c r="I615" s="425"/>
      <c r="J615" s="425"/>
      <c r="K615" s="527"/>
      <c r="L615" s="426" t="s">
        <v>211</v>
      </c>
      <c r="M615" s="788"/>
      <c r="N615" s="700"/>
      <c r="O615" s="800">
        <f>SUM(O603:O614)</f>
        <v>18180000</v>
      </c>
      <c r="P615" s="944"/>
      <c r="Q615" s="945"/>
    </row>
    <row r="618" spans="1:17" ht="18">
      <c r="B618" s="1154" t="s">
        <v>82</v>
      </c>
      <c r="C618" s="1154"/>
      <c r="D618" s="840"/>
      <c r="E618" s="929">
        <f>E615+E599+E583</f>
        <v>31680000</v>
      </c>
    </row>
    <row r="619" spans="1:17" ht="18">
      <c r="B619" s="1155" t="s">
        <v>83</v>
      </c>
      <c r="C619" s="1155"/>
      <c r="D619" s="693"/>
      <c r="E619" s="694"/>
      <c r="F619" s="872"/>
    </row>
    <row r="620" spans="1:17" ht="18">
      <c r="B620" s="1156" t="s">
        <v>84</v>
      </c>
      <c r="C620" s="1156"/>
      <c r="D620" s="695"/>
      <c r="E620" s="696"/>
      <c r="F620" s="873"/>
    </row>
    <row r="621" spans="1:17" ht="18">
      <c r="B621" s="1157" t="s">
        <v>85</v>
      </c>
      <c r="C621" s="1157"/>
      <c r="D621" s="695"/>
      <c r="E621" s="695"/>
      <c r="F621" s="873"/>
    </row>
    <row r="622" spans="1:17" ht="15.75">
      <c r="B622" s="697"/>
      <c r="C622" s="698" t="s">
        <v>86</v>
      </c>
      <c r="D622" s="695"/>
      <c r="E622" s="699"/>
      <c r="F622" s="871"/>
    </row>
    <row r="623" spans="1:17" ht="15.75">
      <c r="C623" s="875"/>
      <c r="D623" s="876"/>
      <c r="E623" s="871"/>
      <c r="F623" s="874"/>
    </row>
    <row r="627" spans="1:17" ht="46.5">
      <c r="A627" s="1033" t="s">
        <v>443</v>
      </c>
      <c r="B627" s="1033"/>
      <c r="C627" s="1033"/>
      <c r="D627" s="1033"/>
      <c r="E627" s="1033"/>
      <c r="F627" s="1033"/>
      <c r="G627" s="1033"/>
      <c r="H627" s="1033"/>
      <c r="I627" s="1033"/>
      <c r="J627" s="1033"/>
      <c r="K627" s="1033"/>
      <c r="L627" s="1033"/>
      <c r="M627" s="1033"/>
      <c r="N627" s="1033"/>
      <c r="O627" s="1033"/>
      <c r="P627" s="1033"/>
      <c r="Q627" s="1033"/>
    </row>
    <row r="629" spans="1:17" ht="18">
      <c r="A629" s="1034" t="s">
        <v>288</v>
      </c>
      <c r="B629" s="1034"/>
      <c r="C629" s="1034"/>
      <c r="D629" s="1034"/>
      <c r="E629" s="1034"/>
      <c r="F629" s="1034"/>
      <c r="G629" s="1034"/>
      <c r="H629" s="1034"/>
      <c r="I629" s="1034"/>
      <c r="J629" s="1034"/>
      <c r="K629" s="1034"/>
      <c r="L629" s="1035" t="s">
        <v>2</v>
      </c>
      <c r="M629" s="1035"/>
      <c r="N629" s="1035"/>
      <c r="O629" s="1035"/>
      <c r="P629" s="1035"/>
      <c r="Q629" s="1036"/>
    </row>
    <row r="630" spans="1:17" ht="16.5">
      <c r="A630" s="398" t="s">
        <v>3</v>
      </c>
      <c r="B630" s="932" t="s">
        <v>4</v>
      </c>
      <c r="C630" s="930" t="s">
        <v>187</v>
      </c>
      <c r="D630" s="931" t="s">
        <v>6</v>
      </c>
      <c r="E630" s="931" t="s">
        <v>188</v>
      </c>
      <c r="F630" s="931" t="s">
        <v>8</v>
      </c>
      <c r="G630" s="931" t="s">
        <v>189</v>
      </c>
      <c r="H630" s="933" t="s">
        <v>190</v>
      </c>
      <c r="I630" s="933" t="s">
        <v>191</v>
      </c>
      <c r="J630" s="398" t="s">
        <v>289</v>
      </c>
      <c r="K630" s="398" t="s">
        <v>192</v>
      </c>
      <c r="L630" s="403" t="s">
        <v>4</v>
      </c>
      <c r="M630" s="791" t="s">
        <v>290</v>
      </c>
      <c r="N630" s="791" t="s">
        <v>6</v>
      </c>
      <c r="O630" s="791" t="s">
        <v>14</v>
      </c>
      <c r="P630" s="522" t="s">
        <v>8</v>
      </c>
      <c r="Q630" s="524" t="s">
        <v>193</v>
      </c>
    </row>
    <row r="631" spans="1:17" ht="15.75">
      <c r="A631" s="1037" t="s">
        <v>444</v>
      </c>
      <c r="B631" s="709">
        <v>15416</v>
      </c>
      <c r="C631" s="805">
        <v>0.08</v>
      </c>
      <c r="D631" s="839" t="s">
        <v>445</v>
      </c>
      <c r="E631" s="786">
        <v>1350000</v>
      </c>
      <c r="F631" s="127">
        <v>0.08</v>
      </c>
      <c r="G631" s="12">
        <f>E631*F631</f>
        <v>108000</v>
      </c>
      <c r="H631" s="712" t="s">
        <v>293</v>
      </c>
      <c r="I631" s="728" t="s">
        <v>364</v>
      </c>
      <c r="J631" s="728" t="s">
        <v>294</v>
      </c>
      <c r="K631" s="117"/>
      <c r="L631" s="117"/>
      <c r="M631" s="949"/>
      <c r="N631" s="951"/>
      <c r="O631" s="952"/>
      <c r="P631" s="953"/>
      <c r="Q631" s="954"/>
    </row>
    <row r="632" spans="1:17" ht="15.75">
      <c r="A632" s="1038"/>
      <c r="B632" s="709">
        <v>15406</v>
      </c>
      <c r="C632" s="141">
        <v>0.1</v>
      </c>
      <c r="D632" s="839" t="s">
        <v>446</v>
      </c>
      <c r="E632" s="786">
        <v>1380000</v>
      </c>
      <c r="F632" s="33">
        <v>0.06</v>
      </c>
      <c r="G632" s="12">
        <f t="shared" ref="G632:G644" si="28">E632*F632</f>
        <v>82800</v>
      </c>
      <c r="H632" s="712" t="s">
        <v>22</v>
      </c>
      <c r="I632" s="728" t="s">
        <v>417</v>
      </c>
      <c r="J632" s="728" t="s">
        <v>294</v>
      </c>
      <c r="K632" s="304"/>
      <c r="L632" s="117"/>
      <c r="M632" s="949"/>
      <c r="N632" s="951"/>
      <c r="O632" s="989"/>
      <c r="P632" s="953"/>
      <c r="Q632" s="954"/>
    </row>
    <row r="633" spans="1:17" ht="15.75">
      <c r="A633" s="1038"/>
      <c r="B633" s="709">
        <v>15430</v>
      </c>
      <c r="C633" s="141">
        <v>0.1</v>
      </c>
      <c r="D633" s="839" t="s">
        <v>447</v>
      </c>
      <c r="E633" s="786">
        <v>1900000</v>
      </c>
      <c r="F633" s="33">
        <v>0.06</v>
      </c>
      <c r="G633" s="12">
        <f t="shared" si="28"/>
        <v>114000</v>
      </c>
      <c r="H633" s="712" t="s">
        <v>22</v>
      </c>
      <c r="I633" s="728" t="s">
        <v>417</v>
      </c>
      <c r="J633" s="728" t="s">
        <v>294</v>
      </c>
      <c r="K633" s="304"/>
      <c r="L633" s="117"/>
      <c r="M633" s="949"/>
      <c r="N633" s="951"/>
      <c r="O633" s="989"/>
      <c r="P633" s="953"/>
      <c r="Q633" s="954"/>
    </row>
    <row r="634" spans="1:17" ht="15.75">
      <c r="A634" s="1038"/>
      <c r="B634" s="709">
        <v>15443</v>
      </c>
      <c r="C634" s="141">
        <v>0.1</v>
      </c>
      <c r="D634" s="839" t="s">
        <v>448</v>
      </c>
      <c r="E634" s="786">
        <v>1400000</v>
      </c>
      <c r="F634" s="33">
        <v>0.06</v>
      </c>
      <c r="G634" s="12">
        <f t="shared" si="28"/>
        <v>84000</v>
      </c>
      <c r="H634" s="712" t="s">
        <v>22</v>
      </c>
      <c r="I634" s="728" t="s">
        <v>27</v>
      </c>
      <c r="J634" s="728" t="s">
        <v>294</v>
      </c>
      <c r="K634" s="304"/>
      <c r="L634" s="117"/>
      <c r="M634" s="949"/>
      <c r="N634" s="951"/>
      <c r="O634" s="989"/>
      <c r="P634" s="953"/>
      <c r="Q634" s="954"/>
    </row>
    <row r="635" spans="1:17" ht="15.75">
      <c r="A635" s="1038"/>
      <c r="B635" s="709">
        <v>15451</v>
      </c>
      <c r="C635" s="141">
        <v>0.1</v>
      </c>
      <c r="D635" s="839" t="s">
        <v>449</v>
      </c>
      <c r="E635" s="786">
        <v>1000000</v>
      </c>
      <c r="F635" s="33">
        <v>0.06</v>
      </c>
      <c r="G635" s="12">
        <f t="shared" si="28"/>
        <v>60000</v>
      </c>
      <c r="H635" s="712" t="s">
        <v>22</v>
      </c>
      <c r="I635" s="728" t="s">
        <v>402</v>
      </c>
      <c r="J635" s="728" t="s">
        <v>294</v>
      </c>
      <c r="K635" s="304"/>
      <c r="L635" s="117"/>
      <c r="M635" s="949"/>
      <c r="N635" s="951"/>
      <c r="O635" s="989"/>
      <c r="P635" s="953"/>
      <c r="Q635" s="954"/>
    </row>
    <row r="636" spans="1:17" ht="15.75">
      <c r="A636" s="1038"/>
      <c r="B636" s="709">
        <v>15456</v>
      </c>
      <c r="C636" s="141">
        <v>0.1</v>
      </c>
      <c r="D636" s="839" t="s">
        <v>450</v>
      </c>
      <c r="E636" s="786">
        <v>1700000</v>
      </c>
      <c r="F636" s="33">
        <v>0.1</v>
      </c>
      <c r="G636" s="12">
        <f t="shared" si="28"/>
        <v>170000</v>
      </c>
      <c r="H636" s="712" t="s">
        <v>293</v>
      </c>
      <c r="I636" s="728" t="s">
        <v>417</v>
      </c>
      <c r="J636" s="728" t="s">
        <v>294</v>
      </c>
      <c r="K636" s="304"/>
      <c r="L636" s="117"/>
      <c r="M636" s="949"/>
      <c r="N636" s="951"/>
      <c r="O636" s="989"/>
      <c r="P636" s="953"/>
      <c r="Q636" s="954"/>
    </row>
    <row r="637" spans="1:17" ht="15.75">
      <c r="A637" s="1038"/>
      <c r="B637" s="709">
        <v>15472</v>
      </c>
      <c r="C637" s="141">
        <v>0.1</v>
      </c>
      <c r="D637" s="839" t="s">
        <v>451</v>
      </c>
      <c r="E637" s="786">
        <v>1200000</v>
      </c>
      <c r="F637" s="33">
        <v>0.1</v>
      </c>
      <c r="G637" s="12">
        <f t="shared" si="28"/>
        <v>120000</v>
      </c>
      <c r="H637" s="712" t="s">
        <v>293</v>
      </c>
      <c r="I637" s="728" t="s">
        <v>417</v>
      </c>
      <c r="J637" s="728" t="s">
        <v>294</v>
      </c>
      <c r="K637" s="304"/>
      <c r="L637" s="117"/>
      <c r="M637" s="949"/>
      <c r="N637" s="951"/>
      <c r="O637" s="989"/>
      <c r="P637" s="953"/>
      <c r="Q637" s="954"/>
    </row>
    <row r="638" spans="1:17" ht="15.75">
      <c r="A638" s="1038"/>
      <c r="B638" s="995">
        <v>15490</v>
      </c>
      <c r="C638" s="141">
        <v>0.1</v>
      </c>
      <c r="D638" s="839" t="s">
        <v>452</v>
      </c>
      <c r="E638" s="786">
        <v>1530000</v>
      </c>
      <c r="F638" s="33">
        <v>0.06</v>
      </c>
      <c r="G638" s="12">
        <f t="shared" si="28"/>
        <v>91800</v>
      </c>
      <c r="H638" s="712" t="s">
        <v>22</v>
      </c>
      <c r="I638" s="728" t="s">
        <v>337</v>
      </c>
      <c r="J638" s="728" t="s">
        <v>294</v>
      </c>
      <c r="K638" s="304"/>
      <c r="L638" s="117"/>
      <c r="M638" s="949"/>
      <c r="N638" s="951"/>
      <c r="O638" s="989"/>
      <c r="P638" s="953"/>
      <c r="Q638" s="954"/>
    </row>
    <row r="639" spans="1:17" ht="15.75">
      <c r="A639" s="1038"/>
      <c r="B639" s="994">
        <v>15541</v>
      </c>
      <c r="C639" s="141">
        <v>0.1</v>
      </c>
      <c r="D639" s="839" t="s">
        <v>453</v>
      </c>
      <c r="E639" s="786">
        <v>1350000</v>
      </c>
      <c r="F639" s="33">
        <v>0.06</v>
      </c>
      <c r="G639" s="12">
        <f t="shared" si="28"/>
        <v>81000</v>
      </c>
      <c r="H639" s="712" t="s">
        <v>22</v>
      </c>
      <c r="I639" s="728" t="s">
        <v>27</v>
      </c>
      <c r="J639" s="728" t="s">
        <v>294</v>
      </c>
      <c r="K639" s="304"/>
      <c r="L639" s="117"/>
      <c r="M639" s="949"/>
      <c r="N639" s="951"/>
      <c r="O639" s="989"/>
      <c r="P639" s="953"/>
      <c r="Q639" s="954"/>
    </row>
    <row r="640" spans="1:17" ht="15.75">
      <c r="A640" s="1038"/>
      <c r="B640" s="709">
        <v>15623</v>
      </c>
      <c r="C640" s="141">
        <v>0.1</v>
      </c>
      <c r="D640" s="839" t="s">
        <v>454</v>
      </c>
      <c r="E640" s="786">
        <v>1300000</v>
      </c>
      <c r="F640" s="33">
        <v>0.06</v>
      </c>
      <c r="G640" s="12">
        <f t="shared" si="28"/>
        <v>78000</v>
      </c>
      <c r="H640" s="712" t="s">
        <v>22</v>
      </c>
      <c r="I640" s="728" t="s">
        <v>364</v>
      </c>
      <c r="J640" s="728" t="s">
        <v>294</v>
      </c>
      <c r="K640" s="304"/>
      <c r="L640" s="117"/>
      <c r="M640" s="950"/>
      <c r="N640" s="773"/>
      <c r="O640" s="955"/>
      <c r="P640" s="956"/>
      <c r="Q640" s="954"/>
    </row>
    <row r="641" spans="1:17" ht="15.75">
      <c r="A641" s="1038"/>
      <c r="B641" s="709">
        <v>15550</v>
      </c>
      <c r="C641" s="141">
        <v>0.1</v>
      </c>
      <c r="D641" s="839" t="s">
        <v>455</v>
      </c>
      <c r="E641" s="786">
        <v>1400000</v>
      </c>
      <c r="F641" s="33">
        <v>0.06</v>
      </c>
      <c r="G641" s="12">
        <f t="shared" si="28"/>
        <v>84000</v>
      </c>
      <c r="H641" s="712" t="s">
        <v>22</v>
      </c>
      <c r="I641" s="728" t="s">
        <v>27</v>
      </c>
      <c r="J641" s="728" t="s">
        <v>294</v>
      </c>
      <c r="K641" s="304"/>
      <c r="L641" s="117"/>
      <c r="M641" s="950"/>
      <c r="N641" s="773"/>
      <c r="O641" s="955"/>
      <c r="P641" s="996"/>
      <c r="Q641" s="954"/>
    </row>
    <row r="642" spans="1:17" ht="15.75">
      <c r="A642" s="1038"/>
      <c r="B642" s="709">
        <v>15620</v>
      </c>
      <c r="C642" s="141">
        <v>0.1</v>
      </c>
      <c r="D642" s="839" t="s">
        <v>456</v>
      </c>
      <c r="E642" s="786">
        <v>1350000</v>
      </c>
      <c r="F642" s="33">
        <v>0.06</v>
      </c>
      <c r="G642" s="12">
        <f t="shared" si="28"/>
        <v>81000</v>
      </c>
      <c r="H642" s="712" t="s">
        <v>22</v>
      </c>
      <c r="I642" s="728" t="s">
        <v>357</v>
      </c>
      <c r="J642" s="728" t="s">
        <v>294</v>
      </c>
      <c r="K642" s="304"/>
      <c r="L642" s="117"/>
      <c r="M642" s="950"/>
      <c r="N642" s="773"/>
      <c r="O642" s="955"/>
      <c r="P642" s="996"/>
      <c r="Q642" s="954"/>
    </row>
    <row r="643" spans="1:17" ht="15.75">
      <c r="A643" s="1038"/>
      <c r="B643" s="709">
        <v>15621</v>
      </c>
      <c r="C643" s="820">
        <v>0.1</v>
      </c>
      <c r="D643" s="1000" t="s">
        <v>457</v>
      </c>
      <c r="E643" s="856">
        <v>1400000</v>
      </c>
      <c r="F643" s="33">
        <v>0.06</v>
      </c>
      <c r="G643" s="12">
        <f t="shared" si="28"/>
        <v>84000</v>
      </c>
      <c r="H643" s="712" t="s">
        <v>22</v>
      </c>
      <c r="I643" s="728" t="s">
        <v>27</v>
      </c>
      <c r="J643" s="728" t="s">
        <v>294</v>
      </c>
      <c r="K643" s="304"/>
      <c r="L643" s="117"/>
      <c r="M643" s="950"/>
      <c r="N643" s="773"/>
      <c r="O643" s="955"/>
      <c r="P643" s="996"/>
      <c r="Q643" s="954"/>
    </row>
    <row r="644" spans="1:17" ht="15.75">
      <c r="A644" s="1038"/>
      <c r="B644" s="997">
        <v>15630</v>
      </c>
      <c r="C644" s="141">
        <v>0.1</v>
      </c>
      <c r="D644" s="34" t="s">
        <v>458</v>
      </c>
      <c r="E644" s="786">
        <v>1600000</v>
      </c>
      <c r="F644" s="917">
        <v>0.1</v>
      </c>
      <c r="G644" s="12">
        <f t="shared" si="28"/>
        <v>160000</v>
      </c>
      <c r="H644" s="712" t="s">
        <v>293</v>
      </c>
      <c r="I644" s="728" t="s">
        <v>417</v>
      </c>
      <c r="J644" s="728" t="s">
        <v>294</v>
      </c>
      <c r="K644" s="304"/>
      <c r="L644" s="117"/>
      <c r="M644" s="950"/>
      <c r="N644" s="773"/>
      <c r="O644" s="955"/>
      <c r="P644" s="996"/>
      <c r="Q644" s="954"/>
    </row>
    <row r="645" spans="1:17" ht="15.75">
      <c r="A645" s="1038"/>
      <c r="B645" s="709">
        <v>15440</v>
      </c>
      <c r="C645" s="141">
        <v>0.1</v>
      </c>
      <c r="D645" s="839" t="s">
        <v>459</v>
      </c>
      <c r="E645" s="786">
        <v>850000</v>
      </c>
      <c r="F645" s="917"/>
      <c r="G645" s="12"/>
      <c r="H645" s="712"/>
      <c r="I645" s="728"/>
      <c r="J645" s="728"/>
      <c r="K645" s="304"/>
      <c r="L645" s="117"/>
      <c r="M645" s="950"/>
      <c r="N645" s="773"/>
      <c r="O645" s="955"/>
      <c r="P645" s="996"/>
      <c r="Q645" s="954"/>
    </row>
    <row r="646" spans="1:17" ht="15.75">
      <c r="A646" s="1038"/>
      <c r="B646" s="733" t="s">
        <v>408</v>
      </c>
      <c r="C646" s="887"/>
      <c r="D646" s="334" t="s">
        <v>460</v>
      </c>
      <c r="E646" s="888"/>
      <c r="F646" s="40"/>
      <c r="G646" s="42"/>
      <c r="H646" s="829"/>
      <c r="I646" s="88" t="s">
        <v>342</v>
      </c>
      <c r="J646" s="88"/>
      <c r="K646" s="304"/>
      <c r="L646" s="117"/>
      <c r="M646" s="117"/>
      <c r="N646" s="117"/>
      <c r="O646" s="957"/>
      <c r="P646" s="958"/>
      <c r="Q646" s="959"/>
    </row>
    <row r="647" spans="1:17" ht="18">
      <c r="A647" s="1039"/>
      <c r="B647" s="421"/>
      <c r="C647" s="422"/>
      <c r="D647" s="700" t="s">
        <v>45</v>
      </c>
      <c r="E647" s="800">
        <f>SUM(E631:E646)</f>
        <v>20710000</v>
      </c>
      <c r="F647" s="690" t="s">
        <v>45</v>
      </c>
      <c r="G647" s="800">
        <f>SUM(G631:G646)</f>
        <v>1398600</v>
      </c>
      <c r="H647" s="425"/>
      <c r="I647" s="425"/>
      <c r="J647" s="425"/>
      <c r="K647" s="425"/>
      <c r="L647" s="426" t="s">
        <v>211</v>
      </c>
      <c r="M647" s="427"/>
      <c r="N647" s="427"/>
      <c r="O647" s="428"/>
      <c r="P647" s="707" t="s">
        <v>86</v>
      </c>
      <c r="Q647" s="804">
        <f>G647+Q631+Q640</f>
        <v>1398600</v>
      </c>
    </row>
    <row r="648" spans="1:17">
      <c r="A648" s="430"/>
      <c r="B648" s="431"/>
      <c r="C648" s="432"/>
      <c r="D648" s="430"/>
      <c r="E648" s="430"/>
      <c r="F648" s="430"/>
      <c r="G648" s="430"/>
      <c r="H648" s="430"/>
      <c r="I648" s="430"/>
      <c r="J648" s="430"/>
      <c r="K648" s="430"/>
    </row>
    <row r="649" spans="1:17">
      <c r="B649" s="454"/>
      <c r="C649" s="455"/>
    </row>
    <row r="650" spans="1:17" ht="18">
      <c r="A650" s="1040" t="s">
        <v>213</v>
      </c>
      <c r="B650" s="1041"/>
      <c r="C650" s="1041"/>
      <c r="D650" s="1041"/>
      <c r="E650" s="1041"/>
      <c r="F650" s="1041"/>
      <c r="G650" s="1041"/>
      <c r="H650" s="1041"/>
      <c r="I650" s="1041"/>
      <c r="J650" s="1041"/>
      <c r="K650" s="1041"/>
      <c r="L650" s="1042" t="s">
        <v>2</v>
      </c>
      <c r="M650" s="1042"/>
      <c r="N650" s="1145"/>
      <c r="O650" s="1145"/>
      <c r="P650" s="1145"/>
      <c r="Q650" s="1145"/>
    </row>
    <row r="651" spans="1:17" ht="16.5">
      <c r="A651" s="401" t="s">
        <v>3</v>
      </c>
      <c r="B651" s="623" t="s">
        <v>4</v>
      </c>
      <c r="C651" s="400" t="s">
        <v>187</v>
      </c>
      <c r="D651" s="401" t="s">
        <v>6</v>
      </c>
      <c r="E651" s="401" t="s">
        <v>188</v>
      </c>
      <c r="F651" s="401" t="s">
        <v>8</v>
      </c>
      <c r="G651" s="401" t="s">
        <v>189</v>
      </c>
      <c r="H651" s="838" t="s">
        <v>190</v>
      </c>
      <c r="I651" s="838" t="s">
        <v>191</v>
      </c>
      <c r="J651" s="401" t="s">
        <v>289</v>
      </c>
      <c r="K651" s="525" t="s">
        <v>192</v>
      </c>
      <c r="L651" s="419" t="s">
        <v>4</v>
      </c>
      <c r="M651" s="524" t="s">
        <v>290</v>
      </c>
      <c r="N651" s="524" t="s">
        <v>6</v>
      </c>
      <c r="O651" s="524" t="s">
        <v>14</v>
      </c>
      <c r="P651" s="524" t="s">
        <v>8</v>
      </c>
      <c r="Q651" s="419" t="s">
        <v>193</v>
      </c>
    </row>
    <row r="652" spans="1:17" ht="15.75">
      <c r="A652" s="1043">
        <v>7</v>
      </c>
      <c r="B652" s="709">
        <v>15484</v>
      </c>
      <c r="C652" s="257">
        <v>0.1</v>
      </c>
      <c r="D652" s="34" t="s">
        <v>461</v>
      </c>
      <c r="E652" s="330">
        <v>1500000</v>
      </c>
      <c r="F652" s="257">
        <v>0.08</v>
      </c>
      <c r="G652" s="330">
        <f>E652*F652</f>
        <v>120000</v>
      </c>
      <c r="H652" s="712" t="s">
        <v>53</v>
      </c>
      <c r="I652" s="712" t="s">
        <v>337</v>
      </c>
      <c r="J652" s="709" t="s">
        <v>294</v>
      </c>
      <c r="K652" s="961"/>
      <c r="L652" s="846"/>
      <c r="M652" s="1011">
        <v>15584</v>
      </c>
      <c r="N652" s="822" t="s">
        <v>462</v>
      </c>
      <c r="O652" s="823">
        <v>1800000</v>
      </c>
      <c r="P652" s="1012">
        <v>0.04</v>
      </c>
      <c r="Q652" s="878">
        <f>O652*P652</f>
        <v>72000</v>
      </c>
    </row>
    <row r="653" spans="1:17" ht="15.75">
      <c r="A653" s="1043"/>
      <c r="B653" s="709">
        <v>15498</v>
      </c>
      <c r="C653" s="257">
        <v>0.1</v>
      </c>
      <c r="D653" s="34" t="s">
        <v>463</v>
      </c>
      <c r="E653" s="330">
        <v>1800000</v>
      </c>
      <c r="F653" s="257">
        <v>0.04</v>
      </c>
      <c r="G653" s="330">
        <f t="shared" ref="G653:G657" si="29">E653*F653</f>
        <v>72000</v>
      </c>
      <c r="H653" s="712" t="s">
        <v>34</v>
      </c>
      <c r="I653" s="712" t="s">
        <v>342</v>
      </c>
      <c r="J653" s="709" t="s">
        <v>294</v>
      </c>
      <c r="K653" s="961"/>
      <c r="L653" s="846"/>
      <c r="M653" s="962"/>
      <c r="N653" s="951"/>
      <c r="O653" s="963"/>
      <c r="P653" s="964"/>
      <c r="Q653" s="954"/>
    </row>
    <row r="654" spans="1:17" ht="15.75">
      <c r="A654" s="1043"/>
      <c r="B654" s="709">
        <v>15505</v>
      </c>
      <c r="C654" s="257">
        <v>0.1</v>
      </c>
      <c r="D654" s="34" t="s">
        <v>464</v>
      </c>
      <c r="E654" s="330">
        <v>1300000</v>
      </c>
      <c r="F654" s="257">
        <v>0.05</v>
      </c>
      <c r="G654" s="330">
        <f t="shared" si="29"/>
        <v>65000</v>
      </c>
      <c r="H654" s="712" t="s">
        <v>22</v>
      </c>
      <c r="I654" s="712" t="s">
        <v>27</v>
      </c>
      <c r="J654" s="709" t="s">
        <v>294</v>
      </c>
      <c r="K654" s="961"/>
      <c r="L654" s="846"/>
      <c r="M654" s="771"/>
      <c r="N654" s="863"/>
      <c r="O654" s="862"/>
      <c r="P654" s="964"/>
      <c r="Q654" s="954"/>
    </row>
    <row r="655" spans="1:17" ht="15.75">
      <c r="A655" s="1043"/>
      <c r="B655" s="709">
        <v>15533</v>
      </c>
      <c r="C655" s="257">
        <v>0.1</v>
      </c>
      <c r="D655" s="34" t="s">
        <v>465</v>
      </c>
      <c r="E655" s="330">
        <v>1300000</v>
      </c>
      <c r="F655" s="257">
        <v>0.04</v>
      </c>
      <c r="G655" s="330">
        <f t="shared" si="29"/>
        <v>52000</v>
      </c>
      <c r="H655" s="712" t="s">
        <v>466</v>
      </c>
      <c r="I655" s="712" t="s">
        <v>342</v>
      </c>
      <c r="J655" s="709" t="s">
        <v>294</v>
      </c>
      <c r="K655" s="961"/>
      <c r="L655" s="846"/>
      <c r="M655" s="846"/>
      <c r="N655" s="784"/>
      <c r="O655" s="965"/>
      <c r="P655" s="966"/>
      <c r="Q655" s="967"/>
    </row>
    <row r="656" spans="1:17" ht="15.75">
      <c r="A656" s="1043"/>
      <c r="B656" s="709">
        <v>15609</v>
      </c>
      <c r="C656" s="710">
        <v>0.08</v>
      </c>
      <c r="D656" s="34" t="s">
        <v>467</v>
      </c>
      <c r="E656" s="330">
        <v>1350000</v>
      </c>
      <c r="F656" s="710">
        <v>0.04</v>
      </c>
      <c r="G656" s="330">
        <f t="shared" si="29"/>
        <v>54000</v>
      </c>
      <c r="H656" s="712" t="s">
        <v>22</v>
      </c>
      <c r="I656" s="712" t="s">
        <v>342</v>
      </c>
      <c r="J656" s="709" t="s">
        <v>294</v>
      </c>
      <c r="K656" s="961"/>
      <c r="L656" s="846"/>
      <c r="M656" s="846"/>
      <c r="N656" s="784"/>
      <c r="O656" s="965"/>
      <c r="P656" s="966"/>
      <c r="Q656" s="967"/>
    </row>
    <row r="657" spans="1:17" ht="15.75">
      <c r="A657" s="1043"/>
      <c r="B657" s="709">
        <v>15661</v>
      </c>
      <c r="C657" s="257">
        <v>0.1</v>
      </c>
      <c r="D657" s="34" t="s">
        <v>468</v>
      </c>
      <c r="E657" s="330">
        <v>3200000</v>
      </c>
      <c r="F657" s="257">
        <v>0.05</v>
      </c>
      <c r="G657" s="330">
        <f t="shared" si="29"/>
        <v>160000</v>
      </c>
      <c r="H657" s="712" t="s">
        <v>22</v>
      </c>
      <c r="I657" s="712" t="s">
        <v>402</v>
      </c>
      <c r="J657" s="709"/>
      <c r="K657" s="961"/>
      <c r="L657" s="846"/>
      <c r="M657" s="846"/>
      <c r="N657" s="784"/>
      <c r="O657" s="965"/>
      <c r="P657" s="966"/>
      <c r="Q657" s="967"/>
    </row>
    <row r="658" spans="1:17" ht="15.75">
      <c r="A658" s="1043"/>
      <c r="B658" s="733" t="s">
        <v>305</v>
      </c>
      <c r="C658" s="265"/>
      <c r="D658" s="92" t="s">
        <v>469</v>
      </c>
      <c r="E658" s="836"/>
      <c r="F658" s="265"/>
      <c r="G658" s="836"/>
      <c r="H658" s="829"/>
      <c r="I658" s="829" t="s">
        <v>402</v>
      </c>
      <c r="J658" s="733"/>
      <c r="K658" s="961"/>
      <c r="L658" s="846"/>
      <c r="M658" s="846"/>
      <c r="N658" s="784"/>
      <c r="O658" s="965"/>
      <c r="P658" s="966"/>
      <c r="Q658" s="967"/>
    </row>
    <row r="659" spans="1:17" ht="15.75">
      <c r="A659" s="1043"/>
      <c r="B659" s="733" t="s">
        <v>427</v>
      </c>
      <c r="C659" s="265"/>
      <c r="D659" s="92" t="s">
        <v>470</v>
      </c>
      <c r="E659" s="836"/>
      <c r="F659" s="265"/>
      <c r="G659" s="836"/>
      <c r="H659" s="829"/>
      <c r="I659" s="829" t="s">
        <v>402</v>
      </c>
      <c r="J659" s="733"/>
      <c r="K659" s="961"/>
      <c r="L659" s="846"/>
      <c r="M659" s="846"/>
      <c r="N659" s="784"/>
      <c r="O659" s="965"/>
      <c r="P659" s="966"/>
      <c r="Q659" s="967"/>
    </row>
    <row r="660" spans="1:17" ht="15.75">
      <c r="A660" s="1043"/>
      <c r="B660" s="733" t="s">
        <v>427</v>
      </c>
      <c r="C660" s="747"/>
      <c r="D660" s="92" t="s">
        <v>471</v>
      </c>
      <c r="E660" s="836"/>
      <c r="F660" s="747"/>
      <c r="G660" s="836"/>
      <c r="H660" s="829" t="s">
        <v>22</v>
      </c>
      <c r="I660" s="829" t="s">
        <v>337</v>
      </c>
      <c r="J660" s="733"/>
      <c r="K660" s="961"/>
      <c r="L660" s="846"/>
      <c r="M660" s="846"/>
      <c r="N660" s="784"/>
      <c r="O660" s="965"/>
      <c r="P660" s="966"/>
      <c r="Q660" s="967"/>
    </row>
    <row r="661" spans="1:17" ht="18">
      <c r="A661" s="1044"/>
      <c r="B661" s="449"/>
      <c r="C661" s="436"/>
      <c r="D661" s="702" t="s">
        <v>45</v>
      </c>
      <c r="E661" s="703">
        <f>SUM(E652:E660)</f>
        <v>10450000</v>
      </c>
      <c r="F661" s="18" t="s">
        <v>45</v>
      </c>
      <c r="G661" s="703">
        <f>SUM(G652:G660)</f>
        <v>523000</v>
      </c>
      <c r="H661" s="425"/>
      <c r="I661" s="425"/>
      <c r="J661" s="425"/>
      <c r="K661" s="527"/>
      <c r="L661" s="426" t="s">
        <v>211</v>
      </c>
      <c r="M661" s="426"/>
      <c r="N661" s="426"/>
      <c r="O661" s="426"/>
      <c r="P661" s="705" t="s">
        <v>45</v>
      </c>
      <c r="Q661" s="804">
        <f>G661+Q652</f>
        <v>595000</v>
      </c>
    </row>
    <row r="662" spans="1:17" ht="33.75">
      <c r="A662" s="451"/>
      <c r="B662" s="452"/>
      <c r="C662" s="453"/>
      <c r="D662" s="438"/>
      <c r="E662" s="439"/>
      <c r="F662" s="438"/>
      <c r="G662" s="439"/>
      <c r="H662" s="438"/>
      <c r="I662" s="438"/>
      <c r="J662" s="438"/>
      <c r="K662" s="438"/>
      <c r="L662" s="440"/>
      <c r="M662" s="440"/>
      <c r="N662" s="440"/>
      <c r="O662" s="440"/>
      <c r="P662" s="441"/>
      <c r="Q662" s="442"/>
    </row>
    <row r="663" spans="1:17" ht="18">
      <c r="A663" s="1034" t="s">
        <v>221</v>
      </c>
      <c r="B663" s="1045"/>
      <c r="C663" s="1045"/>
      <c r="D663" s="1045"/>
      <c r="E663" s="1045"/>
      <c r="F663" s="1045"/>
      <c r="G663" s="1045"/>
      <c r="H663" s="1045"/>
      <c r="I663" s="1045"/>
      <c r="J663" s="1045"/>
      <c r="K663" s="1045"/>
      <c r="L663" s="1042" t="s">
        <v>2</v>
      </c>
      <c r="M663" s="1042"/>
      <c r="N663" s="1145"/>
      <c r="O663" s="1145"/>
      <c r="P663" s="1145"/>
      <c r="Q663" s="1145"/>
    </row>
    <row r="664" spans="1:17" ht="16.5">
      <c r="A664" s="398" t="s">
        <v>3</v>
      </c>
      <c r="B664" s="623" t="s">
        <v>4</v>
      </c>
      <c r="C664" s="400" t="s">
        <v>187</v>
      </c>
      <c r="D664" s="837" t="s">
        <v>6</v>
      </c>
      <c r="E664" s="837" t="s">
        <v>188</v>
      </c>
      <c r="F664" s="401" t="s">
        <v>8</v>
      </c>
      <c r="G664" s="401" t="s">
        <v>189</v>
      </c>
      <c r="H664" s="838" t="s">
        <v>190</v>
      </c>
      <c r="I664" s="838" t="s">
        <v>191</v>
      </c>
      <c r="J664" s="398" t="s">
        <v>289</v>
      </c>
      <c r="K664" s="525" t="s">
        <v>192</v>
      </c>
      <c r="L664" s="419" t="s">
        <v>4</v>
      </c>
      <c r="M664" s="524" t="s">
        <v>290</v>
      </c>
      <c r="N664" s="524" t="s">
        <v>6</v>
      </c>
      <c r="O664" s="524" t="s">
        <v>14</v>
      </c>
      <c r="P664" s="524" t="s">
        <v>8</v>
      </c>
      <c r="Q664" s="419" t="s">
        <v>193</v>
      </c>
    </row>
    <row r="665" spans="1:17" ht="15.75">
      <c r="A665" s="1031"/>
      <c r="B665" s="709">
        <v>15415</v>
      </c>
      <c r="C665" s="33">
        <v>0.1</v>
      </c>
      <c r="D665" s="35" t="s">
        <v>472</v>
      </c>
      <c r="E665" s="12">
        <v>1650000</v>
      </c>
      <c r="F665" s="710"/>
      <c r="G665" s="828"/>
      <c r="H665" s="728" t="s">
        <v>22</v>
      </c>
      <c r="I665" s="728" t="s">
        <v>473</v>
      </c>
      <c r="J665" s="728" t="s">
        <v>294</v>
      </c>
      <c r="K665" s="117"/>
      <c r="L665" s="117"/>
      <c r="M665" s="709">
        <v>15406</v>
      </c>
      <c r="N665" s="839" t="s">
        <v>446</v>
      </c>
      <c r="O665" s="786">
        <v>1380000</v>
      </c>
      <c r="P665" s="786"/>
      <c r="Q665" s="793"/>
    </row>
    <row r="666" spans="1:17" ht="15.75">
      <c r="A666" s="1031"/>
      <c r="B666" s="733" t="s">
        <v>37</v>
      </c>
      <c r="C666" s="990" t="s">
        <v>408</v>
      </c>
      <c r="D666" s="749" t="s">
        <v>474</v>
      </c>
      <c r="E666" s="991"/>
      <c r="F666" s="751"/>
      <c r="G666" s="752"/>
      <c r="H666" s="992"/>
      <c r="I666" s="992" t="s">
        <v>417</v>
      </c>
      <c r="J666" s="993"/>
      <c r="K666" s="527"/>
      <c r="L666" s="869"/>
      <c r="M666" s="709">
        <v>15430</v>
      </c>
      <c r="N666" s="839" t="s">
        <v>447</v>
      </c>
      <c r="O666" s="786">
        <v>1900000</v>
      </c>
      <c r="P666" s="786"/>
      <c r="Q666" s="795"/>
    </row>
    <row r="667" spans="1:17" ht="15.75">
      <c r="A667" s="1031"/>
      <c r="B667" s="781"/>
      <c r="C667" s="971"/>
      <c r="D667" s="972"/>
      <c r="E667" s="973"/>
      <c r="F667" s="974"/>
      <c r="G667" s="975"/>
      <c r="H667" s="977"/>
      <c r="I667" s="976"/>
      <c r="J667" s="425"/>
      <c r="K667" s="527"/>
      <c r="L667" s="869"/>
      <c r="M667" s="709">
        <v>15443</v>
      </c>
      <c r="N667" s="839" t="s">
        <v>448</v>
      </c>
      <c r="O667" s="786">
        <v>1400000</v>
      </c>
      <c r="P667" s="786"/>
      <c r="Q667" s="795"/>
    </row>
    <row r="668" spans="1:17" ht="15.75">
      <c r="A668" s="1031"/>
      <c r="B668" s="781"/>
      <c r="C668" s="971"/>
      <c r="D668" s="972"/>
      <c r="E668" s="973"/>
      <c r="F668" s="974"/>
      <c r="G668" s="975"/>
      <c r="H668" s="977"/>
      <c r="I668" s="976"/>
      <c r="J668" s="425"/>
      <c r="K668" s="527"/>
      <c r="L668" s="869"/>
      <c r="M668" s="709">
        <v>15440</v>
      </c>
      <c r="N668" s="839" t="s">
        <v>459</v>
      </c>
      <c r="O668" s="786">
        <v>850000</v>
      </c>
      <c r="P668" s="786"/>
      <c r="Q668" s="795"/>
    </row>
    <row r="669" spans="1:17" ht="15.75">
      <c r="A669" s="1031"/>
      <c r="B669" s="781"/>
      <c r="C669" s="971"/>
      <c r="D669" s="972"/>
      <c r="E669" s="973"/>
      <c r="F669" s="974"/>
      <c r="G669" s="975"/>
      <c r="H669" s="977"/>
      <c r="I669" s="976"/>
      <c r="J669" s="425"/>
      <c r="K669" s="527"/>
      <c r="L669" s="869"/>
      <c r="M669" s="709">
        <v>15451</v>
      </c>
      <c r="N669" s="839" t="s">
        <v>449</v>
      </c>
      <c r="O669" s="786">
        <v>1000000</v>
      </c>
      <c r="P669" s="786"/>
      <c r="Q669" s="795"/>
    </row>
    <row r="670" spans="1:17" ht="15.75">
      <c r="A670" s="1031"/>
      <c r="B670" s="781"/>
      <c r="C670" s="971"/>
      <c r="D670" s="972"/>
      <c r="E670" s="973"/>
      <c r="F670" s="974"/>
      <c r="G670" s="975"/>
      <c r="H670" s="977"/>
      <c r="I670" s="976"/>
      <c r="J670" s="425"/>
      <c r="K670" s="527"/>
      <c r="L670" s="869"/>
      <c r="M670" s="995">
        <v>15490</v>
      </c>
      <c r="N670" s="839" t="s">
        <v>452</v>
      </c>
      <c r="O670" s="786">
        <v>1530000</v>
      </c>
      <c r="P670" s="786"/>
      <c r="Q670" s="795"/>
    </row>
    <row r="671" spans="1:17" ht="15.75">
      <c r="A671" s="1031"/>
      <c r="B671" s="781"/>
      <c r="C671" s="971"/>
      <c r="D671" s="972"/>
      <c r="E671" s="973"/>
      <c r="F671" s="974"/>
      <c r="G671" s="975"/>
      <c r="H671" s="977"/>
      <c r="I671" s="976"/>
      <c r="J671" s="425"/>
      <c r="K671" s="527"/>
      <c r="L671" s="869"/>
      <c r="M671" s="994">
        <v>15541</v>
      </c>
      <c r="N671" s="839" t="s">
        <v>453</v>
      </c>
      <c r="O671" s="786">
        <v>1350000</v>
      </c>
      <c r="P671" s="786"/>
      <c r="Q671" s="795"/>
    </row>
    <row r="672" spans="1:17" ht="15.75">
      <c r="A672" s="1031"/>
      <c r="B672" s="781"/>
      <c r="C672" s="971"/>
      <c r="D672" s="972"/>
      <c r="E672" s="973"/>
      <c r="F672" s="974"/>
      <c r="G672" s="975"/>
      <c r="H672" s="977"/>
      <c r="I672" s="976"/>
      <c r="J672" s="425"/>
      <c r="K672" s="527"/>
      <c r="L672" s="869"/>
      <c r="M672" s="709">
        <v>15623</v>
      </c>
      <c r="N672" s="839" t="s">
        <v>454</v>
      </c>
      <c r="O672" s="786">
        <v>1300000</v>
      </c>
      <c r="P672" s="786"/>
      <c r="Q672" s="795"/>
    </row>
    <row r="673" spans="1:17" ht="15.75">
      <c r="A673" s="1031"/>
      <c r="B673" s="781"/>
      <c r="C673" s="971"/>
      <c r="D673" s="972"/>
      <c r="E673" s="973"/>
      <c r="F673" s="974"/>
      <c r="G673" s="975"/>
      <c r="H673" s="977"/>
      <c r="I673" s="976"/>
      <c r="J673" s="425"/>
      <c r="K673" s="527"/>
      <c r="L673" s="869"/>
      <c r="M673" s="709">
        <v>15550</v>
      </c>
      <c r="N673" s="839" t="s">
        <v>455</v>
      </c>
      <c r="O673" s="786">
        <v>1400000</v>
      </c>
      <c r="P673" s="786"/>
      <c r="Q673" s="795"/>
    </row>
    <row r="674" spans="1:17" ht="15.75">
      <c r="A674" s="1031"/>
      <c r="B674" s="781"/>
      <c r="C674" s="971"/>
      <c r="D674" s="425"/>
      <c r="E674" s="777"/>
      <c r="F674" s="779"/>
      <c r="G674" s="870"/>
      <c r="H674" s="977"/>
      <c r="I674" s="976"/>
      <c r="J674" s="425"/>
      <c r="K674" s="527"/>
      <c r="L674" s="979"/>
      <c r="M674" s="709">
        <v>15620</v>
      </c>
      <c r="N674" s="1000" t="s">
        <v>456</v>
      </c>
      <c r="O674" s="856">
        <v>1350000</v>
      </c>
      <c r="P674" s="856"/>
      <c r="Q674" s="795"/>
    </row>
    <row r="675" spans="1:17" ht="15.75">
      <c r="A675" s="1031"/>
      <c r="B675" s="781"/>
      <c r="C675" s="971"/>
      <c r="D675" s="425"/>
      <c r="E675" s="777"/>
      <c r="F675" s="779"/>
      <c r="G675" s="870"/>
      <c r="H675" s="977"/>
      <c r="I675" s="976"/>
      <c r="J675" s="425"/>
      <c r="K675" s="527"/>
      <c r="L675" s="979"/>
      <c r="M675" s="997">
        <v>15621</v>
      </c>
      <c r="N675" s="148" t="s">
        <v>457</v>
      </c>
      <c r="O675" s="12">
        <v>1400000</v>
      </c>
      <c r="P675" s="12"/>
      <c r="Q675" s="1018"/>
    </row>
    <row r="676" spans="1:17" ht="15.75">
      <c r="A676" s="1031"/>
      <c r="B676" s="781"/>
      <c r="C676" s="971"/>
      <c r="D676" s="1014"/>
      <c r="E676" s="1015"/>
      <c r="F676" s="1016"/>
      <c r="G676" s="1017"/>
      <c r="H676" s="977"/>
      <c r="I676" s="976"/>
      <c r="J676" s="425"/>
      <c r="K676" s="527"/>
      <c r="L676" s="979"/>
      <c r="M676" s="709">
        <v>15505</v>
      </c>
      <c r="N676" s="34" t="s">
        <v>464</v>
      </c>
      <c r="O676" s="330">
        <v>1300000</v>
      </c>
      <c r="P676" s="330"/>
      <c r="Q676" s="1018"/>
    </row>
    <row r="677" spans="1:17" ht="15.75">
      <c r="A677" s="1031"/>
      <c r="B677" s="781"/>
      <c r="C677" s="971"/>
      <c r="D677" s="1014"/>
      <c r="E677" s="1015"/>
      <c r="F677" s="1016"/>
      <c r="G677" s="1017"/>
      <c r="H677" s="977"/>
      <c r="I677" s="976"/>
      <c r="J677" s="425"/>
      <c r="K677" s="527"/>
      <c r="L677" s="979"/>
      <c r="M677" s="709">
        <v>15609</v>
      </c>
      <c r="N677" s="34" t="s">
        <v>467</v>
      </c>
      <c r="O677" s="330">
        <v>1350000</v>
      </c>
      <c r="P677" s="330"/>
      <c r="Q677" s="1018"/>
    </row>
    <row r="678" spans="1:17" ht="15.75">
      <c r="A678" s="1031"/>
      <c r="B678" s="781"/>
      <c r="C678" s="971"/>
      <c r="D678" s="1014"/>
      <c r="E678" s="1015"/>
      <c r="F678" s="1016"/>
      <c r="G678" s="1017"/>
      <c r="H678" s="977"/>
      <c r="I678" s="976"/>
      <c r="J678" s="425"/>
      <c r="K678" s="527"/>
      <c r="L678" s="979"/>
      <c r="M678" s="709"/>
      <c r="N678" s="34" t="s">
        <v>468</v>
      </c>
      <c r="O678" s="330">
        <v>3200000</v>
      </c>
      <c r="P678" s="330"/>
      <c r="Q678" s="1018"/>
    </row>
    <row r="679" spans="1:17" ht="15.75">
      <c r="A679" s="1032"/>
      <c r="B679" s="449"/>
      <c r="C679" s="436"/>
      <c r="D679" s="700" t="s">
        <v>45</v>
      </c>
      <c r="E679" s="800">
        <f>SUM(E665:E674)</f>
        <v>1650000</v>
      </c>
      <c r="F679" s="690" t="s">
        <v>45</v>
      </c>
      <c r="G679" s="701">
        <f>SUM(G665:G674)</f>
        <v>0</v>
      </c>
      <c r="H679" s="425"/>
      <c r="I679" s="425"/>
      <c r="J679" s="425"/>
      <c r="K679" s="527"/>
      <c r="L679" s="426" t="s">
        <v>211</v>
      </c>
      <c r="M679" s="788"/>
      <c r="N679" s="700"/>
      <c r="O679" s="800">
        <f>SUM(O665:O678)</f>
        <v>20710000</v>
      </c>
      <c r="P679" s="944"/>
      <c r="Q679" s="945"/>
    </row>
    <row r="682" spans="1:17" ht="18">
      <c r="B682" s="1154" t="s">
        <v>82</v>
      </c>
      <c r="C682" s="1154"/>
      <c r="D682" s="840"/>
      <c r="E682" s="929">
        <f>E679+E661+E647</f>
        <v>32810000</v>
      </c>
      <c r="F682" s="1030" t="s">
        <v>475</v>
      </c>
    </row>
    <row r="683" spans="1:17" ht="18">
      <c r="B683" s="1155" t="s">
        <v>83</v>
      </c>
      <c r="C683" s="1155"/>
      <c r="D683" s="693"/>
      <c r="E683" s="694"/>
    </row>
    <row r="684" spans="1:17" ht="18">
      <c r="B684" s="1156" t="s">
        <v>84</v>
      </c>
      <c r="C684" s="1156"/>
      <c r="D684" s="695"/>
      <c r="E684" s="696"/>
    </row>
    <row r="685" spans="1:17" ht="15.75">
      <c r="B685" s="1157" t="s">
        <v>85</v>
      </c>
      <c r="C685" s="1157"/>
      <c r="D685" s="695"/>
      <c r="E685" s="695"/>
    </row>
    <row r="686" spans="1:17" ht="15.75">
      <c r="B686" s="697"/>
      <c r="C686" s="698" t="s">
        <v>86</v>
      </c>
      <c r="D686" s="695"/>
      <c r="E686" s="699"/>
    </row>
    <row r="691" spans="1:17" ht="46.5">
      <c r="A691" s="1033" t="s">
        <v>476</v>
      </c>
      <c r="B691" s="1033"/>
      <c r="C691" s="1033"/>
      <c r="D691" s="1033"/>
      <c r="E691" s="1033"/>
      <c r="F691" s="1033"/>
      <c r="G691" s="1033"/>
      <c r="H691" s="1033"/>
      <c r="I691" s="1033"/>
      <c r="J691" s="1033"/>
      <c r="K691" s="1033"/>
      <c r="L691" s="1033"/>
      <c r="M691" s="1033"/>
      <c r="N691" s="1033"/>
      <c r="O691" s="1033"/>
      <c r="P691" s="1033"/>
      <c r="Q691" s="1033"/>
    </row>
    <row r="693" spans="1:17" ht="18">
      <c r="A693" s="1034" t="s">
        <v>288</v>
      </c>
      <c r="B693" s="1034"/>
      <c r="C693" s="1034"/>
      <c r="D693" s="1034"/>
      <c r="E693" s="1034"/>
      <c r="F693" s="1034"/>
      <c r="G693" s="1034"/>
      <c r="H693" s="1034"/>
      <c r="I693" s="1034"/>
      <c r="J693" s="1034"/>
      <c r="K693" s="1034"/>
      <c r="L693" s="1035" t="s">
        <v>2</v>
      </c>
      <c r="M693" s="1035"/>
      <c r="N693" s="1035"/>
      <c r="O693" s="1035"/>
      <c r="P693" s="1035"/>
      <c r="Q693" s="1036"/>
    </row>
    <row r="694" spans="1:17" ht="16.5">
      <c r="A694" s="398" t="s">
        <v>3</v>
      </c>
      <c r="B694" s="932" t="s">
        <v>4</v>
      </c>
      <c r="C694" s="930" t="s">
        <v>187</v>
      </c>
      <c r="D694" s="931" t="s">
        <v>6</v>
      </c>
      <c r="E694" s="931" t="s">
        <v>188</v>
      </c>
      <c r="F694" s="931" t="s">
        <v>8</v>
      </c>
      <c r="G694" s="931" t="s">
        <v>189</v>
      </c>
      <c r="H694" s="933" t="s">
        <v>190</v>
      </c>
      <c r="I694" s="933" t="s">
        <v>191</v>
      </c>
      <c r="J694" s="398" t="s">
        <v>289</v>
      </c>
      <c r="K694" s="398" t="s">
        <v>192</v>
      </c>
      <c r="L694" s="403" t="s">
        <v>4</v>
      </c>
      <c r="M694" s="791" t="s">
        <v>290</v>
      </c>
      <c r="N694" s="791" t="s">
        <v>6</v>
      </c>
      <c r="O694" s="791" t="s">
        <v>14</v>
      </c>
      <c r="P694" s="522" t="s">
        <v>8</v>
      </c>
      <c r="Q694" s="524" t="s">
        <v>193</v>
      </c>
    </row>
    <row r="695" spans="1:17" ht="15.75">
      <c r="A695" s="1037"/>
      <c r="B695" s="983" t="s">
        <v>37</v>
      </c>
      <c r="C695" s="998"/>
      <c r="D695" s="985" t="s">
        <v>477</v>
      </c>
      <c r="E695" s="999"/>
      <c r="F695" s="22"/>
      <c r="G695" s="24"/>
      <c r="H695" s="987"/>
      <c r="I695" s="988" t="s">
        <v>417</v>
      </c>
      <c r="J695" s="988"/>
      <c r="K695" s="117"/>
      <c r="L695" s="117"/>
      <c r="M695" s="949"/>
      <c r="N695" s="951"/>
      <c r="O695" s="952"/>
      <c r="P695" s="953"/>
      <c r="Q695" s="954"/>
    </row>
    <row r="696" spans="1:17" ht="15.75">
      <c r="A696" s="1038"/>
      <c r="B696" s="983" t="s">
        <v>478</v>
      </c>
      <c r="C696" s="984"/>
      <c r="D696" s="985" t="s">
        <v>479</v>
      </c>
      <c r="E696" s="986"/>
      <c r="F696" s="22"/>
      <c r="G696" s="24"/>
      <c r="H696" s="987"/>
      <c r="I696" s="988" t="s">
        <v>27</v>
      </c>
      <c r="J696" s="988"/>
      <c r="K696" s="304"/>
      <c r="L696" s="117"/>
      <c r="M696" s="949"/>
      <c r="N696" s="951"/>
      <c r="O696" s="989"/>
      <c r="P696" s="953"/>
      <c r="Q696" s="954"/>
    </row>
    <row r="697" spans="1:17" ht="15.75">
      <c r="A697" s="1038"/>
      <c r="B697" s="1019" t="s">
        <v>480</v>
      </c>
      <c r="C697" s="1020"/>
      <c r="D697" s="1021" t="s">
        <v>481</v>
      </c>
      <c r="E697" s="1022"/>
      <c r="F697" s="1023"/>
      <c r="G697" s="1024"/>
      <c r="H697" s="1025"/>
      <c r="I697" s="1026" t="s">
        <v>402</v>
      </c>
      <c r="J697" s="1026"/>
      <c r="K697" s="304"/>
      <c r="L697" s="117"/>
      <c r="M697" s="949"/>
      <c r="N697" s="951"/>
      <c r="O697" s="989"/>
      <c r="P697" s="953"/>
      <c r="Q697" s="954"/>
    </row>
    <row r="698" spans="1:17" ht="15.75">
      <c r="A698" s="1038"/>
      <c r="B698" s="1019" t="s">
        <v>480</v>
      </c>
      <c r="C698" s="1020"/>
      <c r="D698" s="1021" t="s">
        <v>482</v>
      </c>
      <c r="E698" s="1022"/>
      <c r="F698" s="1023"/>
      <c r="G698" s="1024"/>
      <c r="H698" s="1025"/>
      <c r="I698" s="1026" t="s">
        <v>27</v>
      </c>
      <c r="J698" s="1026"/>
      <c r="K698" s="304"/>
      <c r="L698" s="117"/>
      <c r="M698" s="949"/>
      <c r="N698" s="951"/>
      <c r="O698" s="989"/>
      <c r="P698" s="953"/>
      <c r="Q698" s="954"/>
    </row>
    <row r="699" spans="1:17" ht="15.75">
      <c r="A699" s="1038"/>
      <c r="B699" s="733" t="s">
        <v>305</v>
      </c>
      <c r="C699" s="887"/>
      <c r="D699" s="334" t="s">
        <v>483</v>
      </c>
      <c r="E699" s="888"/>
      <c r="F699" s="40"/>
      <c r="G699" s="42"/>
      <c r="H699" s="829"/>
      <c r="I699" s="88" t="s">
        <v>337</v>
      </c>
      <c r="J699" s="88"/>
      <c r="K699" s="304"/>
      <c r="L699" s="117"/>
      <c r="M699" s="949"/>
      <c r="N699" s="951"/>
      <c r="O699" s="989"/>
      <c r="P699" s="953"/>
      <c r="Q699" s="954"/>
    </row>
    <row r="700" spans="1:17" ht="15.75">
      <c r="A700" s="1038"/>
      <c r="B700" s="771"/>
      <c r="C700" s="861"/>
      <c r="D700" s="863"/>
      <c r="E700" s="862"/>
      <c r="F700" s="772"/>
      <c r="G700" s="774"/>
      <c r="H700" s="949"/>
      <c r="I700" s="950"/>
      <c r="J700" s="950"/>
      <c r="K700" s="304"/>
      <c r="L700" s="117"/>
      <c r="M700" s="949"/>
      <c r="N700" s="951"/>
      <c r="O700" s="989"/>
      <c r="P700" s="953"/>
      <c r="Q700" s="954"/>
    </row>
    <row r="701" spans="1:17" ht="15.75">
      <c r="A701" s="1038"/>
      <c r="B701" s="771"/>
      <c r="C701" s="861"/>
      <c r="D701" s="863"/>
      <c r="E701" s="862"/>
      <c r="F701" s="772"/>
      <c r="G701" s="774"/>
      <c r="H701" s="949"/>
      <c r="I701" s="950"/>
      <c r="J701" s="950"/>
      <c r="K701" s="304"/>
      <c r="L701" s="117"/>
      <c r="M701" s="949"/>
      <c r="N701" s="951"/>
      <c r="O701" s="989"/>
      <c r="P701" s="953"/>
      <c r="Q701" s="954"/>
    </row>
    <row r="702" spans="1:17" ht="15.75">
      <c r="A702" s="1038"/>
      <c r="B702" s="1001"/>
      <c r="C702" s="861"/>
      <c r="D702" s="863"/>
      <c r="E702" s="862"/>
      <c r="F702" s="772"/>
      <c r="G702" s="774"/>
      <c r="H702" s="949"/>
      <c r="I702" s="950"/>
      <c r="J702" s="950"/>
      <c r="K702" s="304"/>
      <c r="L702" s="117"/>
      <c r="M702" s="949"/>
      <c r="N702" s="951"/>
      <c r="O702" s="989"/>
      <c r="P702" s="953"/>
      <c r="Q702" s="954"/>
    </row>
    <row r="703" spans="1:17" ht="15.75">
      <c r="A703" s="1038"/>
      <c r="B703" s="1002"/>
      <c r="C703" s="861"/>
      <c r="D703" s="863"/>
      <c r="E703" s="862"/>
      <c r="F703" s="772"/>
      <c r="G703" s="774"/>
      <c r="H703" s="949"/>
      <c r="I703" s="950"/>
      <c r="J703" s="950"/>
      <c r="K703" s="304"/>
      <c r="L703" s="117"/>
      <c r="M703" s="949"/>
      <c r="N703" s="951"/>
      <c r="O703" s="989"/>
      <c r="P703" s="953"/>
      <c r="Q703" s="954"/>
    </row>
    <row r="704" spans="1:17" ht="15.75">
      <c r="A704" s="1038"/>
      <c r="B704" s="771"/>
      <c r="C704" s="861"/>
      <c r="D704" s="863"/>
      <c r="E704" s="862"/>
      <c r="F704" s="772"/>
      <c r="G704" s="774"/>
      <c r="H704" s="949"/>
      <c r="I704" s="950"/>
      <c r="J704" s="950"/>
      <c r="K704" s="304"/>
      <c r="L704" s="117"/>
      <c r="M704" s="950"/>
      <c r="N704" s="773"/>
      <c r="O704" s="955"/>
      <c r="P704" s="956"/>
      <c r="Q704" s="954"/>
    </row>
    <row r="705" spans="1:17" ht="15.75">
      <c r="A705" s="1038"/>
      <c r="B705" s="771"/>
      <c r="C705" s="861"/>
      <c r="D705" s="863"/>
      <c r="E705" s="862"/>
      <c r="F705" s="772"/>
      <c r="G705" s="774"/>
      <c r="H705" s="949"/>
      <c r="I705" s="950"/>
      <c r="J705" s="950"/>
      <c r="K705" s="304"/>
      <c r="L705" s="117"/>
      <c r="M705" s="950"/>
      <c r="N705" s="773"/>
      <c r="O705" s="955"/>
      <c r="P705" s="996"/>
      <c r="Q705" s="954"/>
    </row>
    <row r="706" spans="1:17" ht="15.75">
      <c r="A706" s="1038"/>
      <c r="B706" s="771"/>
      <c r="C706" s="861"/>
      <c r="D706" s="863"/>
      <c r="E706" s="862"/>
      <c r="F706" s="772"/>
      <c r="G706" s="774"/>
      <c r="H706" s="949"/>
      <c r="I706" s="950"/>
      <c r="J706" s="950"/>
      <c r="K706" s="304"/>
      <c r="L706" s="117"/>
      <c r="M706" s="950"/>
      <c r="N706" s="773"/>
      <c r="O706" s="955"/>
      <c r="P706" s="996"/>
      <c r="Q706" s="954"/>
    </row>
    <row r="707" spans="1:17" ht="15.75">
      <c r="A707" s="1038"/>
      <c r="B707" s="771"/>
      <c r="C707" s="893"/>
      <c r="D707" s="1003"/>
      <c r="E707" s="865"/>
      <c r="F707" s="772"/>
      <c r="G707" s="774"/>
      <c r="H707" s="949"/>
      <c r="I707" s="950"/>
      <c r="J707" s="950"/>
      <c r="K707" s="304"/>
      <c r="L707" s="117"/>
      <c r="M707" s="950"/>
      <c r="N707" s="773"/>
      <c r="O707" s="955"/>
      <c r="P707" s="996"/>
      <c r="Q707" s="954"/>
    </row>
    <row r="708" spans="1:17" ht="15.75">
      <c r="A708" s="1038"/>
      <c r="B708" s="1004"/>
      <c r="C708" s="861"/>
      <c r="D708" s="785"/>
      <c r="E708" s="862"/>
      <c r="F708" s="1005"/>
      <c r="G708" s="774"/>
      <c r="H708" s="949"/>
      <c r="I708" s="950"/>
      <c r="J708" s="950"/>
      <c r="K708" s="304"/>
      <c r="L708" s="117"/>
      <c r="M708" s="950"/>
      <c r="N708" s="773"/>
      <c r="O708" s="955"/>
      <c r="P708" s="996"/>
      <c r="Q708" s="954"/>
    </row>
    <row r="709" spans="1:17" ht="15.75">
      <c r="A709" s="1038"/>
      <c r="B709" s="771"/>
      <c r="C709" s="1006"/>
      <c r="D709" s="863"/>
      <c r="E709" s="1007"/>
      <c r="F709" s="772"/>
      <c r="G709" s="774"/>
      <c r="H709" s="949"/>
      <c r="I709" s="950"/>
      <c r="J709" s="950"/>
      <c r="K709" s="304"/>
      <c r="L709" s="117"/>
      <c r="M709" s="117"/>
      <c r="N709" s="117"/>
      <c r="O709" s="957"/>
      <c r="P709" s="958"/>
      <c r="Q709" s="959"/>
    </row>
    <row r="710" spans="1:17" ht="15.75">
      <c r="A710" s="1038"/>
      <c r="B710" s="771"/>
      <c r="C710" s="861"/>
      <c r="D710" s="863"/>
      <c r="E710" s="862"/>
      <c r="F710" s="772"/>
      <c r="G710" s="774"/>
      <c r="H710" s="949"/>
      <c r="I710" s="950"/>
      <c r="J710" s="950"/>
      <c r="K710" s="304"/>
      <c r="L710" s="117"/>
      <c r="M710" s="117"/>
      <c r="N710" s="117"/>
      <c r="O710" s="957"/>
      <c r="P710" s="958"/>
      <c r="Q710" s="959"/>
    </row>
    <row r="711" spans="1:17" ht="15.75">
      <c r="A711" s="1038"/>
      <c r="B711" s="771"/>
      <c r="C711" s="861"/>
      <c r="D711" s="863"/>
      <c r="E711" s="862"/>
      <c r="F711" s="772"/>
      <c r="G711" s="774"/>
      <c r="H711" s="949"/>
      <c r="I711" s="950"/>
      <c r="J711" s="950"/>
      <c r="K711" s="304"/>
      <c r="L711" s="117"/>
      <c r="M711" s="117"/>
      <c r="N711" s="117"/>
      <c r="O711" s="957"/>
      <c r="P711" s="958"/>
      <c r="Q711" s="959"/>
    </row>
    <row r="712" spans="1:17" ht="15.75">
      <c r="A712" s="1038"/>
      <c r="B712" s="771"/>
      <c r="C712" s="861"/>
      <c r="D712" s="863"/>
      <c r="E712" s="862"/>
      <c r="F712" s="772"/>
      <c r="G712" s="774"/>
      <c r="H712" s="949"/>
      <c r="I712" s="950"/>
      <c r="J712" s="950"/>
      <c r="K712" s="304"/>
      <c r="L712" s="117"/>
      <c r="M712" s="117"/>
      <c r="N712" s="117"/>
      <c r="O712" s="957"/>
      <c r="P712" s="958"/>
      <c r="Q712" s="959"/>
    </row>
    <row r="713" spans="1:17" ht="15.75">
      <c r="A713" s="1038"/>
      <c r="B713" s="771"/>
      <c r="C713" s="861"/>
      <c r="D713" s="863"/>
      <c r="E713" s="862"/>
      <c r="F713" s="772"/>
      <c r="G713" s="774"/>
      <c r="H713" s="949"/>
      <c r="I713" s="950"/>
      <c r="J713" s="950"/>
      <c r="K713" s="304"/>
      <c r="L713" s="117"/>
      <c r="M713" s="117"/>
      <c r="N713" s="117"/>
      <c r="O713" s="957"/>
      <c r="P713" s="958"/>
      <c r="Q713" s="959"/>
    </row>
    <row r="714" spans="1:17" ht="15.75">
      <c r="A714" s="1038"/>
      <c r="B714" s="771"/>
      <c r="C714" s="960"/>
      <c r="D714" s="863"/>
      <c r="E714" s="862"/>
      <c r="F714" s="775"/>
      <c r="G714" s="774"/>
      <c r="H714" s="949"/>
      <c r="I714" s="950"/>
      <c r="J714" s="950"/>
      <c r="K714" s="304"/>
      <c r="L714" s="117"/>
      <c r="M714" s="117"/>
      <c r="N714" s="117"/>
      <c r="O714" s="957"/>
      <c r="P714" s="958"/>
      <c r="Q714" s="959"/>
    </row>
    <row r="715" spans="1:17" ht="15.75">
      <c r="A715" s="1038"/>
      <c r="B715" s="771"/>
      <c r="C715" s="861"/>
      <c r="D715" s="863"/>
      <c r="E715" s="862"/>
      <c r="F715" s="772"/>
      <c r="G715" s="774"/>
      <c r="H715" s="949"/>
      <c r="I715" s="950"/>
      <c r="J715" s="950"/>
      <c r="K715" s="304"/>
      <c r="L715" s="117"/>
      <c r="M715" s="117"/>
      <c r="N715" s="117"/>
      <c r="O715" s="957"/>
      <c r="P715" s="958"/>
      <c r="Q715" s="959"/>
    </row>
    <row r="716" spans="1:17" ht="15.75">
      <c r="A716" s="1038"/>
      <c r="B716" s="771"/>
      <c r="C716" s="861"/>
      <c r="D716" s="863"/>
      <c r="E716" s="862"/>
      <c r="F716" s="772"/>
      <c r="G716" s="774"/>
      <c r="H716" s="949"/>
      <c r="I716" s="950"/>
      <c r="J716" s="950"/>
      <c r="K716" s="304"/>
      <c r="L716" s="117"/>
      <c r="M716" s="117"/>
      <c r="N716" s="117"/>
      <c r="O716" s="957"/>
      <c r="P716" s="958"/>
      <c r="Q716" s="959"/>
    </row>
    <row r="717" spans="1:17" ht="15.75">
      <c r="A717" s="1038"/>
      <c r="B717" s="771"/>
      <c r="C717" s="861"/>
      <c r="D717" s="863"/>
      <c r="E717" s="862"/>
      <c r="F717" s="775"/>
      <c r="G717" s="860"/>
      <c r="H717" s="949"/>
      <c r="I717" s="950"/>
      <c r="J717" s="950"/>
      <c r="K717" s="304"/>
      <c r="L717" s="117"/>
      <c r="M717" s="117"/>
      <c r="N717" s="117"/>
      <c r="O717" s="957"/>
      <c r="P717" s="958"/>
      <c r="Q717" s="959"/>
    </row>
    <row r="718" spans="1:17" ht="18">
      <c r="A718" s="1039"/>
      <c r="B718" s="421"/>
      <c r="C718" s="422"/>
      <c r="D718" s="700" t="s">
        <v>45</v>
      </c>
      <c r="E718" s="800">
        <f>SUM(E695:E717)</f>
        <v>0</v>
      </c>
      <c r="F718" s="690" t="s">
        <v>45</v>
      </c>
      <c r="G718" s="800">
        <f>SUM(G695:G717)</f>
        <v>0</v>
      </c>
      <c r="H718" s="425"/>
      <c r="I718" s="425"/>
      <c r="J718" s="425"/>
      <c r="K718" s="425"/>
      <c r="L718" s="426" t="s">
        <v>211</v>
      </c>
      <c r="M718" s="427"/>
      <c r="N718" s="427"/>
      <c r="O718" s="428"/>
      <c r="P718" s="707" t="s">
        <v>86</v>
      </c>
      <c r="Q718" s="804">
        <f>G718+Q695+Q704</f>
        <v>0</v>
      </c>
    </row>
    <row r="719" spans="1:17">
      <c r="A719" s="430"/>
      <c r="B719" s="431"/>
      <c r="C719" s="432"/>
      <c r="D719" s="430"/>
      <c r="E719" s="430"/>
      <c r="F719" s="430"/>
      <c r="G719" s="430"/>
      <c r="H719" s="430"/>
      <c r="I719" s="430"/>
      <c r="J719" s="430"/>
      <c r="K719" s="430"/>
    </row>
    <row r="720" spans="1:17">
      <c r="B720" s="454"/>
      <c r="C720" s="455"/>
    </row>
    <row r="721" spans="1:17" ht="18">
      <c r="A721" s="1040" t="s">
        <v>213</v>
      </c>
      <c r="B721" s="1041"/>
      <c r="C721" s="1041"/>
      <c r="D721" s="1041"/>
      <c r="E721" s="1041"/>
      <c r="F721" s="1041"/>
      <c r="G721" s="1041"/>
      <c r="H721" s="1041"/>
      <c r="I721" s="1041"/>
      <c r="J721" s="1041"/>
      <c r="K721" s="1041"/>
      <c r="L721" s="1042" t="s">
        <v>2</v>
      </c>
      <c r="M721" s="1042"/>
      <c r="N721" s="1145"/>
      <c r="O721" s="1145"/>
      <c r="P721" s="1145"/>
      <c r="Q721" s="1145"/>
    </row>
    <row r="722" spans="1:17" ht="16.5">
      <c r="A722" s="401" t="s">
        <v>3</v>
      </c>
      <c r="B722" s="623" t="s">
        <v>4</v>
      </c>
      <c r="C722" s="400" t="s">
        <v>187</v>
      </c>
      <c r="D722" s="401" t="s">
        <v>6</v>
      </c>
      <c r="E722" s="401" t="s">
        <v>188</v>
      </c>
      <c r="F722" s="401" t="s">
        <v>8</v>
      </c>
      <c r="G722" s="401" t="s">
        <v>189</v>
      </c>
      <c r="H722" s="838" t="s">
        <v>190</v>
      </c>
      <c r="I722" s="838" t="s">
        <v>191</v>
      </c>
      <c r="J722" s="401" t="s">
        <v>289</v>
      </c>
      <c r="K722" s="525" t="s">
        <v>192</v>
      </c>
      <c r="L722" s="419" t="s">
        <v>4</v>
      </c>
      <c r="M722" s="524" t="s">
        <v>290</v>
      </c>
      <c r="N722" s="524" t="s">
        <v>6</v>
      </c>
      <c r="O722" s="524" t="s">
        <v>14</v>
      </c>
      <c r="P722" s="524" t="s">
        <v>8</v>
      </c>
      <c r="Q722" s="419" t="s">
        <v>193</v>
      </c>
    </row>
    <row r="723" spans="1:17" ht="15.75">
      <c r="A723" s="1043"/>
      <c r="B723" s="709">
        <v>15687</v>
      </c>
      <c r="C723" s="710">
        <v>0.08</v>
      </c>
      <c r="D723" s="34" t="s">
        <v>484</v>
      </c>
      <c r="E723" s="330">
        <v>2000000</v>
      </c>
      <c r="F723" s="257"/>
      <c r="G723" s="330"/>
      <c r="H723" s="712" t="s">
        <v>22</v>
      </c>
      <c r="I723" s="712" t="s">
        <v>357</v>
      </c>
      <c r="J723" s="709" t="s">
        <v>294</v>
      </c>
      <c r="K723" s="961"/>
      <c r="L723" s="846"/>
      <c r="M723" s="962"/>
      <c r="N723" s="951"/>
      <c r="O723" s="963"/>
      <c r="P723" s="964"/>
      <c r="Q723" s="954"/>
    </row>
    <row r="724" spans="1:17" ht="15.75">
      <c r="A724" s="1043"/>
      <c r="B724" s="1008" t="s">
        <v>37</v>
      </c>
      <c r="C724" s="1009"/>
      <c r="D724" s="100" t="s">
        <v>485</v>
      </c>
      <c r="E724" s="884"/>
      <c r="F724" s="1009"/>
      <c r="G724" s="884"/>
      <c r="H724" s="987"/>
      <c r="I724" s="987" t="s">
        <v>342</v>
      </c>
      <c r="J724" s="983"/>
      <c r="K724" s="961"/>
      <c r="L724" s="846"/>
      <c r="M724" s="962"/>
      <c r="N724" s="951"/>
      <c r="O724" s="963"/>
      <c r="P724" s="964"/>
      <c r="Q724" s="954"/>
    </row>
    <row r="725" spans="1:17" ht="15.75">
      <c r="A725" s="1043"/>
      <c r="B725" s="1008" t="s">
        <v>37</v>
      </c>
      <c r="C725" s="1009"/>
      <c r="D725" s="100" t="s">
        <v>486</v>
      </c>
      <c r="E725" s="884"/>
      <c r="F725" s="1009"/>
      <c r="G725" s="884"/>
      <c r="H725" s="987"/>
      <c r="I725" s="987" t="s">
        <v>27</v>
      </c>
      <c r="J725" s="983"/>
      <c r="K725" s="961"/>
      <c r="L725" s="846"/>
      <c r="M725" s="962"/>
      <c r="N725" s="951"/>
      <c r="O725" s="963"/>
      <c r="P725" s="964"/>
      <c r="Q725" s="954"/>
    </row>
    <row r="726" spans="1:17" ht="15.75">
      <c r="A726" s="1043"/>
      <c r="B726" s="1008" t="s">
        <v>37</v>
      </c>
      <c r="C726" s="1009"/>
      <c r="D726" s="100" t="s">
        <v>487</v>
      </c>
      <c r="E726" s="884"/>
      <c r="F726" s="1009"/>
      <c r="G726" s="884"/>
      <c r="H726" s="987"/>
      <c r="I726" s="987" t="s">
        <v>27</v>
      </c>
      <c r="J726" s="983"/>
      <c r="K726" s="961"/>
      <c r="L726" s="846"/>
      <c r="M726" s="962"/>
      <c r="N726" s="951"/>
      <c r="O726" s="963"/>
      <c r="P726" s="964"/>
      <c r="Q726" s="954"/>
    </row>
    <row r="727" spans="1:17" ht="15.75">
      <c r="A727" s="1043"/>
      <c r="B727" s="1019" t="s">
        <v>480</v>
      </c>
      <c r="C727" s="1027"/>
      <c r="D727" s="1028" t="s">
        <v>488</v>
      </c>
      <c r="E727" s="1029"/>
      <c r="F727" s="1027"/>
      <c r="G727" s="1029"/>
      <c r="H727" s="1025"/>
      <c r="I727" s="1025" t="s">
        <v>27</v>
      </c>
      <c r="J727" s="1019"/>
      <c r="K727" s="961"/>
      <c r="L727" s="846"/>
      <c r="M727" s="771"/>
      <c r="N727" s="863"/>
      <c r="O727" s="862"/>
      <c r="P727" s="964"/>
      <c r="Q727" s="954"/>
    </row>
    <row r="728" spans="1:17" ht="15.75">
      <c r="A728" s="1043"/>
      <c r="B728" s="1019" t="s">
        <v>480</v>
      </c>
      <c r="C728" s="1027"/>
      <c r="D728" s="1028" t="s">
        <v>489</v>
      </c>
      <c r="E728" s="1029"/>
      <c r="F728" s="1027"/>
      <c r="G728" s="1029"/>
      <c r="H728" s="1025"/>
      <c r="I728" s="1025" t="s">
        <v>27</v>
      </c>
      <c r="J728" s="1019"/>
      <c r="K728" s="961"/>
      <c r="L728" s="846"/>
      <c r="M728" s="846"/>
      <c r="N728" s="784"/>
      <c r="O728" s="965"/>
      <c r="P728" s="966"/>
      <c r="Q728" s="967"/>
    </row>
    <row r="729" spans="1:17" ht="15.75">
      <c r="A729" s="1043"/>
      <c r="B729" s="1019" t="s">
        <v>490</v>
      </c>
      <c r="C729" s="1027"/>
      <c r="D729" s="1028" t="s">
        <v>491</v>
      </c>
      <c r="E729" s="1029"/>
      <c r="F729" s="1027"/>
      <c r="G729" s="1029"/>
      <c r="H729" s="1025"/>
      <c r="I729" s="1025" t="s">
        <v>27</v>
      </c>
      <c r="J729" s="1019"/>
      <c r="K729" s="961"/>
      <c r="L729" s="846"/>
      <c r="M729" s="846"/>
      <c r="N729" s="784"/>
      <c r="O729" s="965"/>
      <c r="P729" s="966"/>
      <c r="Q729" s="967"/>
    </row>
    <row r="730" spans="1:17" ht="15.75">
      <c r="A730" s="1043"/>
      <c r="B730" s="1019" t="s">
        <v>490</v>
      </c>
      <c r="C730" s="1027"/>
      <c r="D730" s="1028" t="s">
        <v>492</v>
      </c>
      <c r="E730" s="1029"/>
      <c r="F730" s="1027"/>
      <c r="G730" s="1029"/>
      <c r="H730" s="1025"/>
      <c r="I730" s="1025" t="s">
        <v>27</v>
      </c>
      <c r="J730" s="1019"/>
      <c r="K730" s="961"/>
      <c r="L730" s="846"/>
      <c r="M730" s="846"/>
      <c r="N730" s="784"/>
      <c r="O730" s="965"/>
      <c r="P730" s="966"/>
      <c r="Q730" s="967"/>
    </row>
    <row r="731" spans="1:17" ht="15.75">
      <c r="A731" s="1043"/>
      <c r="B731" s="771"/>
      <c r="C731" s="843"/>
      <c r="D731" s="785"/>
      <c r="E731" s="842"/>
      <c r="F731" s="843"/>
      <c r="G731" s="842"/>
      <c r="H731" s="949"/>
      <c r="I731" s="949"/>
      <c r="J731" s="771"/>
      <c r="K731" s="961"/>
      <c r="L731" s="846"/>
      <c r="M731" s="846"/>
      <c r="N731" s="784"/>
      <c r="O731" s="965"/>
      <c r="P731" s="966"/>
      <c r="Q731" s="967"/>
    </row>
    <row r="732" spans="1:17" ht="15.75">
      <c r="A732" s="1043"/>
      <c r="B732" s="771"/>
      <c r="C732" s="843"/>
      <c r="D732" s="785"/>
      <c r="E732" s="842"/>
      <c r="F732" s="843"/>
      <c r="G732" s="842"/>
      <c r="H732" s="949"/>
      <c r="I732" s="949"/>
      <c r="J732" s="771"/>
      <c r="K732" s="961"/>
      <c r="L732" s="846"/>
      <c r="M732" s="846"/>
      <c r="N732" s="784"/>
      <c r="O732" s="965"/>
      <c r="P732" s="966"/>
      <c r="Q732" s="967"/>
    </row>
    <row r="733" spans="1:17" ht="15.75">
      <c r="A733" s="1043"/>
      <c r="B733" s="771"/>
      <c r="C733" s="843"/>
      <c r="D733" s="785"/>
      <c r="E733" s="842"/>
      <c r="F733" s="843"/>
      <c r="G733" s="842"/>
      <c r="H733" s="949"/>
      <c r="I733" s="949"/>
      <c r="J733" s="771"/>
      <c r="K733" s="961"/>
      <c r="L733" s="846"/>
      <c r="M733" s="846"/>
      <c r="N733" s="784"/>
      <c r="O733" s="965"/>
      <c r="P733" s="966"/>
      <c r="Q733" s="967"/>
    </row>
    <row r="734" spans="1:17" ht="15.75">
      <c r="A734" s="1043"/>
      <c r="B734" s="771"/>
      <c r="C734" s="843"/>
      <c r="D734" s="785"/>
      <c r="E734" s="842"/>
      <c r="F734" s="843"/>
      <c r="G734" s="842"/>
      <c r="H734" s="949"/>
      <c r="I734" s="949"/>
      <c r="J734" s="771"/>
      <c r="K734" s="961"/>
      <c r="L734" s="846"/>
      <c r="M734" s="846"/>
      <c r="N734" s="784"/>
      <c r="O734" s="965"/>
      <c r="P734" s="966"/>
      <c r="Q734" s="967"/>
    </row>
    <row r="735" spans="1:17" ht="15.75">
      <c r="A735" s="1043"/>
      <c r="B735" s="771"/>
      <c r="C735" s="782"/>
      <c r="D735" s="785"/>
      <c r="E735" s="842"/>
      <c r="F735" s="782"/>
      <c r="G735" s="842"/>
      <c r="H735" s="949"/>
      <c r="I735" s="949"/>
      <c r="J735" s="771"/>
      <c r="K735" s="961"/>
      <c r="L735" s="846"/>
      <c r="M735" s="846"/>
      <c r="N735" s="784"/>
      <c r="O735" s="965"/>
      <c r="P735" s="966"/>
      <c r="Q735" s="967"/>
    </row>
    <row r="736" spans="1:17" ht="15.75">
      <c r="A736" s="1043"/>
      <c r="B736" s="968"/>
      <c r="C736" s="782"/>
      <c r="D736" s="785"/>
      <c r="E736" s="842"/>
      <c r="F736" s="782"/>
      <c r="G736" s="842"/>
      <c r="H736" s="949"/>
      <c r="I736" s="949"/>
      <c r="J736" s="771"/>
      <c r="K736" s="961"/>
      <c r="L736" s="846"/>
      <c r="M736" s="846"/>
      <c r="N736" s="784"/>
      <c r="O736" s="965"/>
      <c r="P736" s="966"/>
      <c r="Q736" s="967"/>
    </row>
    <row r="737" spans="1:17" ht="15.75">
      <c r="A737" s="1043"/>
      <c r="B737" s="968"/>
      <c r="C737" s="843"/>
      <c r="D737" s="785"/>
      <c r="E737" s="842"/>
      <c r="F737" s="843"/>
      <c r="G737" s="842"/>
      <c r="H737" s="949"/>
      <c r="I737" s="949"/>
      <c r="J737" s="771"/>
      <c r="K737" s="961"/>
      <c r="L737" s="846"/>
      <c r="M737" s="846"/>
      <c r="N737" s="784"/>
      <c r="O737" s="965"/>
      <c r="P737" s="966"/>
      <c r="Q737" s="967"/>
    </row>
    <row r="738" spans="1:17" ht="15.75">
      <c r="A738" s="1043"/>
      <c r="B738" s="771"/>
      <c r="C738" s="843"/>
      <c r="D738" s="785"/>
      <c r="E738" s="842"/>
      <c r="F738" s="843"/>
      <c r="G738" s="842"/>
      <c r="H738" s="949"/>
      <c r="I738" s="949"/>
      <c r="J738" s="771"/>
      <c r="K738" s="961"/>
      <c r="L738" s="846"/>
      <c r="M738" s="846"/>
      <c r="N738" s="784"/>
      <c r="O738" s="965"/>
      <c r="P738" s="966"/>
      <c r="Q738" s="967"/>
    </row>
    <row r="739" spans="1:17" ht="15.75">
      <c r="A739" s="1043"/>
      <c r="B739" s="969"/>
      <c r="C739" s="843"/>
      <c r="D739" s="970"/>
      <c r="E739" s="842"/>
      <c r="F739" s="843"/>
      <c r="G739" s="842"/>
      <c r="H739" s="949"/>
      <c r="I739" s="949"/>
      <c r="J739" s="771"/>
      <c r="K739" s="961"/>
      <c r="L739" s="846"/>
      <c r="M739" s="846"/>
      <c r="N739" s="784"/>
      <c r="O739" s="965"/>
      <c r="P739" s="966"/>
      <c r="Q739" s="967"/>
    </row>
    <row r="740" spans="1:17" ht="15.75">
      <c r="A740" s="1043"/>
      <c r="B740" s="969"/>
      <c r="C740" s="843"/>
      <c r="D740" s="785"/>
      <c r="E740" s="842"/>
      <c r="F740" s="782"/>
      <c r="G740" s="783"/>
      <c r="H740" s="949"/>
      <c r="I740" s="949"/>
      <c r="J740" s="771"/>
      <c r="K740" s="961"/>
      <c r="L740" s="846"/>
      <c r="M740" s="846"/>
      <c r="N740" s="784"/>
      <c r="O740" s="965"/>
      <c r="P740" s="966"/>
      <c r="Q740" s="967"/>
    </row>
    <row r="741" spans="1:17" ht="15.75">
      <c r="A741" s="1043"/>
      <c r="B741" s="771"/>
      <c r="C741" s="843"/>
      <c r="D741" s="900"/>
      <c r="E741" s="842"/>
      <c r="F741" s="782"/>
      <c r="G741" s="783"/>
      <c r="H741" s="949"/>
      <c r="I741" s="949"/>
      <c r="J741" s="771"/>
      <c r="K741" s="961"/>
      <c r="L741" s="846"/>
      <c r="M741" s="846"/>
      <c r="N741" s="784"/>
      <c r="O741" s="965"/>
      <c r="P741" s="966"/>
      <c r="Q741" s="967"/>
    </row>
    <row r="742" spans="1:17" ht="18">
      <c r="A742" s="1044"/>
      <c r="B742" s="449"/>
      <c r="C742" s="436"/>
      <c r="D742" s="702" t="s">
        <v>45</v>
      </c>
      <c r="E742" s="703">
        <f>SUM(E723:E741)</f>
        <v>2000000</v>
      </c>
      <c r="F742" s="18" t="s">
        <v>45</v>
      </c>
      <c r="G742" s="703">
        <f>SUM(G723:G741)</f>
        <v>0</v>
      </c>
      <c r="H742" s="425"/>
      <c r="I742" s="425"/>
      <c r="J742" s="425"/>
      <c r="K742" s="527"/>
      <c r="L742" s="426" t="s">
        <v>211</v>
      </c>
      <c r="M742" s="426"/>
      <c r="N742" s="426"/>
      <c r="O742" s="426"/>
      <c r="P742" s="705" t="s">
        <v>45</v>
      </c>
      <c r="Q742" s="804" t="e">
        <f>G742+Q723+Q727+#REF!</f>
        <v>#REF!</v>
      </c>
    </row>
    <row r="743" spans="1:17" ht="33.75">
      <c r="A743" s="451"/>
      <c r="B743" s="452"/>
      <c r="C743" s="453"/>
      <c r="D743" s="438"/>
      <c r="E743" s="439"/>
      <c r="F743" s="438"/>
      <c r="G743" s="439"/>
      <c r="H743" s="438"/>
      <c r="I743" s="438"/>
      <c r="J743" s="438"/>
      <c r="K743" s="438"/>
      <c r="L743" s="440"/>
      <c r="M743" s="440"/>
      <c r="N743" s="440"/>
      <c r="O743" s="440"/>
      <c r="P743" s="441"/>
      <c r="Q743" s="442"/>
    </row>
    <row r="744" spans="1:17" ht="18">
      <c r="A744" s="1034" t="s">
        <v>221</v>
      </c>
      <c r="B744" s="1045"/>
      <c r="C744" s="1045"/>
      <c r="D744" s="1045"/>
      <c r="E744" s="1045"/>
      <c r="F744" s="1045"/>
      <c r="G744" s="1045"/>
      <c r="H744" s="1045"/>
      <c r="I744" s="1045"/>
      <c r="J744" s="1045"/>
      <c r="K744" s="1045"/>
      <c r="L744" s="1042" t="s">
        <v>2</v>
      </c>
      <c r="M744" s="1042"/>
      <c r="N744" s="1145"/>
      <c r="O744" s="1145"/>
      <c r="P744" s="1145"/>
      <c r="Q744" s="1145"/>
    </row>
    <row r="745" spans="1:17" ht="16.5">
      <c r="A745" s="398" t="s">
        <v>3</v>
      </c>
      <c r="B745" s="623" t="s">
        <v>4</v>
      </c>
      <c r="C745" s="400" t="s">
        <v>187</v>
      </c>
      <c r="D745" s="837" t="s">
        <v>6</v>
      </c>
      <c r="E745" s="837" t="s">
        <v>188</v>
      </c>
      <c r="F745" s="401" t="s">
        <v>8</v>
      </c>
      <c r="G745" s="401" t="s">
        <v>189</v>
      </c>
      <c r="H745" s="838" t="s">
        <v>190</v>
      </c>
      <c r="I745" s="838" t="s">
        <v>191</v>
      </c>
      <c r="J745" s="398" t="s">
        <v>289</v>
      </c>
      <c r="K745" s="525" t="s">
        <v>192</v>
      </c>
      <c r="L745" s="419" t="s">
        <v>4</v>
      </c>
      <c r="M745" s="524" t="s">
        <v>290</v>
      </c>
      <c r="N745" s="524" t="s">
        <v>6</v>
      </c>
      <c r="O745" s="524" t="s">
        <v>14</v>
      </c>
      <c r="P745" s="524" t="s">
        <v>8</v>
      </c>
      <c r="Q745" s="419" t="s">
        <v>193</v>
      </c>
    </row>
    <row r="746" spans="1:17" ht="15.75">
      <c r="A746" s="1031"/>
      <c r="B746" s="983" t="s">
        <v>37</v>
      </c>
      <c r="C746" s="22"/>
      <c r="D746" s="23" t="s">
        <v>493</v>
      </c>
      <c r="E746" s="24"/>
      <c r="F746" s="1009"/>
      <c r="G746" s="906"/>
      <c r="H746" s="988"/>
      <c r="I746" s="988" t="s">
        <v>357</v>
      </c>
      <c r="J746" s="950"/>
      <c r="K746" s="117"/>
      <c r="L746" s="117"/>
      <c r="M746" s="771"/>
      <c r="N746" s="863"/>
      <c r="O746" s="862"/>
      <c r="P746" s="862"/>
      <c r="Q746" s="959"/>
    </row>
    <row r="747" spans="1:17" ht="15.75">
      <c r="A747" s="1031"/>
      <c r="B747" s="771"/>
      <c r="C747" s="864"/>
      <c r="D747" s="841"/>
      <c r="E747" s="865"/>
      <c r="F747" s="866"/>
      <c r="G747" s="860"/>
      <c r="H747" s="868"/>
      <c r="I747" s="868"/>
      <c r="J747" s="931"/>
      <c r="K747" s="527"/>
      <c r="L747" s="869"/>
      <c r="M747" s="771"/>
      <c r="N747" s="863"/>
      <c r="O747" s="862"/>
      <c r="P747" s="862"/>
      <c r="Q747" s="869"/>
    </row>
    <row r="748" spans="1:17" ht="15.75">
      <c r="A748" s="1031"/>
      <c r="B748" s="781"/>
      <c r="C748" s="971"/>
      <c r="D748" s="972"/>
      <c r="E748" s="973"/>
      <c r="F748" s="974"/>
      <c r="G748" s="975"/>
      <c r="H748" s="977"/>
      <c r="I748" s="976"/>
      <c r="J748" s="425"/>
      <c r="K748" s="527"/>
      <c r="L748" s="869"/>
      <c r="M748" s="771"/>
      <c r="N748" s="863"/>
      <c r="O748" s="862"/>
      <c r="P748" s="862"/>
      <c r="Q748" s="869"/>
    </row>
    <row r="749" spans="1:17" ht="15.75">
      <c r="A749" s="1031"/>
      <c r="B749" s="781"/>
      <c r="C749" s="971"/>
      <c r="D749" s="972"/>
      <c r="E749" s="973"/>
      <c r="F749" s="974"/>
      <c r="G749" s="975"/>
      <c r="H749" s="977"/>
      <c r="I749" s="976"/>
      <c r="J749" s="425"/>
      <c r="K749" s="527"/>
      <c r="L749" s="869"/>
      <c r="M749" s="771"/>
      <c r="N749" s="863"/>
      <c r="O749" s="862"/>
      <c r="P749" s="862"/>
      <c r="Q749" s="869"/>
    </row>
    <row r="750" spans="1:17" ht="15.75">
      <c r="A750" s="1031"/>
      <c r="B750" s="781"/>
      <c r="C750" s="971"/>
      <c r="D750" s="972"/>
      <c r="E750" s="973"/>
      <c r="F750" s="974"/>
      <c r="G750" s="975"/>
      <c r="H750" s="977"/>
      <c r="I750" s="976"/>
      <c r="J750" s="425"/>
      <c r="K750" s="527"/>
      <c r="L750" s="869"/>
      <c r="M750" s="771"/>
      <c r="N750" s="785"/>
      <c r="O750" s="842"/>
      <c r="P750" s="842"/>
      <c r="Q750" s="869"/>
    </row>
    <row r="751" spans="1:17" ht="15.75">
      <c r="A751" s="1031"/>
      <c r="B751" s="781"/>
      <c r="C751" s="971"/>
      <c r="D751" s="972"/>
      <c r="E751" s="973"/>
      <c r="F751" s="974"/>
      <c r="G751" s="975"/>
      <c r="H751" s="977"/>
      <c r="I751" s="976"/>
      <c r="J751" s="425"/>
      <c r="K751" s="527"/>
      <c r="L751" s="869"/>
      <c r="M751" s="771"/>
      <c r="N751" s="785"/>
      <c r="O751" s="842"/>
      <c r="P751" s="842"/>
      <c r="Q751" s="869"/>
    </row>
    <row r="752" spans="1:17" ht="15.75">
      <c r="A752" s="1031"/>
      <c r="B752" s="781"/>
      <c r="C752" s="971"/>
      <c r="D752" s="972"/>
      <c r="E752" s="973"/>
      <c r="F752" s="974"/>
      <c r="G752" s="975"/>
      <c r="H752" s="977"/>
      <c r="I752" s="976"/>
      <c r="J752" s="425"/>
      <c r="K752" s="527"/>
      <c r="L752" s="869"/>
      <c r="M752" s="771"/>
      <c r="N752" s="785"/>
      <c r="O752" s="842"/>
      <c r="P752" s="842"/>
      <c r="Q752" s="869"/>
    </row>
    <row r="753" spans="1:17" ht="15.75">
      <c r="A753" s="1031"/>
      <c r="B753" s="781"/>
      <c r="C753" s="971"/>
      <c r="D753" s="972"/>
      <c r="E753" s="973"/>
      <c r="F753" s="974"/>
      <c r="G753" s="975"/>
      <c r="H753" s="977"/>
      <c r="I753" s="976"/>
      <c r="J753" s="425"/>
      <c r="K753" s="527"/>
      <c r="L753" s="869"/>
      <c r="M753" s="968"/>
      <c r="N753" s="785"/>
      <c r="O753" s="842"/>
      <c r="P753" s="842"/>
      <c r="Q753" s="869"/>
    </row>
    <row r="754" spans="1:17" ht="15.75">
      <c r="A754" s="1031"/>
      <c r="B754" s="781"/>
      <c r="C754" s="971"/>
      <c r="D754" s="972"/>
      <c r="E754" s="973"/>
      <c r="F754" s="974"/>
      <c r="G754" s="975"/>
      <c r="H754" s="977"/>
      <c r="I754" s="976"/>
      <c r="J754" s="425"/>
      <c r="K754" s="527"/>
      <c r="L754" s="869"/>
      <c r="M754" s="978"/>
      <c r="N754" s="841"/>
      <c r="O754" s="842"/>
      <c r="P754" s="842"/>
      <c r="Q754" s="869"/>
    </row>
    <row r="755" spans="1:17" ht="15.75">
      <c r="A755" s="1031"/>
      <c r="B755" s="781"/>
      <c r="C755" s="971"/>
      <c r="D755" s="425"/>
      <c r="E755" s="777"/>
      <c r="F755" s="779"/>
      <c r="G755" s="870"/>
      <c r="H755" s="977"/>
      <c r="I755" s="976"/>
      <c r="J755" s="425"/>
      <c r="K755" s="527"/>
      <c r="L755" s="979"/>
      <c r="M755" s="980"/>
      <c r="N755" s="897"/>
      <c r="O755" s="981"/>
      <c r="P755" s="842"/>
      <c r="Q755" s="869"/>
    </row>
    <row r="756" spans="1:17" ht="15.75">
      <c r="A756" s="1031"/>
      <c r="B756" s="781"/>
      <c r="C756" s="971"/>
      <c r="D756" s="425"/>
      <c r="E756" s="777"/>
      <c r="F756" s="779"/>
      <c r="G756" s="870"/>
      <c r="H756" s="977"/>
      <c r="I756" s="976"/>
      <c r="J756" s="425"/>
      <c r="K756" s="527"/>
      <c r="L756" s="979"/>
      <c r="M756" s="771"/>
      <c r="N756" s="863"/>
      <c r="O756" s="862"/>
      <c r="P756" s="862"/>
      <c r="Q756" s="982"/>
    </row>
    <row r="757" spans="1:17" ht="15.75">
      <c r="A757" s="1032"/>
      <c r="B757" s="449"/>
      <c r="C757" s="436"/>
      <c r="D757" s="700" t="s">
        <v>45</v>
      </c>
      <c r="E757" s="800">
        <f>SUM(E746:E755)</f>
        <v>0</v>
      </c>
      <c r="F757" s="690" t="s">
        <v>45</v>
      </c>
      <c r="G757" s="701">
        <f>SUM(G746:G755)</f>
        <v>0</v>
      </c>
      <c r="H757" s="425"/>
      <c r="I757" s="425"/>
      <c r="J757" s="425"/>
      <c r="K757" s="527"/>
      <c r="L757" s="426" t="s">
        <v>211</v>
      </c>
      <c r="M757" s="788"/>
      <c r="N757" s="700"/>
      <c r="O757" s="800">
        <f>SUM(O746:O756)</f>
        <v>0</v>
      </c>
      <c r="P757" s="944"/>
      <c r="Q757" s="945"/>
    </row>
    <row r="761" spans="1:17" ht="18">
      <c r="A761" s="1154" t="s">
        <v>82</v>
      </c>
      <c r="B761" s="1154"/>
      <c r="C761" s="840"/>
      <c r="D761" s="929">
        <f>E718+E742+E757</f>
        <v>2000000</v>
      </c>
    </row>
    <row r="762" spans="1:17" ht="18">
      <c r="A762" s="1155" t="s">
        <v>83</v>
      </c>
      <c r="B762" s="1155"/>
      <c r="C762" s="693"/>
      <c r="D762" s="694"/>
    </row>
    <row r="763" spans="1:17" ht="18">
      <c r="A763" s="1156" t="s">
        <v>84</v>
      </c>
      <c r="B763" s="1156"/>
      <c r="C763" s="695"/>
      <c r="D763" s="696"/>
    </row>
    <row r="764" spans="1:17" ht="15.75">
      <c r="A764" s="1157" t="s">
        <v>85</v>
      </c>
      <c r="B764" s="1157"/>
      <c r="C764" s="695"/>
      <c r="D764" s="695"/>
    </row>
    <row r="765" spans="1:17" ht="15.75">
      <c r="A765" s="697"/>
      <c r="B765" s="698" t="s">
        <v>86</v>
      </c>
      <c r="C765" s="695"/>
      <c r="D765" s="699"/>
    </row>
  </sheetData>
  <mergeCells count="195">
    <mergeCell ref="A474:A486"/>
    <mergeCell ref="B489:C489"/>
    <mergeCell ref="B490:C490"/>
    <mergeCell ref="B491:C491"/>
    <mergeCell ref="B492:C492"/>
    <mergeCell ref="A434:Q434"/>
    <mergeCell ref="A436:K436"/>
    <mergeCell ref="L436:Q436"/>
    <mergeCell ref="A438:A450"/>
    <mergeCell ref="A453:K453"/>
    <mergeCell ref="L453:Q453"/>
    <mergeCell ref="A455:A470"/>
    <mergeCell ref="A472:K472"/>
    <mergeCell ref="L472:Q472"/>
    <mergeCell ref="O469:P469"/>
    <mergeCell ref="A1:R1"/>
    <mergeCell ref="A153:B153"/>
    <mergeCell ref="A154:B154"/>
    <mergeCell ref="A155:B155"/>
    <mergeCell ref="A156:B156"/>
    <mergeCell ref="A145:A147"/>
    <mergeCell ref="A87:L87"/>
    <mergeCell ref="N87:Q87"/>
    <mergeCell ref="A89:A104"/>
    <mergeCell ref="A108:L108"/>
    <mergeCell ref="N108:Q108"/>
    <mergeCell ref="A133:L133"/>
    <mergeCell ref="N133:Q133"/>
    <mergeCell ref="A3:L3"/>
    <mergeCell ref="A60:L60"/>
    <mergeCell ref="N3:Q3"/>
    <mergeCell ref="A138:L138"/>
    <mergeCell ref="N138:Q138"/>
    <mergeCell ref="A140:A141"/>
    <mergeCell ref="N143:Q143"/>
    <mergeCell ref="A5:A22"/>
    <mergeCell ref="A24:L24"/>
    <mergeCell ref="N24:Q24"/>
    <mergeCell ref="A56:A58"/>
    <mergeCell ref="N60:Q60"/>
    <mergeCell ref="A26:A45"/>
    <mergeCell ref="A47:L47"/>
    <mergeCell ref="N47:Q47"/>
    <mergeCell ref="A49:A52"/>
    <mergeCell ref="A54:L54"/>
    <mergeCell ref="N54:Q54"/>
    <mergeCell ref="A184:L184"/>
    <mergeCell ref="N184:Q184"/>
    <mergeCell ref="A186:A189"/>
    <mergeCell ref="A201:L201"/>
    <mergeCell ref="N201:Q201"/>
    <mergeCell ref="A62:A68"/>
    <mergeCell ref="A161:R161"/>
    <mergeCell ref="A86:R86"/>
    <mergeCell ref="A157:B157"/>
    <mergeCell ref="A164:A179"/>
    <mergeCell ref="A71:L71"/>
    <mergeCell ref="N71:Q71"/>
    <mergeCell ref="A73:A74"/>
    <mergeCell ref="A81:B81"/>
    <mergeCell ref="A82:B82"/>
    <mergeCell ref="A77:B77"/>
    <mergeCell ref="A78:B78"/>
    <mergeCell ref="A79:B79"/>
    <mergeCell ref="A80:B80"/>
    <mergeCell ref="A110:A129"/>
    <mergeCell ref="A143:L143"/>
    <mergeCell ref="A162:L162"/>
    <mergeCell ref="N162:Q162"/>
    <mergeCell ref="A135:A136"/>
    <mergeCell ref="N208:Q208"/>
    <mergeCell ref="A210:A213"/>
    <mergeCell ref="A219:B219"/>
    <mergeCell ref="A203:A206"/>
    <mergeCell ref="A215:B215"/>
    <mergeCell ref="A216:B216"/>
    <mergeCell ref="A217:B217"/>
    <mergeCell ref="A218:B218"/>
    <mergeCell ref="A208:L208"/>
    <mergeCell ref="A340:A347"/>
    <mergeCell ref="A278:Q278"/>
    <mergeCell ref="A280:Q280"/>
    <mergeCell ref="A281:K281"/>
    <mergeCell ref="L281:Q281"/>
    <mergeCell ref="A283:A294"/>
    <mergeCell ref="A226:Q226"/>
    <mergeCell ref="A265:K265"/>
    <mergeCell ref="L265:Q265"/>
    <mergeCell ref="A267:A269"/>
    <mergeCell ref="A272:A274"/>
    <mergeCell ref="B272:D272"/>
    <mergeCell ref="B273:D273"/>
    <mergeCell ref="B274:D274"/>
    <mergeCell ref="A231:A249"/>
    <mergeCell ref="A254:A263"/>
    <mergeCell ref="A252:K252"/>
    <mergeCell ref="L252:Q252"/>
    <mergeCell ref="A228:Q228"/>
    <mergeCell ref="A229:K229"/>
    <mergeCell ref="L229:Q229"/>
    <mergeCell ref="A335:Q335"/>
    <mergeCell ref="A337:Q337"/>
    <mergeCell ref="A338:K338"/>
    <mergeCell ref="L338:Q338"/>
    <mergeCell ref="A297:K297"/>
    <mergeCell ref="L297:Q297"/>
    <mergeCell ref="A299:A316"/>
    <mergeCell ref="A318:K318"/>
    <mergeCell ref="L318:Q318"/>
    <mergeCell ref="A329:A331"/>
    <mergeCell ref="B329:D329"/>
    <mergeCell ref="B330:D330"/>
    <mergeCell ref="B331:D331"/>
    <mergeCell ref="A320:A326"/>
    <mergeCell ref="A373:A375"/>
    <mergeCell ref="B373:D373"/>
    <mergeCell ref="B374:D374"/>
    <mergeCell ref="B375:D375"/>
    <mergeCell ref="A350:K350"/>
    <mergeCell ref="L350:Q350"/>
    <mergeCell ref="A352:A361"/>
    <mergeCell ref="A363:K363"/>
    <mergeCell ref="L363:Q363"/>
    <mergeCell ref="A365:A370"/>
    <mergeCell ref="B426:C426"/>
    <mergeCell ref="B427:C427"/>
    <mergeCell ref="B428:C428"/>
    <mergeCell ref="B429:C429"/>
    <mergeCell ref="A414:A423"/>
    <mergeCell ref="A379:Q379"/>
    <mergeCell ref="A381:K381"/>
    <mergeCell ref="L381:Q381"/>
    <mergeCell ref="A383:A393"/>
    <mergeCell ref="A396:K396"/>
    <mergeCell ref="L396:Q396"/>
    <mergeCell ref="A398:A410"/>
    <mergeCell ref="A412:K412"/>
    <mergeCell ref="L412:Q412"/>
    <mergeCell ref="F426:H426"/>
    <mergeCell ref="A541:A554"/>
    <mergeCell ref="B557:C557"/>
    <mergeCell ref="B558:C558"/>
    <mergeCell ref="B559:C559"/>
    <mergeCell ref="B560:C560"/>
    <mergeCell ref="A497:Q497"/>
    <mergeCell ref="A499:K499"/>
    <mergeCell ref="L499:Q499"/>
    <mergeCell ref="A501:A517"/>
    <mergeCell ref="A520:K520"/>
    <mergeCell ref="L520:Q520"/>
    <mergeCell ref="A522:A537"/>
    <mergeCell ref="A539:K539"/>
    <mergeCell ref="L539:Q539"/>
    <mergeCell ref="A570:A583"/>
    <mergeCell ref="L568:Q568"/>
    <mergeCell ref="A568:K568"/>
    <mergeCell ref="A566:Q566"/>
    <mergeCell ref="B621:C621"/>
    <mergeCell ref="B620:C620"/>
    <mergeCell ref="B619:C619"/>
    <mergeCell ref="B618:C618"/>
    <mergeCell ref="A603:A615"/>
    <mergeCell ref="L601:Q601"/>
    <mergeCell ref="A601:K601"/>
    <mergeCell ref="A588:A599"/>
    <mergeCell ref="L586:Q586"/>
    <mergeCell ref="A586:K586"/>
    <mergeCell ref="A665:A679"/>
    <mergeCell ref="B682:C682"/>
    <mergeCell ref="B683:C683"/>
    <mergeCell ref="B684:C684"/>
    <mergeCell ref="B685:C685"/>
    <mergeCell ref="A627:Q627"/>
    <mergeCell ref="A629:K629"/>
    <mergeCell ref="L629:Q629"/>
    <mergeCell ref="A631:A647"/>
    <mergeCell ref="A650:K650"/>
    <mergeCell ref="L650:Q650"/>
    <mergeCell ref="A652:A661"/>
    <mergeCell ref="A663:K663"/>
    <mergeCell ref="L663:Q663"/>
    <mergeCell ref="A761:B761"/>
    <mergeCell ref="A762:B762"/>
    <mergeCell ref="A763:B763"/>
    <mergeCell ref="A764:B764"/>
    <mergeCell ref="A746:A757"/>
    <mergeCell ref="A691:Q691"/>
    <mergeCell ref="A693:K693"/>
    <mergeCell ref="L693:Q693"/>
    <mergeCell ref="A695:A718"/>
    <mergeCell ref="A721:K721"/>
    <mergeCell ref="L721:Q721"/>
    <mergeCell ref="A723:A742"/>
    <mergeCell ref="A744:K744"/>
    <mergeCell ref="L744:Q744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A73BC-7EBE-4FB5-8124-82585943BF99}">
  <sheetPr>
    <pageSetUpPr fitToPage="1"/>
  </sheetPr>
  <dimension ref="A1:N929"/>
  <sheetViews>
    <sheetView topLeftCell="A850" workbookViewId="0">
      <selection activeCell="B859" sqref="B859"/>
    </sheetView>
  </sheetViews>
  <sheetFormatPr defaultRowHeight="15"/>
  <cols>
    <col min="1" max="1" width="23.5703125" customWidth="1"/>
    <col min="2" max="2" width="19" customWidth="1"/>
    <col min="3" max="3" width="64.85546875" customWidth="1"/>
    <col min="4" max="4" width="44.5703125" customWidth="1"/>
    <col min="5" max="5" width="18.28515625" customWidth="1"/>
    <col min="6" max="6" width="10.42578125" bestFit="1" customWidth="1"/>
    <col min="7" max="7" width="14.85546875" customWidth="1"/>
    <col min="8" max="8" width="18.140625" customWidth="1"/>
    <col min="9" max="9" width="6.85546875" customWidth="1"/>
    <col min="10" max="10" width="12.5703125" customWidth="1"/>
  </cols>
  <sheetData>
    <row r="1" spans="1:9" ht="12.75" customHeight="1">
      <c r="A1" s="1"/>
    </row>
    <row r="2" spans="1:9" ht="36" customHeight="1">
      <c r="A2" s="1131" t="s">
        <v>0</v>
      </c>
      <c r="B2" s="1131"/>
      <c r="C2" s="1131"/>
      <c r="D2" s="1131"/>
      <c r="E2" s="1131"/>
      <c r="F2" s="1131"/>
      <c r="G2" s="1131"/>
    </row>
    <row r="3" spans="1:9" ht="13.5" customHeight="1">
      <c r="A3" s="1131"/>
      <c r="B3" s="1131"/>
      <c r="C3" s="1131"/>
      <c r="D3" s="1131"/>
      <c r="E3" s="1131"/>
      <c r="F3" s="1131"/>
      <c r="G3" s="1131"/>
    </row>
    <row r="4" spans="1:9">
      <c r="A4" s="1131"/>
      <c r="B4" s="1131"/>
      <c r="C4" s="1131"/>
      <c r="D4" s="1131"/>
      <c r="E4" s="1131"/>
      <c r="F4" s="1131"/>
      <c r="G4" s="1131"/>
    </row>
    <row r="5" spans="1:9">
      <c r="A5" s="1131"/>
      <c r="B5" s="1131"/>
      <c r="C5" s="1131"/>
      <c r="D5" s="1131"/>
      <c r="E5" s="1131"/>
      <c r="F5" s="1131"/>
      <c r="G5" s="1131"/>
    </row>
    <row r="6" spans="1:9" hidden="1">
      <c r="A6" s="1129" t="s">
        <v>494</v>
      </c>
      <c r="B6" s="1129"/>
      <c r="C6" s="1129"/>
      <c r="D6" s="1129"/>
      <c r="E6" s="1129"/>
      <c r="F6" s="1129"/>
      <c r="G6" s="1129"/>
      <c r="H6" s="112"/>
    </row>
    <row r="7" spans="1:9" hidden="1">
      <c r="A7" s="1129"/>
      <c r="B7" s="1129"/>
      <c r="C7" s="1129"/>
      <c r="D7" s="1129"/>
      <c r="E7" s="1129"/>
      <c r="F7" s="1129"/>
      <c r="G7" s="1129"/>
      <c r="H7" s="112"/>
    </row>
    <row r="8" spans="1:9" hidden="1">
      <c r="A8" s="149" t="s">
        <v>4</v>
      </c>
      <c r="B8" s="150" t="s">
        <v>495</v>
      </c>
      <c r="C8" s="150" t="s">
        <v>496</v>
      </c>
      <c r="D8" s="151" t="s">
        <v>497</v>
      </c>
      <c r="E8" s="152" t="s">
        <v>498</v>
      </c>
      <c r="F8" s="153" t="s">
        <v>8</v>
      </c>
      <c r="G8" s="154" t="s">
        <v>15</v>
      </c>
      <c r="H8" s="197" t="s">
        <v>499</v>
      </c>
    </row>
    <row r="9" spans="1:9" ht="15.75" hidden="1">
      <c r="A9" s="9">
        <v>12901</v>
      </c>
      <c r="B9" s="33">
        <v>0.1</v>
      </c>
      <c r="C9" s="13" t="s">
        <v>47</v>
      </c>
      <c r="D9" s="13"/>
      <c r="E9" s="66">
        <v>1300000</v>
      </c>
      <c r="F9" s="67">
        <v>0.06</v>
      </c>
      <c r="G9" s="68">
        <f>E9*F9</f>
        <v>78000</v>
      </c>
      <c r="H9" s="198" t="s">
        <v>53</v>
      </c>
    </row>
    <row r="10" spans="1:9" ht="15.75" hidden="1">
      <c r="A10" s="9">
        <v>12945</v>
      </c>
      <c r="B10" s="33">
        <v>0.1</v>
      </c>
      <c r="C10" s="34" t="s">
        <v>49</v>
      </c>
      <c r="D10" s="11"/>
      <c r="E10" s="66">
        <v>1250000</v>
      </c>
      <c r="F10" s="67">
        <v>0.06</v>
      </c>
      <c r="G10" s="68">
        <f t="shared" ref="G10:G22" si="0">E10*F10</f>
        <v>75000</v>
      </c>
      <c r="H10" s="198" t="s">
        <v>53</v>
      </c>
    </row>
    <row r="11" spans="1:9" ht="15.75" hidden="1">
      <c r="A11" s="9">
        <v>12922</v>
      </c>
      <c r="B11" s="33">
        <v>0.1</v>
      </c>
      <c r="C11" s="69" t="s">
        <v>50</v>
      </c>
      <c r="D11" s="13"/>
      <c r="E11" s="66">
        <v>1600000</v>
      </c>
      <c r="F11" s="107">
        <v>0.02</v>
      </c>
      <c r="G11" s="68">
        <f t="shared" si="0"/>
        <v>32000</v>
      </c>
      <c r="H11" s="198" t="s">
        <v>53</v>
      </c>
      <c r="I11" t="s">
        <v>500</v>
      </c>
    </row>
    <row r="12" spans="1:9" ht="15.75" hidden="1">
      <c r="A12" s="9">
        <v>12941</v>
      </c>
      <c r="B12" s="84">
        <v>0.08</v>
      </c>
      <c r="C12" s="13" t="s">
        <v>501</v>
      </c>
      <c r="D12" s="11"/>
      <c r="E12" s="66">
        <v>1750000</v>
      </c>
      <c r="F12" s="107">
        <v>0.05</v>
      </c>
      <c r="G12" s="68">
        <f t="shared" si="0"/>
        <v>87500</v>
      </c>
      <c r="H12" s="199" t="s">
        <v>53</v>
      </c>
    </row>
    <row r="13" spans="1:9" ht="15.75" hidden="1">
      <c r="A13" s="9">
        <v>12952</v>
      </c>
      <c r="B13" s="84">
        <v>0.08</v>
      </c>
      <c r="C13" s="11" t="s">
        <v>16</v>
      </c>
      <c r="D13" s="13"/>
      <c r="E13" s="66">
        <v>2100000</v>
      </c>
      <c r="F13" s="107">
        <v>0.05</v>
      </c>
      <c r="G13" s="68">
        <f t="shared" si="0"/>
        <v>105000</v>
      </c>
      <c r="H13" s="198" t="s">
        <v>17</v>
      </c>
    </row>
    <row r="14" spans="1:9" ht="15.75" hidden="1">
      <c r="A14" s="9">
        <v>12975</v>
      </c>
      <c r="B14" s="33">
        <v>0.1</v>
      </c>
      <c r="C14" s="11" t="s">
        <v>73</v>
      </c>
      <c r="D14" s="13"/>
      <c r="E14" s="66">
        <v>1000000</v>
      </c>
      <c r="F14" s="67">
        <v>0.06</v>
      </c>
      <c r="G14" s="68">
        <f t="shared" si="0"/>
        <v>60000</v>
      </c>
      <c r="H14" s="198" t="s">
        <v>74</v>
      </c>
    </row>
    <row r="15" spans="1:9" ht="15.75" hidden="1">
      <c r="A15" s="9">
        <v>12981</v>
      </c>
      <c r="B15" s="33">
        <v>0.1</v>
      </c>
      <c r="C15" s="11" t="s">
        <v>20</v>
      </c>
      <c r="D15" s="13"/>
      <c r="E15" s="66">
        <v>1300000</v>
      </c>
      <c r="F15" s="67">
        <v>0.06</v>
      </c>
      <c r="G15" s="68">
        <f t="shared" si="0"/>
        <v>78000</v>
      </c>
      <c r="H15" s="200" t="s">
        <v>53</v>
      </c>
    </row>
    <row r="16" spans="1:9" ht="15.75" hidden="1">
      <c r="A16" s="9" t="s">
        <v>81</v>
      </c>
      <c r="B16" s="33">
        <v>0.1</v>
      </c>
      <c r="C16" s="11" t="s">
        <v>55</v>
      </c>
      <c r="D16" s="13"/>
      <c r="E16" s="66">
        <v>1000000</v>
      </c>
      <c r="F16" s="67">
        <v>0.06</v>
      </c>
      <c r="G16" s="68">
        <f t="shared" si="0"/>
        <v>60000</v>
      </c>
      <c r="H16" s="199" t="s">
        <v>53</v>
      </c>
    </row>
    <row r="17" spans="1:8" ht="15.75" hidden="1">
      <c r="A17" s="9">
        <v>13030</v>
      </c>
      <c r="B17" s="33">
        <v>0.1</v>
      </c>
      <c r="C17" s="11" t="s">
        <v>59</v>
      </c>
      <c r="D17" s="13"/>
      <c r="E17" s="66">
        <v>1200000</v>
      </c>
      <c r="F17" s="67">
        <v>0.06</v>
      </c>
      <c r="G17" s="68">
        <f t="shared" si="0"/>
        <v>72000</v>
      </c>
      <c r="H17" s="198" t="s">
        <v>53</v>
      </c>
    </row>
    <row r="18" spans="1:8" ht="15.75" hidden="1">
      <c r="A18" s="9">
        <v>13031</v>
      </c>
      <c r="B18" s="33">
        <v>0.1</v>
      </c>
      <c r="C18" s="34" t="s">
        <v>502</v>
      </c>
      <c r="D18" s="11"/>
      <c r="E18" s="66">
        <v>1742730</v>
      </c>
      <c r="F18" s="67">
        <v>0.06</v>
      </c>
      <c r="G18" s="68">
        <f t="shared" si="0"/>
        <v>104563.8</v>
      </c>
      <c r="H18" s="201" t="s">
        <v>22</v>
      </c>
    </row>
    <row r="19" spans="1:8" ht="15.75" hidden="1">
      <c r="A19" s="9">
        <v>13086</v>
      </c>
      <c r="B19" s="33">
        <v>0.1</v>
      </c>
      <c r="C19" s="35" t="s">
        <v>29</v>
      </c>
      <c r="D19" s="12"/>
      <c r="E19" s="66">
        <v>1450000</v>
      </c>
      <c r="F19" s="67">
        <v>0.06</v>
      </c>
      <c r="G19" s="68">
        <f t="shared" si="0"/>
        <v>87000</v>
      </c>
      <c r="H19" s="202" t="s">
        <v>503</v>
      </c>
    </row>
    <row r="20" spans="1:8" ht="15.75" hidden="1">
      <c r="A20" s="9">
        <v>13125</v>
      </c>
      <c r="B20" s="33">
        <v>0.1</v>
      </c>
      <c r="C20" s="35" t="s">
        <v>36</v>
      </c>
      <c r="D20" s="12"/>
      <c r="E20" s="66">
        <v>800000</v>
      </c>
      <c r="F20" s="67">
        <v>0.06</v>
      </c>
      <c r="G20" s="68">
        <f t="shared" si="0"/>
        <v>48000</v>
      </c>
      <c r="H20" s="202" t="s">
        <v>503</v>
      </c>
    </row>
    <row r="21" spans="1:8" ht="16.5" hidden="1" customHeight="1">
      <c r="A21" s="9">
        <v>13021</v>
      </c>
      <c r="B21" s="84">
        <v>0.08</v>
      </c>
      <c r="C21" s="69" t="s">
        <v>31</v>
      </c>
      <c r="D21" s="13" t="s">
        <v>504</v>
      </c>
      <c r="E21" s="66">
        <v>900000</v>
      </c>
      <c r="F21" s="107">
        <v>0.05</v>
      </c>
      <c r="G21" s="68">
        <f t="shared" si="0"/>
        <v>45000</v>
      </c>
      <c r="H21" s="198" t="s">
        <v>503</v>
      </c>
    </row>
    <row r="22" spans="1:8" ht="16.5" hidden="1" customHeight="1">
      <c r="A22" s="38"/>
      <c r="B22" s="84">
        <v>0.08</v>
      </c>
      <c r="C22" s="69" t="s">
        <v>32</v>
      </c>
      <c r="D22" s="13" t="s">
        <v>504</v>
      </c>
      <c r="E22" s="66">
        <v>1000000</v>
      </c>
      <c r="F22" s="107">
        <v>0.05</v>
      </c>
      <c r="G22" s="68">
        <f t="shared" si="0"/>
        <v>50000</v>
      </c>
      <c r="H22" s="198" t="s">
        <v>503</v>
      </c>
    </row>
    <row r="23" spans="1:8" ht="15.75" hidden="1">
      <c r="A23" s="38" t="s">
        <v>39</v>
      </c>
      <c r="B23" s="40"/>
      <c r="C23" s="170" t="s">
        <v>68</v>
      </c>
      <c r="D23" s="42"/>
      <c r="E23" s="92"/>
      <c r="F23" s="92"/>
      <c r="G23" s="92"/>
      <c r="H23" s="203" t="s">
        <v>53</v>
      </c>
    </row>
    <row r="24" spans="1:8" ht="15.75" hidden="1">
      <c r="A24" s="38" t="s">
        <v>39</v>
      </c>
      <c r="B24" s="40"/>
      <c r="C24" s="45" t="s">
        <v>40</v>
      </c>
      <c r="D24" s="42"/>
      <c r="E24" s="41"/>
      <c r="F24" s="44"/>
      <c r="G24" s="45"/>
      <c r="H24" s="204" t="s">
        <v>503</v>
      </c>
    </row>
    <row r="25" spans="1:8" ht="15.75" hidden="1">
      <c r="A25" s="38" t="s">
        <v>39</v>
      </c>
      <c r="B25" s="38"/>
      <c r="C25" s="89" t="s">
        <v>505</v>
      </c>
      <c r="D25" s="70"/>
      <c r="E25" s="41"/>
      <c r="F25" s="70"/>
      <c r="G25" s="70"/>
      <c r="H25" s="205" t="s">
        <v>503</v>
      </c>
    </row>
    <row r="26" spans="1:8" ht="15.75" hidden="1">
      <c r="A26" s="38" t="s">
        <v>39</v>
      </c>
      <c r="B26" s="86"/>
      <c r="C26" s="89" t="s">
        <v>70</v>
      </c>
      <c r="D26" s="70"/>
      <c r="E26" s="41"/>
      <c r="F26" s="70"/>
      <c r="G26" s="70"/>
      <c r="H26" s="205" t="s">
        <v>53</v>
      </c>
    </row>
    <row r="27" spans="1:8" ht="18" hidden="1">
      <c r="A27" s="1135"/>
      <c r="B27" s="1135"/>
      <c r="C27" s="1135"/>
      <c r="D27" s="1135"/>
      <c r="E27" s="96">
        <f>SUM(E9:E26)</f>
        <v>18392730</v>
      </c>
      <c r="F27" s="76"/>
      <c r="G27" s="68">
        <f>SUM(G9:G26)</f>
        <v>982063.8</v>
      </c>
      <c r="H27" s="206"/>
    </row>
    <row r="28" spans="1:8" hidden="1">
      <c r="A28" s="57"/>
      <c r="B28" s="20"/>
      <c r="C28" s="20"/>
      <c r="D28" s="20"/>
      <c r="E28" s="20"/>
      <c r="F28" s="20"/>
      <c r="G28" s="20"/>
    </row>
    <row r="29" spans="1:8" hidden="1">
      <c r="A29" s="1129" t="s">
        <v>506</v>
      </c>
      <c r="B29" s="1129"/>
      <c r="C29" s="1129"/>
      <c r="D29" s="1129"/>
      <c r="E29" s="1129"/>
      <c r="F29" s="1129"/>
      <c r="G29" s="1129"/>
      <c r="H29" s="112"/>
    </row>
    <row r="30" spans="1:8" hidden="1">
      <c r="A30" s="1129"/>
      <c r="B30" s="1129"/>
      <c r="C30" s="1129"/>
      <c r="D30" s="1129"/>
      <c r="E30" s="1129"/>
      <c r="F30" s="1129"/>
      <c r="G30" s="1129"/>
      <c r="H30" s="112"/>
    </row>
    <row r="31" spans="1:8" hidden="1">
      <c r="A31" s="149" t="s">
        <v>4</v>
      </c>
      <c r="B31" s="150" t="s">
        <v>495</v>
      </c>
      <c r="C31" s="150" t="s">
        <v>496</v>
      </c>
      <c r="D31" s="151" t="s">
        <v>497</v>
      </c>
      <c r="E31" s="152" t="s">
        <v>498</v>
      </c>
      <c r="F31" s="153" t="s">
        <v>8</v>
      </c>
      <c r="G31" s="154" t="s">
        <v>15</v>
      </c>
      <c r="H31" s="197" t="s">
        <v>499</v>
      </c>
    </row>
    <row r="32" spans="1:8" ht="15.75" hidden="1">
      <c r="A32" s="9">
        <v>12940</v>
      </c>
      <c r="B32" s="33">
        <v>0.1</v>
      </c>
      <c r="C32" s="69" t="s">
        <v>507</v>
      </c>
      <c r="D32" s="13"/>
      <c r="E32" s="66">
        <v>1300000</v>
      </c>
      <c r="F32" s="67">
        <v>0.04</v>
      </c>
      <c r="G32" s="68">
        <f>E32*F32</f>
        <v>52000</v>
      </c>
      <c r="H32" s="198" t="s">
        <v>53</v>
      </c>
    </row>
    <row r="33" spans="1:8" ht="15.75" hidden="1">
      <c r="A33" s="9">
        <v>12957</v>
      </c>
      <c r="B33" s="33">
        <v>0.1</v>
      </c>
      <c r="C33" s="69" t="s">
        <v>48</v>
      </c>
      <c r="D33" s="13"/>
      <c r="E33" s="66">
        <v>1850000</v>
      </c>
      <c r="F33" s="67">
        <v>0.04</v>
      </c>
      <c r="G33" s="68">
        <f t="shared" ref="G33:G41" si="1">E33*F33</f>
        <v>74000</v>
      </c>
      <c r="H33" s="198" t="s">
        <v>74</v>
      </c>
    </row>
    <row r="34" spans="1:8" ht="15.75" hidden="1">
      <c r="A34" s="9" t="s">
        <v>508</v>
      </c>
      <c r="B34" s="33">
        <v>0.1</v>
      </c>
      <c r="C34" s="69" t="s">
        <v>57</v>
      </c>
      <c r="D34" s="13"/>
      <c r="E34" s="66">
        <v>1250000</v>
      </c>
      <c r="F34" s="67">
        <v>0.04</v>
      </c>
      <c r="G34" s="68">
        <f t="shared" si="1"/>
        <v>50000</v>
      </c>
      <c r="H34" s="198" t="s">
        <v>53</v>
      </c>
    </row>
    <row r="35" spans="1:8" ht="15.75" hidden="1">
      <c r="A35" s="9">
        <v>13002</v>
      </c>
      <c r="B35" s="84">
        <v>0.08</v>
      </c>
      <c r="C35" s="69" t="s">
        <v>21</v>
      </c>
      <c r="D35" s="13"/>
      <c r="E35" s="66">
        <v>1250000</v>
      </c>
      <c r="F35" s="107">
        <v>0.03</v>
      </c>
      <c r="G35" s="68">
        <f t="shared" si="1"/>
        <v>37500</v>
      </c>
      <c r="H35" s="200" t="s">
        <v>17</v>
      </c>
    </row>
    <row r="36" spans="1:8" ht="15.75" hidden="1">
      <c r="A36" s="9">
        <v>13014</v>
      </c>
      <c r="B36" s="33">
        <v>0.1</v>
      </c>
      <c r="C36" s="69" t="s">
        <v>58</v>
      </c>
      <c r="D36" s="13"/>
      <c r="E36" s="66">
        <v>1200000</v>
      </c>
      <c r="F36" s="67">
        <v>0.04</v>
      </c>
      <c r="G36" s="68">
        <f t="shared" si="1"/>
        <v>48000</v>
      </c>
      <c r="H36" s="199" t="s">
        <v>53</v>
      </c>
    </row>
    <row r="37" spans="1:8" ht="15.75" hidden="1">
      <c r="A37" s="9" t="s">
        <v>25</v>
      </c>
      <c r="B37" s="33">
        <v>0.1</v>
      </c>
      <c r="C37" s="69" t="s">
        <v>26</v>
      </c>
      <c r="D37" s="13"/>
      <c r="E37" s="66">
        <v>800000</v>
      </c>
      <c r="F37" s="67">
        <v>0.04</v>
      </c>
      <c r="G37" s="68">
        <f t="shared" si="1"/>
        <v>32000</v>
      </c>
      <c r="H37" s="198" t="s">
        <v>17</v>
      </c>
    </row>
    <row r="38" spans="1:8" ht="13.5" hidden="1" customHeight="1">
      <c r="A38" s="9">
        <v>13041</v>
      </c>
      <c r="B38" s="33">
        <v>0.1</v>
      </c>
      <c r="C38" s="69" t="s">
        <v>60</v>
      </c>
      <c r="D38" s="13"/>
      <c r="E38" s="66">
        <v>1350000</v>
      </c>
      <c r="F38" s="67">
        <v>0.04</v>
      </c>
      <c r="G38" s="68">
        <f t="shared" si="1"/>
        <v>54000</v>
      </c>
      <c r="H38" s="198" t="s">
        <v>53</v>
      </c>
    </row>
    <row r="39" spans="1:8" ht="19.5" hidden="1" customHeight="1">
      <c r="A39" s="9">
        <v>13099</v>
      </c>
      <c r="B39" s="33">
        <v>0.1</v>
      </c>
      <c r="C39" s="12" t="s">
        <v>30</v>
      </c>
      <c r="D39" s="13"/>
      <c r="E39" s="66">
        <v>1650000</v>
      </c>
      <c r="F39" s="67">
        <v>0.04</v>
      </c>
      <c r="G39" s="68">
        <f t="shared" si="1"/>
        <v>66000</v>
      </c>
      <c r="H39" s="198" t="s">
        <v>503</v>
      </c>
    </row>
    <row r="40" spans="1:8" ht="15.75" hidden="1">
      <c r="A40" s="9">
        <v>13108</v>
      </c>
      <c r="B40" s="33">
        <v>0.1</v>
      </c>
      <c r="C40" s="69" t="s">
        <v>28</v>
      </c>
      <c r="D40" s="13"/>
      <c r="E40" s="66">
        <v>1150000</v>
      </c>
      <c r="F40" s="67">
        <v>0.04</v>
      </c>
      <c r="G40" s="68">
        <f t="shared" si="1"/>
        <v>46000</v>
      </c>
      <c r="H40" s="200" t="s">
        <v>503</v>
      </c>
    </row>
    <row r="41" spans="1:8" ht="15.75" hidden="1">
      <c r="A41" s="85"/>
      <c r="B41" s="33">
        <v>0.1</v>
      </c>
      <c r="C41" s="69" t="s">
        <v>33</v>
      </c>
      <c r="D41" s="13"/>
      <c r="E41" s="66">
        <v>2300000</v>
      </c>
      <c r="F41" s="67">
        <v>0.04</v>
      </c>
      <c r="G41" s="68">
        <f t="shared" si="1"/>
        <v>92000</v>
      </c>
      <c r="H41" s="198" t="s">
        <v>503</v>
      </c>
    </row>
    <row r="42" spans="1:8" ht="15.75" hidden="1">
      <c r="A42" s="38" t="s">
        <v>39</v>
      </c>
      <c r="B42" s="38"/>
      <c r="C42" s="89" t="s">
        <v>505</v>
      </c>
      <c r="D42" s="70"/>
      <c r="E42" s="41"/>
      <c r="F42" s="70"/>
      <c r="G42" s="70"/>
      <c r="H42" s="205" t="s">
        <v>503</v>
      </c>
    </row>
    <row r="43" spans="1:8" ht="15.75" hidden="1">
      <c r="A43" s="85" t="s">
        <v>509</v>
      </c>
      <c r="B43" s="86"/>
      <c r="C43" s="41" t="s">
        <v>41</v>
      </c>
      <c r="D43" s="70"/>
      <c r="E43" s="41"/>
      <c r="F43" s="71"/>
      <c r="G43" s="72"/>
      <c r="H43" s="205" t="s">
        <v>503</v>
      </c>
    </row>
    <row r="44" spans="1:8" ht="15.75" hidden="1">
      <c r="A44" s="85" t="s">
        <v>160</v>
      </c>
      <c r="B44" s="169"/>
      <c r="C44" s="170" t="s">
        <v>69</v>
      </c>
      <c r="D44" s="70"/>
      <c r="E44" s="41"/>
      <c r="F44" s="71"/>
      <c r="G44" s="72"/>
      <c r="H44" s="205" t="s">
        <v>53</v>
      </c>
    </row>
    <row r="45" spans="1:8" ht="15.75" hidden="1">
      <c r="A45" s="38" t="s">
        <v>39</v>
      </c>
      <c r="B45" s="89"/>
      <c r="C45" s="92" t="s">
        <v>43</v>
      </c>
      <c r="D45" s="42"/>
      <c r="E45" s="89"/>
      <c r="F45" s="89"/>
      <c r="G45" s="93"/>
      <c r="H45" s="174" t="s">
        <v>17</v>
      </c>
    </row>
    <row r="46" spans="1:8" ht="15.75" hidden="1">
      <c r="A46" s="38" t="s">
        <v>39</v>
      </c>
      <c r="B46" s="89"/>
      <c r="C46" s="89" t="s">
        <v>44</v>
      </c>
      <c r="D46" s="89"/>
      <c r="E46" s="89"/>
      <c r="F46" s="89"/>
      <c r="G46" s="93"/>
      <c r="H46" s="207" t="s">
        <v>17</v>
      </c>
    </row>
    <row r="47" spans="1:8" hidden="1">
      <c r="A47" s="1135"/>
      <c r="B47" s="1135"/>
      <c r="C47" s="1135"/>
      <c r="D47" s="1135"/>
      <c r="E47" s="68">
        <f>SUM(E32:E46)</f>
        <v>14100000</v>
      </c>
      <c r="F47" s="76"/>
      <c r="G47" s="68">
        <f>SUM(G32:G46)</f>
        <v>551500</v>
      </c>
      <c r="H47" s="206"/>
    </row>
    <row r="48" spans="1:8" hidden="1">
      <c r="A48" s="17"/>
      <c r="B48" s="17"/>
      <c r="C48" s="17"/>
      <c r="D48" s="17"/>
      <c r="E48" s="78"/>
      <c r="F48" s="76"/>
      <c r="G48" s="78"/>
      <c r="H48" s="73"/>
    </row>
    <row r="49" spans="1:9" hidden="1">
      <c r="A49" s="1129" t="s">
        <v>510</v>
      </c>
      <c r="B49" s="1129"/>
      <c r="C49" s="1129"/>
      <c r="D49" s="1129"/>
      <c r="E49" s="1129"/>
      <c r="F49" s="1129"/>
      <c r="G49" s="1129"/>
      <c r="H49" s="112"/>
    </row>
    <row r="50" spans="1:9" hidden="1">
      <c r="A50" s="1129"/>
      <c r="B50" s="1129"/>
      <c r="C50" s="1129"/>
      <c r="D50" s="1129"/>
      <c r="E50" s="1129"/>
      <c r="F50" s="1129"/>
      <c r="G50" s="1129"/>
      <c r="H50" s="112"/>
    </row>
    <row r="51" spans="1:9" hidden="1">
      <c r="A51" s="149" t="s">
        <v>4</v>
      </c>
      <c r="B51" s="150" t="s">
        <v>495</v>
      </c>
      <c r="C51" s="150" t="s">
        <v>496</v>
      </c>
      <c r="D51" s="151" t="s">
        <v>497</v>
      </c>
      <c r="E51" s="152" t="s">
        <v>498</v>
      </c>
      <c r="F51" s="153" t="s">
        <v>8</v>
      </c>
      <c r="G51" s="154" t="s">
        <v>15</v>
      </c>
      <c r="H51" s="197" t="s">
        <v>499</v>
      </c>
    </row>
    <row r="52" spans="1:9" ht="15.75" hidden="1">
      <c r="A52" s="9">
        <v>12984</v>
      </c>
      <c r="B52" s="51">
        <v>0.1</v>
      </c>
      <c r="C52" s="69" t="s">
        <v>76</v>
      </c>
      <c r="D52" s="13"/>
      <c r="E52" s="66">
        <v>1200000</v>
      </c>
      <c r="F52" s="67"/>
      <c r="G52" s="68"/>
      <c r="H52" s="198" t="s">
        <v>104</v>
      </c>
    </row>
    <row r="53" spans="1:9" hidden="1">
      <c r="A53" s="1135"/>
      <c r="B53" s="1135"/>
      <c r="C53" s="1135"/>
      <c r="D53" s="1135"/>
      <c r="E53" s="68">
        <f>SUM(E52)</f>
        <v>1200000</v>
      </c>
      <c r="F53" s="76"/>
      <c r="G53" s="78"/>
      <c r="H53" s="206"/>
    </row>
    <row r="54" spans="1:9" hidden="1">
      <c r="A54" s="191"/>
      <c r="B54" s="31"/>
      <c r="C54" s="31"/>
      <c r="D54" s="31"/>
      <c r="E54" s="31"/>
      <c r="F54" s="31"/>
      <c r="G54" s="31"/>
      <c r="H54" s="56"/>
    </row>
    <row r="55" spans="1:9" hidden="1">
      <c r="A55" s="1129" t="s">
        <v>511</v>
      </c>
      <c r="B55" s="1129"/>
      <c r="C55" s="1129"/>
      <c r="D55" s="1129"/>
      <c r="E55" s="1129"/>
      <c r="F55" s="1129"/>
      <c r="G55" s="1129"/>
      <c r="H55" s="112"/>
    </row>
    <row r="56" spans="1:9" hidden="1">
      <c r="A56" s="1129"/>
      <c r="B56" s="1129"/>
      <c r="C56" s="1129"/>
      <c r="D56" s="1129"/>
      <c r="E56" s="1129"/>
      <c r="F56" s="1129"/>
      <c r="G56" s="1129"/>
      <c r="H56" s="112"/>
    </row>
    <row r="57" spans="1:9" hidden="1">
      <c r="A57" s="149" t="s">
        <v>4</v>
      </c>
      <c r="B57" s="150" t="s">
        <v>495</v>
      </c>
      <c r="C57" s="150" t="s">
        <v>496</v>
      </c>
      <c r="D57" s="151" t="s">
        <v>497</v>
      </c>
      <c r="E57" s="152" t="s">
        <v>498</v>
      </c>
      <c r="F57" s="153" t="s">
        <v>8</v>
      </c>
      <c r="G57" s="154" t="s">
        <v>15</v>
      </c>
      <c r="H57" s="197" t="s">
        <v>499</v>
      </c>
    </row>
    <row r="58" spans="1:9" hidden="1">
      <c r="A58" s="74"/>
      <c r="B58" s="75"/>
      <c r="C58" s="19"/>
      <c r="D58" s="76"/>
      <c r="E58" s="19"/>
      <c r="F58" s="77"/>
      <c r="G58" s="78"/>
      <c r="H58" s="208"/>
    </row>
    <row r="59" spans="1:9" hidden="1">
      <c r="A59" s="74"/>
      <c r="B59" s="75"/>
      <c r="C59" s="19"/>
      <c r="D59" s="76"/>
      <c r="E59" s="19"/>
      <c r="F59" s="77"/>
      <c r="G59" s="78"/>
      <c r="H59" s="208"/>
    </row>
    <row r="60" spans="1:9" hidden="1">
      <c r="A60" s="74"/>
      <c r="B60" s="75"/>
      <c r="C60" s="19"/>
      <c r="D60" s="76"/>
      <c r="E60" s="19"/>
      <c r="F60" s="77"/>
      <c r="G60" s="78"/>
      <c r="H60" s="209"/>
      <c r="I60" s="20"/>
    </row>
    <row r="61" spans="1:9" ht="30.75" hidden="1" customHeight="1">
      <c r="A61" s="1089" t="s">
        <v>512</v>
      </c>
      <c r="B61" s="1140"/>
      <c r="C61" s="183"/>
      <c r="D61" s="192">
        <f>E27+E47+E53</f>
        <v>33692730</v>
      </c>
      <c r="E61" s="19"/>
      <c r="F61" s="77"/>
      <c r="G61" s="78"/>
      <c r="H61" s="209"/>
      <c r="I61" s="20"/>
    </row>
    <row r="62" spans="1:9" ht="15.75" hidden="1">
      <c r="A62" s="1090" t="s">
        <v>83</v>
      </c>
      <c r="B62" s="1141"/>
      <c r="C62" s="185"/>
      <c r="D62" s="80">
        <v>2950000</v>
      </c>
      <c r="E62" s="19"/>
      <c r="F62" s="77"/>
      <c r="G62" s="78"/>
      <c r="H62" s="209"/>
      <c r="I62" s="20"/>
    </row>
    <row r="63" spans="1:9" ht="15.75" hidden="1">
      <c r="A63" s="1091" t="s">
        <v>84</v>
      </c>
      <c r="B63" s="1142"/>
      <c r="C63" s="186"/>
      <c r="D63" s="193">
        <v>1290000</v>
      </c>
      <c r="E63" s="19"/>
      <c r="F63" s="77"/>
      <c r="G63" s="78"/>
      <c r="H63" s="209"/>
      <c r="I63" s="20"/>
    </row>
    <row r="64" spans="1:9" ht="15.75" hidden="1">
      <c r="A64" s="1092" t="s">
        <v>85</v>
      </c>
      <c r="B64" s="1140"/>
      <c r="C64" s="186"/>
      <c r="D64" s="188">
        <v>10760000</v>
      </c>
      <c r="E64" s="19"/>
      <c r="F64" s="77"/>
      <c r="G64" s="78"/>
      <c r="H64" s="209"/>
      <c r="I64" s="20"/>
    </row>
    <row r="65" spans="1:9" ht="15.75" hidden="1">
      <c r="A65" s="1088" t="s">
        <v>86</v>
      </c>
      <c r="B65" s="1088"/>
      <c r="C65" s="189"/>
      <c r="D65" s="190"/>
      <c r="E65" s="19"/>
      <c r="F65" s="77"/>
      <c r="G65" s="78"/>
      <c r="H65" s="209"/>
      <c r="I65" s="20"/>
    </row>
    <row r="66" spans="1:9" ht="31.5" hidden="1" customHeight="1">
      <c r="A66" s="1058" t="s">
        <v>87</v>
      </c>
      <c r="B66" s="1058"/>
      <c r="C66" s="117"/>
      <c r="D66" s="124">
        <v>1900000</v>
      </c>
      <c r="E66" s="20"/>
      <c r="F66" s="20"/>
      <c r="G66" s="20"/>
      <c r="H66" s="112"/>
      <c r="I66" s="20"/>
    </row>
    <row r="67" spans="1:9" ht="15.75" hidden="1">
      <c r="A67" s="79"/>
      <c r="B67" s="79"/>
      <c r="C67" s="76"/>
      <c r="D67" s="94"/>
      <c r="E67" s="31"/>
      <c r="F67" s="20"/>
      <c r="G67" s="20"/>
      <c r="H67" s="210"/>
      <c r="I67" s="104"/>
    </row>
    <row r="68" spans="1:9" ht="15.75" hidden="1">
      <c r="A68" s="79"/>
      <c r="B68" s="79"/>
      <c r="C68" s="76"/>
      <c r="D68" s="94"/>
      <c r="E68" s="31"/>
      <c r="F68" s="20"/>
      <c r="G68" s="20"/>
      <c r="H68" s="112"/>
      <c r="I68" s="20"/>
    </row>
    <row r="69" spans="1:9" hidden="1">
      <c r="A69" s="1129" t="s">
        <v>513</v>
      </c>
      <c r="B69" s="1129"/>
      <c r="C69" s="1129"/>
      <c r="D69" s="1129"/>
      <c r="E69" s="1129"/>
      <c r="F69" s="1129"/>
      <c r="G69" s="1129"/>
      <c r="H69" s="210"/>
    </row>
    <row r="70" spans="1:9" hidden="1">
      <c r="A70" s="1129"/>
      <c r="B70" s="1129"/>
      <c r="C70" s="1129"/>
      <c r="D70" s="1129"/>
      <c r="E70" s="1129"/>
      <c r="F70" s="1129"/>
      <c r="G70" s="1129"/>
      <c r="H70" s="112"/>
    </row>
    <row r="71" spans="1:9" hidden="1">
      <c r="A71" s="149" t="s">
        <v>4</v>
      </c>
      <c r="B71" s="150" t="s">
        <v>495</v>
      </c>
      <c r="C71" s="150" t="s">
        <v>496</v>
      </c>
      <c r="D71" s="151" t="s">
        <v>497</v>
      </c>
      <c r="E71" s="152" t="s">
        <v>498</v>
      </c>
      <c r="F71" s="153" t="s">
        <v>8</v>
      </c>
      <c r="G71" s="154" t="s">
        <v>15</v>
      </c>
      <c r="H71" s="197" t="s">
        <v>499</v>
      </c>
      <c r="I71" t="s">
        <v>514</v>
      </c>
    </row>
    <row r="72" spans="1:9" ht="15.75" hidden="1">
      <c r="A72" s="9">
        <v>12901</v>
      </c>
      <c r="B72" s="33">
        <v>0.1</v>
      </c>
      <c r="C72" s="13" t="s">
        <v>47</v>
      </c>
      <c r="D72" s="13"/>
      <c r="E72" s="66">
        <v>1300000</v>
      </c>
      <c r="F72" s="194">
        <v>2.5000000000000001E-2</v>
      </c>
      <c r="G72" s="68">
        <f>E72*F72</f>
        <v>32500</v>
      </c>
      <c r="H72" s="198" t="s">
        <v>53</v>
      </c>
    </row>
    <row r="73" spans="1:9" ht="15.75" hidden="1">
      <c r="A73" s="9">
        <v>12945</v>
      </c>
      <c r="B73" s="33">
        <v>0.1</v>
      </c>
      <c r="C73" s="34" t="s">
        <v>49</v>
      </c>
      <c r="D73" s="11"/>
      <c r="E73" s="66">
        <v>1250000</v>
      </c>
      <c r="F73" s="194">
        <v>2.5000000000000001E-2</v>
      </c>
      <c r="G73" s="68">
        <f t="shared" ref="G73:G94" si="2">E73*F73</f>
        <v>31250</v>
      </c>
      <c r="H73" s="198" t="s">
        <v>53</v>
      </c>
    </row>
    <row r="74" spans="1:9" ht="15.75" hidden="1">
      <c r="A74" s="9">
        <v>12922</v>
      </c>
      <c r="B74" s="33">
        <v>0.1</v>
      </c>
      <c r="C74" s="69" t="s">
        <v>50</v>
      </c>
      <c r="D74" s="13"/>
      <c r="E74" s="66">
        <v>1600000</v>
      </c>
      <c r="F74" s="194">
        <v>2.5000000000000001E-2</v>
      </c>
      <c r="G74" s="68">
        <f t="shared" si="2"/>
        <v>40000</v>
      </c>
      <c r="H74" s="198" t="s">
        <v>53</v>
      </c>
    </row>
    <row r="75" spans="1:9" ht="15.75" hidden="1">
      <c r="A75" s="9">
        <v>12941</v>
      </c>
      <c r="B75" s="84">
        <v>0.08</v>
      </c>
      <c r="C75" s="13" t="s">
        <v>501</v>
      </c>
      <c r="D75" s="11"/>
      <c r="E75" s="66">
        <v>1750000</v>
      </c>
      <c r="F75" s="195">
        <v>0.02</v>
      </c>
      <c r="G75" s="68">
        <f t="shared" si="2"/>
        <v>35000</v>
      </c>
      <c r="H75" s="199" t="s">
        <v>53</v>
      </c>
    </row>
    <row r="76" spans="1:9" ht="15.75" hidden="1">
      <c r="A76" s="9">
        <v>12952</v>
      </c>
      <c r="B76" s="84">
        <v>0.08</v>
      </c>
      <c r="C76" s="11" t="s">
        <v>16</v>
      </c>
      <c r="D76" s="13"/>
      <c r="E76" s="66">
        <v>2100000</v>
      </c>
      <c r="F76" s="195">
        <v>0.02</v>
      </c>
      <c r="G76" s="68">
        <f t="shared" si="2"/>
        <v>42000</v>
      </c>
      <c r="H76" s="198" t="s">
        <v>17</v>
      </c>
    </row>
    <row r="77" spans="1:9" ht="15.75" hidden="1">
      <c r="A77" s="9">
        <v>12975</v>
      </c>
      <c r="B77" s="33">
        <v>0.1</v>
      </c>
      <c r="C77" s="11" t="s">
        <v>73</v>
      </c>
      <c r="D77" s="13"/>
      <c r="E77" s="66">
        <v>1000000</v>
      </c>
      <c r="F77" s="194">
        <v>2.5000000000000001E-2</v>
      </c>
      <c r="G77" s="68">
        <f t="shared" si="2"/>
        <v>25000</v>
      </c>
      <c r="H77" s="198" t="s">
        <v>74</v>
      </c>
    </row>
    <row r="78" spans="1:9" ht="15.75" hidden="1">
      <c r="A78" s="9">
        <v>12981</v>
      </c>
      <c r="B78" s="33">
        <v>0.1</v>
      </c>
      <c r="C78" s="11" t="s">
        <v>20</v>
      </c>
      <c r="D78" s="13"/>
      <c r="E78" s="66">
        <v>1300000</v>
      </c>
      <c r="F78" s="194">
        <v>2.5000000000000001E-2</v>
      </c>
      <c r="G78" s="68">
        <f t="shared" si="2"/>
        <v>32500</v>
      </c>
      <c r="H78" s="200" t="s">
        <v>53</v>
      </c>
    </row>
    <row r="79" spans="1:9" ht="15.75" hidden="1">
      <c r="A79" s="9" t="s">
        <v>81</v>
      </c>
      <c r="B79" s="33">
        <v>0.1</v>
      </c>
      <c r="C79" s="11" t="s">
        <v>55</v>
      </c>
      <c r="D79" s="13"/>
      <c r="E79" s="66">
        <v>1000000</v>
      </c>
      <c r="F79" s="194">
        <v>2.5000000000000001E-2</v>
      </c>
      <c r="G79" s="68">
        <f t="shared" si="2"/>
        <v>25000</v>
      </c>
      <c r="H79" s="199" t="s">
        <v>53</v>
      </c>
    </row>
    <row r="80" spans="1:9" ht="15.75" hidden="1">
      <c r="A80" s="9">
        <v>13030</v>
      </c>
      <c r="B80" s="33">
        <v>0.1</v>
      </c>
      <c r="C80" s="11" t="s">
        <v>59</v>
      </c>
      <c r="D80" s="13"/>
      <c r="E80" s="66">
        <v>1200000</v>
      </c>
      <c r="F80" s="194">
        <v>2.5000000000000001E-2</v>
      </c>
      <c r="G80" s="68">
        <f t="shared" si="2"/>
        <v>30000</v>
      </c>
      <c r="H80" s="198" t="s">
        <v>53</v>
      </c>
    </row>
    <row r="81" spans="1:8" ht="15.75" hidden="1">
      <c r="A81" s="9">
        <v>13031</v>
      </c>
      <c r="B81" s="33">
        <v>0.1</v>
      </c>
      <c r="C81" s="34" t="s">
        <v>79</v>
      </c>
      <c r="D81" s="11"/>
      <c r="E81" s="66">
        <v>1742730</v>
      </c>
      <c r="F81" s="194">
        <v>2.5000000000000001E-2</v>
      </c>
      <c r="G81" s="68">
        <f t="shared" si="2"/>
        <v>43568.25</v>
      </c>
      <c r="H81" s="201" t="s">
        <v>22</v>
      </c>
    </row>
    <row r="82" spans="1:8" ht="15.75" hidden="1">
      <c r="A82" s="9">
        <v>13086</v>
      </c>
      <c r="B82" s="33">
        <v>0.1</v>
      </c>
      <c r="C82" s="35" t="s">
        <v>29</v>
      </c>
      <c r="D82" s="12"/>
      <c r="E82" s="66">
        <v>1450000</v>
      </c>
      <c r="F82" s="194">
        <v>2.5000000000000001E-2</v>
      </c>
      <c r="G82" s="68">
        <f t="shared" si="2"/>
        <v>36250</v>
      </c>
      <c r="H82" s="202" t="s">
        <v>503</v>
      </c>
    </row>
    <row r="83" spans="1:8" ht="15.75" hidden="1">
      <c r="A83" s="85"/>
      <c r="B83" s="33">
        <v>0.1</v>
      </c>
      <c r="C83" s="35" t="s">
        <v>515</v>
      </c>
      <c r="D83" s="12"/>
      <c r="E83" s="66">
        <v>800000</v>
      </c>
      <c r="F83" s="194">
        <v>2.5000000000000001E-2</v>
      </c>
      <c r="G83" s="68">
        <f t="shared" si="2"/>
        <v>20000</v>
      </c>
      <c r="H83" s="202" t="s">
        <v>503</v>
      </c>
    </row>
    <row r="84" spans="1:8" ht="15.75" hidden="1">
      <c r="A84" s="9">
        <v>12940</v>
      </c>
      <c r="B84" s="33">
        <v>0.1</v>
      </c>
      <c r="C84" s="69" t="s">
        <v>516</v>
      </c>
      <c r="D84" s="13"/>
      <c r="E84" s="66">
        <v>1300000</v>
      </c>
      <c r="F84" s="194">
        <v>2.5000000000000001E-2</v>
      </c>
      <c r="G84" s="68">
        <f t="shared" si="2"/>
        <v>32500</v>
      </c>
      <c r="H84" s="198" t="s">
        <v>53</v>
      </c>
    </row>
    <row r="85" spans="1:8" ht="15.75" hidden="1">
      <c r="A85" s="9">
        <v>12957</v>
      </c>
      <c r="B85" s="33">
        <v>0.1</v>
      </c>
      <c r="C85" s="69" t="s">
        <v>48</v>
      </c>
      <c r="D85" s="13"/>
      <c r="E85" s="66">
        <v>1850000</v>
      </c>
      <c r="F85" s="194">
        <v>2.5000000000000001E-2</v>
      </c>
      <c r="G85" s="68">
        <f t="shared" si="2"/>
        <v>46250</v>
      </c>
      <c r="H85" s="198" t="s">
        <v>74</v>
      </c>
    </row>
    <row r="86" spans="1:8" ht="15.75" hidden="1">
      <c r="A86" s="9" t="s">
        <v>508</v>
      </c>
      <c r="B86" s="33">
        <v>0.1</v>
      </c>
      <c r="C86" s="69" t="s">
        <v>57</v>
      </c>
      <c r="D86" s="13"/>
      <c r="E86" s="66">
        <v>1250000</v>
      </c>
      <c r="F86" s="194">
        <v>2.5000000000000001E-2</v>
      </c>
      <c r="G86" s="68">
        <f t="shared" si="2"/>
        <v>31250</v>
      </c>
      <c r="H86" s="198" t="s">
        <v>53</v>
      </c>
    </row>
    <row r="87" spans="1:8" ht="15.75" hidden="1">
      <c r="A87" s="9">
        <v>13002</v>
      </c>
      <c r="B87" s="84">
        <v>0.08</v>
      </c>
      <c r="C87" s="69" t="s">
        <v>21</v>
      </c>
      <c r="D87" s="13"/>
      <c r="E87" s="66">
        <v>1250000</v>
      </c>
      <c r="F87" s="195">
        <v>0.02</v>
      </c>
      <c r="G87" s="68">
        <f t="shared" si="2"/>
        <v>25000</v>
      </c>
      <c r="H87" s="200" t="s">
        <v>17</v>
      </c>
    </row>
    <row r="88" spans="1:8" ht="15.75" hidden="1">
      <c r="A88" s="9">
        <v>13014</v>
      </c>
      <c r="B88" s="33">
        <v>0.1</v>
      </c>
      <c r="C88" s="69" t="s">
        <v>58</v>
      </c>
      <c r="D88" s="13"/>
      <c r="E88" s="66">
        <v>1200000</v>
      </c>
      <c r="F88" s="194">
        <v>2.5000000000000001E-2</v>
      </c>
      <c r="G88" s="68">
        <f t="shared" si="2"/>
        <v>30000</v>
      </c>
      <c r="H88" s="199" t="s">
        <v>53</v>
      </c>
    </row>
    <row r="89" spans="1:8" ht="15.75" hidden="1">
      <c r="A89" s="9" t="s">
        <v>25</v>
      </c>
      <c r="B89" s="33">
        <v>0.1</v>
      </c>
      <c r="C89" s="69" t="s">
        <v>26</v>
      </c>
      <c r="D89" s="13"/>
      <c r="E89" s="66">
        <v>800000</v>
      </c>
      <c r="F89" s="194">
        <v>2.5000000000000001E-2</v>
      </c>
      <c r="G89" s="68">
        <f t="shared" si="2"/>
        <v>20000</v>
      </c>
      <c r="H89" s="198" t="s">
        <v>17</v>
      </c>
    </row>
    <row r="90" spans="1:8" ht="15.75" hidden="1">
      <c r="A90" s="9">
        <v>13041</v>
      </c>
      <c r="B90" s="33">
        <v>0.1</v>
      </c>
      <c r="C90" s="69" t="s">
        <v>60</v>
      </c>
      <c r="D90" s="13"/>
      <c r="E90" s="66">
        <v>1350000</v>
      </c>
      <c r="F90" s="194">
        <v>2.5000000000000001E-2</v>
      </c>
      <c r="G90" s="68">
        <f t="shared" si="2"/>
        <v>33750</v>
      </c>
      <c r="H90" s="198" t="s">
        <v>53</v>
      </c>
    </row>
    <row r="91" spans="1:8" ht="15.75" hidden="1">
      <c r="A91" s="9">
        <v>13099</v>
      </c>
      <c r="B91" s="33">
        <v>0.1</v>
      </c>
      <c r="C91" s="12" t="s">
        <v>30</v>
      </c>
      <c r="D91" s="13"/>
      <c r="E91" s="66">
        <v>1650000</v>
      </c>
      <c r="F91" s="194">
        <v>2.5000000000000001E-2</v>
      </c>
      <c r="G91" s="68">
        <f t="shared" si="2"/>
        <v>41250</v>
      </c>
      <c r="H91" s="198" t="s">
        <v>503</v>
      </c>
    </row>
    <row r="92" spans="1:8" ht="15.75" hidden="1">
      <c r="A92" s="9">
        <v>13108</v>
      </c>
      <c r="B92" s="33">
        <v>0.1</v>
      </c>
      <c r="C92" s="69" t="s">
        <v>28</v>
      </c>
      <c r="D92" s="13"/>
      <c r="E92" s="66">
        <v>1150000</v>
      </c>
      <c r="F92" s="194">
        <v>2.5000000000000001E-2</v>
      </c>
      <c r="G92" s="68">
        <f t="shared" si="2"/>
        <v>28750</v>
      </c>
      <c r="H92" s="200" t="s">
        <v>503</v>
      </c>
    </row>
    <row r="93" spans="1:8" ht="15.75" hidden="1">
      <c r="A93" s="85"/>
      <c r="B93" s="33">
        <v>0.1</v>
      </c>
      <c r="C93" s="69" t="s">
        <v>33</v>
      </c>
      <c r="D93" s="13"/>
      <c r="E93" s="66">
        <v>2300000</v>
      </c>
      <c r="F93" s="194">
        <v>2.5000000000000001E-2</v>
      </c>
      <c r="G93" s="68">
        <f t="shared" si="2"/>
        <v>57500</v>
      </c>
      <c r="H93" s="200" t="s">
        <v>503</v>
      </c>
    </row>
    <row r="94" spans="1:8" ht="15.75" hidden="1">
      <c r="A94" s="9">
        <v>12984</v>
      </c>
      <c r="B94" s="51">
        <v>0.1</v>
      </c>
      <c r="C94" s="69" t="s">
        <v>76</v>
      </c>
      <c r="D94" s="13"/>
      <c r="E94" s="66">
        <v>1200000</v>
      </c>
      <c r="F94" s="194">
        <v>2.5000000000000001E-2</v>
      </c>
      <c r="G94" s="68">
        <f t="shared" si="2"/>
        <v>30000</v>
      </c>
      <c r="H94" s="198" t="s">
        <v>53</v>
      </c>
    </row>
    <row r="95" spans="1:8" hidden="1">
      <c r="A95" s="20"/>
      <c r="B95" s="20"/>
      <c r="C95" s="20"/>
      <c r="D95" s="20"/>
      <c r="E95" s="20"/>
      <c r="F95" s="20"/>
      <c r="G95" s="20"/>
    </row>
    <row r="96" spans="1:8" ht="18.75" hidden="1">
      <c r="A96" s="20"/>
      <c r="B96" s="20"/>
      <c r="C96" s="20"/>
      <c r="D96" s="20"/>
      <c r="E96" s="196">
        <f>SUM(E72:E95)</f>
        <v>31792730</v>
      </c>
      <c r="F96" s="20"/>
      <c r="G96" s="72">
        <f>SUM(G72:G95)</f>
        <v>769318.25</v>
      </c>
    </row>
    <row r="97" spans="1:14" hidden="1">
      <c r="A97" s="20"/>
      <c r="B97" s="20"/>
      <c r="C97" s="20"/>
      <c r="D97" s="20"/>
      <c r="E97" s="20"/>
      <c r="F97" s="20"/>
      <c r="G97" s="20"/>
    </row>
    <row r="98" spans="1:14">
      <c r="A98" s="20"/>
      <c r="B98" s="20"/>
      <c r="C98" s="20"/>
      <c r="D98" s="20"/>
      <c r="E98" s="20"/>
      <c r="F98" s="20"/>
      <c r="G98" s="20"/>
    </row>
    <row r="99" spans="1:14">
      <c r="A99" s="1131" t="s">
        <v>517</v>
      </c>
      <c r="B99" s="1131"/>
      <c r="C99" s="1131"/>
      <c r="D99" s="1131"/>
      <c r="E99" s="1131"/>
      <c r="F99" s="1131"/>
      <c r="G99" s="1131"/>
    </row>
    <row r="100" spans="1:14">
      <c r="A100" s="1131"/>
      <c r="B100" s="1131"/>
      <c r="C100" s="1131"/>
      <c r="D100" s="1131"/>
      <c r="E100" s="1131"/>
      <c r="F100" s="1131"/>
      <c r="G100" s="1131"/>
    </row>
    <row r="101" spans="1:14" ht="6.75" customHeight="1">
      <c r="A101" s="1131"/>
      <c r="B101" s="1131"/>
      <c r="C101" s="1131"/>
      <c r="D101" s="1131"/>
      <c r="E101" s="1131"/>
      <c r="F101" s="1131"/>
      <c r="G101" s="1131"/>
      <c r="L101" s="56"/>
      <c r="M101" s="56"/>
      <c r="N101" s="56"/>
    </row>
    <row r="102" spans="1:14">
      <c r="A102" s="1131"/>
      <c r="B102" s="1131"/>
      <c r="C102" s="1131"/>
      <c r="D102" s="1131"/>
      <c r="E102" s="1131"/>
      <c r="F102" s="1131"/>
      <c r="G102" s="1131"/>
      <c r="L102" s="56"/>
      <c r="M102" s="56"/>
      <c r="N102" s="56"/>
    </row>
    <row r="103" spans="1:14" ht="15" hidden="1" customHeight="1">
      <c r="A103" s="1129" t="s">
        <v>518</v>
      </c>
      <c r="B103" s="1129"/>
      <c r="C103" s="1129"/>
      <c r="D103" s="1129"/>
      <c r="E103" s="1129"/>
      <c r="F103" s="1129"/>
      <c r="G103" s="1129"/>
      <c r="L103" s="56"/>
      <c r="M103" s="56"/>
      <c r="N103" s="56"/>
    </row>
    <row r="104" spans="1:14" ht="15" hidden="1" customHeight="1">
      <c r="A104" s="1129"/>
      <c r="B104" s="1129"/>
      <c r="C104" s="1129"/>
      <c r="D104" s="1129"/>
      <c r="E104" s="1129"/>
      <c r="F104" s="1129"/>
      <c r="G104" s="1129"/>
      <c r="L104" s="56"/>
      <c r="M104" s="56"/>
      <c r="N104" s="56"/>
    </row>
    <row r="105" spans="1:14" ht="15.75" hidden="1" customHeight="1">
      <c r="A105" s="211" t="s">
        <v>4</v>
      </c>
      <c r="B105" s="212" t="s">
        <v>495</v>
      </c>
      <c r="C105" s="212" t="s">
        <v>496</v>
      </c>
      <c r="D105" s="213" t="s">
        <v>497</v>
      </c>
      <c r="E105" s="214" t="s">
        <v>498</v>
      </c>
      <c r="F105" s="215" t="s">
        <v>8</v>
      </c>
      <c r="G105" s="216" t="s">
        <v>15</v>
      </c>
      <c r="L105" s="56"/>
      <c r="M105" s="56"/>
      <c r="N105" s="56"/>
    </row>
    <row r="106" spans="1:14" ht="21" hidden="1" customHeight="1">
      <c r="A106" s="9">
        <v>13155</v>
      </c>
      <c r="B106" s="163">
        <v>7.0000000000000007E-2</v>
      </c>
      <c r="C106" s="69" t="s">
        <v>112</v>
      </c>
      <c r="D106" s="164"/>
      <c r="E106" s="158">
        <v>950000</v>
      </c>
      <c r="F106" s="160">
        <v>0.03</v>
      </c>
      <c r="G106" s="68">
        <f>E106*F106</f>
        <v>28500</v>
      </c>
      <c r="H106" s="271" t="s">
        <v>53</v>
      </c>
      <c r="I106" s="20"/>
      <c r="L106" s="56"/>
      <c r="M106" s="56"/>
      <c r="N106" s="56"/>
    </row>
    <row r="107" spans="1:14" ht="15.75" hidden="1">
      <c r="A107" s="9">
        <v>13138</v>
      </c>
      <c r="B107" s="33">
        <v>0.1</v>
      </c>
      <c r="C107" s="69" t="s">
        <v>114</v>
      </c>
      <c r="D107" s="165"/>
      <c r="E107" s="158">
        <v>1200000</v>
      </c>
      <c r="F107" s="160">
        <v>0.05</v>
      </c>
      <c r="G107" s="68">
        <f t="shared" ref="G107:G119" si="3">E107*F107</f>
        <v>60000</v>
      </c>
      <c r="H107" s="220" t="s">
        <v>53</v>
      </c>
      <c r="I107" s="20"/>
      <c r="L107" s="56"/>
      <c r="M107" s="56"/>
      <c r="N107" s="56"/>
    </row>
    <row r="108" spans="1:14" ht="16.5" hidden="1" customHeight="1">
      <c r="A108" s="9">
        <v>13172</v>
      </c>
      <c r="B108" s="33">
        <v>0.1</v>
      </c>
      <c r="C108" s="69" t="s">
        <v>519</v>
      </c>
      <c r="D108" s="146"/>
      <c r="E108" s="158">
        <v>1100000</v>
      </c>
      <c r="F108" s="160">
        <v>0.05</v>
      </c>
      <c r="G108" s="68">
        <f t="shared" si="3"/>
        <v>55000</v>
      </c>
      <c r="H108" s="272" t="s">
        <v>53</v>
      </c>
      <c r="I108" s="20"/>
      <c r="L108" s="56"/>
      <c r="M108" s="56"/>
      <c r="N108" s="56"/>
    </row>
    <row r="109" spans="1:14" ht="16.5" hidden="1" customHeight="1">
      <c r="A109" s="148" t="s">
        <v>93</v>
      </c>
      <c r="B109" s="33">
        <v>0.1</v>
      </c>
      <c r="C109" s="11" t="s">
        <v>94</v>
      </c>
      <c r="D109" s="164"/>
      <c r="E109" s="158">
        <v>800000</v>
      </c>
      <c r="F109" s="160">
        <v>0.05</v>
      </c>
      <c r="G109" s="68">
        <f t="shared" si="3"/>
        <v>40000</v>
      </c>
      <c r="H109" s="271" t="s">
        <v>503</v>
      </c>
      <c r="I109" s="20"/>
      <c r="L109" s="56"/>
      <c r="M109" s="56"/>
      <c r="N109" s="56"/>
    </row>
    <row r="110" spans="1:14" ht="15.75" hidden="1">
      <c r="A110" s="9">
        <v>13201</v>
      </c>
      <c r="B110" s="33">
        <v>0.1</v>
      </c>
      <c r="C110" s="140" t="s">
        <v>520</v>
      </c>
      <c r="D110" s="164"/>
      <c r="E110" s="158">
        <v>1200000</v>
      </c>
      <c r="F110" s="160">
        <v>0.05</v>
      </c>
      <c r="G110" s="68">
        <f t="shared" si="3"/>
        <v>60000</v>
      </c>
      <c r="H110" s="271" t="s">
        <v>53</v>
      </c>
      <c r="I110" s="20"/>
      <c r="L110" s="56"/>
      <c r="M110" s="56"/>
      <c r="N110" s="56"/>
    </row>
    <row r="111" spans="1:14" s="56" customFormat="1" ht="15.75" hidden="1">
      <c r="A111" s="9">
        <v>13217</v>
      </c>
      <c r="B111" s="37">
        <v>0.1</v>
      </c>
      <c r="C111" s="140" t="s">
        <v>521</v>
      </c>
      <c r="D111" s="166"/>
      <c r="E111" s="158">
        <v>1250000</v>
      </c>
      <c r="F111" s="160">
        <v>0.05</v>
      </c>
      <c r="G111" s="68">
        <f t="shared" si="3"/>
        <v>62500</v>
      </c>
      <c r="H111" s="271" t="s">
        <v>53</v>
      </c>
      <c r="I111" s="31"/>
    </row>
    <row r="112" spans="1:14" ht="15.75" hidden="1">
      <c r="A112" s="9">
        <v>13289</v>
      </c>
      <c r="B112" s="33">
        <v>0.1</v>
      </c>
      <c r="C112" s="35" t="s">
        <v>92</v>
      </c>
      <c r="D112" s="12"/>
      <c r="E112" s="158">
        <v>820000</v>
      </c>
      <c r="F112" s="160">
        <v>0.05</v>
      </c>
      <c r="G112" s="68">
        <f t="shared" si="3"/>
        <v>41000</v>
      </c>
      <c r="H112" s="35" t="s">
        <v>53</v>
      </c>
      <c r="I112" s="20"/>
      <c r="L112" s="56"/>
      <c r="M112" s="56"/>
      <c r="N112" s="56"/>
    </row>
    <row r="113" spans="1:14" ht="15.75" hidden="1">
      <c r="A113" s="9" t="s">
        <v>102</v>
      </c>
      <c r="B113" s="33">
        <v>0.1</v>
      </c>
      <c r="C113" s="35" t="s">
        <v>103</v>
      </c>
      <c r="D113" s="220"/>
      <c r="E113" s="172">
        <v>2500000</v>
      </c>
      <c r="F113" s="160">
        <v>0.05</v>
      </c>
      <c r="G113" s="68">
        <f t="shared" si="3"/>
        <v>125000</v>
      </c>
      <c r="H113" s="220" t="s">
        <v>503</v>
      </c>
      <c r="I113" s="20"/>
      <c r="L113" s="56"/>
      <c r="M113" s="56"/>
      <c r="N113" s="56"/>
    </row>
    <row r="114" spans="1:14" ht="15.75" hidden="1">
      <c r="A114" s="83">
        <v>13348</v>
      </c>
      <c r="B114" s="37">
        <v>0.1</v>
      </c>
      <c r="C114" s="235" t="s">
        <v>127</v>
      </c>
      <c r="D114" s="236"/>
      <c r="E114" s="172">
        <v>1200000</v>
      </c>
      <c r="F114" s="160">
        <v>0.05</v>
      </c>
      <c r="G114" s="68">
        <f t="shared" si="3"/>
        <v>60000</v>
      </c>
      <c r="H114" s="220" t="s">
        <v>53</v>
      </c>
      <c r="I114" s="20"/>
      <c r="L114" s="56"/>
      <c r="M114" s="56"/>
      <c r="N114" s="56"/>
    </row>
    <row r="115" spans="1:14" ht="15.75" hidden="1">
      <c r="A115" s="83">
        <v>13374</v>
      </c>
      <c r="B115" s="256">
        <v>0.08</v>
      </c>
      <c r="C115" s="231" t="s">
        <v>105</v>
      </c>
      <c r="D115" s="280"/>
      <c r="E115" s="172">
        <v>1150000</v>
      </c>
      <c r="F115" s="160">
        <v>0.04</v>
      </c>
      <c r="G115" s="68">
        <f t="shared" si="3"/>
        <v>46000</v>
      </c>
      <c r="H115" s="272" t="s">
        <v>503</v>
      </c>
      <c r="I115" s="112"/>
      <c r="L115" s="56"/>
      <c r="M115" s="56"/>
      <c r="N115" s="56"/>
    </row>
    <row r="116" spans="1:14" ht="15.75" hidden="1">
      <c r="A116" s="26" t="s">
        <v>522</v>
      </c>
      <c r="B116" s="52"/>
      <c r="C116" s="25"/>
      <c r="D116" s="53"/>
      <c r="E116" s="286">
        <f>SUM(E106:E115)</f>
        <v>12170000</v>
      </c>
      <c r="F116" s="289"/>
      <c r="G116" s="78"/>
      <c r="H116" s="25"/>
      <c r="I116" s="197"/>
      <c r="L116" s="56"/>
      <c r="M116" s="56"/>
      <c r="N116" s="56"/>
    </row>
    <row r="117" spans="1:14" ht="15.75" hidden="1">
      <c r="A117" s="26" t="s">
        <v>523</v>
      </c>
      <c r="B117" s="52"/>
      <c r="C117" s="25"/>
      <c r="D117" s="53"/>
      <c r="E117" s="28"/>
      <c r="F117" s="289"/>
      <c r="G117" s="78"/>
      <c r="H117" s="25"/>
      <c r="I117" s="197"/>
      <c r="L117" s="56"/>
      <c r="M117" s="56"/>
      <c r="N117" s="56"/>
    </row>
    <row r="118" spans="1:14" ht="15.75" hidden="1">
      <c r="A118" s="9">
        <v>13162</v>
      </c>
      <c r="B118" s="33">
        <v>0.1</v>
      </c>
      <c r="C118" s="69" t="s">
        <v>524</v>
      </c>
      <c r="D118" s="13"/>
      <c r="E118" s="158">
        <v>2150000</v>
      </c>
      <c r="F118" s="160">
        <v>0.05</v>
      </c>
      <c r="G118" s="287">
        <f t="shared" si="3"/>
        <v>107500</v>
      </c>
      <c r="H118" s="13" t="s">
        <v>75</v>
      </c>
      <c r="I118" s="197"/>
      <c r="L118" s="56"/>
      <c r="M118" s="56"/>
      <c r="N118" s="56"/>
    </row>
    <row r="119" spans="1:14" ht="15.75" hidden="1">
      <c r="A119" s="9">
        <v>13150</v>
      </c>
      <c r="B119" s="127">
        <v>0.08</v>
      </c>
      <c r="C119" s="69" t="s">
        <v>525</v>
      </c>
      <c r="D119" s="13"/>
      <c r="E119" s="158">
        <v>2000000</v>
      </c>
      <c r="F119" s="160">
        <v>0.05</v>
      </c>
      <c r="G119" s="287">
        <f t="shared" si="3"/>
        <v>100000</v>
      </c>
      <c r="H119" s="13" t="s">
        <v>75</v>
      </c>
      <c r="I119" s="197"/>
      <c r="L119" s="56"/>
      <c r="M119" s="56"/>
      <c r="N119" s="56"/>
    </row>
    <row r="120" spans="1:14" ht="30.75" hidden="1" customHeight="1">
      <c r="A120" s="26"/>
      <c r="B120" s="139"/>
      <c r="C120" s="108"/>
      <c r="D120" s="76"/>
      <c r="E120" s="285">
        <f>SUM(E116:E119)</f>
        <v>16320000</v>
      </c>
      <c r="F120" s="77"/>
      <c r="G120" s="285">
        <f>SUM(G106:G119)</f>
        <v>785500</v>
      </c>
      <c r="H120" s="76"/>
      <c r="I120" s="197"/>
      <c r="L120" s="56"/>
      <c r="M120" s="56"/>
      <c r="N120" s="56"/>
    </row>
    <row r="121" spans="1:14" ht="15.75" hidden="1">
      <c r="A121" s="281" t="s">
        <v>66</v>
      </c>
      <c r="B121" s="282">
        <v>0.1</v>
      </c>
      <c r="C121" s="254" t="s">
        <v>526</v>
      </c>
      <c r="D121" s="283"/>
      <c r="E121" s="284"/>
      <c r="F121" s="283"/>
      <c r="G121" s="283"/>
      <c r="H121" s="283" t="s">
        <v>503</v>
      </c>
      <c r="I121" s="65"/>
      <c r="L121" s="56"/>
      <c r="M121" s="56"/>
      <c r="N121" s="56"/>
    </row>
    <row r="122" spans="1:14" ht="15.75" hidden="1">
      <c r="A122" s="38" t="s">
        <v>128</v>
      </c>
      <c r="B122" s="40">
        <v>0.1</v>
      </c>
      <c r="C122" s="45" t="s">
        <v>129</v>
      </c>
      <c r="D122" s="42"/>
      <c r="E122" s="178"/>
      <c r="F122" s="93"/>
      <c r="G122" s="45"/>
      <c r="H122" s="45" t="s">
        <v>527</v>
      </c>
      <c r="I122" s="65"/>
      <c r="L122" s="56"/>
      <c r="M122" s="56"/>
      <c r="N122" s="56"/>
    </row>
    <row r="123" spans="1:14" ht="15.75" hidden="1">
      <c r="A123" s="38" t="s">
        <v>128</v>
      </c>
      <c r="B123" s="142">
        <v>0.08</v>
      </c>
      <c r="C123" s="45" t="s">
        <v>108</v>
      </c>
      <c r="D123" s="221"/>
      <c r="E123" s="175"/>
      <c r="F123" s="222"/>
      <c r="G123" s="147"/>
      <c r="H123" s="273" t="s">
        <v>53</v>
      </c>
      <c r="I123" s="65"/>
      <c r="L123" s="56"/>
      <c r="M123" s="56"/>
      <c r="N123" s="56"/>
    </row>
    <row r="124" spans="1:14" ht="15.75" hidden="1">
      <c r="A124" s="38" t="s">
        <v>128</v>
      </c>
      <c r="B124" s="142">
        <v>0.08</v>
      </c>
      <c r="C124" s="45" t="s">
        <v>108</v>
      </c>
      <c r="D124" s="179"/>
      <c r="E124" s="175"/>
      <c r="F124" s="180"/>
      <c r="G124" s="181"/>
      <c r="H124" s="45" t="s">
        <v>503</v>
      </c>
      <c r="I124" s="65"/>
      <c r="L124" s="56"/>
      <c r="M124" s="56"/>
      <c r="N124" s="56"/>
    </row>
    <row r="125" spans="1:14" ht="15.75" hidden="1">
      <c r="A125" s="38" t="s">
        <v>66</v>
      </c>
      <c r="B125" s="40"/>
      <c r="C125" s="45" t="s">
        <v>67</v>
      </c>
      <c r="D125" s="42"/>
      <c r="E125" s="178"/>
      <c r="F125" s="44"/>
      <c r="G125" s="45"/>
      <c r="H125" s="45" t="s">
        <v>53</v>
      </c>
      <c r="I125" s="20"/>
      <c r="L125" s="56"/>
      <c r="M125" s="56"/>
      <c r="N125" s="56"/>
    </row>
    <row r="126" spans="1:14" ht="15.75" hidden="1">
      <c r="A126" s="173" t="s">
        <v>37</v>
      </c>
      <c r="B126" s="40">
        <v>0.1</v>
      </c>
      <c r="C126" s="174" t="s">
        <v>528</v>
      </c>
      <c r="D126" s="42" t="s">
        <v>529</v>
      </c>
      <c r="E126" s="93"/>
      <c r="F126" s="93"/>
      <c r="G126" s="45"/>
      <c r="H126" s="45" t="s">
        <v>53</v>
      </c>
      <c r="I126" s="20"/>
      <c r="L126" s="56"/>
      <c r="M126" s="56"/>
      <c r="N126" s="56"/>
    </row>
    <row r="127" spans="1:14" hidden="1">
      <c r="D127" s="104"/>
      <c r="E127" s="113"/>
      <c r="F127" s="104"/>
      <c r="G127" s="104"/>
      <c r="H127" s="114"/>
      <c r="I127" s="104"/>
      <c r="L127" s="56"/>
      <c r="M127" s="56"/>
      <c r="N127" s="56"/>
    </row>
    <row r="128" spans="1:14" hidden="1">
      <c r="A128" s="1125" t="s">
        <v>530</v>
      </c>
      <c r="B128" s="1126"/>
      <c r="C128" s="1126"/>
      <c r="D128" s="1127"/>
      <c r="E128" s="1127"/>
      <c r="F128" s="1127"/>
      <c r="G128" s="1127"/>
      <c r="L128" s="56"/>
      <c r="M128" s="56"/>
      <c r="N128" s="56"/>
    </row>
    <row r="129" spans="1:14" hidden="1">
      <c r="A129" s="1128"/>
      <c r="B129" s="1127"/>
      <c r="C129" s="1127"/>
      <c r="D129" s="1127"/>
      <c r="E129" s="1127"/>
      <c r="F129" s="1127"/>
      <c r="G129" s="1127"/>
      <c r="L129" s="56"/>
      <c r="M129" s="56"/>
      <c r="N129" s="56"/>
    </row>
    <row r="130" spans="1:14" hidden="1">
      <c r="A130" s="59" t="s">
        <v>4</v>
      </c>
      <c r="B130" s="60" t="s">
        <v>495</v>
      </c>
      <c r="C130" s="60" t="s">
        <v>496</v>
      </c>
      <c r="D130" s="61" t="s">
        <v>497</v>
      </c>
      <c r="E130" s="62" t="s">
        <v>498</v>
      </c>
      <c r="F130" s="63" t="s">
        <v>8</v>
      </c>
      <c r="G130" s="64" t="s">
        <v>15</v>
      </c>
      <c r="H130" s="129" t="s">
        <v>531</v>
      </c>
      <c r="I130" s="20" t="s">
        <v>514</v>
      </c>
      <c r="L130" s="56"/>
      <c r="M130" s="56"/>
      <c r="N130" s="56"/>
    </row>
    <row r="131" spans="1:14" ht="15.75" hidden="1">
      <c r="A131" s="9">
        <v>13179</v>
      </c>
      <c r="B131" s="33">
        <v>0.1</v>
      </c>
      <c r="C131" s="140" t="s">
        <v>532</v>
      </c>
      <c r="D131" s="13"/>
      <c r="E131" s="66">
        <v>1300000</v>
      </c>
      <c r="F131" s="160">
        <v>0.05</v>
      </c>
      <c r="G131" s="68">
        <f>E131*F131</f>
        <v>65000</v>
      </c>
      <c r="H131" s="274" t="s">
        <v>53</v>
      </c>
      <c r="I131" s="20"/>
      <c r="L131" s="56"/>
      <c r="M131" s="56"/>
      <c r="N131" s="56"/>
    </row>
    <row r="132" spans="1:14" ht="15.75" hidden="1">
      <c r="A132" s="9">
        <v>13184</v>
      </c>
      <c r="B132" s="33">
        <v>0.1</v>
      </c>
      <c r="C132" s="9" t="s">
        <v>533</v>
      </c>
      <c r="D132" s="12"/>
      <c r="E132" s="66">
        <v>1700000</v>
      </c>
      <c r="F132" s="160">
        <v>0.05</v>
      </c>
      <c r="G132" s="68">
        <f t="shared" ref="G132:G140" si="4">E132*F132</f>
        <v>85000</v>
      </c>
      <c r="H132" s="274" t="s">
        <v>503</v>
      </c>
      <c r="I132" s="20"/>
      <c r="L132" s="56"/>
      <c r="M132" s="56"/>
      <c r="N132" s="56"/>
    </row>
    <row r="133" spans="1:14" ht="15.75" hidden="1">
      <c r="A133" s="9">
        <v>13237</v>
      </c>
      <c r="B133" s="33">
        <v>0.1</v>
      </c>
      <c r="C133" s="13" t="s">
        <v>534</v>
      </c>
      <c r="D133" s="12"/>
      <c r="E133" s="66">
        <v>2500000</v>
      </c>
      <c r="F133" s="160">
        <v>0.05</v>
      </c>
      <c r="G133" s="68">
        <f t="shared" si="4"/>
        <v>125000</v>
      </c>
      <c r="H133" s="274" t="s">
        <v>503</v>
      </c>
      <c r="I133" s="20"/>
      <c r="L133" s="56"/>
      <c r="M133" s="56"/>
      <c r="N133" s="56"/>
    </row>
    <row r="134" spans="1:14" ht="15.75" hidden="1">
      <c r="A134" s="83">
        <v>13285</v>
      </c>
      <c r="B134" s="223">
        <v>0.08</v>
      </c>
      <c r="C134" s="224" t="s">
        <v>535</v>
      </c>
      <c r="D134" s="156"/>
      <c r="E134" s="225">
        <v>1200000</v>
      </c>
      <c r="F134" s="160">
        <v>0.04</v>
      </c>
      <c r="G134" s="68">
        <f t="shared" si="4"/>
        <v>48000</v>
      </c>
      <c r="H134" s="275" t="s">
        <v>53</v>
      </c>
      <c r="I134" s="20"/>
      <c r="L134" s="56"/>
      <c r="M134" s="56"/>
      <c r="N134" s="56"/>
    </row>
    <row r="135" spans="1:14" ht="15.75" hidden="1">
      <c r="A135" s="9">
        <v>13293</v>
      </c>
      <c r="B135" s="33">
        <v>0.1</v>
      </c>
      <c r="C135" s="11" t="s">
        <v>536</v>
      </c>
      <c r="D135" s="11"/>
      <c r="E135" s="66">
        <v>1300000</v>
      </c>
      <c r="F135" s="160">
        <v>0.05</v>
      </c>
      <c r="G135" s="68">
        <f t="shared" si="4"/>
        <v>65000</v>
      </c>
      <c r="H135" s="276" t="s">
        <v>503</v>
      </c>
      <c r="I135" s="112"/>
      <c r="L135" s="56"/>
      <c r="M135" s="56"/>
      <c r="N135" s="56"/>
    </row>
    <row r="136" spans="1:14" ht="15.75" hidden="1">
      <c r="A136" s="9">
        <v>13301</v>
      </c>
      <c r="B136" s="33">
        <v>0.1</v>
      </c>
      <c r="C136" s="11" t="s">
        <v>537</v>
      </c>
      <c r="D136" s="11"/>
      <c r="E136" s="66">
        <v>1800000</v>
      </c>
      <c r="F136" s="160">
        <v>0.05</v>
      </c>
      <c r="G136" s="68">
        <f t="shared" si="4"/>
        <v>90000</v>
      </c>
      <c r="H136" s="276" t="s">
        <v>503</v>
      </c>
      <c r="I136" s="112"/>
      <c r="L136" s="56"/>
      <c r="M136" s="56"/>
      <c r="N136" s="56"/>
    </row>
    <row r="137" spans="1:14" ht="15.75" hidden="1">
      <c r="A137" s="9">
        <v>13306</v>
      </c>
      <c r="B137" s="223">
        <v>0.08</v>
      </c>
      <c r="C137" s="11" t="s">
        <v>538</v>
      </c>
      <c r="D137" s="11"/>
      <c r="E137" s="66">
        <v>1600000</v>
      </c>
      <c r="F137" s="160">
        <v>0.04</v>
      </c>
      <c r="G137" s="68">
        <f t="shared" si="4"/>
        <v>64000</v>
      </c>
      <c r="H137" s="276" t="s">
        <v>503</v>
      </c>
      <c r="I137" s="112"/>
      <c r="L137" s="56"/>
      <c r="M137" s="56"/>
      <c r="N137" s="56"/>
    </row>
    <row r="138" spans="1:14" ht="15.75" hidden="1">
      <c r="A138" s="83">
        <v>13309</v>
      </c>
      <c r="B138" s="37">
        <v>0.1</v>
      </c>
      <c r="C138" s="224" t="s">
        <v>539</v>
      </c>
      <c r="D138" s="224"/>
      <c r="E138" s="225">
        <v>1200000</v>
      </c>
      <c r="F138" s="160">
        <v>0.05</v>
      </c>
      <c r="G138" s="68">
        <f t="shared" si="4"/>
        <v>60000</v>
      </c>
      <c r="H138" s="277" t="s">
        <v>53</v>
      </c>
      <c r="I138" s="112"/>
      <c r="L138" s="56"/>
      <c r="M138" s="56"/>
      <c r="N138" s="56"/>
    </row>
    <row r="139" spans="1:14" ht="15.75" hidden="1">
      <c r="A139" s="9" t="s">
        <v>540</v>
      </c>
      <c r="B139" s="127">
        <v>0.08</v>
      </c>
      <c r="C139" s="35" t="s">
        <v>108</v>
      </c>
      <c r="D139" s="12"/>
      <c r="E139" s="158">
        <v>1800000</v>
      </c>
      <c r="F139" s="160">
        <v>0.04</v>
      </c>
      <c r="G139" s="68">
        <f t="shared" si="4"/>
        <v>72000</v>
      </c>
      <c r="H139" s="36" t="s">
        <v>53</v>
      </c>
      <c r="I139" s="112"/>
      <c r="L139" s="56"/>
      <c r="M139" s="56"/>
      <c r="N139" s="56"/>
    </row>
    <row r="140" spans="1:14" ht="15.75" hidden="1">
      <c r="A140" s="9" t="s">
        <v>128</v>
      </c>
      <c r="B140" s="127">
        <v>0.1</v>
      </c>
      <c r="C140" s="35" t="s">
        <v>106</v>
      </c>
      <c r="D140" s="12"/>
      <c r="E140" s="158">
        <v>1850000</v>
      </c>
      <c r="F140" s="160">
        <v>0.05</v>
      </c>
      <c r="G140" s="68">
        <f t="shared" si="4"/>
        <v>92500</v>
      </c>
      <c r="H140" s="36" t="s">
        <v>503</v>
      </c>
      <c r="I140" s="112"/>
      <c r="L140" s="56"/>
      <c r="M140" s="56"/>
      <c r="N140" s="56"/>
    </row>
    <row r="141" spans="1:14" ht="15.75" hidden="1">
      <c r="A141" s="38" t="s">
        <v>128</v>
      </c>
      <c r="B141" s="142"/>
      <c r="C141" s="45" t="s">
        <v>129</v>
      </c>
      <c r="D141" s="42"/>
      <c r="E141" s="178"/>
      <c r="F141" s="93"/>
      <c r="G141" s="45"/>
      <c r="H141" s="46"/>
      <c r="I141" s="112"/>
      <c r="L141" s="56"/>
      <c r="M141" s="56"/>
      <c r="N141" s="56"/>
    </row>
    <row r="142" spans="1:14" ht="15.75" hidden="1">
      <c r="A142" s="232" t="s">
        <v>160</v>
      </c>
      <c r="B142" s="90"/>
      <c r="C142" s="39" t="s">
        <v>131</v>
      </c>
      <c r="D142" s="39"/>
      <c r="E142" s="237"/>
      <c r="F142" s="238"/>
      <c r="G142" s="239"/>
      <c r="H142" s="278" t="s">
        <v>53</v>
      </c>
      <c r="I142" s="112"/>
      <c r="L142" s="56"/>
      <c r="M142" s="56"/>
      <c r="N142" s="56"/>
    </row>
    <row r="143" spans="1:14" ht="15.75" hidden="1">
      <c r="A143" s="38" t="s">
        <v>39</v>
      </c>
      <c r="B143" s="40"/>
      <c r="C143" s="89" t="s">
        <v>109</v>
      </c>
      <c r="D143" s="89"/>
      <c r="E143" s="41"/>
      <c r="F143" s="93"/>
      <c r="G143" s="93"/>
      <c r="H143" s="279" t="s">
        <v>503</v>
      </c>
      <c r="I143" s="112"/>
      <c r="L143" s="56"/>
      <c r="M143" s="56"/>
      <c r="N143" s="56"/>
    </row>
    <row r="144" spans="1:14" ht="15.75" hidden="1">
      <c r="A144" s="38" t="s">
        <v>39</v>
      </c>
      <c r="B144" s="70"/>
      <c r="C144" s="70" t="s">
        <v>110</v>
      </c>
      <c r="D144" s="70"/>
      <c r="E144" s="70"/>
      <c r="F144" s="70"/>
      <c r="G144" s="70"/>
      <c r="H144" s="279" t="s">
        <v>503</v>
      </c>
      <c r="I144" s="112"/>
      <c r="L144" s="56"/>
      <c r="M144" s="56"/>
      <c r="N144" s="56"/>
    </row>
    <row r="145" spans="1:14" ht="15.75" hidden="1">
      <c r="A145" s="232" t="s">
        <v>39</v>
      </c>
      <c r="B145" s="233"/>
      <c r="C145" s="233" t="s">
        <v>110</v>
      </c>
      <c r="D145" s="233"/>
      <c r="E145" s="233"/>
      <c r="F145" s="233"/>
      <c r="G145" s="233"/>
      <c r="H145" s="278" t="s">
        <v>503</v>
      </c>
      <c r="I145" s="112"/>
      <c r="L145" s="56"/>
      <c r="M145" s="56"/>
      <c r="N145" s="56"/>
    </row>
    <row r="146" spans="1:14" ht="15.75" hidden="1">
      <c r="A146" s="38" t="s">
        <v>39</v>
      </c>
      <c r="B146" s="167"/>
      <c r="C146" s="145" t="s">
        <v>134</v>
      </c>
      <c r="D146" s="89"/>
      <c r="E146" s="41"/>
      <c r="F146" s="168"/>
      <c r="G146" s="72"/>
      <c r="H146" s="279" t="s">
        <v>53</v>
      </c>
      <c r="I146" s="112"/>
      <c r="L146" s="56"/>
      <c r="M146" s="56"/>
      <c r="N146" s="56"/>
    </row>
    <row r="147" spans="1:14" ht="15.75" hidden="1">
      <c r="A147" s="38" t="s">
        <v>39</v>
      </c>
      <c r="B147" s="169"/>
      <c r="C147" s="170" t="s">
        <v>111</v>
      </c>
      <c r="D147" s="70" t="s">
        <v>541</v>
      </c>
      <c r="E147" s="41"/>
      <c r="F147" s="71"/>
      <c r="G147" s="72">
        <f>E147*F147</f>
        <v>0</v>
      </c>
      <c r="H147" s="279" t="s">
        <v>503</v>
      </c>
      <c r="I147" s="112"/>
      <c r="L147" s="56"/>
      <c r="M147" s="56"/>
      <c r="N147" s="56"/>
    </row>
    <row r="148" spans="1:14" s="56" customFormat="1" ht="35.25" hidden="1" customHeight="1">
      <c r="A148" s="226"/>
      <c r="B148" s="227"/>
      <c r="C148" s="228"/>
      <c r="D148" s="229"/>
      <c r="E148" s="285">
        <f>SUM(E131:E147)</f>
        <v>16250000</v>
      </c>
      <c r="F148" s="230"/>
      <c r="G148" s="285">
        <f>SUM(G131:G147)</f>
        <v>766500</v>
      </c>
      <c r="H148" s="162"/>
      <c r="I148" s="31"/>
    </row>
    <row r="149" spans="1:14" hidden="1">
      <c r="A149" s="1136" t="s">
        <v>542</v>
      </c>
      <c r="B149" s="1136"/>
      <c r="C149" s="1136"/>
      <c r="D149" s="1136"/>
      <c r="E149" s="1136"/>
      <c r="F149" s="1136"/>
      <c r="G149" s="1136"/>
      <c r="H149" s="104"/>
      <c r="I149" s="104"/>
      <c r="L149" s="56"/>
      <c r="M149" s="56"/>
      <c r="N149" s="56"/>
    </row>
    <row r="150" spans="1:14" hidden="1">
      <c r="A150" s="1129"/>
      <c r="B150" s="1129"/>
      <c r="C150" s="1129"/>
      <c r="D150" s="1129"/>
      <c r="E150" s="1129"/>
      <c r="F150" s="1129"/>
      <c r="G150" s="1129"/>
      <c r="H150" s="20"/>
      <c r="I150" s="20"/>
      <c r="L150" s="56"/>
      <c r="M150" s="56"/>
      <c r="N150" s="56"/>
    </row>
    <row r="151" spans="1:14" hidden="1">
      <c r="A151" s="149" t="s">
        <v>4</v>
      </c>
      <c r="B151" s="150" t="s">
        <v>495</v>
      </c>
      <c r="C151" s="150" t="s">
        <v>496</v>
      </c>
      <c r="D151" s="151" t="s">
        <v>497</v>
      </c>
      <c r="E151" s="152" t="s">
        <v>498</v>
      </c>
      <c r="F151" s="153" t="s">
        <v>8</v>
      </c>
      <c r="G151" s="154" t="s">
        <v>15</v>
      </c>
      <c r="H151" s="20"/>
      <c r="I151" s="20"/>
      <c r="L151" s="56"/>
      <c r="M151" s="56"/>
      <c r="N151" s="56"/>
    </row>
    <row r="152" spans="1:14" ht="15.75" hidden="1" customHeight="1">
      <c r="A152" s="9">
        <v>13295</v>
      </c>
      <c r="B152" s="141">
        <v>0.1</v>
      </c>
      <c r="C152" s="35" t="s">
        <v>133</v>
      </c>
      <c r="D152" s="11"/>
      <c r="E152" s="12">
        <v>1500000</v>
      </c>
      <c r="F152" s="176"/>
      <c r="G152" s="177"/>
      <c r="H152" s="35" t="s">
        <v>503</v>
      </c>
      <c r="I152" s="54"/>
      <c r="J152" s="14"/>
      <c r="K152" s="397"/>
      <c r="L152" s="56"/>
      <c r="M152" s="56"/>
      <c r="N152" s="56"/>
    </row>
    <row r="153" spans="1:14" ht="15.75" hidden="1">
      <c r="A153" s="26"/>
      <c r="B153" s="52"/>
      <c r="C153" s="18"/>
      <c r="D153" s="29"/>
      <c r="E153" s="19">
        <f t="shared" ref="E153" si="5">SUM(B153:D153)</f>
        <v>0</v>
      </c>
      <c r="F153" s="77"/>
      <c r="G153" s="78"/>
      <c r="H153" s="20"/>
      <c r="I153" s="20"/>
      <c r="L153" s="56"/>
      <c r="M153" s="56"/>
      <c r="N153" s="56"/>
    </row>
    <row r="154" spans="1:14" ht="15.75" hidden="1">
      <c r="A154" s="85" t="s">
        <v>543</v>
      </c>
      <c r="B154" s="40">
        <v>0.1</v>
      </c>
      <c r="C154" s="145" t="s">
        <v>133</v>
      </c>
      <c r="D154" s="42" t="s">
        <v>544</v>
      </c>
      <c r="E154" s="171"/>
      <c r="F154" s="93"/>
      <c r="G154" s="93"/>
      <c r="H154" s="45" t="s">
        <v>53</v>
      </c>
      <c r="I154" s="20"/>
      <c r="L154" s="56"/>
      <c r="M154" s="56"/>
      <c r="N154" s="56"/>
    </row>
    <row r="155" spans="1:14" ht="45.75" hidden="1" customHeight="1">
      <c r="A155" s="26"/>
      <c r="B155" s="52"/>
      <c r="C155" s="108"/>
      <c r="D155" s="76"/>
      <c r="E155" s="285">
        <f>SUM(E152:E154)</f>
        <v>1500000</v>
      </c>
      <c r="F155" s="77"/>
      <c r="G155" s="78"/>
      <c r="H155" s="20"/>
      <c r="I155" s="20"/>
      <c r="L155" s="56"/>
      <c r="M155" s="56"/>
      <c r="N155" s="56"/>
    </row>
    <row r="156" spans="1:14" hidden="1">
      <c r="A156" s="1128" t="s">
        <v>545</v>
      </c>
      <c r="B156" s="1127"/>
      <c r="C156" s="1127"/>
      <c r="D156" s="1127"/>
      <c r="E156" s="1127"/>
      <c r="F156" s="1127"/>
      <c r="G156" s="1127"/>
      <c r="L156" s="56"/>
      <c r="M156" s="56"/>
      <c r="N156" s="56"/>
    </row>
    <row r="157" spans="1:14" hidden="1">
      <c r="A157" s="1132"/>
      <c r="B157" s="1133"/>
      <c r="C157" s="1133"/>
      <c r="D157" s="1133"/>
      <c r="E157" s="1133"/>
      <c r="F157" s="1133"/>
      <c r="G157" s="1133"/>
      <c r="L157" s="56"/>
      <c r="M157" s="56"/>
      <c r="N157" s="56"/>
    </row>
    <row r="158" spans="1:14" hidden="1">
      <c r="A158" s="59" t="s">
        <v>4</v>
      </c>
      <c r="B158" s="60" t="s">
        <v>495</v>
      </c>
      <c r="C158" s="60" t="s">
        <v>496</v>
      </c>
      <c r="D158" s="61" t="s">
        <v>497</v>
      </c>
      <c r="E158" s="62" t="s">
        <v>498</v>
      </c>
      <c r="F158" s="126" t="s">
        <v>8</v>
      </c>
      <c r="G158" s="64" t="s">
        <v>15</v>
      </c>
      <c r="L158" s="56"/>
      <c r="M158" s="56"/>
      <c r="N158" s="56"/>
    </row>
    <row r="159" spans="1:14" ht="15.75" hidden="1">
      <c r="A159" s="26"/>
      <c r="B159" s="52"/>
      <c r="C159" s="76"/>
      <c r="D159" s="76"/>
      <c r="E159" s="19"/>
      <c r="F159" s="77"/>
      <c r="G159" s="78"/>
      <c r="L159" s="56"/>
      <c r="M159" s="56"/>
      <c r="N159" s="56"/>
    </row>
    <row r="160" spans="1:14" ht="15.75" hidden="1">
      <c r="A160" s="26"/>
      <c r="B160" s="52"/>
      <c r="C160" s="18"/>
      <c r="D160" s="29"/>
      <c r="E160" s="121"/>
      <c r="F160" s="122"/>
      <c r="G160" s="123"/>
      <c r="L160" s="56"/>
      <c r="M160" s="56"/>
      <c r="N160" s="56"/>
    </row>
    <row r="161" spans="1:14" ht="15.75" hidden="1">
      <c r="A161" s="26"/>
      <c r="B161" s="52"/>
      <c r="C161" s="108"/>
      <c r="D161" s="120"/>
      <c r="E161" s="19"/>
      <c r="F161" s="77"/>
      <c r="G161" s="78"/>
      <c r="L161" s="56"/>
      <c r="M161" s="56"/>
      <c r="N161" s="56"/>
    </row>
    <row r="162" spans="1:14" ht="15.75" hidden="1">
      <c r="A162" s="155"/>
      <c r="B162" s="157"/>
      <c r="C162" s="161"/>
      <c r="D162" s="159"/>
      <c r="E162" s="19"/>
      <c r="F162" s="77"/>
      <c r="G162" s="78"/>
      <c r="L162" s="56"/>
      <c r="M162" s="56"/>
      <c r="N162" s="56"/>
    </row>
    <row r="163" spans="1:14" hidden="1">
      <c r="A163" s="1129" t="s">
        <v>546</v>
      </c>
      <c r="B163" s="1129"/>
      <c r="C163" s="1129"/>
      <c r="D163" s="1129"/>
      <c r="E163" s="1129"/>
      <c r="F163" s="1129"/>
      <c r="G163" s="1129"/>
      <c r="L163" s="56"/>
      <c r="M163" s="56"/>
      <c r="N163" s="56"/>
    </row>
    <row r="164" spans="1:14" hidden="1">
      <c r="A164" s="1129"/>
      <c r="B164" s="1129"/>
      <c r="C164" s="1129"/>
      <c r="D164" s="1129"/>
      <c r="E164" s="1129"/>
      <c r="F164" s="1129"/>
      <c r="G164" s="1130"/>
      <c r="L164" s="56"/>
      <c r="M164" s="56"/>
      <c r="N164" s="56"/>
    </row>
    <row r="165" spans="1:14" hidden="1">
      <c r="A165" s="211" t="s">
        <v>4</v>
      </c>
      <c r="B165" s="212" t="s">
        <v>495</v>
      </c>
      <c r="C165" s="212" t="s">
        <v>496</v>
      </c>
      <c r="D165" s="213" t="s">
        <v>497</v>
      </c>
      <c r="E165" s="214" t="s">
        <v>498</v>
      </c>
      <c r="F165" s="215" t="s">
        <v>8</v>
      </c>
      <c r="G165" s="154" t="s">
        <v>15</v>
      </c>
      <c r="H165" s="20" t="s">
        <v>531</v>
      </c>
      <c r="I165" s="20" t="s">
        <v>514</v>
      </c>
      <c r="L165" s="56"/>
      <c r="M165" s="56"/>
      <c r="N165" s="56"/>
    </row>
    <row r="166" spans="1:14" ht="15.75" hidden="1">
      <c r="A166" s="9">
        <v>13155</v>
      </c>
      <c r="B166" s="163">
        <v>7.0000000000000007E-2</v>
      </c>
      <c r="C166" s="69" t="s">
        <v>112</v>
      </c>
      <c r="D166" s="164"/>
      <c r="E166" s="158">
        <v>950000</v>
      </c>
      <c r="F166" s="194">
        <v>0.01</v>
      </c>
      <c r="G166" s="68">
        <f>E166*F166</f>
        <v>9500</v>
      </c>
      <c r="H166" s="271" t="s">
        <v>53</v>
      </c>
      <c r="I166" s="104"/>
      <c r="L166" s="56"/>
      <c r="M166" s="56"/>
      <c r="N166" s="56"/>
    </row>
    <row r="167" spans="1:14" ht="15.75" hidden="1">
      <c r="A167" s="9">
        <v>13138</v>
      </c>
      <c r="B167" s="33">
        <v>0.1</v>
      </c>
      <c r="C167" s="69" t="s">
        <v>114</v>
      </c>
      <c r="D167" s="165"/>
      <c r="E167" s="158">
        <v>1200000</v>
      </c>
      <c r="F167" s="194">
        <v>2.5000000000000001E-2</v>
      </c>
      <c r="G167" s="68">
        <f t="shared" ref="G167:G186" si="6">E167*F167</f>
        <v>30000</v>
      </c>
      <c r="H167" s="220" t="s">
        <v>53</v>
      </c>
      <c r="I167" s="20"/>
      <c r="L167" s="56"/>
      <c r="M167" s="56"/>
      <c r="N167" s="56"/>
    </row>
    <row r="168" spans="1:14" ht="15.75" hidden="1">
      <c r="A168" s="9">
        <v>13172</v>
      </c>
      <c r="B168" s="33">
        <v>0.1</v>
      </c>
      <c r="C168" s="69" t="s">
        <v>519</v>
      </c>
      <c r="D168" s="146"/>
      <c r="E168" s="158">
        <v>1100000</v>
      </c>
      <c r="F168" s="194">
        <v>2.5000000000000001E-2</v>
      </c>
      <c r="G168" s="68">
        <f t="shared" si="6"/>
        <v>27500</v>
      </c>
      <c r="H168" s="272" t="s">
        <v>53</v>
      </c>
      <c r="I168" s="20"/>
      <c r="L168" s="56"/>
      <c r="M168" s="56"/>
      <c r="N168" s="56"/>
    </row>
    <row r="169" spans="1:14" ht="15.75" hidden="1">
      <c r="A169" s="148" t="s">
        <v>93</v>
      </c>
      <c r="B169" s="33">
        <v>0.1</v>
      </c>
      <c r="C169" s="11" t="s">
        <v>94</v>
      </c>
      <c r="D169" s="164"/>
      <c r="E169" s="158">
        <v>800000</v>
      </c>
      <c r="F169" s="194">
        <v>2.5000000000000001E-2</v>
      </c>
      <c r="G169" s="68">
        <f t="shared" si="6"/>
        <v>20000</v>
      </c>
      <c r="H169" s="271" t="s">
        <v>503</v>
      </c>
      <c r="I169" s="20"/>
      <c r="L169" s="56"/>
      <c r="M169" s="56"/>
      <c r="N169" s="56"/>
    </row>
    <row r="170" spans="1:14" ht="15.75" hidden="1">
      <c r="A170" s="9">
        <v>13201</v>
      </c>
      <c r="B170" s="33">
        <v>0.1</v>
      </c>
      <c r="C170" s="140" t="s">
        <v>520</v>
      </c>
      <c r="D170" s="164"/>
      <c r="E170" s="158">
        <v>1200000</v>
      </c>
      <c r="F170" s="194">
        <v>2.5000000000000001E-2</v>
      </c>
      <c r="G170" s="68">
        <f t="shared" si="6"/>
        <v>30000</v>
      </c>
      <c r="H170" s="271" t="s">
        <v>53</v>
      </c>
      <c r="I170" s="20"/>
      <c r="L170" s="56"/>
      <c r="M170" s="56"/>
      <c r="N170" s="56"/>
    </row>
    <row r="171" spans="1:14" ht="15.75" hidden="1">
      <c r="A171" s="9">
        <v>13217</v>
      </c>
      <c r="B171" s="37">
        <v>0.1</v>
      </c>
      <c r="C171" s="140" t="s">
        <v>521</v>
      </c>
      <c r="D171" s="166"/>
      <c r="E171" s="158">
        <v>1250000</v>
      </c>
      <c r="F171" s="194">
        <v>2.5000000000000001E-2</v>
      </c>
      <c r="G171" s="68">
        <f t="shared" si="6"/>
        <v>31250</v>
      </c>
      <c r="H171" s="271" t="s">
        <v>53</v>
      </c>
      <c r="I171" s="31"/>
      <c r="L171" s="56"/>
      <c r="M171" s="56"/>
      <c r="N171" s="56"/>
    </row>
    <row r="172" spans="1:14" ht="15.75" hidden="1">
      <c r="A172" s="9">
        <v>13289</v>
      </c>
      <c r="B172" s="33">
        <v>0.1</v>
      </c>
      <c r="C172" s="35" t="s">
        <v>92</v>
      </c>
      <c r="D172" s="12"/>
      <c r="E172" s="158">
        <v>820000</v>
      </c>
      <c r="F172" s="194">
        <v>2.5000000000000001E-2</v>
      </c>
      <c r="G172" s="68">
        <f t="shared" si="6"/>
        <v>20500</v>
      </c>
      <c r="H172" s="35" t="s">
        <v>53</v>
      </c>
      <c r="I172" s="20"/>
      <c r="L172" s="56"/>
      <c r="M172" s="56"/>
      <c r="N172" s="56"/>
    </row>
    <row r="173" spans="1:14" ht="15.75" hidden="1">
      <c r="A173" s="9" t="s">
        <v>102</v>
      </c>
      <c r="B173" s="33">
        <v>0.1</v>
      </c>
      <c r="C173" s="35" t="s">
        <v>103</v>
      </c>
      <c r="D173" s="220"/>
      <c r="E173" s="172">
        <v>2500000</v>
      </c>
      <c r="F173" s="194">
        <v>2.5000000000000001E-2</v>
      </c>
      <c r="G173" s="68">
        <f t="shared" si="6"/>
        <v>62500</v>
      </c>
      <c r="H173" s="220" t="s">
        <v>503</v>
      </c>
      <c r="I173" s="20"/>
      <c r="L173" s="56"/>
      <c r="M173" s="56"/>
      <c r="N173" s="56"/>
    </row>
    <row r="174" spans="1:14" ht="15.75" hidden="1">
      <c r="A174" s="83">
        <v>13348</v>
      </c>
      <c r="B174" s="37">
        <v>0.1</v>
      </c>
      <c r="C174" s="235" t="s">
        <v>127</v>
      </c>
      <c r="D174" s="236"/>
      <c r="E174" s="172">
        <v>1200000</v>
      </c>
      <c r="F174" s="194">
        <v>2.5000000000000001E-2</v>
      </c>
      <c r="G174" s="68">
        <f t="shared" si="6"/>
        <v>30000</v>
      </c>
      <c r="H174" s="220" t="s">
        <v>53</v>
      </c>
      <c r="I174" s="20"/>
      <c r="L174" s="56"/>
      <c r="M174" s="56"/>
      <c r="N174" s="56"/>
    </row>
    <row r="175" spans="1:14" ht="15.75" hidden="1">
      <c r="A175" s="83">
        <v>13374</v>
      </c>
      <c r="B175" s="256">
        <v>0.08</v>
      </c>
      <c r="C175" s="231" t="s">
        <v>105</v>
      </c>
      <c r="D175" s="280"/>
      <c r="E175" s="172">
        <v>1150000</v>
      </c>
      <c r="F175" s="195">
        <v>0.02</v>
      </c>
      <c r="G175" s="68">
        <f t="shared" si="6"/>
        <v>23000</v>
      </c>
      <c r="H175" s="272" t="s">
        <v>503</v>
      </c>
      <c r="I175" s="112"/>
      <c r="L175" s="56"/>
      <c r="M175" s="56"/>
      <c r="N175" s="56"/>
    </row>
    <row r="176" spans="1:14" ht="15.75" hidden="1">
      <c r="A176" s="9">
        <v>13179</v>
      </c>
      <c r="B176" s="33">
        <v>0.1</v>
      </c>
      <c r="C176" s="140" t="s">
        <v>532</v>
      </c>
      <c r="D176" s="13"/>
      <c r="E176" s="66">
        <v>1300000</v>
      </c>
      <c r="F176" s="194">
        <v>2.5000000000000001E-2</v>
      </c>
      <c r="G176" s="68">
        <f t="shared" si="6"/>
        <v>32500</v>
      </c>
      <c r="H176" s="274" t="s">
        <v>53</v>
      </c>
      <c r="I176" s="20"/>
      <c r="L176" s="56"/>
      <c r="M176" s="56"/>
      <c r="N176" s="56"/>
    </row>
    <row r="177" spans="1:14" ht="15.75" hidden="1">
      <c r="A177" s="9">
        <v>13184</v>
      </c>
      <c r="B177" s="33">
        <v>0.1</v>
      </c>
      <c r="C177" s="9" t="s">
        <v>533</v>
      </c>
      <c r="D177" s="12"/>
      <c r="E177" s="66">
        <v>1700000</v>
      </c>
      <c r="F177" s="194">
        <v>2.5000000000000001E-2</v>
      </c>
      <c r="G177" s="68">
        <f t="shared" si="6"/>
        <v>42500</v>
      </c>
      <c r="H177" s="274" t="s">
        <v>503</v>
      </c>
      <c r="I177" s="20"/>
      <c r="L177" s="56"/>
      <c r="M177" s="56"/>
      <c r="N177" s="56"/>
    </row>
    <row r="178" spans="1:14" ht="15.75" hidden="1">
      <c r="A178" s="9">
        <v>13237</v>
      </c>
      <c r="B178" s="33">
        <v>0.1</v>
      </c>
      <c r="C178" s="13" t="s">
        <v>534</v>
      </c>
      <c r="D178" s="12"/>
      <c r="E178" s="66">
        <v>2500000</v>
      </c>
      <c r="F178" s="194">
        <v>2.5000000000000001E-2</v>
      </c>
      <c r="G178" s="68">
        <f t="shared" si="6"/>
        <v>62500</v>
      </c>
      <c r="H178" s="274" t="s">
        <v>503</v>
      </c>
      <c r="I178" s="20"/>
      <c r="L178" s="56"/>
      <c r="M178" s="56"/>
      <c r="N178" s="56"/>
    </row>
    <row r="179" spans="1:14" ht="15.75" hidden="1">
      <c r="A179" s="83">
        <v>13285</v>
      </c>
      <c r="B179" s="223">
        <v>0.08</v>
      </c>
      <c r="C179" s="224" t="s">
        <v>535</v>
      </c>
      <c r="D179" s="156"/>
      <c r="E179" s="225">
        <v>1200000</v>
      </c>
      <c r="F179" s="195">
        <v>0.02</v>
      </c>
      <c r="G179" s="68">
        <f t="shared" si="6"/>
        <v>24000</v>
      </c>
      <c r="H179" s="275" t="s">
        <v>53</v>
      </c>
      <c r="I179" s="20"/>
      <c r="L179" s="56"/>
      <c r="M179" s="56"/>
      <c r="N179" s="56"/>
    </row>
    <row r="180" spans="1:14" ht="15.75" hidden="1">
      <c r="A180" s="9">
        <v>13293</v>
      </c>
      <c r="B180" s="33">
        <v>0.1</v>
      </c>
      <c r="C180" s="11" t="s">
        <v>536</v>
      </c>
      <c r="D180" s="11"/>
      <c r="E180" s="66">
        <v>1300000</v>
      </c>
      <c r="F180" s="194">
        <v>2.5000000000000001E-2</v>
      </c>
      <c r="G180" s="68">
        <f t="shared" si="6"/>
        <v>32500</v>
      </c>
      <c r="H180" s="276" t="s">
        <v>503</v>
      </c>
      <c r="I180" s="112"/>
      <c r="L180" s="56"/>
      <c r="M180" s="56"/>
      <c r="N180" s="56"/>
    </row>
    <row r="181" spans="1:14" ht="15.75" hidden="1">
      <c r="A181" s="9">
        <v>13301</v>
      </c>
      <c r="B181" s="33">
        <v>0.1</v>
      </c>
      <c r="C181" s="11" t="s">
        <v>537</v>
      </c>
      <c r="D181" s="11"/>
      <c r="E181" s="66">
        <v>1800000</v>
      </c>
      <c r="F181" s="194">
        <v>2.5000000000000001E-2</v>
      </c>
      <c r="G181" s="68">
        <f t="shared" si="6"/>
        <v>45000</v>
      </c>
      <c r="H181" s="276" t="s">
        <v>503</v>
      </c>
      <c r="I181" s="112"/>
      <c r="L181" s="56"/>
      <c r="M181" s="56"/>
      <c r="N181" s="56"/>
    </row>
    <row r="182" spans="1:14" ht="15.75" hidden="1">
      <c r="A182" s="9">
        <v>13306</v>
      </c>
      <c r="B182" s="223">
        <v>0.08</v>
      </c>
      <c r="C182" s="11" t="s">
        <v>538</v>
      </c>
      <c r="D182" s="11"/>
      <c r="E182" s="66">
        <v>1600000</v>
      </c>
      <c r="F182" s="195">
        <v>0.02</v>
      </c>
      <c r="G182" s="68">
        <f t="shared" si="6"/>
        <v>32000</v>
      </c>
      <c r="H182" s="276" t="s">
        <v>503</v>
      </c>
      <c r="I182" s="112"/>
      <c r="L182" s="56"/>
      <c r="M182" s="56"/>
      <c r="N182" s="56"/>
    </row>
    <row r="183" spans="1:14" ht="15.75" hidden="1">
      <c r="A183" s="83">
        <v>13309</v>
      </c>
      <c r="B183" s="37">
        <v>0.1</v>
      </c>
      <c r="C183" s="224" t="s">
        <v>539</v>
      </c>
      <c r="D183" s="224"/>
      <c r="E183" s="225">
        <v>1200000</v>
      </c>
      <c r="F183" s="194">
        <v>2.5000000000000001E-2</v>
      </c>
      <c r="G183" s="68">
        <f t="shared" si="6"/>
        <v>30000</v>
      </c>
      <c r="H183" s="277" t="s">
        <v>53</v>
      </c>
      <c r="I183" s="112"/>
      <c r="L183" s="56"/>
      <c r="M183" s="56"/>
      <c r="N183" s="56"/>
    </row>
    <row r="184" spans="1:14" ht="15.75" hidden="1">
      <c r="A184" s="9" t="s">
        <v>540</v>
      </c>
      <c r="B184" s="127">
        <v>0.08</v>
      </c>
      <c r="C184" s="35" t="s">
        <v>108</v>
      </c>
      <c r="D184" s="12"/>
      <c r="E184" s="158">
        <v>1800000</v>
      </c>
      <c r="F184" s="195">
        <v>0.02</v>
      </c>
      <c r="G184" s="68">
        <f t="shared" si="6"/>
        <v>36000</v>
      </c>
      <c r="H184" s="36" t="s">
        <v>53</v>
      </c>
      <c r="I184" s="112"/>
      <c r="L184" s="56"/>
      <c r="M184" s="56"/>
      <c r="N184" s="56"/>
    </row>
    <row r="185" spans="1:14" ht="15.75" hidden="1">
      <c r="A185" s="9">
        <v>13402</v>
      </c>
      <c r="B185" s="37">
        <v>0.1</v>
      </c>
      <c r="C185" s="35" t="s">
        <v>106</v>
      </c>
      <c r="D185" s="12"/>
      <c r="E185" s="158">
        <v>1850000</v>
      </c>
      <c r="F185" s="194">
        <v>2.5000000000000001E-2</v>
      </c>
      <c r="G185" s="68">
        <f t="shared" si="6"/>
        <v>46250</v>
      </c>
      <c r="H185" s="36" t="s">
        <v>503</v>
      </c>
      <c r="I185" s="112"/>
      <c r="L185" s="56"/>
      <c r="M185" s="56"/>
      <c r="N185" s="56"/>
    </row>
    <row r="186" spans="1:14" ht="15.75" hidden="1">
      <c r="A186" s="9">
        <v>13295</v>
      </c>
      <c r="B186" s="141">
        <v>0.1</v>
      </c>
      <c r="C186" s="35" t="s">
        <v>133</v>
      </c>
      <c r="D186" s="11"/>
      <c r="E186" s="12">
        <v>1500000</v>
      </c>
      <c r="F186" s="176"/>
      <c r="G186" s="68">
        <f t="shared" si="6"/>
        <v>0</v>
      </c>
      <c r="H186" s="35" t="s">
        <v>503</v>
      </c>
      <c r="L186" s="56"/>
      <c r="M186" s="56"/>
      <c r="N186" s="56"/>
    </row>
    <row r="187" spans="1:14" ht="26.25" hidden="1" customHeight="1">
      <c r="A187" s="65" t="s">
        <v>86</v>
      </c>
      <c r="B187" s="65"/>
      <c r="C187" s="65"/>
      <c r="D187" s="65"/>
      <c r="E187" s="285">
        <f>SUM(E166:E186)</f>
        <v>29920000</v>
      </c>
      <c r="F187" s="20"/>
      <c r="G187" s="285">
        <f>SUM(G166:G186)</f>
        <v>667500</v>
      </c>
      <c r="H187" s="20"/>
      <c r="L187" s="56"/>
      <c r="M187" s="56"/>
      <c r="N187" s="56"/>
    </row>
    <row r="188" spans="1:14" hidden="1">
      <c r="A188" s="20"/>
      <c r="B188" s="20"/>
      <c r="C188" s="20"/>
      <c r="D188" s="20"/>
      <c r="L188" s="56"/>
      <c r="M188" s="56"/>
      <c r="N188" s="56"/>
    </row>
    <row r="189" spans="1:14" hidden="1">
      <c r="A189" s="20"/>
      <c r="B189" s="20"/>
      <c r="C189" s="20"/>
      <c r="D189" s="20"/>
      <c r="L189" s="56"/>
      <c r="M189" s="56"/>
      <c r="N189" s="56"/>
    </row>
    <row r="190" spans="1:14" ht="15.75" hidden="1">
      <c r="A190" s="1089" t="s">
        <v>82</v>
      </c>
      <c r="B190" s="1140"/>
      <c r="C190" s="183"/>
      <c r="D190" s="184">
        <v>29920000</v>
      </c>
      <c r="L190" s="56"/>
      <c r="M190" s="56"/>
      <c r="N190" s="56"/>
    </row>
    <row r="191" spans="1:14" ht="15.75" hidden="1">
      <c r="A191" s="1090" t="s">
        <v>83</v>
      </c>
      <c r="B191" s="1141"/>
      <c r="C191" s="185"/>
      <c r="D191" s="80">
        <v>5000000</v>
      </c>
      <c r="L191" s="56"/>
      <c r="M191" s="56"/>
      <c r="N191" s="56"/>
    </row>
    <row r="192" spans="1:14" ht="15.75" hidden="1">
      <c r="A192" s="1091" t="s">
        <v>84</v>
      </c>
      <c r="B192" s="1142"/>
      <c r="C192" s="186"/>
      <c r="D192" s="193">
        <v>0</v>
      </c>
      <c r="L192" s="56"/>
      <c r="M192" s="56"/>
      <c r="N192" s="56"/>
    </row>
    <row r="193" spans="1:14" ht="15.75" hidden="1">
      <c r="A193" s="1092" t="s">
        <v>85</v>
      </c>
      <c r="B193" s="1140"/>
      <c r="C193" s="186"/>
      <c r="D193" s="188"/>
      <c r="L193" s="56"/>
      <c r="M193" s="56"/>
      <c r="N193" s="56"/>
    </row>
    <row r="194" spans="1:14" ht="15.75" hidden="1">
      <c r="A194" s="1088" t="s">
        <v>86</v>
      </c>
      <c r="B194" s="1088"/>
      <c r="C194" s="189"/>
      <c r="D194" s="190"/>
      <c r="L194" s="56"/>
      <c r="M194" s="56"/>
      <c r="N194" s="56"/>
    </row>
    <row r="195" spans="1:14" ht="21" hidden="1">
      <c r="A195" s="1134" t="s">
        <v>87</v>
      </c>
      <c r="B195" s="1134"/>
      <c r="C195" s="117"/>
      <c r="D195" s="80">
        <v>4150000</v>
      </c>
      <c r="L195" s="56"/>
      <c r="M195" s="56"/>
      <c r="N195" s="56"/>
    </row>
    <row r="196" spans="1:14" hidden="1">
      <c r="A196" s="20"/>
      <c r="B196" s="20"/>
      <c r="C196" s="20"/>
      <c r="D196" s="20"/>
      <c r="L196" s="56"/>
      <c r="M196" s="56"/>
      <c r="N196" s="56"/>
    </row>
    <row r="197" spans="1:14" hidden="1">
      <c r="L197" s="56"/>
      <c r="M197" s="56"/>
      <c r="N197" s="56"/>
    </row>
    <row r="198" spans="1:14">
      <c r="L198" s="56"/>
      <c r="M198" s="56"/>
      <c r="N198" s="56"/>
    </row>
    <row r="199" spans="1:14">
      <c r="A199" s="1131" t="s">
        <v>547</v>
      </c>
      <c r="B199" s="1131"/>
      <c r="C199" s="1131"/>
      <c r="D199" s="1131"/>
      <c r="E199" s="1131"/>
      <c r="F199" s="1131"/>
      <c r="G199" s="1131"/>
      <c r="L199" s="56"/>
      <c r="M199" s="56"/>
      <c r="N199" s="56"/>
    </row>
    <row r="200" spans="1:14">
      <c r="A200" s="1131"/>
      <c r="B200" s="1131"/>
      <c r="C200" s="1131"/>
      <c r="D200" s="1131"/>
      <c r="E200" s="1131"/>
      <c r="F200" s="1131"/>
      <c r="G200" s="1131"/>
      <c r="L200" s="56"/>
      <c r="M200" s="56"/>
      <c r="N200" s="56"/>
    </row>
    <row r="201" spans="1:14" ht="25.5" customHeight="1">
      <c r="A201" s="1131"/>
      <c r="B201" s="1131"/>
      <c r="C201" s="1131"/>
      <c r="D201" s="1131"/>
      <c r="E201" s="1131"/>
      <c r="F201" s="1131"/>
      <c r="G201" s="1131"/>
    </row>
    <row r="202" spans="1:14" ht="20.25" customHeight="1">
      <c r="A202" s="1131"/>
      <c r="B202" s="1131"/>
      <c r="C202" s="1131"/>
      <c r="D202" s="1131"/>
      <c r="E202" s="1131"/>
      <c r="F202" s="1131"/>
      <c r="G202" s="1131"/>
    </row>
    <row r="203" spans="1:14" hidden="1">
      <c r="A203" s="1129" t="s">
        <v>548</v>
      </c>
      <c r="B203" s="1129"/>
      <c r="C203" s="1129"/>
      <c r="D203" s="1129"/>
      <c r="E203" s="1129"/>
      <c r="F203" s="1129"/>
      <c r="G203" s="1129"/>
    </row>
    <row r="204" spans="1:14" hidden="1">
      <c r="A204" s="1129"/>
      <c r="B204" s="1129"/>
      <c r="C204" s="1129"/>
      <c r="D204" s="1129"/>
      <c r="E204" s="1129"/>
      <c r="F204" s="1129"/>
      <c r="G204" s="1129"/>
    </row>
    <row r="205" spans="1:14" hidden="1">
      <c r="A205" s="211" t="s">
        <v>4</v>
      </c>
      <c r="B205" s="212" t="s">
        <v>495</v>
      </c>
      <c r="C205" s="212" t="s">
        <v>496</v>
      </c>
      <c r="D205" s="213" t="s">
        <v>497</v>
      </c>
      <c r="E205" s="214" t="s">
        <v>498</v>
      </c>
      <c r="F205" s="215" t="s">
        <v>8</v>
      </c>
      <c r="G205" s="216" t="s">
        <v>15</v>
      </c>
    </row>
    <row r="206" spans="1:14" ht="15.75" hidden="1">
      <c r="A206" s="83">
        <v>13419</v>
      </c>
      <c r="B206" s="37">
        <v>0.1</v>
      </c>
      <c r="C206" s="231" t="s">
        <v>549</v>
      </c>
      <c r="D206" s="156"/>
      <c r="E206" s="172">
        <v>1150000</v>
      </c>
      <c r="F206" s="291">
        <v>0.05</v>
      </c>
      <c r="G206" s="292">
        <f t="shared" ref="G206:G218" si="7">E206*F206</f>
        <v>57500</v>
      </c>
      <c r="H206" s="35" t="s">
        <v>503</v>
      </c>
    </row>
    <row r="207" spans="1:14" ht="15.75" hidden="1">
      <c r="A207" s="83">
        <v>13423</v>
      </c>
      <c r="B207" s="37">
        <v>0.1</v>
      </c>
      <c r="C207" s="69" t="s">
        <v>169</v>
      </c>
      <c r="D207" s="13"/>
      <c r="E207" s="158">
        <v>1150000</v>
      </c>
      <c r="F207" s="291">
        <v>0.05</v>
      </c>
      <c r="G207" s="292">
        <f t="shared" si="7"/>
        <v>57500</v>
      </c>
      <c r="H207" s="35" t="s">
        <v>53</v>
      </c>
    </row>
    <row r="208" spans="1:14" ht="15.75" hidden="1">
      <c r="A208" s="83">
        <v>13424</v>
      </c>
      <c r="B208" s="37">
        <v>0.1</v>
      </c>
      <c r="C208" s="69" t="s">
        <v>550</v>
      </c>
      <c r="D208" s="13"/>
      <c r="E208" s="158">
        <v>1450000</v>
      </c>
      <c r="F208" s="291">
        <v>0.05</v>
      </c>
      <c r="G208" s="292">
        <f t="shared" si="7"/>
        <v>72500</v>
      </c>
      <c r="H208" s="35" t="s">
        <v>503</v>
      </c>
    </row>
    <row r="209" spans="1:9" ht="15.75" hidden="1">
      <c r="A209" s="83">
        <v>13500</v>
      </c>
      <c r="B209" s="37">
        <v>0.1</v>
      </c>
      <c r="C209" s="338" t="s">
        <v>172</v>
      </c>
      <c r="D209" s="308"/>
      <c r="E209" s="172">
        <v>1150000</v>
      </c>
      <c r="F209" s="291">
        <v>0.05</v>
      </c>
      <c r="G209" s="292">
        <f t="shared" si="7"/>
        <v>57500</v>
      </c>
      <c r="H209" s="308" t="s">
        <v>53</v>
      </c>
    </row>
    <row r="210" spans="1:9" ht="15.75" hidden="1">
      <c r="A210" s="83">
        <v>13583</v>
      </c>
      <c r="B210" s="37">
        <v>0.1</v>
      </c>
      <c r="C210" s="69" t="s">
        <v>141</v>
      </c>
      <c r="D210" s="13"/>
      <c r="E210" s="158">
        <v>1400000</v>
      </c>
      <c r="F210" s="291">
        <v>0.05</v>
      </c>
      <c r="G210" s="292">
        <f t="shared" si="7"/>
        <v>70000</v>
      </c>
      <c r="H210" s="13" t="s">
        <v>53</v>
      </c>
    </row>
    <row r="211" spans="1:9" ht="15.75" hidden="1">
      <c r="A211" s="83">
        <v>13590</v>
      </c>
      <c r="B211" s="37">
        <v>0.1</v>
      </c>
      <c r="C211" s="69" t="s">
        <v>175</v>
      </c>
      <c r="D211" s="13"/>
      <c r="E211" s="158">
        <v>1650000</v>
      </c>
      <c r="F211" s="291">
        <v>0.05</v>
      </c>
      <c r="G211" s="292">
        <f t="shared" si="7"/>
        <v>82500</v>
      </c>
      <c r="H211" s="13" t="s">
        <v>53</v>
      </c>
    </row>
    <row r="212" spans="1:9" ht="15.75" hidden="1">
      <c r="A212" s="83">
        <v>13610</v>
      </c>
      <c r="B212" s="37">
        <v>0.1</v>
      </c>
      <c r="C212" s="69" t="s">
        <v>176</v>
      </c>
      <c r="D212" s="13"/>
      <c r="E212" s="158">
        <v>1300000</v>
      </c>
      <c r="F212" s="291">
        <v>0.05</v>
      </c>
      <c r="G212" s="292">
        <f t="shared" si="7"/>
        <v>65000</v>
      </c>
      <c r="H212" s="13" t="s">
        <v>53</v>
      </c>
    </row>
    <row r="213" spans="1:9" ht="15.75" hidden="1">
      <c r="A213" s="83">
        <v>13614</v>
      </c>
      <c r="B213" s="37">
        <v>0.1</v>
      </c>
      <c r="C213" s="69" t="s">
        <v>551</v>
      </c>
      <c r="D213" s="13"/>
      <c r="E213" s="158">
        <v>800000</v>
      </c>
      <c r="F213" s="291">
        <v>0.05</v>
      </c>
      <c r="G213" s="292">
        <f t="shared" si="7"/>
        <v>40000</v>
      </c>
      <c r="H213" s="13" t="s">
        <v>503</v>
      </c>
    </row>
    <row r="214" spans="1:9" ht="15.75" hidden="1">
      <c r="A214" s="83">
        <v>13622</v>
      </c>
      <c r="B214" s="127">
        <v>0.08</v>
      </c>
      <c r="C214" s="69" t="s">
        <v>552</v>
      </c>
      <c r="D214" s="13"/>
      <c r="E214" s="158">
        <v>1600000</v>
      </c>
      <c r="F214" s="385">
        <v>0.02</v>
      </c>
      <c r="G214" s="292">
        <f t="shared" si="7"/>
        <v>32000</v>
      </c>
      <c r="H214" s="13" t="s">
        <v>503</v>
      </c>
      <c r="I214" s="384" t="s">
        <v>553</v>
      </c>
    </row>
    <row r="215" spans="1:9" ht="15.75" hidden="1">
      <c r="A215" s="83">
        <v>13632</v>
      </c>
      <c r="B215" s="127">
        <v>0.08</v>
      </c>
      <c r="C215" s="69" t="s">
        <v>180</v>
      </c>
      <c r="D215" s="13"/>
      <c r="E215" s="158">
        <v>1900000</v>
      </c>
      <c r="F215" s="385">
        <v>0.04</v>
      </c>
      <c r="G215" s="292">
        <f t="shared" si="7"/>
        <v>76000</v>
      </c>
      <c r="H215" s="13" t="s">
        <v>53</v>
      </c>
    </row>
    <row r="216" spans="1:9" ht="15.75" hidden="1">
      <c r="A216" s="9">
        <v>13648</v>
      </c>
      <c r="B216" s="127">
        <v>0.08</v>
      </c>
      <c r="C216" s="69" t="s">
        <v>182</v>
      </c>
      <c r="D216" s="13" t="s">
        <v>554</v>
      </c>
      <c r="E216" s="158">
        <v>1800000</v>
      </c>
      <c r="F216" s="385">
        <v>0.04</v>
      </c>
      <c r="G216" s="292">
        <f t="shared" si="7"/>
        <v>72000</v>
      </c>
      <c r="H216" s="13" t="s">
        <v>53</v>
      </c>
    </row>
    <row r="217" spans="1:9" ht="14.25" hidden="1" customHeight="1">
      <c r="A217" s="83">
        <v>13646</v>
      </c>
      <c r="B217" s="37">
        <v>0.1</v>
      </c>
      <c r="C217" s="69" t="s">
        <v>181</v>
      </c>
      <c r="D217" s="13"/>
      <c r="E217" s="158">
        <v>500000</v>
      </c>
      <c r="F217" s="291">
        <v>0.05</v>
      </c>
      <c r="G217" s="292">
        <f t="shared" si="7"/>
        <v>25000</v>
      </c>
      <c r="H217" s="13" t="s">
        <v>53</v>
      </c>
    </row>
    <row r="218" spans="1:9" ht="14.25" hidden="1" customHeight="1">
      <c r="A218" s="83">
        <v>13655</v>
      </c>
      <c r="B218" s="127">
        <v>0.08</v>
      </c>
      <c r="C218" s="11" t="s">
        <v>555</v>
      </c>
      <c r="D218" s="13"/>
      <c r="E218" s="158">
        <v>1800000</v>
      </c>
      <c r="F218" s="385">
        <v>0.04</v>
      </c>
      <c r="G218" s="292">
        <f t="shared" si="7"/>
        <v>72000</v>
      </c>
      <c r="H218" s="10" t="s">
        <v>556</v>
      </c>
    </row>
    <row r="219" spans="1:9" ht="14.25" hidden="1" customHeight="1">
      <c r="A219" s="294" t="s">
        <v>162</v>
      </c>
      <c r="B219" s="295"/>
      <c r="C219" s="296" t="s">
        <v>164</v>
      </c>
      <c r="D219" s="331" t="s">
        <v>557</v>
      </c>
      <c r="E219" s="332"/>
      <c r="F219" s="333"/>
      <c r="G219" s="341"/>
      <c r="H219" s="331" t="s">
        <v>503</v>
      </c>
    </row>
    <row r="220" spans="1:9" ht="14.25" hidden="1" customHeight="1">
      <c r="A220" s="38" t="s">
        <v>85</v>
      </c>
      <c r="B220" s="40"/>
      <c r="C220" s="170" t="s">
        <v>558</v>
      </c>
      <c r="D220" s="70"/>
      <c r="E220" s="178"/>
      <c r="F220" s="71"/>
      <c r="G220" s="72"/>
      <c r="H220" s="70" t="s">
        <v>503</v>
      </c>
    </row>
    <row r="221" spans="1:9" ht="15.75" hidden="1">
      <c r="A221" s="38" t="s">
        <v>559</v>
      </c>
      <c r="B221" s="40"/>
      <c r="C221" s="170" t="s">
        <v>141</v>
      </c>
      <c r="D221" s="70"/>
      <c r="E221" s="178"/>
      <c r="F221" s="71"/>
      <c r="G221" s="72"/>
      <c r="H221" s="70"/>
    </row>
    <row r="222" spans="1:9" ht="15.75" hidden="1">
      <c r="A222" s="38" t="s">
        <v>559</v>
      </c>
      <c r="B222" s="40"/>
      <c r="C222" s="170" t="s">
        <v>155</v>
      </c>
      <c r="D222" s="70"/>
      <c r="E222" s="178"/>
      <c r="F222" s="71"/>
      <c r="G222" s="72"/>
      <c r="H222" s="70" t="s">
        <v>503</v>
      </c>
    </row>
    <row r="223" spans="1:9" ht="15.75" hidden="1">
      <c r="A223" s="38" t="s">
        <v>160</v>
      </c>
      <c r="B223" s="40"/>
      <c r="C223" s="170" t="s">
        <v>560</v>
      </c>
      <c r="D223" s="70"/>
      <c r="E223" s="178"/>
      <c r="F223" s="71"/>
      <c r="G223" s="72"/>
      <c r="H223" s="93" t="s">
        <v>503</v>
      </c>
    </row>
    <row r="224" spans="1:9" ht="15.75" hidden="1">
      <c r="A224" s="294" t="s">
        <v>162</v>
      </c>
      <c r="B224" s="22"/>
      <c r="C224" s="119" t="s">
        <v>163</v>
      </c>
      <c r="D224" s="297"/>
      <c r="E224" s="298"/>
      <c r="F224" s="299"/>
      <c r="G224" s="300"/>
      <c r="H224" s="352" t="s">
        <v>503</v>
      </c>
    </row>
    <row r="225" spans="1:8" ht="28.5" hidden="1" customHeight="1">
      <c r="A225" s="20"/>
      <c r="B225" s="20"/>
      <c r="C225" s="20"/>
      <c r="D225" s="20"/>
      <c r="E225" s="379">
        <f>SUM(E206:E224)</f>
        <v>17650000</v>
      </c>
      <c r="F225" s="377"/>
      <c r="G225" s="378">
        <f>SUM(G206:G224)</f>
        <v>779500</v>
      </c>
      <c r="H225" s="65"/>
    </row>
    <row r="226" spans="1:8" hidden="1">
      <c r="A226" s="1136" t="s">
        <v>561</v>
      </c>
      <c r="B226" s="1136"/>
      <c r="C226" s="1136"/>
      <c r="D226" s="1136"/>
      <c r="E226" s="1136"/>
      <c r="F226" s="1136"/>
      <c r="G226" s="1132"/>
      <c r="H226" s="20"/>
    </row>
    <row r="227" spans="1:8" hidden="1">
      <c r="A227" s="1129"/>
      <c r="B227" s="1129"/>
      <c r="C227" s="1129"/>
      <c r="D227" s="1129"/>
      <c r="E227" s="1129"/>
      <c r="F227" s="1129"/>
      <c r="G227" s="1137"/>
      <c r="H227" s="20"/>
    </row>
    <row r="228" spans="1:8" hidden="1">
      <c r="A228" s="211" t="s">
        <v>4</v>
      </c>
      <c r="B228" s="212" t="s">
        <v>495</v>
      </c>
      <c r="C228" s="212" t="s">
        <v>496</v>
      </c>
      <c r="D228" s="213" t="s">
        <v>497</v>
      </c>
      <c r="E228" s="214" t="s">
        <v>498</v>
      </c>
      <c r="F228" s="215" t="s">
        <v>8</v>
      </c>
      <c r="G228" s="306" t="s">
        <v>15</v>
      </c>
      <c r="H228" s="20"/>
    </row>
    <row r="229" spans="1:8" ht="19.5" hidden="1">
      <c r="A229" s="293">
        <v>13416</v>
      </c>
      <c r="B229" s="33">
        <v>0.1</v>
      </c>
      <c r="C229" s="35" t="s">
        <v>167</v>
      </c>
      <c r="D229" s="13"/>
      <c r="E229" s="158">
        <v>1250000</v>
      </c>
      <c r="F229" s="291">
        <v>0.05</v>
      </c>
      <c r="G229" s="292">
        <f>E229*F229</f>
        <v>62500</v>
      </c>
      <c r="H229" s="10" t="s">
        <v>53</v>
      </c>
    </row>
    <row r="230" spans="1:8" ht="15.75" hidden="1">
      <c r="A230" s="83">
        <v>13426</v>
      </c>
      <c r="B230" s="33">
        <v>0.1</v>
      </c>
      <c r="C230" s="307" t="s">
        <v>562</v>
      </c>
      <c r="D230" s="308"/>
      <c r="E230" s="172">
        <v>1750000</v>
      </c>
      <c r="F230" s="291">
        <v>0.05</v>
      </c>
      <c r="G230" s="292">
        <f t="shared" ref="G230:G240" si="8">E230*F230</f>
        <v>87500</v>
      </c>
      <c r="H230" s="309" t="s">
        <v>503</v>
      </c>
    </row>
    <row r="231" spans="1:8" ht="15.75" hidden="1">
      <c r="A231" s="83">
        <v>13478</v>
      </c>
      <c r="B231" s="33">
        <v>0.1</v>
      </c>
      <c r="C231" s="325" t="s">
        <v>170</v>
      </c>
      <c r="D231" s="13"/>
      <c r="E231" s="158">
        <v>1300000</v>
      </c>
      <c r="F231" s="291">
        <v>0.05</v>
      </c>
      <c r="G231" s="292">
        <f t="shared" si="8"/>
        <v>65000</v>
      </c>
      <c r="H231" s="10" t="s">
        <v>53</v>
      </c>
    </row>
    <row r="232" spans="1:8" ht="15.75" hidden="1">
      <c r="A232" s="83">
        <v>13520</v>
      </c>
      <c r="B232" s="33">
        <v>0.1</v>
      </c>
      <c r="C232" s="325" t="s">
        <v>173</v>
      </c>
      <c r="D232" s="13"/>
      <c r="E232" s="158">
        <v>1200000</v>
      </c>
      <c r="F232" s="291">
        <v>0.05</v>
      </c>
      <c r="G232" s="292">
        <f t="shared" si="8"/>
        <v>60000</v>
      </c>
      <c r="H232" s="10" t="s">
        <v>53</v>
      </c>
    </row>
    <row r="233" spans="1:8" ht="15.75" hidden="1">
      <c r="A233" s="83">
        <v>13547</v>
      </c>
      <c r="B233" s="33">
        <v>0.1</v>
      </c>
      <c r="C233" s="69" t="s">
        <v>144</v>
      </c>
      <c r="D233" s="13"/>
      <c r="E233" s="158">
        <v>950000</v>
      </c>
      <c r="F233" s="291">
        <v>0.05</v>
      </c>
      <c r="G233" s="292">
        <f t="shared" si="8"/>
        <v>47500</v>
      </c>
      <c r="H233" s="10" t="s">
        <v>503</v>
      </c>
    </row>
    <row r="234" spans="1:8" ht="15.75" hidden="1">
      <c r="A234" s="83">
        <v>13584</v>
      </c>
      <c r="B234" s="33">
        <v>0.1</v>
      </c>
      <c r="C234" s="69" t="s">
        <v>560</v>
      </c>
      <c r="D234" s="13"/>
      <c r="E234" s="158">
        <v>850000</v>
      </c>
      <c r="F234" s="291">
        <v>0.05</v>
      </c>
      <c r="G234" s="292">
        <f t="shared" si="8"/>
        <v>42500</v>
      </c>
      <c r="H234" s="10" t="s">
        <v>503</v>
      </c>
    </row>
    <row r="235" spans="1:8" ht="15.75" hidden="1">
      <c r="A235" s="83">
        <v>13550</v>
      </c>
      <c r="B235" s="127">
        <v>0.08</v>
      </c>
      <c r="C235" s="69" t="s">
        <v>184</v>
      </c>
      <c r="D235" s="13"/>
      <c r="E235" s="158">
        <v>2150000</v>
      </c>
      <c r="F235" s="385">
        <v>0.04</v>
      </c>
      <c r="G235" s="292">
        <f t="shared" si="8"/>
        <v>86000</v>
      </c>
      <c r="H235" s="10" t="s">
        <v>22</v>
      </c>
    </row>
    <row r="236" spans="1:8" ht="15.75" hidden="1">
      <c r="A236" s="83">
        <v>13570</v>
      </c>
      <c r="B236" s="33">
        <v>0.1</v>
      </c>
      <c r="C236" s="69" t="s">
        <v>563</v>
      </c>
      <c r="D236" s="13"/>
      <c r="E236" s="158">
        <v>1500000</v>
      </c>
      <c r="F236" s="291">
        <v>0.05</v>
      </c>
      <c r="G236" s="292">
        <f t="shared" si="8"/>
        <v>75000</v>
      </c>
      <c r="H236" s="10" t="s">
        <v>503</v>
      </c>
    </row>
    <row r="237" spans="1:8" ht="15.75" hidden="1">
      <c r="A237" s="83">
        <v>13608</v>
      </c>
      <c r="B237" s="127">
        <v>0.08</v>
      </c>
      <c r="C237" s="69" t="s">
        <v>564</v>
      </c>
      <c r="D237" s="13"/>
      <c r="E237" s="158">
        <v>1700000</v>
      </c>
      <c r="F237" s="385">
        <v>0.04</v>
      </c>
      <c r="G237" s="292">
        <f t="shared" si="8"/>
        <v>68000</v>
      </c>
      <c r="H237" s="10" t="s">
        <v>53</v>
      </c>
    </row>
    <row r="238" spans="1:8" ht="15.75" hidden="1">
      <c r="A238" s="11">
        <v>13607</v>
      </c>
      <c r="B238" s="33">
        <v>0.1</v>
      </c>
      <c r="C238" s="69" t="s">
        <v>565</v>
      </c>
      <c r="D238" s="13"/>
      <c r="E238" s="158">
        <v>1000000</v>
      </c>
      <c r="F238" s="291">
        <v>0.05</v>
      </c>
      <c r="G238" s="292">
        <f t="shared" si="8"/>
        <v>50000</v>
      </c>
      <c r="H238" s="10" t="s">
        <v>503</v>
      </c>
    </row>
    <row r="239" spans="1:8" ht="15.75" hidden="1">
      <c r="A239" s="83">
        <v>13613</v>
      </c>
      <c r="B239" s="33">
        <v>0.1</v>
      </c>
      <c r="C239" s="69" t="s">
        <v>566</v>
      </c>
      <c r="D239" s="13"/>
      <c r="E239" s="158">
        <v>1300000</v>
      </c>
      <c r="F239" s="291">
        <v>0.05</v>
      </c>
      <c r="G239" s="292">
        <f t="shared" si="8"/>
        <v>65000</v>
      </c>
      <c r="H239" s="10" t="s">
        <v>53</v>
      </c>
    </row>
    <row r="240" spans="1:8" ht="15.75" hidden="1">
      <c r="A240" s="83">
        <v>13660</v>
      </c>
      <c r="B240" s="33">
        <v>0.1</v>
      </c>
      <c r="C240" s="69" t="s">
        <v>152</v>
      </c>
      <c r="D240" s="13"/>
      <c r="E240" s="158">
        <v>2700000</v>
      </c>
      <c r="F240" s="291">
        <v>0.05</v>
      </c>
      <c r="G240" s="292">
        <f t="shared" si="8"/>
        <v>135000</v>
      </c>
      <c r="H240" s="10" t="s">
        <v>503</v>
      </c>
    </row>
    <row r="241" spans="1:10" ht="15.75" hidden="1">
      <c r="A241" s="347" t="s">
        <v>37</v>
      </c>
      <c r="B241" s="295"/>
      <c r="C241" s="344" t="s">
        <v>183</v>
      </c>
      <c r="D241" s="331"/>
      <c r="E241" s="332"/>
      <c r="F241" s="333"/>
      <c r="G241" s="341"/>
      <c r="H241" s="348" t="s">
        <v>53</v>
      </c>
    </row>
    <row r="242" spans="1:10" ht="15.75" hidden="1">
      <c r="A242" s="85" t="s">
        <v>85</v>
      </c>
      <c r="B242" s="40"/>
      <c r="C242" s="170" t="s">
        <v>567</v>
      </c>
      <c r="D242" s="70"/>
      <c r="E242" s="178"/>
      <c r="F242" s="71"/>
      <c r="G242" s="349"/>
      <c r="H242" s="93"/>
    </row>
    <row r="243" spans="1:10" ht="15.75" hidden="1">
      <c r="A243" s="85" t="s">
        <v>559</v>
      </c>
      <c r="B243" s="40"/>
      <c r="C243" s="326" t="s">
        <v>157</v>
      </c>
      <c r="D243" s="70"/>
      <c r="E243" s="178"/>
      <c r="F243" s="71"/>
      <c r="G243" s="72"/>
      <c r="H243" s="93" t="s">
        <v>503</v>
      </c>
    </row>
    <row r="244" spans="1:10" ht="15.75" hidden="1">
      <c r="A244" s="85" t="s">
        <v>559</v>
      </c>
      <c r="B244" s="70"/>
      <c r="C244" s="170" t="s">
        <v>158</v>
      </c>
      <c r="D244" s="70"/>
      <c r="E244" s="70"/>
      <c r="F244" s="70"/>
      <c r="G244" s="70"/>
      <c r="H244" s="70" t="s">
        <v>503</v>
      </c>
    </row>
    <row r="245" spans="1:10" ht="21" hidden="1">
      <c r="A245" s="85" t="s">
        <v>559</v>
      </c>
      <c r="B245" s="40"/>
      <c r="C245" s="326" t="s">
        <v>159</v>
      </c>
      <c r="D245" s="70"/>
      <c r="E245" s="178"/>
      <c r="F245" s="71"/>
      <c r="G245" s="379"/>
      <c r="H245" s="70" t="s">
        <v>503</v>
      </c>
    </row>
    <row r="246" spans="1:10" ht="37.5" hidden="1" customHeight="1">
      <c r="A246" s="20"/>
      <c r="B246" s="20"/>
      <c r="C246" s="20"/>
      <c r="D246" s="20"/>
      <c r="E246" s="379">
        <f>SUM(E229:E245)</f>
        <v>17650000</v>
      </c>
      <c r="F246" s="20"/>
      <c r="G246" s="379">
        <f>SUM(G229:G245)</f>
        <v>844000</v>
      </c>
      <c r="H246" s="20"/>
    </row>
    <row r="247" spans="1:10" hidden="1"/>
    <row r="248" spans="1:10" hidden="1">
      <c r="A248" s="1129" t="s">
        <v>568</v>
      </c>
      <c r="B248" s="1129"/>
      <c r="C248" s="1129"/>
      <c r="D248" s="1129"/>
      <c r="E248" s="1129"/>
      <c r="F248" s="1129"/>
      <c r="G248" s="1129"/>
    </row>
    <row r="249" spans="1:10" hidden="1">
      <c r="A249" s="1130"/>
      <c r="B249" s="1130"/>
      <c r="C249" s="1130"/>
      <c r="D249" s="1130"/>
      <c r="E249" s="1130"/>
      <c r="F249" s="1130"/>
      <c r="G249" s="1130"/>
    </row>
    <row r="250" spans="1:10" hidden="1">
      <c r="A250" s="149" t="s">
        <v>4</v>
      </c>
      <c r="B250" s="150" t="s">
        <v>495</v>
      </c>
      <c r="C250" s="150" t="s">
        <v>496</v>
      </c>
      <c r="D250" s="151" t="s">
        <v>497</v>
      </c>
      <c r="E250" s="152" t="s">
        <v>498</v>
      </c>
      <c r="F250" s="153" t="s">
        <v>8</v>
      </c>
      <c r="G250" s="154" t="s">
        <v>15</v>
      </c>
      <c r="H250" s="20" t="s">
        <v>531</v>
      </c>
      <c r="I250" s="20" t="s">
        <v>514</v>
      </c>
    </row>
    <row r="251" spans="1:10" ht="15.75" hidden="1">
      <c r="A251" s="253">
        <v>13419</v>
      </c>
      <c r="B251" s="33">
        <v>0.1</v>
      </c>
      <c r="C251" s="240" t="s">
        <v>140</v>
      </c>
      <c r="D251" s="249"/>
      <c r="E251" s="354">
        <v>1150000</v>
      </c>
      <c r="F251" s="194">
        <v>2.5000000000000001E-2</v>
      </c>
      <c r="G251" s="355">
        <f>E251*F251</f>
        <v>28750</v>
      </c>
      <c r="H251" s="25" t="s">
        <v>503</v>
      </c>
      <c r="I251" s="20" t="s">
        <v>22</v>
      </c>
      <c r="J251" t="s">
        <v>22</v>
      </c>
    </row>
    <row r="252" spans="1:10" ht="15.75" hidden="1">
      <c r="A252" s="253">
        <v>13423</v>
      </c>
      <c r="B252" s="33">
        <v>0.1</v>
      </c>
      <c r="C252" s="108" t="s">
        <v>169</v>
      </c>
      <c r="D252" s="76"/>
      <c r="E252" s="28">
        <v>1150000</v>
      </c>
      <c r="F252" s="194">
        <v>2.5000000000000001E-2</v>
      </c>
      <c r="G252" s="355">
        <f t="shared" ref="G252:G274" si="9">E252*F252</f>
        <v>28750</v>
      </c>
      <c r="H252" s="25" t="s">
        <v>53</v>
      </c>
      <c r="I252" s="20" t="s">
        <v>22</v>
      </c>
      <c r="J252" t="s">
        <v>22</v>
      </c>
    </row>
    <row r="253" spans="1:10" ht="15.75" hidden="1">
      <c r="A253" s="253">
        <v>13424</v>
      </c>
      <c r="B253" s="33">
        <v>0.1</v>
      </c>
      <c r="C253" s="108" t="s">
        <v>550</v>
      </c>
      <c r="D253" s="76"/>
      <c r="E253" s="28">
        <v>1450000</v>
      </c>
      <c r="F253" s="194">
        <v>2.5000000000000001E-2</v>
      </c>
      <c r="G253" s="355">
        <f t="shared" si="9"/>
        <v>36250</v>
      </c>
      <c r="H253" s="25" t="s">
        <v>503</v>
      </c>
      <c r="I253" s="20" t="s">
        <v>22</v>
      </c>
      <c r="J253" t="s">
        <v>22</v>
      </c>
    </row>
    <row r="254" spans="1:10" ht="15.75" hidden="1">
      <c r="A254" s="253">
        <v>13500</v>
      </c>
      <c r="B254" s="33">
        <v>0.1</v>
      </c>
      <c r="C254" s="356" t="s">
        <v>172</v>
      </c>
      <c r="D254" s="267"/>
      <c r="E254" s="354">
        <v>1150000</v>
      </c>
      <c r="F254" s="194">
        <v>2.5000000000000001E-2</v>
      </c>
      <c r="G254" s="355">
        <f t="shared" si="9"/>
        <v>28750</v>
      </c>
      <c r="H254" s="267" t="s">
        <v>53</v>
      </c>
      <c r="I254" s="20" t="s">
        <v>22</v>
      </c>
      <c r="J254" t="s">
        <v>22</v>
      </c>
    </row>
    <row r="255" spans="1:10" ht="15.75" hidden="1">
      <c r="A255" s="253">
        <v>13583</v>
      </c>
      <c r="B255" s="33">
        <v>0.1</v>
      </c>
      <c r="C255" s="108" t="s">
        <v>141</v>
      </c>
      <c r="D255" s="76"/>
      <c r="E255" s="28">
        <v>1400000</v>
      </c>
      <c r="F255" s="194">
        <v>2.5000000000000001E-2</v>
      </c>
      <c r="G255" s="355">
        <f t="shared" si="9"/>
        <v>35000</v>
      </c>
      <c r="H255" s="76" t="s">
        <v>53</v>
      </c>
      <c r="I255" s="20" t="s">
        <v>17</v>
      </c>
      <c r="J255" t="s">
        <v>569</v>
      </c>
    </row>
    <row r="256" spans="1:10" ht="15.75" hidden="1">
      <c r="A256" s="253">
        <v>13590</v>
      </c>
      <c r="B256" s="33">
        <v>0.1</v>
      </c>
      <c r="C256" s="108" t="s">
        <v>175</v>
      </c>
      <c r="D256" s="76"/>
      <c r="E256" s="28">
        <v>1650000</v>
      </c>
      <c r="F256" s="194">
        <v>2.5000000000000001E-2</v>
      </c>
      <c r="G256" s="355">
        <f t="shared" si="9"/>
        <v>41250</v>
      </c>
      <c r="H256" s="76" t="s">
        <v>53</v>
      </c>
      <c r="I256" s="20" t="s">
        <v>53</v>
      </c>
      <c r="J256" t="s">
        <v>569</v>
      </c>
    </row>
    <row r="257" spans="1:10" ht="15.75" hidden="1">
      <c r="A257" s="253">
        <v>13610</v>
      </c>
      <c r="B257" s="33">
        <v>0.1</v>
      </c>
      <c r="C257" s="108" t="s">
        <v>176</v>
      </c>
      <c r="D257" s="76"/>
      <c r="E257" s="28">
        <v>1300000</v>
      </c>
      <c r="F257" s="194">
        <v>2.5000000000000001E-2</v>
      </c>
      <c r="G257" s="355">
        <f t="shared" si="9"/>
        <v>32500</v>
      </c>
      <c r="H257" s="76" t="s">
        <v>53</v>
      </c>
      <c r="I257" s="20" t="s">
        <v>22</v>
      </c>
      <c r="J257" t="s">
        <v>569</v>
      </c>
    </row>
    <row r="258" spans="1:10" ht="15.75" hidden="1">
      <c r="A258" s="253">
        <v>13614</v>
      </c>
      <c r="B258" s="33">
        <v>0.1</v>
      </c>
      <c r="C258" s="108" t="s">
        <v>551</v>
      </c>
      <c r="D258" s="76"/>
      <c r="E258" s="28">
        <v>800000</v>
      </c>
      <c r="F258" s="194">
        <v>2.5000000000000001E-2</v>
      </c>
      <c r="G258" s="355">
        <f t="shared" si="9"/>
        <v>20000</v>
      </c>
      <c r="H258" s="76" t="s">
        <v>503</v>
      </c>
      <c r="I258" s="20" t="s">
        <v>17</v>
      </c>
      <c r="J258" t="s">
        <v>569</v>
      </c>
    </row>
    <row r="259" spans="1:10" ht="15.75" hidden="1">
      <c r="A259" s="253">
        <v>13622</v>
      </c>
      <c r="B259" s="127">
        <v>0.08</v>
      </c>
      <c r="C259" s="108" t="s">
        <v>552</v>
      </c>
      <c r="D259" s="76"/>
      <c r="E259" s="28">
        <v>1600000</v>
      </c>
      <c r="F259" s="194">
        <v>0.02</v>
      </c>
      <c r="G259" s="355">
        <f t="shared" si="9"/>
        <v>32000</v>
      </c>
      <c r="H259" s="76" t="s">
        <v>503</v>
      </c>
      <c r="I259" s="20" t="s">
        <v>56</v>
      </c>
      <c r="J259" t="s">
        <v>569</v>
      </c>
    </row>
    <row r="260" spans="1:10" ht="15.75" hidden="1">
      <c r="A260" s="253">
        <v>13632</v>
      </c>
      <c r="B260" s="127">
        <v>0.08</v>
      </c>
      <c r="C260" s="108" t="s">
        <v>180</v>
      </c>
      <c r="D260" s="76"/>
      <c r="E260" s="28">
        <v>1900000</v>
      </c>
      <c r="F260" s="194">
        <v>0.02</v>
      </c>
      <c r="G260" s="355">
        <f t="shared" si="9"/>
        <v>38000</v>
      </c>
      <c r="H260" s="76" t="s">
        <v>53</v>
      </c>
      <c r="I260" s="20" t="s">
        <v>53</v>
      </c>
      <c r="J260" t="s">
        <v>569</v>
      </c>
    </row>
    <row r="261" spans="1:10" ht="15.75" hidden="1">
      <c r="A261" s="26">
        <v>13648</v>
      </c>
      <c r="B261" s="127">
        <v>0.08</v>
      </c>
      <c r="C261" s="108" t="s">
        <v>182</v>
      </c>
      <c r="D261" s="76" t="s">
        <v>554</v>
      </c>
      <c r="E261" s="28">
        <v>1800000</v>
      </c>
      <c r="F261" s="194">
        <v>0.02</v>
      </c>
      <c r="G261" s="355">
        <f t="shared" si="9"/>
        <v>36000</v>
      </c>
      <c r="H261" s="76" t="s">
        <v>53</v>
      </c>
      <c r="I261" s="31"/>
      <c r="J261" t="s">
        <v>22</v>
      </c>
    </row>
    <row r="262" spans="1:10" ht="15.75" hidden="1">
      <c r="A262" s="253">
        <v>13646</v>
      </c>
      <c r="B262" s="33">
        <v>0.1</v>
      </c>
      <c r="C262" s="108" t="s">
        <v>181</v>
      </c>
      <c r="D262" s="76"/>
      <c r="E262" s="28">
        <v>500000</v>
      </c>
      <c r="F262" s="194">
        <v>2.5000000000000001E-2</v>
      </c>
      <c r="G262" s="355">
        <f t="shared" si="9"/>
        <v>12500</v>
      </c>
      <c r="H262" s="76" t="s">
        <v>53</v>
      </c>
      <c r="I262" s="31" t="s">
        <v>22</v>
      </c>
      <c r="J262" t="s">
        <v>569</v>
      </c>
    </row>
    <row r="263" spans="1:10" ht="15.75" hidden="1">
      <c r="A263" s="253">
        <v>13416</v>
      </c>
      <c r="B263" s="33">
        <v>0.1</v>
      </c>
      <c r="C263" s="25" t="s">
        <v>167</v>
      </c>
      <c r="D263" s="76"/>
      <c r="E263" s="28">
        <v>1250000</v>
      </c>
      <c r="F263" s="194">
        <v>2.5000000000000001E-2</v>
      </c>
      <c r="G263" s="355">
        <f t="shared" si="9"/>
        <v>31250</v>
      </c>
      <c r="H263" s="31" t="s">
        <v>53</v>
      </c>
      <c r="I263" s="20" t="s">
        <v>53</v>
      </c>
      <c r="J263" t="s">
        <v>569</v>
      </c>
    </row>
    <row r="264" spans="1:10" ht="15.75" hidden="1">
      <c r="A264" s="253">
        <v>13426</v>
      </c>
      <c r="B264" s="33">
        <v>0.1</v>
      </c>
      <c r="C264" s="357" t="s">
        <v>562</v>
      </c>
      <c r="D264" s="267"/>
      <c r="E264" s="354">
        <v>1750000</v>
      </c>
      <c r="F264" s="194">
        <v>2.5000000000000001E-2</v>
      </c>
      <c r="G264" s="355">
        <f t="shared" si="9"/>
        <v>43750</v>
      </c>
      <c r="H264" s="358" t="s">
        <v>503</v>
      </c>
      <c r="I264" s="20" t="s">
        <v>17</v>
      </c>
      <c r="J264" t="s">
        <v>569</v>
      </c>
    </row>
    <row r="265" spans="1:10" ht="15.75" hidden="1">
      <c r="A265" s="253">
        <v>13478</v>
      </c>
      <c r="B265" s="33">
        <v>0.1</v>
      </c>
      <c r="C265" s="16" t="s">
        <v>170</v>
      </c>
      <c r="D265" s="76"/>
      <c r="E265" s="28">
        <v>1300000</v>
      </c>
      <c r="F265" s="194">
        <v>2.5000000000000001E-2</v>
      </c>
      <c r="G265" s="355">
        <f t="shared" si="9"/>
        <v>32500</v>
      </c>
      <c r="H265" s="31" t="s">
        <v>53</v>
      </c>
      <c r="I265" s="20" t="s">
        <v>53</v>
      </c>
      <c r="J265" t="s">
        <v>569</v>
      </c>
    </row>
    <row r="266" spans="1:10" ht="15.75" hidden="1">
      <c r="A266" s="253">
        <v>13520</v>
      </c>
      <c r="B266" s="33">
        <v>0.1</v>
      </c>
      <c r="C266" s="16" t="s">
        <v>173</v>
      </c>
      <c r="D266" s="76"/>
      <c r="E266" s="28">
        <v>1200000</v>
      </c>
      <c r="F266" s="194">
        <v>2.5000000000000001E-2</v>
      </c>
      <c r="G266" s="355">
        <f t="shared" si="9"/>
        <v>30000</v>
      </c>
      <c r="H266" s="31" t="s">
        <v>53</v>
      </c>
      <c r="I266" s="20" t="s">
        <v>53</v>
      </c>
      <c r="J266" t="s">
        <v>569</v>
      </c>
    </row>
    <row r="267" spans="1:10" ht="15.75" hidden="1">
      <c r="A267" s="253">
        <v>13547</v>
      </c>
      <c r="B267" s="33">
        <v>0.1</v>
      </c>
      <c r="C267" s="108" t="s">
        <v>570</v>
      </c>
      <c r="D267" s="76"/>
      <c r="E267" s="28">
        <v>950000</v>
      </c>
      <c r="F267" s="194">
        <v>2.5000000000000001E-2</v>
      </c>
      <c r="G267" s="355">
        <f t="shared" si="9"/>
        <v>23750</v>
      </c>
      <c r="H267" s="31" t="s">
        <v>503</v>
      </c>
      <c r="I267" s="20" t="s">
        <v>22</v>
      </c>
      <c r="J267" t="s">
        <v>22</v>
      </c>
    </row>
    <row r="268" spans="1:10" ht="15.75" hidden="1">
      <c r="A268" s="253">
        <v>13584</v>
      </c>
      <c r="B268" s="33">
        <v>0.1</v>
      </c>
      <c r="C268" s="108" t="s">
        <v>145</v>
      </c>
      <c r="D268" s="76"/>
      <c r="E268" s="28">
        <v>850000</v>
      </c>
      <c r="F268" s="194">
        <v>2.5000000000000001E-2</v>
      </c>
      <c r="G268" s="355">
        <f t="shared" si="9"/>
        <v>21250</v>
      </c>
      <c r="H268" s="31" t="s">
        <v>503</v>
      </c>
      <c r="I268" s="20" t="s">
        <v>22</v>
      </c>
      <c r="J268" t="s">
        <v>569</v>
      </c>
    </row>
    <row r="269" spans="1:10" ht="15.75" hidden="1">
      <c r="A269" s="253">
        <v>13550</v>
      </c>
      <c r="B269" s="127">
        <v>0.08</v>
      </c>
      <c r="C269" s="108" t="s">
        <v>184</v>
      </c>
      <c r="D269" s="76"/>
      <c r="E269" s="28">
        <v>2150000</v>
      </c>
      <c r="F269" s="194">
        <v>0.02</v>
      </c>
      <c r="G269" s="355">
        <f t="shared" si="9"/>
        <v>43000</v>
      </c>
      <c r="H269" s="359" t="s">
        <v>22</v>
      </c>
      <c r="I269" s="20" t="s">
        <v>22</v>
      </c>
      <c r="J269" t="s">
        <v>569</v>
      </c>
    </row>
    <row r="270" spans="1:10" ht="15.75" hidden="1">
      <c r="A270" s="253">
        <v>13570</v>
      </c>
      <c r="B270" s="33">
        <v>0.1</v>
      </c>
      <c r="C270" s="108" t="s">
        <v>563</v>
      </c>
      <c r="D270" s="76"/>
      <c r="E270" s="28">
        <v>1500000</v>
      </c>
      <c r="F270" s="194">
        <v>2.5000000000000001E-2</v>
      </c>
      <c r="G270" s="355">
        <f t="shared" si="9"/>
        <v>37500</v>
      </c>
      <c r="H270" s="359" t="s">
        <v>503</v>
      </c>
      <c r="I270" s="20" t="s">
        <v>56</v>
      </c>
      <c r="J270" t="s">
        <v>569</v>
      </c>
    </row>
    <row r="271" spans="1:10" ht="15.75" hidden="1">
      <c r="A271" s="253">
        <v>13608</v>
      </c>
      <c r="B271" s="127">
        <v>0.08</v>
      </c>
      <c r="C271" s="108" t="s">
        <v>564</v>
      </c>
      <c r="D271" s="76"/>
      <c r="E271" s="28">
        <v>1700000</v>
      </c>
      <c r="F271" s="194">
        <v>0.02</v>
      </c>
      <c r="G271" s="355">
        <f t="shared" si="9"/>
        <v>34000</v>
      </c>
      <c r="H271" s="359" t="s">
        <v>53</v>
      </c>
      <c r="I271" s="20" t="s">
        <v>53</v>
      </c>
      <c r="J271" t="s">
        <v>22</v>
      </c>
    </row>
    <row r="272" spans="1:10" ht="15.75" hidden="1">
      <c r="A272" s="29">
        <v>13607</v>
      </c>
      <c r="B272" s="33">
        <v>0.1</v>
      </c>
      <c r="C272" s="108" t="s">
        <v>565</v>
      </c>
      <c r="D272" s="76"/>
      <c r="E272" s="28">
        <v>1000000</v>
      </c>
      <c r="F272" s="194">
        <v>2.5000000000000001E-2</v>
      </c>
      <c r="G272" s="355">
        <f t="shared" si="9"/>
        <v>25000</v>
      </c>
      <c r="H272" s="359" t="s">
        <v>503</v>
      </c>
      <c r="I272" s="359" t="s">
        <v>503</v>
      </c>
      <c r="J272" t="s">
        <v>569</v>
      </c>
    </row>
    <row r="273" spans="1:10" ht="15.75" hidden="1">
      <c r="A273" s="253">
        <v>13613</v>
      </c>
      <c r="B273" s="33">
        <v>0.1</v>
      </c>
      <c r="C273" s="108" t="s">
        <v>566</v>
      </c>
      <c r="D273" s="76"/>
      <c r="E273" s="28">
        <v>1300000</v>
      </c>
      <c r="F273" s="194">
        <v>2.5000000000000001E-2</v>
      </c>
      <c r="G273" s="355">
        <f t="shared" si="9"/>
        <v>32500</v>
      </c>
      <c r="H273" s="359" t="s">
        <v>53</v>
      </c>
      <c r="I273" s="20" t="s">
        <v>53</v>
      </c>
      <c r="J273" t="s">
        <v>569</v>
      </c>
    </row>
    <row r="274" spans="1:10" ht="15.75" hidden="1">
      <c r="A274" s="253">
        <v>13660</v>
      </c>
      <c r="B274" s="37">
        <v>0.1</v>
      </c>
      <c r="C274" s="356" t="s">
        <v>152</v>
      </c>
      <c r="D274" s="267"/>
      <c r="E274" s="354">
        <v>2700000</v>
      </c>
      <c r="F274" s="382">
        <v>2.5000000000000001E-2</v>
      </c>
      <c r="G274" s="355">
        <f t="shared" si="9"/>
        <v>67500</v>
      </c>
      <c r="H274" s="383" t="s">
        <v>503</v>
      </c>
      <c r="I274" s="116" t="s">
        <v>56</v>
      </c>
      <c r="J274" t="s">
        <v>569</v>
      </c>
    </row>
    <row r="275" spans="1:10" ht="21" hidden="1">
      <c r="A275" s="31"/>
      <c r="B275" s="31"/>
      <c r="C275" s="31"/>
      <c r="D275" s="31"/>
      <c r="E275" s="380">
        <f>SUM(E251:E274)</f>
        <v>33500000</v>
      </c>
      <c r="F275" s="381"/>
      <c r="G275" s="379">
        <f>SUM(G251:G274)</f>
        <v>791750</v>
      </c>
      <c r="H275" s="31"/>
      <c r="I275" s="20"/>
    </row>
    <row r="276" spans="1:10" hidden="1">
      <c r="A276" s="20"/>
      <c r="B276" s="20"/>
      <c r="C276" s="20"/>
      <c r="D276" s="20"/>
      <c r="E276" s="20"/>
      <c r="F276" s="20"/>
      <c r="G276" s="20"/>
      <c r="H276" s="20"/>
      <c r="I276" s="20"/>
    </row>
    <row r="277" spans="1:10" hidden="1">
      <c r="A277" s="20"/>
      <c r="B277" s="20"/>
      <c r="C277" s="20"/>
      <c r="D277" s="20"/>
      <c r="E277" s="20"/>
      <c r="F277" s="20"/>
      <c r="G277" s="20"/>
      <c r="H277" s="20"/>
      <c r="I277" s="20"/>
    </row>
    <row r="279" spans="1:10" ht="36" customHeight="1">
      <c r="A279" s="1124" t="s">
        <v>571</v>
      </c>
      <c r="B279" s="1124"/>
      <c r="C279" s="1124"/>
      <c r="D279" s="1124"/>
      <c r="E279" s="1124"/>
      <c r="F279" s="1124"/>
      <c r="G279" s="1124"/>
      <c r="H279" s="1124"/>
    </row>
    <row r="280" spans="1:10" hidden="1">
      <c r="A280" s="463"/>
      <c r="B280" s="463"/>
      <c r="C280" s="463"/>
      <c r="D280" s="463"/>
      <c r="E280" s="463"/>
      <c r="F280" s="463"/>
      <c r="G280" s="463"/>
      <c r="H280" s="463"/>
    </row>
    <row r="281" spans="1:10" hidden="1">
      <c r="A281" s="1119" t="s">
        <v>572</v>
      </c>
      <c r="B281" s="1119"/>
      <c r="C281" s="1119"/>
      <c r="D281" s="1119"/>
      <c r="E281" s="1119"/>
      <c r="F281" s="1119"/>
      <c r="G281" s="1119"/>
      <c r="H281" s="1119"/>
    </row>
    <row r="282" spans="1:10" hidden="1">
      <c r="A282" s="457" t="s">
        <v>573</v>
      </c>
      <c r="B282" s="464" t="s">
        <v>574</v>
      </c>
      <c r="C282" s="464" t="s">
        <v>13</v>
      </c>
      <c r="D282" s="464" t="s">
        <v>6</v>
      </c>
      <c r="E282" s="464" t="s">
        <v>7</v>
      </c>
      <c r="F282" s="464" t="s">
        <v>8</v>
      </c>
      <c r="G282" s="465" t="s">
        <v>23</v>
      </c>
      <c r="H282" s="465" t="s">
        <v>575</v>
      </c>
    </row>
    <row r="283" spans="1:10" hidden="1">
      <c r="A283" s="517">
        <v>13687</v>
      </c>
      <c r="B283" s="495">
        <v>0.1</v>
      </c>
      <c r="C283" s="554"/>
      <c r="D283" s="496" t="s">
        <v>196</v>
      </c>
      <c r="E283" s="497">
        <v>1350000</v>
      </c>
      <c r="F283" s="555">
        <v>0.04</v>
      </c>
      <c r="G283" s="556">
        <f>E283*F283</f>
        <v>54000</v>
      </c>
      <c r="H283" s="557" t="s">
        <v>1</v>
      </c>
    </row>
    <row r="284" spans="1:10" hidden="1">
      <c r="A284" s="517">
        <v>13726</v>
      </c>
      <c r="B284" s="495">
        <v>0.1</v>
      </c>
      <c r="C284" s="558"/>
      <c r="D284" s="496" t="s">
        <v>198</v>
      </c>
      <c r="E284" s="497">
        <v>1300000</v>
      </c>
      <c r="F284" s="555">
        <v>0.04</v>
      </c>
      <c r="G284" s="556">
        <f>E284*F284</f>
        <v>52000</v>
      </c>
      <c r="H284" s="557" t="s">
        <v>1</v>
      </c>
    </row>
    <row r="285" spans="1:10" hidden="1">
      <c r="A285" s="517">
        <v>13749</v>
      </c>
      <c r="B285" s="495">
        <v>0.1</v>
      </c>
      <c r="C285" s="558"/>
      <c r="D285" s="496" t="s">
        <v>199</v>
      </c>
      <c r="E285" s="497">
        <v>650000</v>
      </c>
      <c r="F285" s="555">
        <v>0.04</v>
      </c>
      <c r="G285" s="556">
        <f>E285*F285</f>
        <v>26000</v>
      </c>
      <c r="H285" s="557" t="s">
        <v>1</v>
      </c>
    </row>
    <row r="286" spans="1:10" hidden="1">
      <c r="A286" s="517">
        <v>13746</v>
      </c>
      <c r="B286" s="495">
        <v>0.1</v>
      </c>
      <c r="C286" s="558"/>
      <c r="D286" s="496" t="s">
        <v>200</v>
      </c>
      <c r="E286" s="497">
        <v>1300000</v>
      </c>
      <c r="F286" s="555">
        <v>0.04</v>
      </c>
      <c r="G286" s="556">
        <f>E286*F286</f>
        <v>52000</v>
      </c>
      <c r="H286" s="557" t="s">
        <v>1</v>
      </c>
    </row>
    <row r="287" spans="1:10" hidden="1">
      <c r="A287" s="517">
        <v>13782</v>
      </c>
      <c r="B287" s="495">
        <v>0.1</v>
      </c>
      <c r="C287" s="558"/>
      <c r="D287" s="496" t="s">
        <v>201</v>
      </c>
      <c r="E287" s="497">
        <v>2000000</v>
      </c>
      <c r="F287" s="555">
        <v>0.04</v>
      </c>
      <c r="G287" s="556">
        <f>E287*F287</f>
        <v>80000</v>
      </c>
      <c r="H287" s="557" t="s">
        <v>1</v>
      </c>
    </row>
    <row r="288" spans="1:10" hidden="1">
      <c r="A288" s="517">
        <v>13800</v>
      </c>
      <c r="B288" s="502">
        <v>0.08</v>
      </c>
      <c r="C288" s="558"/>
      <c r="D288" s="496" t="s">
        <v>202</v>
      </c>
      <c r="E288" s="497">
        <v>1500000</v>
      </c>
      <c r="F288" s="559">
        <v>0.03</v>
      </c>
      <c r="G288" s="556">
        <f>E288*F288</f>
        <v>45000</v>
      </c>
      <c r="H288" s="557" t="s">
        <v>1</v>
      </c>
    </row>
    <row r="289" spans="1:8" hidden="1">
      <c r="A289" s="517">
        <v>13804</v>
      </c>
      <c r="B289" s="495">
        <v>0.1</v>
      </c>
      <c r="C289" s="558"/>
      <c r="D289" s="496" t="s">
        <v>203</v>
      </c>
      <c r="E289" s="497">
        <v>1500000</v>
      </c>
      <c r="F289" s="555">
        <v>0.04</v>
      </c>
      <c r="G289" s="556">
        <f>E289*F289</f>
        <v>60000</v>
      </c>
      <c r="H289" s="557" t="s">
        <v>1</v>
      </c>
    </row>
    <row r="290" spans="1:8" hidden="1">
      <c r="A290" s="518">
        <v>13837</v>
      </c>
      <c r="B290" s="495">
        <v>0.1</v>
      </c>
      <c r="C290" s="558"/>
      <c r="D290" s="503" t="s">
        <v>206</v>
      </c>
      <c r="E290" s="504">
        <v>1350000</v>
      </c>
      <c r="F290" s="555">
        <v>0.04</v>
      </c>
      <c r="G290" s="556">
        <f>E290*F290</f>
        <v>54000</v>
      </c>
      <c r="H290" s="557" t="s">
        <v>1</v>
      </c>
    </row>
    <row r="291" spans="1:8" hidden="1">
      <c r="A291" s="517">
        <v>13850</v>
      </c>
      <c r="B291" s="502">
        <v>0.08</v>
      </c>
      <c r="C291" s="558"/>
      <c r="D291" s="496" t="s">
        <v>219</v>
      </c>
      <c r="E291" s="491">
        <v>1200000</v>
      </c>
      <c r="F291" s="559">
        <v>0.03</v>
      </c>
      <c r="G291" s="556">
        <f>E291*F291</f>
        <v>36000</v>
      </c>
      <c r="H291" s="557" t="s">
        <v>46</v>
      </c>
    </row>
    <row r="292" spans="1:8" hidden="1">
      <c r="A292" s="457"/>
      <c r="B292" s="458"/>
      <c r="C292" s="433"/>
      <c r="D292" s="459"/>
      <c r="E292" s="408"/>
      <c r="F292" s="488"/>
      <c r="G292" s="489"/>
      <c r="H292" s="490"/>
    </row>
    <row r="293" spans="1:8" hidden="1">
      <c r="A293" s="434"/>
      <c r="B293" s="434"/>
      <c r="C293" s="434"/>
      <c r="D293" s="434" t="s">
        <v>576</v>
      </c>
      <c r="E293" s="577">
        <f>SUM(E283:E292)</f>
        <v>12150000</v>
      </c>
      <c r="F293" s="484"/>
      <c r="G293" s="560">
        <f>SUM(G283:G292)</f>
        <v>459000</v>
      </c>
      <c r="H293" s="561" t="s">
        <v>577</v>
      </c>
    </row>
    <row r="294" spans="1:8" hidden="1"/>
    <row r="295" spans="1:8" hidden="1"/>
    <row r="296" spans="1:8" hidden="1">
      <c r="A296" s="1119" t="s">
        <v>578</v>
      </c>
      <c r="B296" s="1119"/>
      <c r="C296" s="1119"/>
      <c r="D296" s="1119"/>
      <c r="E296" s="1119"/>
      <c r="F296" s="1119"/>
      <c r="G296" s="1119"/>
      <c r="H296" s="1119"/>
    </row>
    <row r="297" spans="1:8" hidden="1">
      <c r="A297" s="466" t="s">
        <v>573</v>
      </c>
      <c r="B297" s="465" t="s">
        <v>574</v>
      </c>
      <c r="C297" s="465" t="s">
        <v>13</v>
      </c>
      <c r="D297" s="465" t="s">
        <v>6</v>
      </c>
      <c r="E297" s="465" t="s">
        <v>7</v>
      </c>
      <c r="F297" s="465" t="s">
        <v>8</v>
      </c>
      <c r="G297" s="465" t="s">
        <v>113</v>
      </c>
      <c r="H297" s="465" t="s">
        <v>575</v>
      </c>
    </row>
    <row r="298" spans="1:8" hidden="1">
      <c r="A298" s="517">
        <v>13666</v>
      </c>
      <c r="B298" s="495">
        <v>0.1</v>
      </c>
      <c r="C298" s="563"/>
      <c r="D298" s="496" t="s">
        <v>194</v>
      </c>
      <c r="E298" s="497">
        <v>1600000</v>
      </c>
      <c r="F298" s="495">
        <v>0.05</v>
      </c>
      <c r="G298" s="569">
        <f>E298*F298</f>
        <v>80000</v>
      </c>
      <c r="H298" s="570" t="s">
        <v>1</v>
      </c>
    </row>
    <row r="299" spans="1:8" hidden="1">
      <c r="A299" s="517">
        <v>13693</v>
      </c>
      <c r="B299" s="495">
        <v>0.1</v>
      </c>
      <c r="C299" s="563"/>
      <c r="D299" s="496" t="s">
        <v>164</v>
      </c>
      <c r="E299" s="497">
        <v>1800000</v>
      </c>
      <c r="F299" s="495">
        <v>0.05</v>
      </c>
      <c r="G299" s="569">
        <f>E299*F299</f>
        <v>90000</v>
      </c>
      <c r="H299" s="570" t="s">
        <v>1</v>
      </c>
    </row>
    <row r="300" spans="1:8" hidden="1">
      <c r="A300" s="517">
        <v>13717</v>
      </c>
      <c r="B300" s="495">
        <v>0.1</v>
      </c>
      <c r="C300" s="563"/>
      <c r="D300" s="496" t="s">
        <v>197</v>
      </c>
      <c r="E300" s="497">
        <v>850000</v>
      </c>
      <c r="F300" s="495">
        <v>0.05</v>
      </c>
      <c r="G300" s="569">
        <f>E300*F300</f>
        <v>42500</v>
      </c>
      <c r="H300" s="570" t="s">
        <v>1</v>
      </c>
    </row>
    <row r="301" spans="1:8" hidden="1">
      <c r="A301" s="517">
        <v>13808</v>
      </c>
      <c r="B301" s="495">
        <v>0.1</v>
      </c>
      <c r="C301" s="563"/>
      <c r="D301" s="496" t="s">
        <v>204</v>
      </c>
      <c r="E301" s="497">
        <v>2500000</v>
      </c>
      <c r="F301" s="495">
        <v>0.05</v>
      </c>
      <c r="G301" s="569">
        <f>E301*F301</f>
        <v>125000</v>
      </c>
      <c r="H301" s="570" t="s">
        <v>1</v>
      </c>
    </row>
    <row r="302" spans="1:8" hidden="1">
      <c r="A302" s="517">
        <v>13812</v>
      </c>
      <c r="B302" s="495">
        <v>0.1</v>
      </c>
      <c r="C302" s="563"/>
      <c r="D302" s="496" t="s">
        <v>205</v>
      </c>
      <c r="E302" s="497">
        <v>1520000</v>
      </c>
      <c r="F302" s="495">
        <v>0.05</v>
      </c>
      <c r="G302" s="569">
        <f>E302*F302</f>
        <v>76000</v>
      </c>
      <c r="H302" s="570" t="s">
        <v>1</v>
      </c>
    </row>
    <row r="303" spans="1:8" hidden="1">
      <c r="A303" s="517">
        <v>13690</v>
      </c>
      <c r="B303" s="502">
        <v>0.08</v>
      </c>
      <c r="C303" s="563"/>
      <c r="D303" s="496" t="s">
        <v>214</v>
      </c>
      <c r="E303" s="497">
        <v>1700000</v>
      </c>
      <c r="F303" s="502">
        <v>0.04</v>
      </c>
      <c r="G303" s="569">
        <f>E303*F303</f>
        <v>68000</v>
      </c>
      <c r="H303" s="570" t="s">
        <v>46</v>
      </c>
    </row>
    <row r="304" spans="1:8" hidden="1">
      <c r="A304" s="517">
        <v>13718</v>
      </c>
      <c r="B304" s="495">
        <v>0.1</v>
      </c>
      <c r="C304" s="563"/>
      <c r="D304" s="516" t="s">
        <v>195</v>
      </c>
      <c r="E304" s="497">
        <v>1900000</v>
      </c>
      <c r="F304" s="495">
        <v>0.05</v>
      </c>
      <c r="G304" s="569">
        <f>E304*F304</f>
        <v>95000</v>
      </c>
      <c r="H304" s="570" t="s">
        <v>46</v>
      </c>
    </row>
    <row r="305" spans="1:8" hidden="1">
      <c r="A305" s="517">
        <v>13725</v>
      </c>
      <c r="B305" s="495">
        <v>0.1</v>
      </c>
      <c r="C305" s="563"/>
      <c r="D305" s="496" t="s">
        <v>215</v>
      </c>
      <c r="E305" s="497">
        <v>1700000</v>
      </c>
      <c r="F305" s="495">
        <v>0.05</v>
      </c>
      <c r="G305" s="569">
        <f>E305*F305</f>
        <v>85000</v>
      </c>
      <c r="H305" s="570" t="s">
        <v>46</v>
      </c>
    </row>
    <row r="306" spans="1:8" hidden="1">
      <c r="A306" s="517">
        <v>13730</v>
      </c>
      <c r="B306" s="495">
        <v>0.1</v>
      </c>
      <c r="C306" s="563"/>
      <c r="D306" s="496" t="s">
        <v>216</v>
      </c>
      <c r="E306" s="497">
        <v>1100000</v>
      </c>
      <c r="F306" s="495">
        <v>0.05</v>
      </c>
      <c r="G306" s="569">
        <f>E306*F306</f>
        <v>55000</v>
      </c>
      <c r="H306" s="570" t="s">
        <v>46</v>
      </c>
    </row>
    <row r="307" spans="1:8" hidden="1">
      <c r="A307" s="517">
        <v>13769</v>
      </c>
      <c r="B307" s="502">
        <v>0.08</v>
      </c>
      <c r="C307" s="563"/>
      <c r="D307" s="496" t="s">
        <v>218</v>
      </c>
      <c r="E307" s="497">
        <v>1300000</v>
      </c>
      <c r="F307" s="502">
        <v>0.04</v>
      </c>
      <c r="G307" s="569">
        <f>E307*F307</f>
        <v>52000</v>
      </c>
      <c r="H307" s="570" t="s">
        <v>46</v>
      </c>
    </row>
    <row r="308" spans="1:8" hidden="1">
      <c r="A308" s="466"/>
      <c r="B308" s="458"/>
      <c r="C308" s="487"/>
      <c r="D308" s="404"/>
      <c r="E308" s="408"/>
      <c r="F308" s="456"/>
      <c r="G308" s="473"/>
      <c r="H308" s="408"/>
    </row>
    <row r="309" spans="1:8" hidden="1">
      <c r="A309" s="475"/>
      <c r="B309" s="475"/>
      <c r="C309" s="434"/>
      <c r="D309" s="434" t="s">
        <v>576</v>
      </c>
      <c r="E309" s="578">
        <f>SUM(E298:E308)</f>
        <v>15970000</v>
      </c>
      <c r="F309" s="469"/>
      <c r="G309" s="470">
        <f>SUM(G298:G308)</f>
        <v>768500</v>
      </c>
      <c r="H309" s="476" t="s">
        <v>577</v>
      </c>
    </row>
    <row r="310" spans="1:8" hidden="1">
      <c r="A310" s="477"/>
      <c r="B310" s="477"/>
      <c r="C310" s="477"/>
      <c r="D310" s="477"/>
      <c r="E310" s="477"/>
      <c r="F310" s="477"/>
      <c r="G310" s="477"/>
      <c r="H310" s="477"/>
    </row>
    <row r="311" spans="1:8" hidden="1">
      <c r="A311" s="1119" t="s">
        <v>579</v>
      </c>
      <c r="B311" s="1119"/>
      <c r="C311" s="1119"/>
      <c r="D311" s="1119"/>
      <c r="E311" s="1119"/>
      <c r="F311" s="1119"/>
      <c r="G311" s="1120"/>
      <c r="H311" s="1120"/>
    </row>
    <row r="312" spans="1:8" hidden="1">
      <c r="A312" s="457" t="s">
        <v>573</v>
      </c>
      <c r="B312" s="464" t="s">
        <v>574</v>
      </c>
      <c r="C312" s="464" t="s">
        <v>13</v>
      </c>
      <c r="D312" s="464" t="s">
        <v>6</v>
      </c>
      <c r="E312" s="464" t="s">
        <v>7</v>
      </c>
      <c r="F312" s="478" t="s">
        <v>8</v>
      </c>
      <c r="G312" s="464" t="s">
        <v>22</v>
      </c>
      <c r="H312" s="464" t="s">
        <v>575</v>
      </c>
    </row>
    <row r="313" spans="1:8" hidden="1">
      <c r="A313" s="457"/>
      <c r="B313" s="479"/>
      <c r="C313" s="472"/>
      <c r="D313" s="404"/>
      <c r="E313" s="408"/>
      <c r="F313" s="480"/>
      <c r="G313" s="473"/>
      <c r="H313" s="474"/>
    </row>
    <row r="314" spans="1:8" hidden="1">
      <c r="A314" s="461"/>
      <c r="B314" s="460"/>
      <c r="C314" s="462"/>
      <c r="D314" s="462"/>
      <c r="E314" s="408"/>
      <c r="F314" s="467"/>
      <c r="G314" s="481"/>
      <c r="H314" s="482"/>
    </row>
    <row r="315" spans="1:8" hidden="1">
      <c r="A315" s="434"/>
      <c r="B315" s="434"/>
      <c r="C315" s="434"/>
      <c r="D315" s="434" t="s">
        <v>576</v>
      </c>
      <c r="E315" s="468">
        <f>SUM(E313:E314)</f>
        <v>0</v>
      </c>
      <c r="F315" s="469"/>
      <c r="G315" s="470">
        <f>SUM(G313:G314)</f>
        <v>0</v>
      </c>
      <c r="H315" s="471" t="s">
        <v>577</v>
      </c>
    </row>
    <row r="316" spans="1:8" hidden="1"/>
    <row r="317" spans="1:8" hidden="1"/>
    <row r="318" spans="1:8" hidden="1">
      <c r="A318" s="1121" t="s">
        <v>580</v>
      </c>
      <c r="B318" s="1122"/>
      <c r="C318" s="1122"/>
      <c r="D318" s="1122"/>
      <c r="E318" s="1122"/>
      <c r="F318" s="1122"/>
      <c r="G318" s="1122"/>
      <c r="H318" s="1123"/>
    </row>
    <row r="319" spans="1:8" hidden="1">
      <c r="A319" s="465" t="s">
        <v>573</v>
      </c>
      <c r="B319" s="465" t="s">
        <v>574</v>
      </c>
      <c r="C319" s="465" t="s">
        <v>13</v>
      </c>
      <c r="D319" s="465" t="s">
        <v>6</v>
      </c>
      <c r="E319" s="465" t="s">
        <v>7</v>
      </c>
      <c r="F319" s="465" t="s">
        <v>8</v>
      </c>
      <c r="G319" s="465" t="s">
        <v>581</v>
      </c>
      <c r="H319" s="465" t="s">
        <v>575</v>
      </c>
    </row>
    <row r="320" spans="1:8" hidden="1">
      <c r="A320" s="517">
        <v>13687</v>
      </c>
      <c r="B320" s="495">
        <v>0.1</v>
      </c>
      <c r="C320" s="563"/>
      <c r="D320" s="496" t="s">
        <v>196</v>
      </c>
      <c r="E320" s="497">
        <v>1350000</v>
      </c>
      <c r="F320" s="564">
        <v>0.02</v>
      </c>
      <c r="G320" s="565">
        <f>E320*F320</f>
        <v>27000</v>
      </c>
      <c r="H320" s="566" t="s">
        <v>1</v>
      </c>
    </row>
    <row r="321" spans="1:8" hidden="1">
      <c r="A321" s="517">
        <v>13726</v>
      </c>
      <c r="B321" s="495">
        <v>0.1</v>
      </c>
      <c r="C321" s="567"/>
      <c r="D321" s="496" t="s">
        <v>198</v>
      </c>
      <c r="E321" s="497">
        <v>1300000</v>
      </c>
      <c r="F321" s="564">
        <v>0.02</v>
      </c>
      <c r="G321" s="565">
        <f>E321*F321</f>
        <v>26000</v>
      </c>
      <c r="H321" s="566" t="s">
        <v>1</v>
      </c>
    </row>
    <row r="322" spans="1:8" hidden="1">
      <c r="A322" s="517">
        <v>13749</v>
      </c>
      <c r="B322" s="495">
        <v>0.1</v>
      </c>
      <c r="C322" s="567"/>
      <c r="D322" s="496" t="s">
        <v>199</v>
      </c>
      <c r="E322" s="497">
        <v>650000</v>
      </c>
      <c r="F322" s="564">
        <v>0.02</v>
      </c>
      <c r="G322" s="565">
        <f>E322*F322</f>
        <v>13000</v>
      </c>
      <c r="H322" s="566" t="s">
        <v>1</v>
      </c>
    </row>
    <row r="323" spans="1:8" hidden="1">
      <c r="A323" s="517">
        <v>13746</v>
      </c>
      <c r="B323" s="495">
        <v>0.1</v>
      </c>
      <c r="C323" s="567"/>
      <c r="D323" s="496" t="s">
        <v>200</v>
      </c>
      <c r="E323" s="497">
        <v>1300000</v>
      </c>
      <c r="F323" s="564">
        <v>0.02</v>
      </c>
      <c r="G323" s="565">
        <f>E323*F323</f>
        <v>26000</v>
      </c>
      <c r="H323" s="566" t="s">
        <v>1</v>
      </c>
    </row>
    <row r="324" spans="1:8" hidden="1">
      <c r="A324" s="517">
        <v>13782</v>
      </c>
      <c r="B324" s="495">
        <v>0.1</v>
      </c>
      <c r="C324" s="567"/>
      <c r="D324" s="496" t="s">
        <v>201</v>
      </c>
      <c r="E324" s="497">
        <v>2000000</v>
      </c>
      <c r="F324" s="564">
        <v>0.02</v>
      </c>
      <c r="G324" s="565">
        <f>E324*F324</f>
        <v>40000</v>
      </c>
      <c r="H324" s="566" t="s">
        <v>1</v>
      </c>
    </row>
    <row r="325" spans="1:8" hidden="1">
      <c r="A325" s="517">
        <v>13800</v>
      </c>
      <c r="B325" s="502">
        <v>0.08</v>
      </c>
      <c r="C325" s="567"/>
      <c r="D325" s="496" t="s">
        <v>202</v>
      </c>
      <c r="E325" s="497">
        <v>1500000</v>
      </c>
      <c r="F325" s="568">
        <v>0.01</v>
      </c>
      <c r="G325" s="565">
        <f>E325*F325</f>
        <v>15000</v>
      </c>
      <c r="H325" s="566" t="s">
        <v>1</v>
      </c>
    </row>
    <row r="326" spans="1:8" hidden="1">
      <c r="A326" s="517">
        <v>13804</v>
      </c>
      <c r="B326" s="495">
        <v>0.1</v>
      </c>
      <c r="C326" s="567"/>
      <c r="D326" s="496" t="s">
        <v>203</v>
      </c>
      <c r="E326" s="497">
        <v>1500000</v>
      </c>
      <c r="F326" s="564">
        <v>0.02</v>
      </c>
      <c r="G326" s="565">
        <f>E326*F326</f>
        <v>30000</v>
      </c>
      <c r="H326" s="566" t="s">
        <v>1</v>
      </c>
    </row>
    <row r="327" spans="1:8" hidden="1">
      <c r="A327" s="518">
        <v>13837</v>
      </c>
      <c r="B327" s="495">
        <v>0.1</v>
      </c>
      <c r="C327" s="567"/>
      <c r="D327" s="503" t="s">
        <v>206</v>
      </c>
      <c r="E327" s="504">
        <v>1350000</v>
      </c>
      <c r="F327" s="564">
        <v>0.02</v>
      </c>
      <c r="G327" s="565">
        <f>E327*F327</f>
        <v>27000</v>
      </c>
      <c r="H327" s="566" t="s">
        <v>1</v>
      </c>
    </row>
    <row r="328" spans="1:8" hidden="1">
      <c r="A328" s="517">
        <v>13850</v>
      </c>
      <c r="B328" s="502">
        <v>0.08</v>
      </c>
      <c r="C328" s="567"/>
      <c r="D328" s="496" t="s">
        <v>219</v>
      </c>
      <c r="E328" s="497">
        <v>1200000</v>
      </c>
      <c r="F328" s="568">
        <v>0.01</v>
      </c>
      <c r="G328" s="565">
        <f>E328*F328</f>
        <v>12000</v>
      </c>
      <c r="H328" s="566" t="s">
        <v>46</v>
      </c>
    </row>
    <row r="329" spans="1:8" hidden="1">
      <c r="A329" s="517">
        <v>13693</v>
      </c>
      <c r="B329" s="495">
        <v>0.1</v>
      </c>
      <c r="C329" s="563"/>
      <c r="D329" s="496" t="s">
        <v>164</v>
      </c>
      <c r="E329" s="497">
        <v>1800000</v>
      </c>
      <c r="F329" s="564">
        <v>0.02</v>
      </c>
      <c r="G329" s="569">
        <f>E329*F329</f>
        <v>36000</v>
      </c>
      <c r="H329" s="570" t="s">
        <v>1</v>
      </c>
    </row>
    <row r="330" spans="1:8" hidden="1">
      <c r="A330" s="517">
        <v>13717</v>
      </c>
      <c r="B330" s="495">
        <v>0.1</v>
      </c>
      <c r="C330" s="563"/>
      <c r="D330" s="496" t="s">
        <v>197</v>
      </c>
      <c r="E330" s="497">
        <v>850000</v>
      </c>
      <c r="F330" s="564">
        <v>0.02</v>
      </c>
      <c r="G330" s="569">
        <f>E330*F330</f>
        <v>17000</v>
      </c>
      <c r="H330" s="570" t="s">
        <v>1</v>
      </c>
    </row>
    <row r="331" spans="1:8" hidden="1">
      <c r="A331" s="517">
        <v>13808</v>
      </c>
      <c r="B331" s="495">
        <v>0.1</v>
      </c>
      <c r="C331" s="563"/>
      <c r="D331" s="496" t="s">
        <v>204</v>
      </c>
      <c r="E331" s="497">
        <v>2500000</v>
      </c>
      <c r="F331" s="564">
        <v>0.02</v>
      </c>
      <c r="G331" s="569">
        <f>E331*F331</f>
        <v>50000</v>
      </c>
      <c r="H331" s="570" t="s">
        <v>1</v>
      </c>
    </row>
    <row r="332" spans="1:8" hidden="1">
      <c r="A332" s="517">
        <v>13812</v>
      </c>
      <c r="B332" s="495">
        <v>0.1</v>
      </c>
      <c r="C332" s="563"/>
      <c r="D332" s="496" t="s">
        <v>205</v>
      </c>
      <c r="E332" s="497">
        <v>1520000</v>
      </c>
      <c r="F332" s="564">
        <v>0.02</v>
      </c>
      <c r="G332" s="569">
        <f>E332*F332</f>
        <v>30400</v>
      </c>
      <c r="H332" s="570" t="s">
        <v>1</v>
      </c>
    </row>
    <row r="333" spans="1:8" hidden="1">
      <c r="A333" s="517">
        <v>13690</v>
      </c>
      <c r="B333" s="502">
        <v>0.08</v>
      </c>
      <c r="C333" s="563"/>
      <c r="D333" s="496" t="s">
        <v>214</v>
      </c>
      <c r="E333" s="497">
        <v>1700000</v>
      </c>
      <c r="F333" s="568">
        <v>0.01</v>
      </c>
      <c r="G333" s="569">
        <f>E333*F333</f>
        <v>17000</v>
      </c>
      <c r="H333" s="570" t="s">
        <v>46</v>
      </c>
    </row>
    <row r="334" spans="1:8" hidden="1">
      <c r="A334" s="517">
        <v>13718</v>
      </c>
      <c r="B334" s="495">
        <v>0.1</v>
      </c>
      <c r="C334" s="563"/>
      <c r="D334" s="516" t="s">
        <v>195</v>
      </c>
      <c r="E334" s="497">
        <v>1900000</v>
      </c>
      <c r="F334" s="564">
        <v>0.02</v>
      </c>
      <c r="G334" s="569">
        <f>E334*F334</f>
        <v>38000</v>
      </c>
      <c r="H334" s="570" t="s">
        <v>46</v>
      </c>
    </row>
    <row r="335" spans="1:8" hidden="1">
      <c r="A335" s="517">
        <v>13725</v>
      </c>
      <c r="B335" s="495">
        <v>0.1</v>
      </c>
      <c r="C335" s="563"/>
      <c r="D335" s="496" t="s">
        <v>215</v>
      </c>
      <c r="E335" s="497">
        <v>1700000</v>
      </c>
      <c r="F335" s="564">
        <v>0.02</v>
      </c>
      <c r="G335" s="569">
        <f>E335*F335</f>
        <v>34000</v>
      </c>
      <c r="H335" s="570" t="s">
        <v>46</v>
      </c>
    </row>
    <row r="336" spans="1:8" hidden="1">
      <c r="A336" s="517">
        <v>13730</v>
      </c>
      <c r="B336" s="495">
        <v>0.1</v>
      </c>
      <c r="C336" s="563"/>
      <c r="D336" s="496" t="s">
        <v>216</v>
      </c>
      <c r="E336" s="497">
        <v>1100000</v>
      </c>
      <c r="F336" s="564">
        <v>0.02</v>
      </c>
      <c r="G336" s="569">
        <f>E336*F336</f>
        <v>22000</v>
      </c>
      <c r="H336" s="570" t="s">
        <v>46</v>
      </c>
    </row>
    <row r="337" spans="1:8" hidden="1">
      <c r="A337" s="517">
        <v>13769</v>
      </c>
      <c r="B337" s="502">
        <v>0.08</v>
      </c>
      <c r="C337" s="563"/>
      <c r="D337" s="496" t="s">
        <v>218</v>
      </c>
      <c r="E337" s="497">
        <v>1300000</v>
      </c>
      <c r="F337" s="568">
        <v>0.01</v>
      </c>
      <c r="G337" s="569">
        <f>E337*F337</f>
        <v>13000</v>
      </c>
      <c r="H337" s="570" t="s">
        <v>46</v>
      </c>
    </row>
    <row r="338" spans="1:8" hidden="1">
      <c r="A338" s="413"/>
      <c r="B338" s="571"/>
      <c r="C338" s="572"/>
      <c r="D338" s="573"/>
      <c r="E338" s="416"/>
      <c r="F338" s="574"/>
      <c r="G338" s="575"/>
      <c r="H338" s="576"/>
    </row>
    <row r="339" spans="1:8" hidden="1">
      <c r="A339" s="483"/>
      <c r="B339" s="469"/>
      <c r="C339" s="469"/>
      <c r="D339" s="484" t="s">
        <v>576</v>
      </c>
      <c r="E339" s="577">
        <f>SUM(E320:E337)</f>
        <v>26520000</v>
      </c>
      <c r="F339" s="434"/>
      <c r="G339" s="485">
        <f>SUM(G320:G337)</f>
        <v>473400</v>
      </c>
      <c r="H339" s="486" t="s">
        <v>577</v>
      </c>
    </row>
    <row r="340" spans="1:8" hidden="1"/>
    <row r="342" spans="1:8" ht="36" customHeight="1">
      <c r="A342" s="1124" t="s">
        <v>582</v>
      </c>
      <c r="B342" s="1124"/>
      <c r="C342" s="1124"/>
      <c r="D342" s="1124"/>
      <c r="E342" s="1124"/>
      <c r="F342" s="1124"/>
      <c r="G342" s="1124"/>
      <c r="H342" s="1124"/>
    </row>
    <row r="343" spans="1:8">
      <c r="A343" s="463"/>
      <c r="B343" s="463"/>
      <c r="C343" s="463"/>
      <c r="D343" s="463"/>
      <c r="E343" s="463"/>
      <c r="F343" s="463"/>
      <c r="G343" s="463"/>
      <c r="H343" s="463"/>
    </row>
    <row r="344" spans="1:8">
      <c r="A344" s="1119" t="s">
        <v>583</v>
      </c>
      <c r="B344" s="1119"/>
      <c r="C344" s="1119"/>
      <c r="D344" s="1119"/>
      <c r="E344" s="1119"/>
      <c r="F344" s="1119"/>
      <c r="G344" s="1119"/>
      <c r="H344" s="1119"/>
    </row>
    <row r="345" spans="1:8">
      <c r="A345" s="457" t="s">
        <v>573</v>
      </c>
      <c r="B345" s="464" t="s">
        <v>574</v>
      </c>
      <c r="C345" s="464" t="s">
        <v>13</v>
      </c>
      <c r="D345" s="464" t="s">
        <v>6</v>
      </c>
      <c r="E345" s="464" t="s">
        <v>7</v>
      </c>
      <c r="F345" s="464" t="s">
        <v>8</v>
      </c>
      <c r="G345" s="465" t="s">
        <v>23</v>
      </c>
      <c r="H345" s="465" t="s">
        <v>575</v>
      </c>
    </row>
    <row r="346" spans="1:8">
      <c r="A346" s="517">
        <v>13887</v>
      </c>
      <c r="B346" s="583">
        <v>0.1</v>
      </c>
      <c r="C346" s="554"/>
      <c r="D346" s="611" t="s">
        <v>584</v>
      </c>
      <c r="E346" s="569">
        <v>900000</v>
      </c>
      <c r="F346" s="555">
        <v>0.05</v>
      </c>
      <c r="G346" s="556">
        <f>E346*F346</f>
        <v>45000</v>
      </c>
      <c r="H346" s="566" t="s">
        <v>17</v>
      </c>
    </row>
    <row r="347" spans="1:8">
      <c r="A347" s="517">
        <v>13900</v>
      </c>
      <c r="B347" s="495">
        <v>0.1</v>
      </c>
      <c r="C347" s="558"/>
      <c r="D347" s="496" t="s">
        <v>229</v>
      </c>
      <c r="E347" s="570">
        <v>1600000</v>
      </c>
      <c r="F347" s="555">
        <v>0.05</v>
      </c>
      <c r="G347" s="556">
        <f t="shared" ref="G347:G357" si="10">E347*F347</f>
        <v>80000</v>
      </c>
      <c r="H347" s="566" t="s">
        <v>17</v>
      </c>
    </row>
    <row r="348" spans="1:8">
      <c r="A348" s="517">
        <v>13926</v>
      </c>
      <c r="B348" s="495">
        <v>0.1</v>
      </c>
      <c r="C348" s="558"/>
      <c r="D348" s="496" t="s">
        <v>230</v>
      </c>
      <c r="E348" s="570">
        <v>1400000</v>
      </c>
      <c r="F348" s="555">
        <v>0.05</v>
      </c>
      <c r="G348" s="556">
        <f t="shared" si="10"/>
        <v>70000</v>
      </c>
      <c r="H348" s="566" t="s">
        <v>17</v>
      </c>
    </row>
    <row r="349" spans="1:8">
      <c r="A349" s="517">
        <v>13968</v>
      </c>
      <c r="B349" s="495">
        <v>0.1</v>
      </c>
      <c r="C349" s="558"/>
      <c r="D349" s="496" t="s">
        <v>231</v>
      </c>
      <c r="E349" s="570">
        <v>1300000</v>
      </c>
      <c r="F349" s="555">
        <v>0.05</v>
      </c>
      <c r="G349" s="556">
        <f t="shared" si="10"/>
        <v>65000</v>
      </c>
      <c r="H349" s="566" t="s">
        <v>17</v>
      </c>
    </row>
    <row r="350" spans="1:8">
      <c r="A350" s="517">
        <v>13994</v>
      </c>
      <c r="B350" s="495">
        <v>0.1</v>
      </c>
      <c r="C350" s="558"/>
      <c r="D350" s="496" t="s">
        <v>233</v>
      </c>
      <c r="E350" s="570">
        <v>730000</v>
      </c>
      <c r="F350" s="555">
        <v>0.05</v>
      </c>
      <c r="G350" s="556">
        <f t="shared" si="10"/>
        <v>36500</v>
      </c>
      <c r="H350" s="566" t="s">
        <v>17</v>
      </c>
    </row>
    <row r="351" spans="1:8">
      <c r="A351" s="517">
        <v>14011</v>
      </c>
      <c r="B351" s="495">
        <v>0.1</v>
      </c>
      <c r="C351" s="558"/>
      <c r="D351" s="496" t="s">
        <v>236</v>
      </c>
      <c r="E351" s="570">
        <v>1350000</v>
      </c>
      <c r="F351" s="555">
        <v>0.05</v>
      </c>
      <c r="G351" s="556">
        <f t="shared" si="10"/>
        <v>67500</v>
      </c>
      <c r="H351" s="566" t="s">
        <v>17</v>
      </c>
    </row>
    <row r="352" spans="1:8">
      <c r="A352" s="517">
        <v>14038</v>
      </c>
      <c r="B352" s="495">
        <v>0.1</v>
      </c>
      <c r="C352" s="558"/>
      <c r="D352" s="496" t="s">
        <v>244</v>
      </c>
      <c r="E352" s="612">
        <v>1700000</v>
      </c>
      <c r="F352" s="555">
        <v>0.05</v>
      </c>
      <c r="G352" s="556">
        <f t="shared" si="10"/>
        <v>85000</v>
      </c>
      <c r="H352" s="566" t="s">
        <v>53</v>
      </c>
    </row>
    <row r="353" spans="1:8">
      <c r="A353" s="517">
        <v>14066</v>
      </c>
      <c r="B353" s="502">
        <v>0.08</v>
      </c>
      <c r="C353" s="558"/>
      <c r="D353" s="496" t="s">
        <v>227</v>
      </c>
      <c r="E353" s="570">
        <v>1500000</v>
      </c>
      <c r="F353" s="559">
        <v>0.04</v>
      </c>
      <c r="G353" s="556">
        <f t="shared" si="10"/>
        <v>60000</v>
      </c>
      <c r="H353" s="566" t="s">
        <v>53</v>
      </c>
    </row>
    <row r="354" spans="1:8" ht="15.75">
      <c r="A354" s="517" t="s">
        <v>256</v>
      </c>
      <c r="B354" s="608">
        <v>0.1</v>
      </c>
      <c r="C354" s="558"/>
      <c r="D354" s="516" t="s">
        <v>585</v>
      </c>
      <c r="E354" s="605">
        <v>1200000</v>
      </c>
      <c r="F354" s="555">
        <v>0.05</v>
      </c>
      <c r="G354" s="556">
        <f t="shared" si="10"/>
        <v>60000</v>
      </c>
      <c r="H354" s="566" t="s">
        <v>261</v>
      </c>
    </row>
    <row r="355" spans="1:8" ht="15.75">
      <c r="A355" s="517">
        <v>14113</v>
      </c>
      <c r="B355" s="608">
        <v>0.1</v>
      </c>
      <c r="C355" s="558"/>
      <c r="D355" s="516" t="s">
        <v>586</v>
      </c>
      <c r="E355" s="605">
        <v>1250000</v>
      </c>
      <c r="F355" s="555">
        <v>0.05</v>
      </c>
      <c r="G355" s="556">
        <f t="shared" si="10"/>
        <v>62500</v>
      </c>
      <c r="H355" s="566" t="s">
        <v>261</v>
      </c>
    </row>
    <row r="356" spans="1:8">
      <c r="A356" s="517">
        <v>14074</v>
      </c>
      <c r="B356" s="495">
        <v>0.1</v>
      </c>
      <c r="C356" s="558"/>
      <c r="D356" s="496" t="s">
        <v>249</v>
      </c>
      <c r="E356" s="612">
        <v>1200000</v>
      </c>
      <c r="F356" s="555">
        <v>0.05</v>
      </c>
      <c r="G356" s="556">
        <f t="shared" si="10"/>
        <v>60000</v>
      </c>
      <c r="H356" s="566" t="s">
        <v>53</v>
      </c>
    </row>
    <row r="357" spans="1:8">
      <c r="A357" s="517">
        <v>14112</v>
      </c>
      <c r="B357" s="495">
        <v>0.1</v>
      </c>
      <c r="C357" s="558"/>
      <c r="D357" s="496" t="s">
        <v>250</v>
      </c>
      <c r="E357" s="570">
        <v>1600000</v>
      </c>
      <c r="F357" s="555">
        <v>0.05</v>
      </c>
      <c r="G357" s="556">
        <f t="shared" si="10"/>
        <v>80000</v>
      </c>
      <c r="H357" s="566" t="s">
        <v>53</v>
      </c>
    </row>
    <row r="358" spans="1:8">
      <c r="A358" s="413"/>
      <c r="B358" s="598"/>
      <c r="C358" s="433"/>
      <c r="D358" s="499"/>
      <c r="E358" s="416"/>
      <c r="F358" s="609"/>
      <c r="G358" s="489"/>
      <c r="H358" s="610"/>
    </row>
    <row r="359" spans="1:8">
      <c r="A359" s="434"/>
      <c r="B359" s="434"/>
      <c r="C359" s="434"/>
      <c r="D359" s="475" t="s">
        <v>576</v>
      </c>
      <c r="E359" s="578">
        <f>SUM(E346:E357)</f>
        <v>15730000</v>
      </c>
      <c r="F359" s="613"/>
      <c r="G359" s="614">
        <f>SUM(G346:G357)</f>
        <v>771500</v>
      </c>
      <c r="H359" s="615" t="s">
        <v>577</v>
      </c>
    </row>
    <row r="362" spans="1:8">
      <c r="A362" s="1119" t="s">
        <v>587</v>
      </c>
      <c r="B362" s="1119"/>
      <c r="C362" s="1119"/>
      <c r="D362" s="1119"/>
      <c r="E362" s="1119"/>
      <c r="F362" s="1119"/>
      <c r="G362" s="1119"/>
      <c r="H362" s="1119"/>
    </row>
    <row r="363" spans="1:8">
      <c r="A363" s="466" t="s">
        <v>573</v>
      </c>
      <c r="B363" s="465" t="s">
        <v>574</v>
      </c>
      <c r="C363" s="465" t="s">
        <v>13</v>
      </c>
      <c r="D363" s="465" t="s">
        <v>6</v>
      </c>
      <c r="E363" s="465" t="s">
        <v>7</v>
      </c>
      <c r="F363" s="465" t="s">
        <v>8</v>
      </c>
      <c r="G363" s="465" t="s">
        <v>113</v>
      </c>
      <c r="H363" s="465" t="s">
        <v>575</v>
      </c>
    </row>
    <row r="364" spans="1:8">
      <c r="A364" s="517">
        <v>13891</v>
      </c>
      <c r="B364" s="495">
        <v>0.1</v>
      </c>
      <c r="C364" s="563"/>
      <c r="D364" s="496" t="s">
        <v>228</v>
      </c>
      <c r="E364" s="570">
        <v>2500000</v>
      </c>
      <c r="F364" s="495">
        <v>0.06</v>
      </c>
      <c r="G364" s="569">
        <f>E364*F364</f>
        <v>150000</v>
      </c>
      <c r="H364" s="570" t="s">
        <v>17</v>
      </c>
    </row>
    <row r="365" spans="1:8">
      <c r="A365" s="517">
        <v>13971</v>
      </c>
      <c r="B365" s="502">
        <v>0.08</v>
      </c>
      <c r="C365" s="563"/>
      <c r="D365" s="496" t="s">
        <v>232</v>
      </c>
      <c r="E365" s="570">
        <v>1100000</v>
      </c>
      <c r="F365" s="502">
        <v>0.05</v>
      </c>
      <c r="G365" s="569">
        <f t="shared" ref="G365:G378" si="11">E365*F365</f>
        <v>55000</v>
      </c>
      <c r="H365" s="570" t="s">
        <v>17</v>
      </c>
    </row>
    <row r="366" spans="1:8">
      <c r="A366" s="517">
        <v>14005</v>
      </c>
      <c r="B366" s="495">
        <v>0.1</v>
      </c>
      <c r="C366" s="563"/>
      <c r="D366" s="496" t="s">
        <v>235</v>
      </c>
      <c r="E366" s="570">
        <v>1300000</v>
      </c>
      <c r="F366" s="495">
        <v>0.06</v>
      </c>
      <c r="G366" s="569">
        <f t="shared" si="11"/>
        <v>78000</v>
      </c>
      <c r="H366" s="570" t="s">
        <v>17</v>
      </c>
    </row>
    <row r="367" spans="1:8">
      <c r="A367" s="517">
        <v>13898</v>
      </c>
      <c r="B367" s="495">
        <v>0.1</v>
      </c>
      <c r="C367" s="563"/>
      <c r="D367" s="496" t="s">
        <v>237</v>
      </c>
      <c r="E367" s="585">
        <v>900000</v>
      </c>
      <c r="F367" s="495">
        <v>0.06</v>
      </c>
      <c r="G367" s="569">
        <f t="shared" si="11"/>
        <v>54000</v>
      </c>
      <c r="H367" s="570" t="s">
        <v>53</v>
      </c>
    </row>
    <row r="368" spans="1:8">
      <c r="A368" s="517">
        <v>13904</v>
      </c>
      <c r="B368" s="495">
        <v>0.1</v>
      </c>
      <c r="C368" s="563"/>
      <c r="D368" s="496" t="s">
        <v>239</v>
      </c>
      <c r="E368" s="585">
        <v>1250000</v>
      </c>
      <c r="F368" s="495">
        <v>0.06</v>
      </c>
      <c r="G368" s="569">
        <f t="shared" si="11"/>
        <v>75000</v>
      </c>
      <c r="H368" s="570" t="s">
        <v>53</v>
      </c>
    </row>
    <row r="369" spans="1:8">
      <c r="A369" s="517">
        <v>13899</v>
      </c>
      <c r="B369" s="495">
        <v>0.1</v>
      </c>
      <c r="C369" s="563"/>
      <c r="D369" s="496" t="s">
        <v>240</v>
      </c>
      <c r="E369" s="585">
        <v>800000</v>
      </c>
      <c r="F369" s="495">
        <v>0.06</v>
      </c>
      <c r="G369" s="569">
        <f t="shared" si="11"/>
        <v>48000</v>
      </c>
      <c r="H369" s="570" t="s">
        <v>53</v>
      </c>
    </row>
    <row r="370" spans="1:8">
      <c r="A370" s="517">
        <v>13951</v>
      </c>
      <c r="B370" s="495">
        <v>0.1</v>
      </c>
      <c r="C370" s="563"/>
      <c r="D370" s="496" t="s">
        <v>241</v>
      </c>
      <c r="E370" s="585">
        <v>1300000</v>
      </c>
      <c r="F370" s="495">
        <v>0.06</v>
      </c>
      <c r="G370" s="569">
        <f t="shared" si="11"/>
        <v>78000</v>
      </c>
      <c r="H370" s="570" t="s">
        <v>53</v>
      </c>
    </row>
    <row r="371" spans="1:8">
      <c r="A371" s="517">
        <v>13947</v>
      </c>
      <c r="B371" s="495">
        <v>0.1</v>
      </c>
      <c r="C371" s="563"/>
      <c r="D371" s="496" t="s">
        <v>242</v>
      </c>
      <c r="E371" s="585">
        <v>800000</v>
      </c>
      <c r="F371" s="495">
        <v>0.06</v>
      </c>
      <c r="G371" s="569">
        <f t="shared" si="11"/>
        <v>48000</v>
      </c>
      <c r="H371" s="570" t="s">
        <v>53</v>
      </c>
    </row>
    <row r="372" spans="1:8">
      <c r="A372" s="517">
        <v>13976</v>
      </c>
      <c r="B372" s="495">
        <v>0.1</v>
      </c>
      <c r="C372" s="563"/>
      <c r="D372" s="496" t="s">
        <v>243</v>
      </c>
      <c r="E372" s="585">
        <v>1400000</v>
      </c>
      <c r="F372" s="495">
        <v>0.06</v>
      </c>
      <c r="G372" s="569">
        <f t="shared" si="11"/>
        <v>84000</v>
      </c>
      <c r="H372" s="570" t="s">
        <v>53</v>
      </c>
    </row>
    <row r="373" spans="1:8">
      <c r="A373" s="517">
        <v>14042</v>
      </c>
      <c r="B373" s="495">
        <v>0.1</v>
      </c>
      <c r="C373" s="563" t="s">
        <v>588</v>
      </c>
      <c r="D373" s="496" t="s">
        <v>246</v>
      </c>
      <c r="E373" s="585">
        <v>1350000</v>
      </c>
      <c r="F373" s="502">
        <v>0.02</v>
      </c>
      <c r="G373" s="569">
        <f t="shared" si="11"/>
        <v>27000</v>
      </c>
      <c r="H373" s="570" t="s">
        <v>53</v>
      </c>
    </row>
    <row r="374" spans="1:8">
      <c r="A374" s="517">
        <v>14061</v>
      </c>
      <c r="B374" s="511">
        <v>0.1</v>
      </c>
      <c r="C374" s="563" t="s">
        <v>588</v>
      </c>
      <c r="D374" s="496" t="s">
        <v>247</v>
      </c>
      <c r="E374" s="585">
        <v>1200000</v>
      </c>
      <c r="F374" s="502">
        <v>0.02</v>
      </c>
      <c r="G374" s="569">
        <f t="shared" si="11"/>
        <v>24000</v>
      </c>
      <c r="H374" s="570" t="s">
        <v>53</v>
      </c>
    </row>
    <row r="375" spans="1:8">
      <c r="A375" s="517">
        <v>14062</v>
      </c>
      <c r="B375" s="495">
        <v>0.1</v>
      </c>
      <c r="C375" s="563"/>
      <c r="D375" s="516" t="s">
        <v>248</v>
      </c>
      <c r="E375" s="587">
        <v>2300000</v>
      </c>
      <c r="F375" s="495">
        <v>0.06</v>
      </c>
      <c r="G375" s="569">
        <f t="shared" si="11"/>
        <v>138000</v>
      </c>
      <c r="H375" s="570" t="s">
        <v>53</v>
      </c>
    </row>
    <row r="376" spans="1:8">
      <c r="A376" s="517">
        <v>14083</v>
      </c>
      <c r="B376" s="495">
        <v>0.1</v>
      </c>
      <c r="C376" s="563"/>
      <c r="D376" s="496" t="s">
        <v>251</v>
      </c>
      <c r="E376" s="585">
        <v>1800000</v>
      </c>
      <c r="F376" s="495">
        <v>0.06</v>
      </c>
      <c r="G376" s="569">
        <f t="shared" si="11"/>
        <v>108000</v>
      </c>
      <c r="H376" s="570" t="s">
        <v>53</v>
      </c>
    </row>
    <row r="377" spans="1:8">
      <c r="A377" s="518">
        <v>14103</v>
      </c>
      <c r="B377" s="495">
        <v>0.1</v>
      </c>
      <c r="C377" s="563"/>
      <c r="D377" s="503" t="s">
        <v>589</v>
      </c>
      <c r="E377" s="601">
        <v>1700000</v>
      </c>
      <c r="F377" s="495">
        <v>0.06</v>
      </c>
      <c r="G377" s="569">
        <f t="shared" si="11"/>
        <v>102000</v>
      </c>
      <c r="H377" s="570" t="s">
        <v>53</v>
      </c>
    </row>
    <row r="378" spans="1:8">
      <c r="A378" s="618">
        <v>14101</v>
      </c>
      <c r="B378" s="511">
        <v>0.1</v>
      </c>
      <c r="C378" s="563"/>
      <c r="D378" s="496" t="s">
        <v>590</v>
      </c>
      <c r="E378" s="585">
        <v>1700000</v>
      </c>
      <c r="F378" s="495">
        <v>0.06</v>
      </c>
      <c r="G378" s="569">
        <f>E378*F378</f>
        <v>102000</v>
      </c>
      <c r="H378" s="570" t="s">
        <v>53</v>
      </c>
    </row>
    <row r="379" spans="1:8">
      <c r="A379" s="620">
        <v>14105</v>
      </c>
      <c r="B379" s="619">
        <v>0.1</v>
      </c>
      <c r="C379" s="563"/>
      <c r="D379" s="496" t="s">
        <v>591</v>
      </c>
      <c r="E379" s="585">
        <v>2000000</v>
      </c>
      <c r="F379" s="495">
        <v>0.06</v>
      </c>
      <c r="G379" s="569">
        <f>E379*F379</f>
        <v>120000</v>
      </c>
      <c r="H379" s="570" t="s">
        <v>245</v>
      </c>
    </row>
    <row r="380" spans="1:8">
      <c r="A380" s="621"/>
      <c r="B380" s="619"/>
      <c r="C380" s="563"/>
      <c r="D380" s="496"/>
      <c r="E380" s="585"/>
      <c r="F380" s="495"/>
      <c r="G380" s="569"/>
      <c r="H380" s="570"/>
    </row>
    <row r="381" spans="1:8">
      <c r="A381" s="475"/>
      <c r="B381" s="475"/>
      <c r="C381" s="434"/>
      <c r="D381" s="434" t="s">
        <v>576</v>
      </c>
      <c r="E381" s="578">
        <f>SUM(E364:E380)</f>
        <v>23400000</v>
      </c>
      <c r="F381" s="469"/>
      <c r="G381" s="622">
        <f>SUM(G364:G380)</f>
        <v>1291000</v>
      </c>
      <c r="H381" s="476" t="s">
        <v>577</v>
      </c>
    </row>
    <row r="382" spans="1:8">
      <c r="A382" s="477"/>
      <c r="B382" s="477"/>
      <c r="C382" s="477"/>
      <c r="D382" s="477"/>
      <c r="E382" s="477"/>
      <c r="F382" s="477"/>
      <c r="G382" s="477"/>
      <c r="H382" s="477"/>
    </row>
    <row r="383" spans="1:8">
      <c r="A383" s="1119" t="s">
        <v>592</v>
      </c>
      <c r="B383" s="1119"/>
      <c r="C383" s="1119"/>
      <c r="D383" s="1119"/>
      <c r="E383" s="1119"/>
      <c r="F383" s="1119"/>
      <c r="G383" s="1120"/>
      <c r="H383" s="1120"/>
    </row>
    <row r="384" spans="1:8">
      <c r="A384" s="457" t="s">
        <v>573</v>
      </c>
      <c r="B384" s="464" t="s">
        <v>574</v>
      </c>
      <c r="C384" s="464" t="s">
        <v>13</v>
      </c>
      <c r="D384" s="464" t="s">
        <v>6</v>
      </c>
      <c r="E384" s="464" t="s">
        <v>7</v>
      </c>
      <c r="F384" s="478" t="s">
        <v>8</v>
      </c>
      <c r="G384" s="464" t="s">
        <v>22</v>
      </c>
      <c r="H384" s="464" t="s">
        <v>575</v>
      </c>
    </row>
    <row r="385" spans="1:8">
      <c r="A385" s="457"/>
      <c r="B385" s="479"/>
      <c r="C385" s="472"/>
      <c r="D385" s="404"/>
      <c r="E385" s="408"/>
      <c r="F385" s="480"/>
      <c r="G385" s="473"/>
      <c r="H385" s="474"/>
    </row>
    <row r="386" spans="1:8">
      <c r="A386" s="461"/>
      <c r="B386" s="460"/>
      <c r="C386" s="462"/>
      <c r="D386" s="462"/>
      <c r="E386" s="408"/>
      <c r="F386" s="467"/>
      <c r="G386" s="481"/>
      <c r="H386" s="482"/>
    </row>
    <row r="387" spans="1:8">
      <c r="A387" s="434"/>
      <c r="B387" s="434"/>
      <c r="C387" s="434"/>
      <c r="D387" s="434" t="s">
        <v>576</v>
      </c>
      <c r="E387" s="468">
        <f>SUM(E385:E386)</f>
        <v>0</v>
      </c>
      <c r="F387" s="469"/>
      <c r="G387" s="470">
        <f>SUM(G385:G386)</f>
        <v>0</v>
      </c>
      <c r="H387" s="471" t="s">
        <v>577</v>
      </c>
    </row>
    <row r="390" spans="1:8">
      <c r="A390" s="1121" t="s">
        <v>593</v>
      </c>
      <c r="B390" s="1122"/>
      <c r="C390" s="1122"/>
      <c r="D390" s="1122"/>
      <c r="E390" s="1122"/>
      <c r="F390" s="1122"/>
      <c r="G390" s="1122"/>
      <c r="H390" s="1123"/>
    </row>
    <row r="391" spans="1:8">
      <c r="A391" s="465" t="s">
        <v>573</v>
      </c>
      <c r="B391" s="465" t="s">
        <v>574</v>
      </c>
      <c r="C391" s="465" t="s">
        <v>13</v>
      </c>
      <c r="D391" s="465" t="s">
        <v>6</v>
      </c>
      <c r="E391" s="465" t="s">
        <v>7</v>
      </c>
      <c r="F391" s="465" t="s">
        <v>8</v>
      </c>
      <c r="G391" s="465" t="s">
        <v>581</v>
      </c>
      <c r="H391" s="465" t="s">
        <v>575</v>
      </c>
    </row>
    <row r="392" spans="1:8">
      <c r="A392" s="517">
        <v>13887</v>
      </c>
      <c r="B392" s="583">
        <v>0.1</v>
      </c>
      <c r="C392" s="554"/>
      <c r="D392" s="611" t="s">
        <v>584</v>
      </c>
      <c r="E392" s="626">
        <v>900000</v>
      </c>
      <c r="F392" s="555">
        <v>0.03</v>
      </c>
      <c r="G392" s="565">
        <f>E392*F392</f>
        <v>27000</v>
      </c>
      <c r="H392" s="566" t="s">
        <v>17</v>
      </c>
    </row>
    <row r="393" spans="1:8">
      <c r="A393" s="517">
        <v>13900</v>
      </c>
      <c r="B393" s="495">
        <v>0.1</v>
      </c>
      <c r="C393" s="558"/>
      <c r="D393" s="496" t="s">
        <v>229</v>
      </c>
      <c r="E393" s="612">
        <v>1600000</v>
      </c>
      <c r="F393" s="555">
        <v>0.03</v>
      </c>
      <c r="G393" s="565">
        <f t="shared" ref="G393:G418" si="12">E393*F393</f>
        <v>48000</v>
      </c>
      <c r="H393" s="566" t="s">
        <v>17</v>
      </c>
    </row>
    <row r="394" spans="1:8">
      <c r="A394" s="517">
        <v>13926</v>
      </c>
      <c r="B394" s="495">
        <v>0.1</v>
      </c>
      <c r="C394" s="558"/>
      <c r="D394" s="496" t="s">
        <v>230</v>
      </c>
      <c r="E394" s="612">
        <v>1400000</v>
      </c>
      <c r="F394" s="555">
        <v>0.03</v>
      </c>
      <c r="G394" s="565">
        <f t="shared" si="12"/>
        <v>42000</v>
      </c>
      <c r="H394" s="566" t="s">
        <v>17</v>
      </c>
    </row>
    <row r="395" spans="1:8">
      <c r="A395" s="517">
        <v>13968</v>
      </c>
      <c r="B395" s="495">
        <v>0.1</v>
      </c>
      <c r="C395" s="558"/>
      <c r="D395" s="496" t="s">
        <v>231</v>
      </c>
      <c r="E395" s="612">
        <v>1300000</v>
      </c>
      <c r="F395" s="555">
        <v>0.03</v>
      </c>
      <c r="G395" s="565">
        <f t="shared" si="12"/>
        <v>39000</v>
      </c>
      <c r="H395" s="566" t="s">
        <v>17</v>
      </c>
    </row>
    <row r="396" spans="1:8">
      <c r="A396" s="517">
        <v>13994</v>
      </c>
      <c r="B396" s="495">
        <v>0.1</v>
      </c>
      <c r="C396" s="558"/>
      <c r="D396" s="496" t="s">
        <v>233</v>
      </c>
      <c r="E396" s="612">
        <v>730000</v>
      </c>
      <c r="F396" s="555">
        <v>0.03</v>
      </c>
      <c r="G396" s="565">
        <f t="shared" si="12"/>
        <v>21900</v>
      </c>
      <c r="H396" s="566" t="s">
        <v>17</v>
      </c>
    </row>
    <row r="397" spans="1:8">
      <c r="A397" s="517">
        <v>14011</v>
      </c>
      <c r="B397" s="495">
        <v>0.1</v>
      </c>
      <c r="C397" s="558"/>
      <c r="D397" s="496" t="s">
        <v>236</v>
      </c>
      <c r="E397" s="612">
        <v>1350000</v>
      </c>
      <c r="F397" s="555">
        <v>0.03</v>
      </c>
      <c r="G397" s="565">
        <f t="shared" si="12"/>
        <v>40500</v>
      </c>
      <c r="H397" s="566" t="s">
        <v>17</v>
      </c>
    </row>
    <row r="398" spans="1:8">
      <c r="A398" s="517">
        <v>14038</v>
      </c>
      <c r="B398" s="495">
        <v>0.1</v>
      </c>
      <c r="C398" s="558"/>
      <c r="D398" s="496" t="s">
        <v>244</v>
      </c>
      <c r="E398" s="612">
        <v>1700000</v>
      </c>
      <c r="F398" s="555">
        <v>0.03</v>
      </c>
      <c r="G398" s="565">
        <f t="shared" si="12"/>
        <v>51000</v>
      </c>
      <c r="H398" s="566" t="s">
        <v>53</v>
      </c>
    </row>
    <row r="399" spans="1:8">
      <c r="A399" s="517">
        <v>14066</v>
      </c>
      <c r="B399" s="502">
        <v>0.08</v>
      </c>
      <c r="C399" s="558"/>
      <c r="D399" s="496" t="s">
        <v>227</v>
      </c>
      <c r="E399" s="612">
        <v>1500000</v>
      </c>
      <c r="F399" s="559">
        <v>0.02</v>
      </c>
      <c r="G399" s="565">
        <f t="shared" si="12"/>
        <v>30000</v>
      </c>
      <c r="H399" s="566" t="s">
        <v>53</v>
      </c>
    </row>
    <row r="400" spans="1:8">
      <c r="A400" s="517" t="s">
        <v>256</v>
      </c>
      <c r="B400" s="583">
        <v>0.1</v>
      </c>
      <c r="C400" s="558"/>
      <c r="D400" s="516" t="s">
        <v>585</v>
      </c>
      <c r="E400" s="612">
        <v>1200000</v>
      </c>
      <c r="F400" s="555">
        <v>0.03</v>
      </c>
      <c r="G400" s="565">
        <f t="shared" si="12"/>
        <v>36000</v>
      </c>
      <c r="H400" s="566" t="s">
        <v>261</v>
      </c>
    </row>
    <row r="401" spans="1:8">
      <c r="A401" s="517">
        <v>14113</v>
      </c>
      <c r="B401" s="583">
        <v>0.1</v>
      </c>
      <c r="C401" s="558"/>
      <c r="D401" s="516" t="s">
        <v>586</v>
      </c>
      <c r="E401" s="612">
        <v>1250000</v>
      </c>
      <c r="F401" s="555">
        <v>0.03</v>
      </c>
      <c r="G401" s="565">
        <f t="shared" si="12"/>
        <v>37500</v>
      </c>
      <c r="H401" s="566" t="s">
        <v>261</v>
      </c>
    </row>
    <row r="402" spans="1:8">
      <c r="A402" s="517">
        <v>14074</v>
      </c>
      <c r="B402" s="495">
        <v>0.1</v>
      </c>
      <c r="C402" s="558"/>
      <c r="D402" s="496" t="s">
        <v>249</v>
      </c>
      <c r="E402" s="612">
        <v>1200000</v>
      </c>
      <c r="F402" s="555">
        <v>0.03</v>
      </c>
      <c r="G402" s="565">
        <f t="shared" si="12"/>
        <v>36000</v>
      </c>
      <c r="H402" s="566" t="s">
        <v>53</v>
      </c>
    </row>
    <row r="403" spans="1:8">
      <c r="A403" s="517">
        <v>14112</v>
      </c>
      <c r="B403" s="495">
        <v>0.1</v>
      </c>
      <c r="C403" s="558"/>
      <c r="D403" s="496" t="s">
        <v>250</v>
      </c>
      <c r="E403" s="612">
        <v>1600000</v>
      </c>
      <c r="F403" s="555">
        <v>0.03</v>
      </c>
      <c r="G403" s="565">
        <f t="shared" si="12"/>
        <v>48000</v>
      </c>
      <c r="H403" s="566" t="s">
        <v>53</v>
      </c>
    </row>
    <row r="404" spans="1:8">
      <c r="A404" s="517">
        <v>13891</v>
      </c>
      <c r="B404" s="495">
        <v>0.1</v>
      </c>
      <c r="C404" s="563"/>
      <c r="D404" s="496" t="s">
        <v>228</v>
      </c>
      <c r="E404" s="612">
        <v>2500000</v>
      </c>
      <c r="F404" s="555">
        <v>0.03</v>
      </c>
      <c r="G404" s="569">
        <f>E404*F404</f>
        <v>75000</v>
      </c>
      <c r="H404" s="570" t="s">
        <v>17</v>
      </c>
    </row>
    <row r="405" spans="1:8">
      <c r="A405" s="517">
        <v>13971</v>
      </c>
      <c r="B405" s="502">
        <v>0.08</v>
      </c>
      <c r="C405" s="563"/>
      <c r="D405" s="496" t="s">
        <v>232</v>
      </c>
      <c r="E405" s="612">
        <v>1100000</v>
      </c>
      <c r="F405" s="502">
        <v>0.02</v>
      </c>
      <c r="G405" s="569">
        <f t="shared" ref="G405:G417" si="13">E405*F405</f>
        <v>22000</v>
      </c>
      <c r="H405" s="570" t="s">
        <v>17</v>
      </c>
    </row>
    <row r="406" spans="1:8">
      <c r="A406" s="517">
        <v>14005</v>
      </c>
      <c r="B406" s="495">
        <v>0.1</v>
      </c>
      <c r="C406" s="563"/>
      <c r="D406" s="496" t="s">
        <v>235</v>
      </c>
      <c r="E406" s="612">
        <v>1300000</v>
      </c>
      <c r="F406" s="495">
        <v>0.03</v>
      </c>
      <c r="G406" s="569">
        <f t="shared" si="13"/>
        <v>39000</v>
      </c>
      <c r="H406" s="570" t="s">
        <v>17</v>
      </c>
    </row>
    <row r="407" spans="1:8">
      <c r="A407" s="517">
        <v>13898</v>
      </c>
      <c r="B407" s="495">
        <v>0.1</v>
      </c>
      <c r="C407" s="563"/>
      <c r="D407" s="496" t="s">
        <v>237</v>
      </c>
      <c r="E407" s="585">
        <v>900000</v>
      </c>
      <c r="F407" s="495">
        <v>0.03</v>
      </c>
      <c r="G407" s="569">
        <f t="shared" si="13"/>
        <v>27000</v>
      </c>
      <c r="H407" s="570" t="s">
        <v>53</v>
      </c>
    </row>
    <row r="408" spans="1:8">
      <c r="A408" s="517">
        <v>13904</v>
      </c>
      <c r="B408" s="495">
        <v>0.1</v>
      </c>
      <c r="C408" s="563"/>
      <c r="D408" s="496" t="s">
        <v>239</v>
      </c>
      <c r="E408" s="585">
        <v>1250000</v>
      </c>
      <c r="F408" s="495">
        <v>0.03</v>
      </c>
      <c r="G408" s="569">
        <f t="shared" si="13"/>
        <v>37500</v>
      </c>
      <c r="H408" s="570" t="s">
        <v>53</v>
      </c>
    </row>
    <row r="409" spans="1:8">
      <c r="A409" s="517">
        <v>13899</v>
      </c>
      <c r="B409" s="495">
        <v>0.1</v>
      </c>
      <c r="C409" s="563"/>
      <c r="D409" s="496" t="s">
        <v>240</v>
      </c>
      <c r="E409" s="585">
        <v>800000</v>
      </c>
      <c r="F409" s="495">
        <v>0.03</v>
      </c>
      <c r="G409" s="569">
        <f t="shared" si="13"/>
        <v>24000</v>
      </c>
      <c r="H409" s="570" t="s">
        <v>53</v>
      </c>
    </row>
    <row r="410" spans="1:8">
      <c r="A410" s="517">
        <v>13951</v>
      </c>
      <c r="B410" s="495">
        <v>0.1</v>
      </c>
      <c r="C410" s="563"/>
      <c r="D410" s="496" t="s">
        <v>241</v>
      </c>
      <c r="E410" s="585">
        <v>1300000</v>
      </c>
      <c r="F410" s="495">
        <v>0.03</v>
      </c>
      <c r="G410" s="569">
        <f t="shared" si="13"/>
        <v>39000</v>
      </c>
      <c r="H410" s="570" t="s">
        <v>53</v>
      </c>
    </row>
    <row r="411" spans="1:8">
      <c r="A411" s="517">
        <v>13947</v>
      </c>
      <c r="B411" s="495">
        <v>0.1</v>
      </c>
      <c r="C411" s="563"/>
      <c r="D411" s="496" t="s">
        <v>242</v>
      </c>
      <c r="E411" s="585">
        <v>800000</v>
      </c>
      <c r="F411" s="495">
        <v>0.03</v>
      </c>
      <c r="G411" s="569">
        <f t="shared" si="13"/>
        <v>24000</v>
      </c>
      <c r="H411" s="570" t="s">
        <v>53</v>
      </c>
    </row>
    <row r="412" spans="1:8">
      <c r="A412" s="517">
        <v>13976</v>
      </c>
      <c r="B412" s="495">
        <v>0.1</v>
      </c>
      <c r="C412" s="563"/>
      <c r="D412" s="496" t="s">
        <v>243</v>
      </c>
      <c r="E412" s="585">
        <v>1400000</v>
      </c>
      <c r="F412" s="495">
        <v>0.03</v>
      </c>
      <c r="G412" s="569">
        <f t="shared" si="13"/>
        <v>42000</v>
      </c>
      <c r="H412" s="570" t="s">
        <v>53</v>
      </c>
    </row>
    <row r="413" spans="1:8">
      <c r="A413" s="517">
        <v>14042</v>
      </c>
      <c r="B413" s="495">
        <v>0.1</v>
      </c>
      <c r="C413" s="563"/>
      <c r="D413" s="496" t="s">
        <v>246</v>
      </c>
      <c r="E413" s="585">
        <v>1350000</v>
      </c>
      <c r="F413" s="495">
        <v>0.03</v>
      </c>
      <c r="G413" s="569">
        <f t="shared" si="13"/>
        <v>40500</v>
      </c>
      <c r="H413" s="570" t="s">
        <v>53</v>
      </c>
    </row>
    <row r="414" spans="1:8">
      <c r="A414" s="517">
        <v>14061</v>
      </c>
      <c r="B414" s="511">
        <v>0.1</v>
      </c>
      <c r="C414" s="563"/>
      <c r="D414" s="496" t="s">
        <v>247</v>
      </c>
      <c r="E414" s="585">
        <v>1200000</v>
      </c>
      <c r="F414" s="495">
        <v>0.03</v>
      </c>
      <c r="G414" s="569">
        <f t="shared" si="13"/>
        <v>36000</v>
      </c>
      <c r="H414" s="570" t="s">
        <v>53</v>
      </c>
    </row>
    <row r="415" spans="1:8">
      <c r="A415" s="517">
        <v>14062</v>
      </c>
      <c r="B415" s="495">
        <v>0.1</v>
      </c>
      <c r="C415" s="563"/>
      <c r="D415" s="516" t="s">
        <v>248</v>
      </c>
      <c r="E415" s="587">
        <v>2300000</v>
      </c>
      <c r="F415" s="495">
        <v>0.03</v>
      </c>
      <c r="G415" s="569">
        <f t="shared" si="13"/>
        <v>69000</v>
      </c>
      <c r="H415" s="570" t="s">
        <v>53</v>
      </c>
    </row>
    <row r="416" spans="1:8">
      <c r="A416" s="517">
        <v>14083</v>
      </c>
      <c r="B416" s="495">
        <v>0.1</v>
      </c>
      <c r="C416" s="563"/>
      <c r="D416" s="496" t="s">
        <v>251</v>
      </c>
      <c r="E416" s="585">
        <v>1800000</v>
      </c>
      <c r="F416" s="495">
        <v>0.03</v>
      </c>
      <c r="G416" s="569">
        <f t="shared" si="13"/>
        <v>54000</v>
      </c>
      <c r="H416" s="570" t="s">
        <v>53</v>
      </c>
    </row>
    <row r="417" spans="1:8">
      <c r="A417" s="518">
        <v>14103</v>
      </c>
      <c r="B417" s="495">
        <v>0.1</v>
      </c>
      <c r="C417" s="563"/>
      <c r="D417" s="503" t="s">
        <v>589</v>
      </c>
      <c r="E417" s="627">
        <v>1700000</v>
      </c>
      <c r="F417" s="495">
        <v>0.03</v>
      </c>
      <c r="G417" s="569">
        <f t="shared" si="13"/>
        <v>51000</v>
      </c>
      <c r="H417" s="570" t="s">
        <v>53</v>
      </c>
    </row>
    <row r="418" spans="1:8">
      <c r="A418" s="618">
        <v>14101</v>
      </c>
      <c r="B418" s="511">
        <v>0.1</v>
      </c>
      <c r="C418" s="563"/>
      <c r="D418" s="496" t="s">
        <v>590</v>
      </c>
      <c r="E418" s="585">
        <v>1700000</v>
      </c>
      <c r="F418" s="495">
        <v>0.03</v>
      </c>
      <c r="G418" s="569">
        <f>E418*F418</f>
        <v>51000</v>
      </c>
      <c r="H418" s="570" t="s">
        <v>53</v>
      </c>
    </row>
    <row r="419" spans="1:8">
      <c r="A419" s="586">
        <v>13997</v>
      </c>
      <c r="B419" s="603">
        <v>0.1</v>
      </c>
      <c r="C419" s="512"/>
      <c r="D419" s="512" t="s">
        <v>594</v>
      </c>
      <c r="E419" s="628">
        <v>1700000</v>
      </c>
      <c r="F419" s="495">
        <v>0.03</v>
      </c>
      <c r="G419" s="569">
        <f>E419*F419</f>
        <v>51000</v>
      </c>
      <c r="H419" s="604" t="s">
        <v>98</v>
      </c>
    </row>
    <row r="420" spans="1:8">
      <c r="A420" s="586">
        <v>13895</v>
      </c>
      <c r="B420" s="603">
        <v>0.1</v>
      </c>
      <c r="C420" s="512"/>
      <c r="D420" s="512" t="s">
        <v>595</v>
      </c>
      <c r="E420" s="628">
        <v>1950000</v>
      </c>
      <c r="F420" s="564">
        <v>0.02</v>
      </c>
      <c r="G420" s="569">
        <f>E420*F420</f>
        <v>39000</v>
      </c>
      <c r="H420" s="604" t="s">
        <v>596</v>
      </c>
    </row>
    <row r="421" spans="1:8">
      <c r="A421" s="413"/>
      <c r="B421" s="598"/>
      <c r="C421" s="599"/>
      <c r="D421" s="499"/>
      <c r="E421" s="629"/>
      <c r="F421" s="600"/>
      <c r="G421" s="575"/>
      <c r="H421" s="416"/>
    </row>
    <row r="422" spans="1:8">
      <c r="A422" s="483"/>
      <c r="B422" s="469"/>
      <c r="C422" s="469"/>
      <c r="D422" s="484" t="s">
        <v>576</v>
      </c>
      <c r="E422" s="578">
        <f>SUM(E392:E421)</f>
        <v>40780000</v>
      </c>
      <c r="F422" s="434"/>
      <c r="G422" s="624">
        <f>SUM(G392:G421)</f>
        <v>1177900</v>
      </c>
      <c r="H422" s="625" t="s">
        <v>577</v>
      </c>
    </row>
    <row r="425" spans="1:8" ht="36" customHeight="1">
      <c r="A425" s="1124" t="s">
        <v>597</v>
      </c>
      <c r="B425" s="1124"/>
      <c r="C425" s="1124"/>
      <c r="D425" s="1124"/>
      <c r="E425" s="1124"/>
      <c r="F425" s="1124"/>
      <c r="G425" s="1124"/>
      <c r="H425" s="1124"/>
    </row>
    <row r="426" spans="1:8">
      <c r="A426" s="463"/>
      <c r="B426" s="463"/>
      <c r="C426" s="463"/>
      <c r="D426" s="463"/>
      <c r="E426" s="463"/>
      <c r="F426" s="463"/>
      <c r="G426" s="463"/>
      <c r="H426" s="463"/>
    </row>
    <row r="427" spans="1:8">
      <c r="A427" s="1119" t="s">
        <v>598</v>
      </c>
      <c r="B427" s="1119"/>
      <c r="C427" s="1119"/>
      <c r="D427" s="1119"/>
      <c r="E427" s="1119"/>
      <c r="F427" s="1119"/>
      <c r="G427" s="1119"/>
      <c r="H427" s="1119"/>
    </row>
    <row r="428" spans="1:8">
      <c r="A428" s="457" t="s">
        <v>573</v>
      </c>
      <c r="B428" s="464" t="s">
        <v>574</v>
      </c>
      <c r="C428" s="464" t="s">
        <v>13</v>
      </c>
      <c r="D428" s="464" t="s">
        <v>6</v>
      </c>
      <c r="E428" s="464" t="s">
        <v>7</v>
      </c>
      <c r="F428" s="464" t="s">
        <v>8</v>
      </c>
      <c r="G428" s="465" t="s">
        <v>23</v>
      </c>
      <c r="H428" s="465" t="s">
        <v>575</v>
      </c>
    </row>
    <row r="429" spans="1:8">
      <c r="A429" s="517">
        <v>14175</v>
      </c>
      <c r="B429" s="495">
        <v>0.1</v>
      </c>
      <c r="C429" s="563"/>
      <c r="D429" s="496" t="s">
        <v>266</v>
      </c>
      <c r="E429" s="570">
        <v>1500000</v>
      </c>
      <c r="F429" s="564">
        <v>0.04</v>
      </c>
      <c r="G429" s="565">
        <f>E429*F429</f>
        <v>60000</v>
      </c>
      <c r="H429" s="566" t="s">
        <v>261</v>
      </c>
    </row>
    <row r="430" spans="1:8">
      <c r="A430" s="517">
        <v>14190</v>
      </c>
      <c r="B430" s="495">
        <v>0.1</v>
      </c>
      <c r="C430" s="567"/>
      <c r="D430" s="496" t="s">
        <v>269</v>
      </c>
      <c r="E430" s="570">
        <v>1700000</v>
      </c>
      <c r="F430" s="564">
        <v>0.04</v>
      </c>
      <c r="G430" s="565">
        <f t="shared" ref="G430:G436" si="14">E430*F430</f>
        <v>68000</v>
      </c>
      <c r="H430" s="566" t="s">
        <v>261</v>
      </c>
    </row>
    <row r="431" spans="1:8">
      <c r="A431" s="517">
        <v>14207</v>
      </c>
      <c r="B431" s="495">
        <v>0.1</v>
      </c>
      <c r="C431" s="567"/>
      <c r="D431" s="496" t="s">
        <v>270</v>
      </c>
      <c r="E431" s="570">
        <v>1400000</v>
      </c>
      <c r="F431" s="564">
        <v>0.04</v>
      </c>
      <c r="G431" s="565">
        <f t="shared" si="14"/>
        <v>56000</v>
      </c>
      <c r="H431" s="566" t="s">
        <v>261</v>
      </c>
    </row>
    <row r="432" spans="1:8">
      <c r="A432" s="517">
        <v>14248</v>
      </c>
      <c r="B432" s="502">
        <v>0.08</v>
      </c>
      <c r="C432" s="567"/>
      <c r="D432" s="496" t="s">
        <v>271</v>
      </c>
      <c r="E432" s="570">
        <v>1750000</v>
      </c>
      <c r="F432" s="568">
        <v>0.03</v>
      </c>
      <c r="G432" s="565">
        <f t="shared" si="14"/>
        <v>52500</v>
      </c>
      <c r="H432" s="566" t="s">
        <v>261</v>
      </c>
    </row>
    <row r="433" spans="1:8">
      <c r="A433" s="517">
        <v>14158</v>
      </c>
      <c r="B433" s="511">
        <v>0.1</v>
      </c>
      <c r="C433" s="567"/>
      <c r="D433" s="516" t="s">
        <v>274</v>
      </c>
      <c r="E433" s="542">
        <v>1200000</v>
      </c>
      <c r="F433" s="564">
        <v>0.04</v>
      </c>
      <c r="G433" s="565">
        <f t="shared" si="14"/>
        <v>48000</v>
      </c>
      <c r="H433" s="566" t="s">
        <v>53</v>
      </c>
    </row>
    <row r="434" spans="1:8">
      <c r="A434" s="517">
        <v>14295</v>
      </c>
      <c r="B434" s="502">
        <v>0.08</v>
      </c>
      <c r="C434" s="567"/>
      <c r="D434" s="496" t="s">
        <v>284</v>
      </c>
      <c r="E434" s="570">
        <v>1650000</v>
      </c>
      <c r="F434" s="568">
        <v>0.03</v>
      </c>
      <c r="G434" s="565">
        <f t="shared" si="14"/>
        <v>49500</v>
      </c>
      <c r="H434" s="566" t="s">
        <v>599</v>
      </c>
    </row>
    <row r="435" spans="1:8">
      <c r="A435" s="517">
        <v>14311</v>
      </c>
      <c r="B435" s="664">
        <v>0.08</v>
      </c>
      <c r="C435" s="567"/>
      <c r="D435" s="665" t="s">
        <v>600</v>
      </c>
      <c r="E435" s="641">
        <v>1700000</v>
      </c>
      <c r="F435" s="568">
        <v>0.03</v>
      </c>
      <c r="G435" s="565">
        <f t="shared" si="14"/>
        <v>51000</v>
      </c>
      <c r="H435" s="566" t="s">
        <v>599</v>
      </c>
    </row>
    <row r="436" spans="1:8">
      <c r="A436" s="586">
        <v>14317</v>
      </c>
      <c r="B436" s="603">
        <v>0.1</v>
      </c>
      <c r="C436" s="567"/>
      <c r="D436" s="512" t="s">
        <v>286</v>
      </c>
      <c r="E436" s="570">
        <v>1300000</v>
      </c>
      <c r="F436" s="564">
        <v>0.04</v>
      </c>
      <c r="G436" s="565">
        <f t="shared" si="14"/>
        <v>52000</v>
      </c>
      <c r="H436" s="566" t="s">
        <v>599</v>
      </c>
    </row>
    <row r="437" spans="1:8">
      <c r="A437" s="413"/>
      <c r="B437" s="598"/>
      <c r="C437" s="464"/>
      <c r="D437" s="499"/>
      <c r="E437" s="657"/>
      <c r="F437" s="598"/>
      <c r="G437" s="666"/>
      <c r="H437" s="507"/>
    </row>
    <row r="438" spans="1:8">
      <c r="A438" s="434"/>
      <c r="B438" s="434"/>
      <c r="C438" s="434"/>
      <c r="D438" s="475" t="s">
        <v>576</v>
      </c>
      <c r="E438" s="578">
        <f>SUM(E429:E436)</f>
        <v>12200000</v>
      </c>
      <c r="F438" s="613"/>
      <c r="G438" s="659">
        <f>SUM(G429:G436)</f>
        <v>437000</v>
      </c>
      <c r="H438" s="658" t="s">
        <v>577</v>
      </c>
    </row>
    <row r="441" spans="1:8">
      <c r="A441" s="1119" t="s">
        <v>601</v>
      </c>
      <c r="B441" s="1119"/>
      <c r="C441" s="1119"/>
      <c r="D441" s="1119"/>
      <c r="E441" s="1119"/>
      <c r="F441" s="1119"/>
      <c r="G441" s="1119"/>
      <c r="H441" s="1119"/>
    </row>
    <row r="442" spans="1:8">
      <c r="A442" s="466" t="s">
        <v>573</v>
      </c>
      <c r="B442" s="465" t="s">
        <v>574</v>
      </c>
      <c r="C442" s="465" t="s">
        <v>13</v>
      </c>
      <c r="D442" s="465" t="s">
        <v>6</v>
      </c>
      <c r="E442" s="465" t="s">
        <v>7</v>
      </c>
      <c r="F442" s="465" t="s">
        <v>8</v>
      </c>
      <c r="G442" s="465" t="s">
        <v>113</v>
      </c>
      <c r="H442" s="465" t="s">
        <v>575</v>
      </c>
    </row>
    <row r="443" spans="1:8">
      <c r="A443" s="517">
        <v>14272</v>
      </c>
      <c r="B443" s="495">
        <v>0.1</v>
      </c>
      <c r="C443" s="563"/>
      <c r="D443" s="496" t="s">
        <v>272</v>
      </c>
      <c r="E443" s="570">
        <v>1300000</v>
      </c>
      <c r="F443" s="495">
        <v>0.03</v>
      </c>
      <c r="G443" s="569">
        <f>E443*F443</f>
        <v>39000</v>
      </c>
      <c r="H443" s="570" t="s">
        <v>261</v>
      </c>
    </row>
    <row r="444" spans="1:8">
      <c r="A444" s="517">
        <v>14134</v>
      </c>
      <c r="B444" s="502">
        <v>0.08</v>
      </c>
      <c r="C444" s="563"/>
      <c r="D444" s="496" t="s">
        <v>273</v>
      </c>
      <c r="E444" s="570">
        <v>1900000</v>
      </c>
      <c r="F444" s="502">
        <v>0.02</v>
      </c>
      <c r="G444" s="569">
        <f t="shared" ref="G444:G450" si="15">E444*F444</f>
        <v>38000</v>
      </c>
      <c r="H444" s="570" t="s">
        <v>53</v>
      </c>
    </row>
    <row r="445" spans="1:8">
      <c r="A445" s="517">
        <v>14156</v>
      </c>
      <c r="B445" s="511">
        <v>0.1</v>
      </c>
      <c r="C445" s="563"/>
      <c r="D445" s="516" t="s">
        <v>277</v>
      </c>
      <c r="E445" s="542">
        <v>1350000</v>
      </c>
      <c r="F445" s="495">
        <v>0.03</v>
      </c>
      <c r="G445" s="569">
        <f t="shared" si="15"/>
        <v>40500</v>
      </c>
      <c r="H445" s="570" t="s">
        <v>53</v>
      </c>
    </row>
    <row r="446" spans="1:8">
      <c r="A446" s="518">
        <v>14159</v>
      </c>
      <c r="B446" s="511">
        <v>0.1</v>
      </c>
      <c r="C446" s="563"/>
      <c r="D446" s="637" t="s">
        <v>278</v>
      </c>
      <c r="E446" s="667">
        <v>1350000</v>
      </c>
      <c r="F446" s="495">
        <v>0.03</v>
      </c>
      <c r="G446" s="569">
        <f t="shared" si="15"/>
        <v>40500</v>
      </c>
      <c r="H446" s="570" t="s">
        <v>53</v>
      </c>
    </row>
    <row r="447" spans="1:8">
      <c r="A447" s="517">
        <v>14171</v>
      </c>
      <c r="B447" s="495">
        <v>0.1</v>
      </c>
      <c r="C447" s="563"/>
      <c r="D447" s="496" t="s">
        <v>279</v>
      </c>
      <c r="E447" s="570">
        <v>1350000</v>
      </c>
      <c r="F447" s="495">
        <v>0.03</v>
      </c>
      <c r="G447" s="569">
        <f t="shared" si="15"/>
        <v>40500</v>
      </c>
      <c r="H447" s="570" t="s">
        <v>53</v>
      </c>
    </row>
    <row r="448" spans="1:8">
      <c r="A448" s="517">
        <v>14212</v>
      </c>
      <c r="B448" s="502">
        <v>0.08</v>
      </c>
      <c r="C448" s="563"/>
      <c r="D448" s="496" t="s">
        <v>280</v>
      </c>
      <c r="E448" s="570">
        <v>1450000</v>
      </c>
      <c r="F448" s="502">
        <v>0.02</v>
      </c>
      <c r="G448" s="569">
        <f t="shared" si="15"/>
        <v>29000</v>
      </c>
      <c r="H448" s="570" t="s">
        <v>53</v>
      </c>
    </row>
    <row r="449" spans="1:8">
      <c r="A449" s="517">
        <v>14231</v>
      </c>
      <c r="B449" s="502">
        <v>0.08</v>
      </c>
      <c r="C449" s="563"/>
      <c r="D449" s="516" t="s">
        <v>281</v>
      </c>
      <c r="E449" s="542">
        <v>2000000</v>
      </c>
      <c r="F449" s="502">
        <v>0.02</v>
      </c>
      <c r="G449" s="569">
        <f t="shared" si="15"/>
        <v>40000</v>
      </c>
      <c r="H449" s="570" t="s">
        <v>53</v>
      </c>
    </row>
    <row r="450" spans="1:8">
      <c r="A450" s="517">
        <v>14280</v>
      </c>
      <c r="B450" s="664">
        <v>0.08</v>
      </c>
      <c r="C450" s="563"/>
      <c r="D450" s="665" t="s">
        <v>283</v>
      </c>
      <c r="E450" s="641">
        <v>1200000</v>
      </c>
      <c r="F450" s="502">
        <v>0.02</v>
      </c>
      <c r="G450" s="569">
        <f t="shared" si="15"/>
        <v>24000</v>
      </c>
      <c r="H450" s="570" t="s">
        <v>53</v>
      </c>
    </row>
    <row r="451" spans="1:8">
      <c r="A451" s="662"/>
      <c r="B451" s="661"/>
      <c r="C451" s="599"/>
      <c r="D451" s="499"/>
      <c r="E451" s="660"/>
      <c r="F451" s="598"/>
      <c r="G451" s="575"/>
      <c r="H451" s="416"/>
    </row>
    <row r="452" spans="1:8">
      <c r="A452" s="475"/>
      <c r="B452" s="475"/>
      <c r="C452" s="434"/>
      <c r="D452" s="434" t="s">
        <v>576</v>
      </c>
      <c r="E452" s="578">
        <f>SUM(E443:E451)</f>
        <v>11900000</v>
      </c>
      <c r="F452" s="469"/>
      <c r="G452" s="622">
        <f>SUM(G443:G451)</f>
        <v>291500</v>
      </c>
      <c r="H452" s="476" t="s">
        <v>577</v>
      </c>
    </row>
    <row r="453" spans="1:8">
      <c r="A453" s="477"/>
      <c r="B453" s="477"/>
      <c r="C453" s="477"/>
      <c r="D453" s="477"/>
      <c r="E453" s="477"/>
      <c r="F453" s="477"/>
      <c r="G453" s="477"/>
      <c r="H453" s="477"/>
    </row>
    <row r="454" spans="1:8">
      <c r="A454" s="1119" t="s">
        <v>602</v>
      </c>
      <c r="B454" s="1119"/>
      <c r="C454" s="1119"/>
      <c r="D454" s="1119"/>
      <c r="E454" s="1119"/>
      <c r="F454" s="1119"/>
      <c r="G454" s="1120"/>
      <c r="H454" s="1120"/>
    </row>
    <row r="455" spans="1:8">
      <c r="A455" s="457" t="s">
        <v>573</v>
      </c>
      <c r="B455" s="464" t="s">
        <v>574</v>
      </c>
      <c r="C455" s="464" t="s">
        <v>13</v>
      </c>
      <c r="D455" s="464" t="s">
        <v>6</v>
      </c>
      <c r="E455" s="464" t="s">
        <v>7</v>
      </c>
      <c r="F455" s="478" t="s">
        <v>8</v>
      </c>
      <c r="G455" s="464" t="s">
        <v>22</v>
      </c>
      <c r="H455" s="464" t="s">
        <v>575</v>
      </c>
    </row>
    <row r="456" spans="1:8">
      <c r="A456" s="457"/>
      <c r="B456" s="479"/>
      <c r="C456" s="472"/>
      <c r="D456" s="404"/>
      <c r="E456" s="408"/>
      <c r="F456" s="480"/>
      <c r="G456" s="473"/>
      <c r="H456" s="474"/>
    </row>
    <row r="457" spans="1:8">
      <c r="A457" s="461"/>
      <c r="B457" s="460"/>
      <c r="C457" s="462"/>
      <c r="D457" s="462"/>
      <c r="E457" s="408"/>
      <c r="F457" s="467"/>
      <c r="G457" s="481"/>
      <c r="H457" s="482"/>
    </row>
    <row r="458" spans="1:8">
      <c r="A458" s="434"/>
      <c r="B458" s="434"/>
      <c r="C458" s="434"/>
      <c r="D458" s="434" t="s">
        <v>576</v>
      </c>
      <c r="E458" s="468">
        <f>SUM(E456:E457)</f>
        <v>0</v>
      </c>
      <c r="F458" s="469"/>
      <c r="G458" s="470">
        <f>SUM(G456:G457)</f>
        <v>0</v>
      </c>
      <c r="H458" s="471" t="s">
        <v>577</v>
      </c>
    </row>
    <row r="461" spans="1:8">
      <c r="A461" s="1121" t="s">
        <v>603</v>
      </c>
      <c r="B461" s="1122"/>
      <c r="C461" s="1122"/>
      <c r="D461" s="1122"/>
      <c r="E461" s="1122"/>
      <c r="F461" s="1122"/>
      <c r="G461" s="1122"/>
      <c r="H461" s="1123"/>
    </row>
    <row r="462" spans="1:8">
      <c r="A462" s="465" t="s">
        <v>573</v>
      </c>
      <c r="B462" s="465" t="s">
        <v>574</v>
      </c>
      <c r="C462" s="465" t="s">
        <v>13</v>
      </c>
      <c r="D462" s="465" t="s">
        <v>6</v>
      </c>
      <c r="E462" s="465" t="s">
        <v>7</v>
      </c>
      <c r="F462" s="465" t="s">
        <v>8</v>
      </c>
      <c r="G462" s="465" t="s">
        <v>581</v>
      </c>
      <c r="H462" s="465" t="s">
        <v>575</v>
      </c>
    </row>
    <row r="463" spans="1:8">
      <c r="A463" s="517">
        <v>14272</v>
      </c>
      <c r="B463" s="495">
        <v>0.1</v>
      </c>
      <c r="C463" s="563"/>
      <c r="D463" s="496" t="s">
        <v>272</v>
      </c>
      <c r="E463" s="570">
        <v>1300000</v>
      </c>
      <c r="F463" s="495">
        <v>0.02</v>
      </c>
      <c r="G463" s="569">
        <f>E463*F463</f>
        <v>26000</v>
      </c>
      <c r="H463" s="570" t="s">
        <v>261</v>
      </c>
    </row>
    <row r="464" spans="1:8">
      <c r="A464" s="517">
        <v>14134</v>
      </c>
      <c r="B464" s="502">
        <v>0.08</v>
      </c>
      <c r="C464" s="563"/>
      <c r="D464" s="496" t="s">
        <v>273</v>
      </c>
      <c r="E464" s="570">
        <v>1900000</v>
      </c>
      <c r="F464" s="502">
        <v>0.01</v>
      </c>
      <c r="G464" s="569">
        <f t="shared" ref="G464:G479" si="16">E464*F464</f>
        <v>19000</v>
      </c>
      <c r="H464" s="570" t="s">
        <v>53</v>
      </c>
    </row>
    <row r="465" spans="1:8">
      <c r="A465" s="517">
        <v>14156</v>
      </c>
      <c r="B465" s="511">
        <v>0.1</v>
      </c>
      <c r="C465" s="563"/>
      <c r="D465" s="516" t="s">
        <v>277</v>
      </c>
      <c r="E465" s="542">
        <v>1350000</v>
      </c>
      <c r="F465" s="495">
        <v>0.02</v>
      </c>
      <c r="G465" s="569">
        <f t="shared" si="16"/>
        <v>27000</v>
      </c>
      <c r="H465" s="570" t="s">
        <v>53</v>
      </c>
    </row>
    <row r="466" spans="1:8">
      <c r="A466" s="518">
        <v>14159</v>
      </c>
      <c r="B466" s="511">
        <v>0.1</v>
      </c>
      <c r="C466" s="563"/>
      <c r="D466" s="637" t="s">
        <v>278</v>
      </c>
      <c r="E466" s="667">
        <v>1350000</v>
      </c>
      <c r="F466" s="495">
        <v>0.02</v>
      </c>
      <c r="G466" s="569">
        <f t="shared" si="16"/>
        <v>27000</v>
      </c>
      <c r="H466" s="570" t="s">
        <v>53</v>
      </c>
    </row>
    <row r="467" spans="1:8">
      <c r="A467" s="517">
        <v>14171</v>
      </c>
      <c r="B467" s="495">
        <v>0.1</v>
      </c>
      <c r="C467" s="563"/>
      <c r="D467" s="496" t="s">
        <v>279</v>
      </c>
      <c r="E467" s="570">
        <v>1350000</v>
      </c>
      <c r="F467" s="495">
        <v>0.02</v>
      </c>
      <c r="G467" s="569">
        <f t="shared" si="16"/>
        <v>27000</v>
      </c>
      <c r="H467" s="570" t="s">
        <v>53</v>
      </c>
    </row>
    <row r="468" spans="1:8">
      <c r="A468" s="517">
        <v>14212</v>
      </c>
      <c r="B468" s="502">
        <v>0.08</v>
      </c>
      <c r="C468" s="563"/>
      <c r="D468" s="496" t="s">
        <v>280</v>
      </c>
      <c r="E468" s="570">
        <v>1450000</v>
      </c>
      <c r="F468" s="502">
        <v>0.01</v>
      </c>
      <c r="G468" s="569">
        <f t="shared" si="16"/>
        <v>14500</v>
      </c>
      <c r="H468" s="570" t="s">
        <v>53</v>
      </c>
    </row>
    <row r="469" spans="1:8">
      <c r="A469" s="517">
        <v>14231</v>
      </c>
      <c r="B469" s="502">
        <v>0.08</v>
      </c>
      <c r="C469" s="563"/>
      <c r="D469" s="516" t="s">
        <v>281</v>
      </c>
      <c r="E469" s="542">
        <v>2000000</v>
      </c>
      <c r="F469" s="502">
        <v>0.01</v>
      </c>
      <c r="G469" s="569">
        <f t="shared" si="16"/>
        <v>20000</v>
      </c>
      <c r="H469" s="570" t="s">
        <v>53</v>
      </c>
    </row>
    <row r="470" spans="1:8">
      <c r="A470" s="517">
        <v>14280</v>
      </c>
      <c r="B470" s="664">
        <v>0.08</v>
      </c>
      <c r="C470" s="563"/>
      <c r="D470" s="665" t="s">
        <v>283</v>
      </c>
      <c r="E470" s="641">
        <v>1200000</v>
      </c>
      <c r="F470" s="502">
        <v>0.01</v>
      </c>
      <c r="G470" s="569">
        <f t="shared" si="16"/>
        <v>12000</v>
      </c>
      <c r="H470" s="570" t="s">
        <v>53</v>
      </c>
    </row>
    <row r="471" spans="1:8">
      <c r="A471" s="517">
        <v>14175</v>
      </c>
      <c r="B471" s="495">
        <v>0.1</v>
      </c>
      <c r="C471" s="563"/>
      <c r="D471" s="496" t="s">
        <v>266</v>
      </c>
      <c r="E471" s="570">
        <v>1500000</v>
      </c>
      <c r="F471" s="495">
        <v>0.02</v>
      </c>
      <c r="G471" s="569">
        <f t="shared" si="16"/>
        <v>30000</v>
      </c>
      <c r="H471" s="566" t="s">
        <v>261</v>
      </c>
    </row>
    <row r="472" spans="1:8">
      <c r="A472" s="517">
        <v>14190</v>
      </c>
      <c r="B472" s="495">
        <v>0.1</v>
      </c>
      <c r="C472" s="567"/>
      <c r="D472" s="496" t="s">
        <v>269</v>
      </c>
      <c r="E472" s="570">
        <v>1700000</v>
      </c>
      <c r="F472" s="495">
        <v>0.02</v>
      </c>
      <c r="G472" s="569">
        <f t="shared" si="16"/>
        <v>34000</v>
      </c>
      <c r="H472" s="566" t="s">
        <v>261</v>
      </c>
    </row>
    <row r="473" spans="1:8">
      <c r="A473" s="517">
        <v>14207</v>
      </c>
      <c r="B473" s="495">
        <v>0.1</v>
      </c>
      <c r="C473" s="567"/>
      <c r="D473" s="496" t="s">
        <v>270</v>
      </c>
      <c r="E473" s="570">
        <v>1400000</v>
      </c>
      <c r="F473" s="495">
        <v>0.02</v>
      </c>
      <c r="G473" s="569">
        <f t="shared" si="16"/>
        <v>28000</v>
      </c>
      <c r="H473" s="566" t="s">
        <v>261</v>
      </c>
    </row>
    <row r="474" spans="1:8">
      <c r="A474" s="517">
        <v>14248</v>
      </c>
      <c r="B474" s="502">
        <v>0.08</v>
      </c>
      <c r="C474" s="567"/>
      <c r="D474" s="496" t="s">
        <v>271</v>
      </c>
      <c r="E474" s="570">
        <v>1750000</v>
      </c>
      <c r="F474" s="502">
        <v>0.01</v>
      </c>
      <c r="G474" s="569">
        <f t="shared" si="16"/>
        <v>17500</v>
      </c>
      <c r="H474" s="566" t="s">
        <v>261</v>
      </c>
    </row>
    <row r="475" spans="1:8">
      <c r="A475" s="517">
        <v>14158</v>
      </c>
      <c r="B475" s="511">
        <v>0.1</v>
      </c>
      <c r="C475" s="567"/>
      <c r="D475" s="516" t="s">
        <v>274</v>
      </c>
      <c r="E475" s="542">
        <v>1200000</v>
      </c>
      <c r="F475" s="495">
        <v>0.02</v>
      </c>
      <c r="G475" s="569">
        <f t="shared" si="16"/>
        <v>24000</v>
      </c>
      <c r="H475" s="566" t="s">
        <v>53</v>
      </c>
    </row>
    <row r="476" spans="1:8">
      <c r="A476" s="517">
        <v>14295</v>
      </c>
      <c r="B476" s="502">
        <v>0.08</v>
      </c>
      <c r="C476" s="567"/>
      <c r="D476" s="496" t="s">
        <v>284</v>
      </c>
      <c r="E476" s="570">
        <v>1650000</v>
      </c>
      <c r="F476" s="502">
        <v>0.01</v>
      </c>
      <c r="G476" s="569">
        <f t="shared" si="16"/>
        <v>16500</v>
      </c>
      <c r="H476" s="566" t="s">
        <v>599</v>
      </c>
    </row>
    <row r="477" spans="1:8">
      <c r="A477" s="517">
        <v>14311</v>
      </c>
      <c r="B477" s="664">
        <v>0.08</v>
      </c>
      <c r="C477" s="567"/>
      <c r="D477" s="665" t="s">
        <v>600</v>
      </c>
      <c r="E477" s="641">
        <v>1700000</v>
      </c>
      <c r="F477" s="502">
        <v>0.01</v>
      </c>
      <c r="G477" s="569">
        <f t="shared" si="16"/>
        <v>17000</v>
      </c>
      <c r="H477" s="566" t="s">
        <v>599</v>
      </c>
    </row>
    <row r="478" spans="1:8">
      <c r="A478" s="586">
        <v>14317</v>
      </c>
      <c r="B478" s="603">
        <v>0.1</v>
      </c>
      <c r="C478" s="567"/>
      <c r="D478" s="512" t="s">
        <v>286</v>
      </c>
      <c r="E478" s="570">
        <v>1300000</v>
      </c>
      <c r="F478" s="495">
        <v>0.02</v>
      </c>
      <c r="G478" s="569">
        <f t="shared" si="16"/>
        <v>26000</v>
      </c>
      <c r="H478" s="566" t="s">
        <v>599</v>
      </c>
    </row>
    <row r="479" spans="1:8">
      <c r="A479" s="413"/>
      <c r="B479" s="598"/>
      <c r="C479" s="599"/>
      <c r="D479" s="499"/>
      <c r="E479" s="416"/>
      <c r="F479" s="598"/>
      <c r="G479" s="575"/>
      <c r="H479" s="416"/>
    </row>
    <row r="480" spans="1:8">
      <c r="A480" s="483"/>
      <c r="B480" s="469"/>
      <c r="C480" s="469"/>
      <c r="D480" s="484" t="s">
        <v>576</v>
      </c>
      <c r="E480" s="578">
        <f>SUM(E463:E479)</f>
        <v>24100000</v>
      </c>
      <c r="F480" s="434"/>
      <c r="G480" s="663">
        <f>SUM(G463:G479)</f>
        <v>365500</v>
      </c>
      <c r="H480" s="658" t="s">
        <v>577</v>
      </c>
    </row>
    <row r="485" spans="1:7">
      <c r="A485" s="1113" t="s">
        <v>604</v>
      </c>
      <c r="B485" s="1114"/>
      <c r="C485" s="1114"/>
      <c r="D485" s="1114"/>
      <c r="E485" s="1114"/>
      <c r="F485" s="1114"/>
      <c r="G485" s="1114"/>
    </row>
    <row r="486" spans="1:7">
      <c r="A486" s="1115"/>
      <c r="B486" s="1116"/>
      <c r="C486" s="1116"/>
      <c r="D486" s="1116"/>
      <c r="E486" s="1116"/>
      <c r="F486" s="1116"/>
      <c r="G486" s="1116"/>
    </row>
    <row r="487" spans="1:7">
      <c r="A487" s="1115"/>
      <c r="B487" s="1116"/>
      <c r="C487" s="1116"/>
      <c r="D487" s="1116"/>
      <c r="E487" s="1116"/>
      <c r="F487" s="1116"/>
      <c r="G487" s="1116"/>
    </row>
    <row r="488" spans="1:7">
      <c r="A488" s="1115"/>
      <c r="B488" s="1116"/>
      <c r="C488" s="1116"/>
      <c r="D488" s="1116"/>
      <c r="E488" s="1116"/>
      <c r="F488" s="1116"/>
      <c r="G488" s="1116"/>
    </row>
    <row r="489" spans="1:7">
      <c r="A489" s="713"/>
      <c r="B489" s="713"/>
      <c r="C489" s="713"/>
      <c r="D489" s="713"/>
      <c r="E489" s="713"/>
      <c r="F489" s="713"/>
      <c r="G489" s="713"/>
    </row>
    <row r="490" spans="1:7">
      <c r="A490" s="1109" t="s">
        <v>605</v>
      </c>
      <c r="B490" s="1110"/>
      <c r="C490" s="1110"/>
      <c r="D490" s="1110"/>
      <c r="E490" s="1110"/>
      <c r="F490" s="1110"/>
      <c r="G490" s="1117"/>
    </row>
    <row r="491" spans="1:7">
      <c r="A491" s="1111"/>
      <c r="B491" s="1112"/>
      <c r="C491" s="1112"/>
      <c r="D491" s="1112"/>
      <c r="E491" s="1112"/>
      <c r="F491" s="1112"/>
      <c r="G491" s="1118"/>
    </row>
    <row r="492" spans="1:7">
      <c r="A492" s="723" t="s">
        <v>4</v>
      </c>
      <c r="B492" s="723" t="s">
        <v>495</v>
      </c>
      <c r="C492" s="724" t="s">
        <v>496</v>
      </c>
      <c r="D492" s="61" t="s">
        <v>497</v>
      </c>
      <c r="E492" s="723" t="s">
        <v>498</v>
      </c>
      <c r="F492" s="63" t="s">
        <v>8</v>
      </c>
      <c r="G492" s="725" t="s">
        <v>15</v>
      </c>
    </row>
    <row r="493" spans="1:7" ht="15.75">
      <c r="A493" s="709">
        <v>14400</v>
      </c>
      <c r="B493" s="33">
        <v>0.1</v>
      </c>
      <c r="C493" s="35" t="s">
        <v>292</v>
      </c>
      <c r="D493" s="12"/>
      <c r="E493" s="12">
        <v>750000</v>
      </c>
      <c r="F493" s="141">
        <v>0.05</v>
      </c>
      <c r="G493" s="12">
        <f>E493*F493</f>
        <v>37500</v>
      </c>
    </row>
    <row r="494" spans="1:7" ht="15.75">
      <c r="A494" s="709">
        <v>14524</v>
      </c>
      <c r="B494" s="33">
        <v>0.1</v>
      </c>
      <c r="C494" s="35" t="s">
        <v>300</v>
      </c>
      <c r="D494" s="12"/>
      <c r="E494" s="12">
        <v>900000</v>
      </c>
      <c r="F494" s="141">
        <v>0.05</v>
      </c>
      <c r="G494" s="12">
        <f t="shared" ref="G494:G508" si="17">E494*F494</f>
        <v>45000</v>
      </c>
    </row>
    <row r="495" spans="1:7" ht="15.75">
      <c r="A495" s="709">
        <v>14550</v>
      </c>
      <c r="B495" s="33">
        <v>0.1</v>
      </c>
      <c r="C495" s="35" t="s">
        <v>302</v>
      </c>
      <c r="D495" s="12"/>
      <c r="E495" s="12">
        <v>1200000</v>
      </c>
      <c r="F495" s="141">
        <v>0.05</v>
      </c>
      <c r="G495" s="12">
        <f t="shared" si="17"/>
        <v>60000</v>
      </c>
    </row>
    <row r="496" spans="1:7" ht="15.75">
      <c r="A496" s="709">
        <v>14599</v>
      </c>
      <c r="B496" s="33">
        <v>0.1</v>
      </c>
      <c r="C496" s="35" t="s">
        <v>303</v>
      </c>
      <c r="D496" s="12"/>
      <c r="E496" s="12">
        <v>950000</v>
      </c>
      <c r="F496" s="141">
        <v>0.05</v>
      </c>
      <c r="G496" s="12">
        <f t="shared" si="17"/>
        <v>47500</v>
      </c>
    </row>
    <row r="497" spans="1:7" ht="15.75">
      <c r="A497" s="709">
        <v>14578</v>
      </c>
      <c r="B497" s="127">
        <v>0.08</v>
      </c>
      <c r="C497" s="35" t="s">
        <v>304</v>
      </c>
      <c r="D497" s="12"/>
      <c r="E497" s="12">
        <v>1750000</v>
      </c>
      <c r="F497" s="805">
        <v>0.04</v>
      </c>
      <c r="G497" s="12">
        <f t="shared" si="17"/>
        <v>70000</v>
      </c>
    </row>
    <row r="498" spans="1:7" ht="15.75">
      <c r="A498" s="709">
        <v>14374</v>
      </c>
      <c r="B498" s="710">
        <v>0.08</v>
      </c>
      <c r="C498" s="711" t="s">
        <v>310</v>
      </c>
      <c r="D498" s="330"/>
      <c r="E498" s="330">
        <v>1800000</v>
      </c>
      <c r="F498" s="805">
        <v>0.04</v>
      </c>
      <c r="G498" s="12">
        <f t="shared" si="17"/>
        <v>72000</v>
      </c>
    </row>
    <row r="499" spans="1:7" ht="15.75">
      <c r="A499" s="709">
        <v>14372</v>
      </c>
      <c r="B499" s="33">
        <v>0.1</v>
      </c>
      <c r="C499" s="35" t="s">
        <v>313</v>
      </c>
      <c r="D499" s="330"/>
      <c r="E499" s="330">
        <v>1700000</v>
      </c>
      <c r="F499" s="141">
        <v>0.05</v>
      </c>
      <c r="G499" s="12">
        <f t="shared" si="17"/>
        <v>85000</v>
      </c>
    </row>
    <row r="500" spans="1:7" ht="15.75">
      <c r="A500" s="735">
        <v>14416</v>
      </c>
      <c r="B500" s="257">
        <v>0.1</v>
      </c>
      <c r="C500" s="736" t="s">
        <v>315</v>
      </c>
      <c r="D500" s="741"/>
      <c r="E500" s="741">
        <v>1250000</v>
      </c>
      <c r="F500" s="141">
        <v>0.05</v>
      </c>
      <c r="G500" s="12">
        <f t="shared" si="17"/>
        <v>62500</v>
      </c>
    </row>
    <row r="501" spans="1:7" ht="15.75">
      <c r="A501" s="709">
        <v>14526</v>
      </c>
      <c r="B501" s="127">
        <v>0.08</v>
      </c>
      <c r="C501" s="35" t="s">
        <v>320</v>
      </c>
      <c r="D501" s="12"/>
      <c r="E501" s="12">
        <v>1800000</v>
      </c>
      <c r="F501" s="805">
        <v>0.04</v>
      </c>
      <c r="G501" s="12">
        <f t="shared" si="17"/>
        <v>72000</v>
      </c>
    </row>
    <row r="502" spans="1:7" ht="15.75">
      <c r="A502" s="709">
        <v>14574</v>
      </c>
      <c r="B502" s="33">
        <v>0.1</v>
      </c>
      <c r="C502" s="35" t="s">
        <v>321</v>
      </c>
      <c r="D502" s="12"/>
      <c r="E502" s="12">
        <v>1050000</v>
      </c>
      <c r="F502" s="141">
        <v>0.05</v>
      </c>
      <c r="G502" s="12">
        <f t="shared" si="17"/>
        <v>52500</v>
      </c>
    </row>
    <row r="503" spans="1:7" ht="15.75">
      <c r="A503" s="735">
        <v>14595</v>
      </c>
      <c r="B503" s="127">
        <v>0.08</v>
      </c>
      <c r="C503" s="35" t="s">
        <v>322</v>
      </c>
      <c r="D503" s="12"/>
      <c r="E503" s="786">
        <v>1800000</v>
      </c>
      <c r="F503" s="805">
        <v>0.04</v>
      </c>
      <c r="G503" s="12">
        <f t="shared" si="17"/>
        <v>72000</v>
      </c>
    </row>
    <row r="504" spans="1:7" ht="15.75">
      <c r="A504" s="765">
        <v>14490</v>
      </c>
      <c r="B504" s="766">
        <v>0.1</v>
      </c>
      <c r="C504" s="758" t="s">
        <v>606</v>
      </c>
      <c r="D504" s="759"/>
      <c r="E504" s="760">
        <v>1350000</v>
      </c>
      <c r="F504" s="141">
        <v>0.05</v>
      </c>
      <c r="G504" s="12">
        <f t="shared" si="17"/>
        <v>67500</v>
      </c>
    </row>
    <row r="505" spans="1:7" ht="15.75">
      <c r="A505" s="765">
        <v>14504</v>
      </c>
      <c r="B505" s="766">
        <v>0.1</v>
      </c>
      <c r="C505" s="758" t="s">
        <v>607</v>
      </c>
      <c r="D505" s="761"/>
      <c r="E505" s="762">
        <v>1600000</v>
      </c>
      <c r="F505" s="141">
        <v>0.05</v>
      </c>
      <c r="G505" s="12">
        <f t="shared" si="17"/>
        <v>80000</v>
      </c>
    </row>
    <row r="506" spans="1:7" ht="15.75">
      <c r="A506" s="767">
        <v>14533</v>
      </c>
      <c r="B506" s="768">
        <v>0.1</v>
      </c>
      <c r="C506" s="758" t="s">
        <v>608</v>
      </c>
      <c r="D506" s="761"/>
      <c r="E506" s="762">
        <v>1100000</v>
      </c>
      <c r="F506" s="141">
        <v>0.05</v>
      </c>
      <c r="G506" s="12">
        <f t="shared" si="17"/>
        <v>55000</v>
      </c>
    </row>
    <row r="507" spans="1:7" ht="15.75">
      <c r="A507" s="765">
        <v>14527</v>
      </c>
      <c r="B507" s="769">
        <v>0.1</v>
      </c>
      <c r="C507" s="761" t="s">
        <v>609</v>
      </c>
      <c r="D507" s="763"/>
      <c r="E507" s="764">
        <v>1600000</v>
      </c>
      <c r="F507" s="141">
        <v>0.05</v>
      </c>
      <c r="G507" s="12">
        <f t="shared" si="17"/>
        <v>80000</v>
      </c>
    </row>
    <row r="508" spans="1:7" ht="15.75">
      <c r="A508" s="816">
        <v>14590</v>
      </c>
      <c r="B508" s="817">
        <v>0.1</v>
      </c>
      <c r="C508" s="818" t="s">
        <v>610</v>
      </c>
      <c r="D508" s="819"/>
      <c r="E508" s="810">
        <v>800000</v>
      </c>
      <c r="F508" s="820">
        <v>0.05</v>
      </c>
      <c r="G508" s="156">
        <f t="shared" si="17"/>
        <v>40000</v>
      </c>
    </row>
    <row r="509" spans="1:7" ht="15.75">
      <c r="A509" s="813" t="s">
        <v>408</v>
      </c>
      <c r="B509" s="814"/>
      <c r="C509" s="92" t="s">
        <v>323</v>
      </c>
      <c r="D509" s="815"/>
      <c r="E509" s="812"/>
      <c r="F509" s="40"/>
      <c r="G509" s="42"/>
    </row>
    <row r="510" spans="1:7" ht="15.75">
      <c r="A510" s="813" t="s">
        <v>408</v>
      </c>
      <c r="B510" s="814"/>
      <c r="C510" s="45" t="s">
        <v>306</v>
      </c>
      <c r="D510" s="815"/>
      <c r="E510" s="812"/>
      <c r="F510" s="40"/>
      <c r="G510" s="42"/>
    </row>
    <row r="511" spans="1:7" ht="15.75">
      <c r="A511" s="813" t="s">
        <v>408</v>
      </c>
      <c r="B511" s="814"/>
      <c r="C511" s="45" t="s">
        <v>308</v>
      </c>
      <c r="D511" s="815"/>
      <c r="E511" s="812"/>
      <c r="F511" s="40"/>
      <c r="G511" s="42"/>
    </row>
    <row r="512" spans="1:7" ht="18">
      <c r="A512" s="714"/>
      <c r="B512" s="714"/>
      <c r="C512" s="714"/>
      <c r="D512" s="715"/>
      <c r="E512" s="811">
        <f>SUM(E493:E508)</f>
        <v>21400000</v>
      </c>
      <c r="F512" s="714"/>
      <c r="G512" s="821">
        <f>SUM(G493:G511)</f>
        <v>998500</v>
      </c>
    </row>
    <row r="513" spans="1:7">
      <c r="A513" s="713"/>
      <c r="B513" s="713"/>
      <c r="C513" s="713"/>
      <c r="D513" s="713"/>
      <c r="E513" s="742"/>
      <c r="F513" s="713"/>
      <c r="G513" s="742"/>
    </row>
    <row r="514" spans="1:7">
      <c r="A514" s="713"/>
      <c r="B514" s="713"/>
      <c r="C514" s="713"/>
      <c r="D514" s="713"/>
      <c r="E514" s="713"/>
      <c r="F514" s="713"/>
      <c r="G514" s="713"/>
    </row>
    <row r="515" spans="1:7">
      <c r="A515" s="713"/>
      <c r="B515" s="713"/>
      <c r="C515" s="713"/>
      <c r="D515" s="713"/>
      <c r="E515" s="713"/>
      <c r="F515" s="713"/>
      <c r="G515" s="713"/>
    </row>
    <row r="516" spans="1:7">
      <c r="A516" s="1109" t="s">
        <v>611</v>
      </c>
      <c r="B516" s="1110"/>
      <c r="C516" s="1110"/>
      <c r="D516" s="1110"/>
      <c r="E516" s="1110"/>
      <c r="F516" s="1110"/>
      <c r="G516" s="1117"/>
    </row>
    <row r="517" spans="1:7">
      <c r="A517" s="1111"/>
      <c r="B517" s="1112"/>
      <c r="C517" s="1112"/>
      <c r="D517" s="1112"/>
      <c r="E517" s="1112"/>
      <c r="F517" s="1112"/>
      <c r="G517" s="1118"/>
    </row>
    <row r="518" spans="1:7">
      <c r="A518" s="150" t="s">
        <v>4</v>
      </c>
      <c r="B518" s="60" t="s">
        <v>495</v>
      </c>
      <c r="C518" s="150" t="s">
        <v>496</v>
      </c>
      <c r="D518" s="61" t="s">
        <v>497</v>
      </c>
      <c r="E518" s="60" t="s">
        <v>498</v>
      </c>
      <c r="F518" s="727" t="s">
        <v>8</v>
      </c>
      <c r="G518" s="726" t="s">
        <v>15</v>
      </c>
    </row>
    <row r="519" spans="1:7" ht="15.75">
      <c r="A519" s="709">
        <v>14396</v>
      </c>
      <c r="B519" s="33">
        <v>0.1</v>
      </c>
      <c r="C519" s="35" t="s">
        <v>296</v>
      </c>
      <c r="D519" s="739"/>
      <c r="E519" s="12">
        <v>1500000</v>
      </c>
      <c r="F519" s="34"/>
      <c r="G519" s="325"/>
    </row>
    <row r="520" spans="1:7" ht="15.75">
      <c r="A520" s="709">
        <v>14459</v>
      </c>
      <c r="B520" s="33">
        <v>0.1</v>
      </c>
      <c r="C520" s="35" t="s">
        <v>298</v>
      </c>
      <c r="D520" s="739"/>
      <c r="E520" s="740">
        <v>1300000</v>
      </c>
      <c r="F520" s="743"/>
      <c r="G520" s="325"/>
    </row>
    <row r="521" spans="1:7" ht="15.75">
      <c r="A521" s="709">
        <v>14398</v>
      </c>
      <c r="B521" s="257">
        <v>0.1</v>
      </c>
      <c r="C521" s="711" t="s">
        <v>295</v>
      </c>
      <c r="D521" s="739"/>
      <c r="E521" s="330">
        <v>1000000</v>
      </c>
      <c r="F521" s="34"/>
      <c r="G521" s="325"/>
    </row>
    <row r="522" spans="1:7" ht="15.75">
      <c r="A522" s="709">
        <v>14428</v>
      </c>
      <c r="B522" s="33">
        <v>0.1</v>
      </c>
      <c r="C522" s="35" t="s">
        <v>316</v>
      </c>
      <c r="D522" s="739"/>
      <c r="E522" s="330">
        <v>1000000</v>
      </c>
      <c r="F522" s="34"/>
      <c r="G522" s="325"/>
    </row>
    <row r="523" spans="1:7" ht="15.75">
      <c r="A523" s="709">
        <v>14446</v>
      </c>
      <c r="B523" s="33">
        <v>0.1</v>
      </c>
      <c r="C523" s="35" t="s">
        <v>317</v>
      </c>
      <c r="D523" s="739"/>
      <c r="E523" s="330">
        <v>2000000</v>
      </c>
      <c r="F523" s="34"/>
      <c r="G523" s="325"/>
    </row>
    <row r="524" spans="1:7" ht="15.75">
      <c r="A524" s="709">
        <v>14453</v>
      </c>
      <c r="B524" s="33">
        <v>0.1</v>
      </c>
      <c r="C524" s="35" t="s">
        <v>318</v>
      </c>
      <c r="D524" s="739"/>
      <c r="E524" s="330">
        <v>1300000</v>
      </c>
      <c r="F524" s="34"/>
      <c r="G524" s="325"/>
    </row>
    <row r="525" spans="1:7" ht="15.75">
      <c r="A525" s="709">
        <v>14494</v>
      </c>
      <c r="B525" s="33">
        <v>0.1</v>
      </c>
      <c r="C525" s="35" t="s">
        <v>319</v>
      </c>
      <c r="D525" s="739"/>
      <c r="E525" s="755">
        <v>1700000</v>
      </c>
      <c r="F525" s="34"/>
      <c r="G525" s="325"/>
    </row>
    <row r="526" spans="1:7" ht="18">
      <c r="A526" s="718"/>
      <c r="B526" s="718"/>
      <c r="C526" s="718"/>
      <c r="D526" s="826" t="s">
        <v>612</v>
      </c>
      <c r="E526" s="827">
        <f>SUM(E519:E525)</f>
        <v>9800000</v>
      </c>
      <c r="F526" s="719"/>
      <c r="G526" s="716">
        <v>0</v>
      </c>
    </row>
    <row r="527" spans="1:7">
      <c r="A527" s="713"/>
      <c r="B527" s="713"/>
      <c r="C527" s="713"/>
      <c r="D527" s="713"/>
      <c r="E527" s="713"/>
      <c r="F527" s="713"/>
      <c r="G527" s="713"/>
    </row>
    <row r="528" spans="1:7">
      <c r="A528" s="713"/>
      <c r="B528" s="713"/>
      <c r="C528" s="713"/>
      <c r="D528" s="713"/>
      <c r="E528" s="713"/>
      <c r="F528" s="713"/>
      <c r="G528" s="713"/>
    </row>
    <row r="529" spans="1:7">
      <c r="A529" s="713"/>
      <c r="B529" s="713"/>
      <c r="C529" s="713"/>
      <c r="D529" s="713"/>
      <c r="E529" s="713"/>
      <c r="F529" s="713"/>
      <c r="G529" s="713"/>
    </row>
    <row r="530" spans="1:7">
      <c r="A530" s="1109" t="s">
        <v>613</v>
      </c>
      <c r="B530" s="1110"/>
      <c r="C530" s="1110"/>
      <c r="D530" s="1110"/>
      <c r="E530" s="1110"/>
      <c r="F530" s="1110"/>
      <c r="G530" s="1110"/>
    </row>
    <row r="531" spans="1:7">
      <c r="A531" s="1111"/>
      <c r="B531" s="1112"/>
      <c r="C531" s="1112"/>
      <c r="D531" s="1112"/>
      <c r="E531" s="1112"/>
      <c r="F531" s="1112"/>
      <c r="G531" s="1112"/>
    </row>
    <row r="532" spans="1:7">
      <c r="A532" s="723" t="s">
        <v>4</v>
      </c>
      <c r="B532" s="723" t="s">
        <v>495</v>
      </c>
      <c r="C532" s="724" t="s">
        <v>496</v>
      </c>
      <c r="D532" s="61" t="s">
        <v>497</v>
      </c>
      <c r="E532" s="723" t="s">
        <v>498</v>
      </c>
      <c r="F532" s="63" t="s">
        <v>8</v>
      </c>
      <c r="G532" s="725" t="s">
        <v>15</v>
      </c>
    </row>
    <row r="533" spans="1:7" ht="15.75">
      <c r="A533" s="709">
        <v>14400</v>
      </c>
      <c r="B533" s="33">
        <v>0.1</v>
      </c>
      <c r="C533" s="35" t="s">
        <v>292</v>
      </c>
      <c r="D533" s="330"/>
      <c r="E533" s="12">
        <v>750000</v>
      </c>
      <c r="F533" s="806">
        <v>2.5000000000000001E-2</v>
      </c>
      <c r="G533" s="808">
        <f>E533*F533</f>
        <v>18750</v>
      </c>
    </row>
    <row r="534" spans="1:7" ht="15.75">
      <c r="A534" s="709">
        <v>14524</v>
      </c>
      <c r="B534" s="33">
        <v>0.1</v>
      </c>
      <c r="C534" s="35" t="s">
        <v>300</v>
      </c>
      <c r="D534" s="330"/>
      <c r="E534" s="12">
        <v>900000</v>
      </c>
      <c r="F534" s="806">
        <v>2.5000000000000001E-2</v>
      </c>
      <c r="G534" s="808">
        <f t="shared" ref="G534:G550" si="18">E534*F534</f>
        <v>22500</v>
      </c>
    </row>
    <row r="535" spans="1:7" ht="15.75">
      <c r="A535" s="709">
        <v>14550</v>
      </c>
      <c r="B535" s="33">
        <v>0.1</v>
      </c>
      <c r="C535" s="35" t="s">
        <v>302</v>
      </c>
      <c r="D535" s="330"/>
      <c r="E535" s="12">
        <v>1200000</v>
      </c>
      <c r="F535" s="806">
        <v>2.5000000000000001E-2</v>
      </c>
      <c r="G535" s="808">
        <f t="shared" si="18"/>
        <v>30000</v>
      </c>
    </row>
    <row r="536" spans="1:7" ht="15.75">
      <c r="A536" s="709">
        <v>14599</v>
      </c>
      <c r="B536" s="33">
        <v>0.1</v>
      </c>
      <c r="C536" s="35" t="s">
        <v>303</v>
      </c>
      <c r="D536" s="330"/>
      <c r="E536" s="12">
        <v>950000</v>
      </c>
      <c r="F536" s="806">
        <v>2.5000000000000001E-2</v>
      </c>
      <c r="G536" s="808">
        <f t="shared" si="18"/>
        <v>23750</v>
      </c>
    </row>
    <row r="537" spans="1:7" ht="15.75">
      <c r="A537" s="709">
        <v>14578</v>
      </c>
      <c r="B537" s="127">
        <v>0.08</v>
      </c>
      <c r="C537" s="35" t="s">
        <v>304</v>
      </c>
      <c r="D537" s="330"/>
      <c r="E537" s="12">
        <v>1750000</v>
      </c>
      <c r="F537" s="807">
        <v>1.4999999999999999E-2</v>
      </c>
      <c r="G537" s="808">
        <f t="shared" si="18"/>
        <v>26250</v>
      </c>
    </row>
    <row r="538" spans="1:7" ht="15.75">
      <c r="A538" s="709">
        <v>14374</v>
      </c>
      <c r="B538" s="710">
        <v>0.08</v>
      </c>
      <c r="C538" s="711" t="s">
        <v>310</v>
      </c>
      <c r="D538" s="330"/>
      <c r="E538" s="330">
        <v>1800000</v>
      </c>
      <c r="F538" s="807">
        <v>1.4999999999999999E-2</v>
      </c>
      <c r="G538" s="808">
        <f t="shared" si="18"/>
        <v>27000</v>
      </c>
    </row>
    <row r="539" spans="1:7" ht="15.75">
      <c r="A539" s="709">
        <v>14372</v>
      </c>
      <c r="B539" s="33">
        <v>0.1</v>
      </c>
      <c r="C539" s="35" t="s">
        <v>313</v>
      </c>
      <c r="D539" s="330"/>
      <c r="E539" s="330">
        <v>1700000</v>
      </c>
      <c r="F539" s="806">
        <v>2.5000000000000001E-2</v>
      </c>
      <c r="G539" s="808">
        <f t="shared" si="18"/>
        <v>42500</v>
      </c>
    </row>
    <row r="540" spans="1:7" ht="15.75">
      <c r="A540" s="735">
        <v>14416</v>
      </c>
      <c r="B540" s="257">
        <v>0.1</v>
      </c>
      <c r="C540" s="736" t="s">
        <v>315</v>
      </c>
      <c r="D540" s="741"/>
      <c r="E540" s="741">
        <v>1250000</v>
      </c>
      <c r="F540" s="806">
        <v>2.5000000000000001E-2</v>
      </c>
      <c r="G540" s="808">
        <f t="shared" si="18"/>
        <v>31250</v>
      </c>
    </row>
    <row r="541" spans="1:7" ht="15.75">
      <c r="A541" s="709">
        <v>14526</v>
      </c>
      <c r="B541" s="127">
        <v>0.08</v>
      </c>
      <c r="C541" s="35" t="s">
        <v>320</v>
      </c>
      <c r="D541" s="330"/>
      <c r="E541" s="12">
        <v>1800000</v>
      </c>
      <c r="F541" s="807">
        <v>1.4999999999999999E-2</v>
      </c>
      <c r="G541" s="808">
        <f t="shared" si="18"/>
        <v>27000</v>
      </c>
    </row>
    <row r="542" spans="1:7" ht="15.75">
      <c r="A542" s="709">
        <v>14574</v>
      </c>
      <c r="B542" s="33">
        <v>0.1</v>
      </c>
      <c r="C542" s="35" t="s">
        <v>321</v>
      </c>
      <c r="D542" s="330"/>
      <c r="E542" s="12">
        <v>1050000</v>
      </c>
      <c r="F542" s="806">
        <v>2.5000000000000001E-2</v>
      </c>
      <c r="G542" s="808">
        <f t="shared" si="18"/>
        <v>26250</v>
      </c>
    </row>
    <row r="543" spans="1:7" ht="15.75">
      <c r="A543" s="709">
        <v>14396</v>
      </c>
      <c r="B543" s="33">
        <v>0.1</v>
      </c>
      <c r="C543" s="35" t="s">
        <v>296</v>
      </c>
      <c r="D543" s="824"/>
      <c r="E543" s="12">
        <v>1500000</v>
      </c>
      <c r="F543" s="806">
        <v>2.5000000000000001E-2</v>
      </c>
      <c r="G543" s="808">
        <f t="shared" si="18"/>
        <v>37500</v>
      </c>
    </row>
    <row r="544" spans="1:7" ht="15.75">
      <c r="A544" s="709">
        <v>14459</v>
      </c>
      <c r="B544" s="33">
        <v>0.1</v>
      </c>
      <c r="C544" s="35" t="s">
        <v>298</v>
      </c>
      <c r="D544" s="824"/>
      <c r="E544" s="740">
        <v>1300000</v>
      </c>
      <c r="F544" s="806">
        <v>2.5000000000000001E-2</v>
      </c>
      <c r="G544" s="808">
        <f t="shared" si="18"/>
        <v>32500</v>
      </c>
    </row>
    <row r="545" spans="1:7" ht="15.75">
      <c r="A545" s="709">
        <v>14398</v>
      </c>
      <c r="B545" s="257">
        <v>0.1</v>
      </c>
      <c r="C545" s="711" t="s">
        <v>295</v>
      </c>
      <c r="D545" s="824"/>
      <c r="E545" s="330">
        <v>1000000</v>
      </c>
      <c r="F545" s="806">
        <v>2.5000000000000001E-2</v>
      </c>
      <c r="G545" s="808">
        <f t="shared" si="18"/>
        <v>25000</v>
      </c>
    </row>
    <row r="546" spans="1:7" ht="15.75">
      <c r="A546" s="709">
        <v>14428</v>
      </c>
      <c r="B546" s="33">
        <v>0.1</v>
      </c>
      <c r="C546" s="35" t="s">
        <v>316</v>
      </c>
      <c r="D546" s="824"/>
      <c r="E546" s="330">
        <v>1000000</v>
      </c>
      <c r="F546" s="806">
        <v>2.5000000000000001E-2</v>
      </c>
      <c r="G546" s="808">
        <f t="shared" si="18"/>
        <v>25000</v>
      </c>
    </row>
    <row r="547" spans="1:7" ht="15.75">
      <c r="A547" s="709">
        <v>14446</v>
      </c>
      <c r="B547" s="33">
        <v>0.1</v>
      </c>
      <c r="C547" s="35" t="s">
        <v>317</v>
      </c>
      <c r="D547" s="824"/>
      <c r="E547" s="330">
        <v>2000000</v>
      </c>
      <c r="F547" s="806">
        <v>2.5000000000000001E-2</v>
      </c>
      <c r="G547" s="808">
        <f t="shared" si="18"/>
        <v>50000</v>
      </c>
    </row>
    <row r="548" spans="1:7" ht="15.75">
      <c r="A548" s="709">
        <v>14453</v>
      </c>
      <c r="B548" s="33">
        <v>0.1</v>
      </c>
      <c r="C548" s="35" t="s">
        <v>318</v>
      </c>
      <c r="D548" s="824"/>
      <c r="E548" s="330">
        <v>1300000</v>
      </c>
      <c r="F548" s="806">
        <v>2.5000000000000001E-2</v>
      </c>
      <c r="G548" s="808">
        <f t="shared" si="18"/>
        <v>32500</v>
      </c>
    </row>
    <row r="549" spans="1:7" ht="15.75">
      <c r="A549" s="709">
        <v>14494</v>
      </c>
      <c r="B549" s="33">
        <v>0.1</v>
      </c>
      <c r="C549" s="35" t="s">
        <v>319</v>
      </c>
      <c r="D549" s="824"/>
      <c r="E549" s="755">
        <v>1700000</v>
      </c>
      <c r="F549" s="806">
        <v>2.5000000000000001E-2</v>
      </c>
      <c r="G549" s="808">
        <f t="shared" si="18"/>
        <v>42500</v>
      </c>
    </row>
    <row r="550" spans="1:7" ht="15.75">
      <c r="A550" s="735">
        <v>14595</v>
      </c>
      <c r="B550" s="127">
        <v>0.08</v>
      </c>
      <c r="C550" s="35" t="s">
        <v>322</v>
      </c>
      <c r="D550" s="825"/>
      <c r="E550" s="787">
        <v>1800000</v>
      </c>
      <c r="F550" s="807">
        <v>1.4999999999999999E-2</v>
      </c>
      <c r="G550" s="808">
        <f t="shared" si="18"/>
        <v>27000</v>
      </c>
    </row>
    <row r="551" spans="1:7" ht="18">
      <c r="A551" s="718"/>
      <c r="B551" s="720"/>
      <c r="C551" s="720"/>
      <c r="D551" s="721" t="s">
        <v>86</v>
      </c>
      <c r="E551" s="722">
        <f>SUM(E533:E550)</f>
        <v>24750000</v>
      </c>
      <c r="F551" s="719"/>
      <c r="G551" s="717">
        <f>SUM(G533:G550)</f>
        <v>547250</v>
      </c>
    </row>
    <row r="552" spans="1:7">
      <c r="E552" s="757"/>
    </row>
    <row r="555" spans="1:7">
      <c r="A555" s="1113" t="s">
        <v>614</v>
      </c>
      <c r="B555" s="1114"/>
      <c r="C555" s="1114"/>
      <c r="D555" s="1114"/>
      <c r="E555" s="1114"/>
      <c r="F555" s="1114"/>
      <c r="G555" s="1114"/>
    </row>
    <row r="556" spans="1:7">
      <c r="A556" s="1115"/>
      <c r="B556" s="1116"/>
      <c r="C556" s="1116"/>
      <c r="D556" s="1116"/>
      <c r="E556" s="1116"/>
      <c r="F556" s="1116"/>
      <c r="G556" s="1116"/>
    </row>
    <row r="557" spans="1:7">
      <c r="A557" s="1115"/>
      <c r="B557" s="1116"/>
      <c r="C557" s="1116"/>
      <c r="D557" s="1116"/>
      <c r="E557" s="1116"/>
      <c r="F557" s="1116"/>
      <c r="G557" s="1116"/>
    </row>
    <row r="558" spans="1:7">
      <c r="A558" s="1115"/>
      <c r="B558" s="1116"/>
      <c r="C558" s="1116"/>
      <c r="D558" s="1116"/>
      <c r="E558" s="1116"/>
      <c r="F558" s="1116"/>
      <c r="G558" s="1116"/>
    </row>
    <row r="559" spans="1:7">
      <c r="A559" s="713"/>
      <c r="B559" s="713"/>
      <c r="C559" s="713"/>
      <c r="D559" s="713"/>
      <c r="E559" s="713"/>
      <c r="F559" s="713"/>
      <c r="G559" s="713"/>
    </row>
    <row r="560" spans="1:7">
      <c r="A560" s="1109" t="s">
        <v>615</v>
      </c>
      <c r="B560" s="1110"/>
      <c r="C560" s="1110"/>
      <c r="D560" s="1110"/>
      <c r="E560" s="1110"/>
      <c r="F560" s="1110"/>
      <c r="G560" s="1117"/>
    </row>
    <row r="561" spans="1:7">
      <c r="A561" s="1111"/>
      <c r="B561" s="1112"/>
      <c r="C561" s="1112"/>
      <c r="D561" s="1112"/>
      <c r="E561" s="1112"/>
      <c r="F561" s="1112"/>
      <c r="G561" s="1118"/>
    </row>
    <row r="562" spans="1:7">
      <c r="A562" s="723" t="s">
        <v>4</v>
      </c>
      <c r="B562" s="723" t="s">
        <v>495</v>
      </c>
      <c r="C562" s="724" t="s">
        <v>496</v>
      </c>
      <c r="D562" s="61" t="s">
        <v>497</v>
      </c>
      <c r="E562" s="723" t="s">
        <v>498</v>
      </c>
      <c r="F562" s="63" t="s">
        <v>8</v>
      </c>
      <c r="G562" s="725" t="s">
        <v>15</v>
      </c>
    </row>
    <row r="563" spans="1:7" ht="15.75">
      <c r="A563" s="709">
        <v>14616</v>
      </c>
      <c r="B563" s="33">
        <v>0.1</v>
      </c>
      <c r="C563" s="35" t="s">
        <v>329</v>
      </c>
      <c r="D563" s="12"/>
      <c r="E563" s="12">
        <v>1785000</v>
      </c>
      <c r="F563" s="141"/>
      <c r="G563" s="12"/>
    </row>
    <row r="564" spans="1:7" ht="15.75">
      <c r="A564" s="709">
        <v>14656</v>
      </c>
      <c r="B564" s="127">
        <v>0.08</v>
      </c>
      <c r="C564" s="830" t="s">
        <v>331</v>
      </c>
      <c r="D564" s="12"/>
      <c r="E564" s="12">
        <v>1800000</v>
      </c>
      <c r="F564" s="141"/>
      <c r="G564" s="12"/>
    </row>
    <row r="565" spans="1:7" ht="15.75">
      <c r="A565" s="709" t="s">
        <v>332</v>
      </c>
      <c r="B565" s="33">
        <v>0.1</v>
      </c>
      <c r="C565" s="830" t="s">
        <v>333</v>
      </c>
      <c r="D565" s="12"/>
      <c r="E565" s="12">
        <v>1400000</v>
      </c>
      <c r="F565" s="141"/>
      <c r="G565" s="12"/>
    </row>
    <row r="566" spans="1:7" ht="15.75">
      <c r="A566" s="709">
        <v>14751</v>
      </c>
      <c r="B566" s="141">
        <v>0.1</v>
      </c>
      <c r="C566" s="839" t="s">
        <v>338</v>
      </c>
      <c r="D566" s="12"/>
      <c r="E566" s="786">
        <v>1500000</v>
      </c>
      <c r="F566" s="141"/>
      <c r="G566" s="12"/>
    </row>
    <row r="567" spans="1:7" ht="15.75">
      <c r="A567" s="709">
        <v>14770</v>
      </c>
      <c r="B567" s="141">
        <v>0.1</v>
      </c>
      <c r="C567" s="839" t="s">
        <v>339</v>
      </c>
      <c r="D567" s="12"/>
      <c r="E567" s="786">
        <v>1350000</v>
      </c>
      <c r="F567" s="805"/>
      <c r="G567" s="12"/>
    </row>
    <row r="568" spans="1:7" ht="15.75">
      <c r="A568" s="709">
        <v>14782</v>
      </c>
      <c r="B568" s="141">
        <v>0.1</v>
      </c>
      <c r="C568" s="839" t="s">
        <v>340</v>
      </c>
      <c r="D568" s="852"/>
      <c r="E568" s="786">
        <v>1200000</v>
      </c>
      <c r="F568" s="141"/>
      <c r="G568" s="12"/>
    </row>
    <row r="569" spans="1:7" ht="15.75">
      <c r="A569" s="709">
        <v>14620</v>
      </c>
      <c r="B569" s="257">
        <v>0.1</v>
      </c>
      <c r="C569" s="711" t="s">
        <v>347</v>
      </c>
      <c r="D569" s="853"/>
      <c r="E569" s="330">
        <v>1300000</v>
      </c>
      <c r="F569" s="820"/>
      <c r="G569" s="156"/>
    </row>
    <row r="570" spans="1:7" ht="15.75">
      <c r="A570" s="709">
        <v>14642</v>
      </c>
      <c r="B570" s="257">
        <v>0.1</v>
      </c>
      <c r="C570" s="711" t="s">
        <v>348</v>
      </c>
      <c r="D570" s="853"/>
      <c r="E570" s="330">
        <v>1000000</v>
      </c>
      <c r="F570" s="820"/>
      <c r="G570" s="156"/>
    </row>
    <row r="571" spans="1:7" ht="15.75">
      <c r="A571" s="709">
        <v>14701</v>
      </c>
      <c r="B571" s="257">
        <v>0.1</v>
      </c>
      <c r="C571" s="711" t="s">
        <v>350</v>
      </c>
      <c r="D571" s="853"/>
      <c r="E571" s="330">
        <v>1200000</v>
      </c>
      <c r="F571" s="820"/>
      <c r="G571" s="156"/>
    </row>
    <row r="572" spans="1:7" ht="15.75">
      <c r="A572" s="709">
        <v>14709</v>
      </c>
      <c r="B572" s="257">
        <v>0.1</v>
      </c>
      <c r="C572" s="34" t="s">
        <v>352</v>
      </c>
      <c r="D572" s="853"/>
      <c r="E572" s="330">
        <v>1400000</v>
      </c>
      <c r="F572" s="820"/>
      <c r="G572" s="156"/>
    </row>
    <row r="573" spans="1:7" ht="15.75">
      <c r="A573" s="709">
        <v>14738</v>
      </c>
      <c r="B573" s="257">
        <v>0.1</v>
      </c>
      <c r="C573" s="34" t="s">
        <v>355</v>
      </c>
      <c r="D573" s="853"/>
      <c r="E573" s="330">
        <v>1800000</v>
      </c>
      <c r="F573" s="820"/>
      <c r="G573" s="156"/>
    </row>
    <row r="574" spans="1:7" ht="15.75">
      <c r="A574" s="709">
        <v>14767</v>
      </c>
      <c r="B574" s="257">
        <v>0.1</v>
      </c>
      <c r="C574" s="854" t="s">
        <v>358</v>
      </c>
      <c r="D574" s="852"/>
      <c r="E574" s="855">
        <v>2000000</v>
      </c>
      <c r="F574" s="33"/>
      <c r="G574" s="12"/>
    </row>
    <row r="575" spans="1:7" ht="18">
      <c r="A575" s="714"/>
      <c r="B575" s="714"/>
      <c r="C575" s="714"/>
      <c r="D575" s="715"/>
      <c r="E575" s="811">
        <f>SUM(E563:E574)</f>
        <v>17735000</v>
      </c>
      <c r="F575" s="714"/>
      <c r="G575" s="821">
        <f>SUM(G563:G574)</f>
        <v>0</v>
      </c>
    </row>
    <row r="576" spans="1:7">
      <c r="A576" s="713"/>
      <c r="B576" s="713"/>
      <c r="C576" s="713"/>
      <c r="D576" s="713"/>
      <c r="E576" s="742"/>
      <c r="F576" s="713"/>
      <c r="G576" s="742"/>
    </row>
    <row r="577" spans="1:7">
      <c r="A577" s="713"/>
      <c r="B577" s="713"/>
      <c r="C577" s="713"/>
      <c r="D577" s="713"/>
      <c r="E577" s="713"/>
      <c r="F577" s="713"/>
      <c r="G577" s="713"/>
    </row>
    <row r="578" spans="1:7">
      <c r="A578" s="713"/>
      <c r="B578" s="713"/>
      <c r="C578" s="713"/>
      <c r="D578" s="713"/>
      <c r="E578" s="713"/>
      <c r="F578" s="713"/>
      <c r="G578" s="713"/>
    </row>
    <row r="579" spans="1:7">
      <c r="A579" s="1109" t="s">
        <v>616</v>
      </c>
      <c r="B579" s="1110"/>
      <c r="C579" s="1110"/>
      <c r="D579" s="1110"/>
      <c r="E579" s="1110"/>
      <c r="F579" s="1110"/>
      <c r="G579" s="1117"/>
    </row>
    <row r="580" spans="1:7">
      <c r="A580" s="1111"/>
      <c r="B580" s="1112"/>
      <c r="C580" s="1112"/>
      <c r="D580" s="1112"/>
      <c r="E580" s="1112"/>
      <c r="F580" s="1112"/>
      <c r="G580" s="1118"/>
    </row>
    <row r="581" spans="1:7">
      <c r="A581" s="150" t="s">
        <v>4</v>
      </c>
      <c r="B581" s="60" t="s">
        <v>495</v>
      </c>
      <c r="C581" s="150" t="s">
        <v>496</v>
      </c>
      <c r="D581" s="61" t="s">
        <v>497</v>
      </c>
      <c r="E581" s="60" t="s">
        <v>498</v>
      </c>
      <c r="F581" s="727" t="s">
        <v>8</v>
      </c>
      <c r="G581" s="726" t="s">
        <v>15</v>
      </c>
    </row>
    <row r="582" spans="1:7" ht="15.75">
      <c r="A582" s="709">
        <v>14747</v>
      </c>
      <c r="B582" s="141">
        <v>0.1</v>
      </c>
      <c r="C582" s="736" t="s">
        <v>617</v>
      </c>
      <c r="D582" s="739"/>
      <c r="E582" s="786">
        <v>1400000</v>
      </c>
      <c r="F582" s="34"/>
      <c r="G582" s="325"/>
    </row>
    <row r="583" spans="1:7" ht="15.75">
      <c r="A583" s="709">
        <v>14689</v>
      </c>
      <c r="B583" s="257">
        <v>0.1</v>
      </c>
      <c r="C583" s="711" t="s">
        <v>349</v>
      </c>
      <c r="D583" s="739"/>
      <c r="E583" s="740">
        <v>1300000</v>
      </c>
      <c r="F583" s="743"/>
      <c r="G583" s="325"/>
    </row>
    <row r="584" spans="1:7" ht="15.75">
      <c r="A584" s="709">
        <v>14730</v>
      </c>
      <c r="B584" s="257">
        <v>0.1</v>
      </c>
      <c r="C584" s="34" t="s">
        <v>354</v>
      </c>
      <c r="D584" s="739"/>
      <c r="E584" s="330">
        <v>3500000</v>
      </c>
      <c r="F584" s="34"/>
      <c r="G584" s="325"/>
    </row>
    <row r="585" spans="1:7" ht="15.75">
      <c r="A585" s="709">
        <v>14796</v>
      </c>
      <c r="B585" s="257">
        <v>0.1</v>
      </c>
      <c r="C585" s="34" t="s">
        <v>359</v>
      </c>
      <c r="D585" s="330"/>
      <c r="E585" s="330">
        <v>1050000</v>
      </c>
      <c r="F585" s="34"/>
      <c r="G585" s="325"/>
    </row>
    <row r="586" spans="1:7" ht="15.75">
      <c r="A586" s="709">
        <v>14801</v>
      </c>
      <c r="B586" s="257">
        <v>0.1</v>
      </c>
      <c r="C586" s="34" t="s">
        <v>360</v>
      </c>
      <c r="D586" s="330"/>
      <c r="E586" s="330">
        <v>1400000</v>
      </c>
      <c r="F586" s="34"/>
      <c r="G586" s="325"/>
    </row>
    <row r="587" spans="1:7" ht="18">
      <c r="A587" s="718"/>
      <c r="B587" s="718"/>
      <c r="C587" s="718"/>
      <c r="D587" s="850"/>
      <c r="E587" s="851">
        <f>SUM(E582:E586)</f>
        <v>8650000</v>
      </c>
      <c r="F587" s="719"/>
      <c r="G587" s="716">
        <v>0</v>
      </c>
    </row>
    <row r="590" spans="1:7">
      <c r="A590" s="1109" t="s">
        <v>618</v>
      </c>
      <c r="B590" s="1110"/>
      <c r="C590" s="1110"/>
      <c r="D590" s="1110"/>
      <c r="E590" s="1110"/>
      <c r="F590" s="1110"/>
      <c r="G590" s="1117"/>
    </row>
    <row r="591" spans="1:7">
      <c r="A591" s="1111"/>
      <c r="B591" s="1112"/>
      <c r="C591" s="1112"/>
      <c r="D591" s="1112"/>
      <c r="E591" s="1112"/>
      <c r="F591" s="1112"/>
      <c r="G591" s="1118"/>
    </row>
    <row r="592" spans="1:7">
      <c r="A592" s="150" t="s">
        <v>4</v>
      </c>
      <c r="B592" s="60" t="s">
        <v>495</v>
      </c>
      <c r="C592" s="150" t="s">
        <v>496</v>
      </c>
      <c r="D592" s="61" t="s">
        <v>497</v>
      </c>
      <c r="E592" s="60" t="s">
        <v>498</v>
      </c>
      <c r="F592" s="727" t="s">
        <v>8</v>
      </c>
      <c r="G592" s="726" t="s">
        <v>15</v>
      </c>
    </row>
    <row r="593" spans="1:7" ht="15.75">
      <c r="A593" s="709">
        <v>14724</v>
      </c>
      <c r="B593" s="141">
        <v>0.1</v>
      </c>
      <c r="C593" s="148" t="s">
        <v>334</v>
      </c>
      <c r="D593" s="786"/>
      <c r="E593" s="12">
        <v>700000</v>
      </c>
      <c r="F593" s="34"/>
      <c r="G593" s="325"/>
    </row>
    <row r="594" spans="1:7" ht="15.75">
      <c r="A594" s="709">
        <v>14823</v>
      </c>
      <c r="B594" s="859">
        <v>0.1</v>
      </c>
      <c r="C594" s="711" t="s">
        <v>366</v>
      </c>
      <c r="D594" s="739"/>
      <c r="E594" s="740">
        <v>1850000</v>
      </c>
      <c r="F594" s="743"/>
      <c r="G594" s="325"/>
    </row>
    <row r="595" spans="1:7" ht="15.75">
      <c r="A595" s="771"/>
      <c r="B595" s="843"/>
      <c r="C595" s="841"/>
      <c r="D595" s="845"/>
      <c r="E595" s="842"/>
      <c r="F595" s="785"/>
      <c r="G595" s="846"/>
    </row>
    <row r="596" spans="1:7" ht="15.75">
      <c r="A596" s="771"/>
      <c r="B596" s="772"/>
      <c r="C596" s="773"/>
      <c r="D596" s="845"/>
      <c r="E596" s="849"/>
      <c r="F596" s="785"/>
      <c r="G596" s="846"/>
    </row>
    <row r="597" spans="1:7" ht="18">
      <c r="A597" s="718"/>
      <c r="B597" s="718"/>
      <c r="C597" s="718"/>
      <c r="D597" s="850"/>
      <c r="E597" s="851">
        <f>SUM(E593:E596)</f>
        <v>2550000</v>
      </c>
      <c r="F597" s="719"/>
      <c r="G597" s="716">
        <v>0</v>
      </c>
    </row>
    <row r="600" spans="1:7">
      <c r="A600" s="1109" t="s">
        <v>619</v>
      </c>
      <c r="B600" s="1110"/>
      <c r="C600" s="1110"/>
      <c r="D600" s="1110"/>
      <c r="E600" s="1110"/>
      <c r="F600" s="1110"/>
      <c r="G600" s="1117"/>
    </row>
    <row r="601" spans="1:7">
      <c r="A601" s="1111"/>
      <c r="B601" s="1112"/>
      <c r="C601" s="1112"/>
      <c r="D601" s="1112"/>
      <c r="E601" s="1112"/>
      <c r="F601" s="1112"/>
      <c r="G601" s="1118"/>
    </row>
    <row r="602" spans="1:7">
      <c r="A602" s="150" t="s">
        <v>4</v>
      </c>
      <c r="B602" s="60" t="s">
        <v>495</v>
      </c>
      <c r="C602" s="150" t="s">
        <v>496</v>
      </c>
      <c r="D602" s="61" t="s">
        <v>497</v>
      </c>
      <c r="E602" s="60" t="s">
        <v>498</v>
      </c>
      <c r="F602" s="727" t="s">
        <v>8</v>
      </c>
      <c r="G602" s="726" t="s">
        <v>15</v>
      </c>
    </row>
    <row r="603" spans="1:7" ht="15.75">
      <c r="A603" s="709">
        <v>14752</v>
      </c>
      <c r="B603" s="257">
        <v>0.1</v>
      </c>
      <c r="C603" s="34" t="s">
        <v>356</v>
      </c>
      <c r="D603" s="330"/>
      <c r="E603" s="330">
        <v>1400000</v>
      </c>
      <c r="F603" s="34"/>
      <c r="G603" s="325"/>
    </row>
    <row r="604" spans="1:7" ht="18">
      <c r="A604" s="718"/>
      <c r="B604" s="718"/>
      <c r="C604" s="718"/>
      <c r="D604" s="850"/>
      <c r="E604" s="851">
        <f>SUM(E603:E603)</f>
        <v>1400000</v>
      </c>
      <c r="F604" s="719"/>
      <c r="G604" s="716">
        <v>0</v>
      </c>
    </row>
    <row r="607" spans="1:7">
      <c r="A607" s="1109" t="s">
        <v>620</v>
      </c>
      <c r="B607" s="1110"/>
      <c r="C607" s="1110"/>
      <c r="D607" s="1110"/>
      <c r="E607" s="1110"/>
      <c r="F607" s="1110"/>
      <c r="G607" s="1117"/>
    </row>
    <row r="608" spans="1:7">
      <c r="A608" s="1111"/>
      <c r="B608" s="1112"/>
      <c r="C608" s="1112"/>
      <c r="D608" s="1112"/>
      <c r="E608" s="1112"/>
      <c r="F608" s="1112"/>
      <c r="G608" s="1118"/>
    </row>
    <row r="609" spans="1:7">
      <c r="A609" s="150" t="s">
        <v>4</v>
      </c>
      <c r="B609" s="60" t="s">
        <v>495</v>
      </c>
      <c r="C609" s="150" t="s">
        <v>496</v>
      </c>
      <c r="D609" s="61" t="s">
        <v>497</v>
      </c>
      <c r="E609" s="60" t="s">
        <v>498</v>
      </c>
      <c r="F609" s="727" t="s">
        <v>8</v>
      </c>
      <c r="G609" s="726" t="s">
        <v>15</v>
      </c>
    </row>
    <row r="610" spans="1:7" ht="15.75">
      <c r="A610" s="709">
        <v>14852</v>
      </c>
      <c r="B610" s="33">
        <v>0.1</v>
      </c>
      <c r="C610" s="839" t="s">
        <v>341</v>
      </c>
      <c r="D610" s="786"/>
      <c r="E610" s="786">
        <v>1200000</v>
      </c>
      <c r="F610" s="34"/>
      <c r="G610" s="325"/>
    </row>
    <row r="611" spans="1:7" ht="15.75">
      <c r="A611" s="771"/>
      <c r="B611" s="772"/>
      <c r="C611" s="773"/>
      <c r="D611" s="845"/>
      <c r="E611" s="847"/>
      <c r="F611" s="848"/>
      <c r="G611" s="846"/>
    </row>
    <row r="612" spans="1:7" ht="15.75">
      <c r="A612" s="771"/>
      <c r="B612" s="843"/>
      <c r="C612" s="841"/>
      <c r="D612" s="845"/>
      <c r="E612" s="842"/>
      <c r="F612" s="785"/>
      <c r="G612" s="846"/>
    </row>
    <row r="613" spans="1:7" ht="15.75">
      <c r="A613" s="771"/>
      <c r="B613" s="772"/>
      <c r="C613" s="773"/>
      <c r="D613" s="845"/>
      <c r="E613" s="842"/>
      <c r="F613" s="785"/>
      <c r="G613" s="846"/>
    </row>
    <row r="614" spans="1:7" ht="15.75">
      <c r="A614" s="771"/>
      <c r="B614" s="772"/>
      <c r="C614" s="773"/>
      <c r="D614" s="845"/>
      <c r="E614" s="842"/>
      <c r="F614" s="785"/>
      <c r="G614" s="846"/>
    </row>
    <row r="615" spans="1:7" ht="15.75">
      <c r="A615" s="771"/>
      <c r="B615" s="772"/>
      <c r="C615" s="773"/>
      <c r="D615" s="845"/>
      <c r="E615" s="842"/>
      <c r="F615" s="785"/>
      <c r="G615" s="846"/>
    </row>
    <row r="616" spans="1:7" ht="15.75">
      <c r="A616" s="771"/>
      <c r="B616" s="772"/>
      <c r="C616" s="773"/>
      <c r="D616" s="845"/>
      <c r="E616" s="849"/>
      <c r="F616" s="785"/>
      <c r="G616" s="846"/>
    </row>
    <row r="617" spans="1:7" ht="18">
      <c r="A617" s="718"/>
      <c r="B617" s="718"/>
      <c r="C617" s="718"/>
      <c r="D617" s="850"/>
      <c r="E617" s="851">
        <f>SUM(E610:E616)</f>
        <v>1200000</v>
      </c>
      <c r="F617" s="719"/>
      <c r="G617" s="716">
        <v>0</v>
      </c>
    </row>
    <row r="620" spans="1:7">
      <c r="A620" s="1109" t="s">
        <v>621</v>
      </c>
      <c r="B620" s="1110"/>
      <c r="C620" s="1110"/>
      <c r="D620" s="1110"/>
      <c r="E620" s="1110"/>
      <c r="F620" s="1110"/>
      <c r="G620" s="1110"/>
    </row>
    <row r="621" spans="1:7">
      <c r="A621" s="1111"/>
      <c r="B621" s="1112"/>
      <c r="C621" s="1112"/>
      <c r="D621" s="1112"/>
      <c r="E621" s="1112"/>
      <c r="F621" s="1112"/>
      <c r="G621" s="1112"/>
    </row>
    <row r="622" spans="1:7">
      <c r="A622" s="723" t="s">
        <v>4</v>
      </c>
      <c r="B622" s="723" t="s">
        <v>495</v>
      </c>
      <c r="C622" s="724" t="s">
        <v>496</v>
      </c>
      <c r="D622" s="61" t="s">
        <v>497</v>
      </c>
      <c r="E622" s="723" t="s">
        <v>498</v>
      </c>
      <c r="F622" s="63" t="s">
        <v>8</v>
      </c>
      <c r="G622" s="725" t="s">
        <v>15</v>
      </c>
    </row>
    <row r="623" spans="1:7" ht="15.75">
      <c r="A623" s="709">
        <v>14616</v>
      </c>
      <c r="B623" s="33">
        <v>0.1</v>
      </c>
      <c r="C623" s="35" t="s">
        <v>329</v>
      </c>
      <c r="D623" s="12"/>
      <c r="E623" s="12">
        <v>1785000</v>
      </c>
      <c r="F623" s="141"/>
      <c r="G623" s="12"/>
    </row>
    <row r="624" spans="1:7" ht="15.75">
      <c r="A624" s="709">
        <v>14656</v>
      </c>
      <c r="B624" s="127">
        <v>0.08</v>
      </c>
      <c r="C624" s="830" t="s">
        <v>331</v>
      </c>
      <c r="D624" s="12"/>
      <c r="E624" s="12">
        <v>1800000</v>
      </c>
      <c r="F624" s="141"/>
      <c r="G624" s="12"/>
    </row>
    <row r="625" spans="1:7" ht="15.75">
      <c r="A625" s="709" t="s">
        <v>332</v>
      </c>
      <c r="B625" s="33">
        <v>0.1</v>
      </c>
      <c r="C625" s="830" t="s">
        <v>333</v>
      </c>
      <c r="D625" s="12"/>
      <c r="E625" s="12">
        <v>1400000</v>
      </c>
      <c r="F625" s="141"/>
      <c r="G625" s="12"/>
    </row>
    <row r="626" spans="1:7" ht="15.75">
      <c r="A626" s="709">
        <v>14751</v>
      </c>
      <c r="B626" s="141">
        <v>0.1</v>
      </c>
      <c r="C626" s="839" t="s">
        <v>338</v>
      </c>
      <c r="D626" s="12"/>
      <c r="E626" s="786">
        <v>1500000</v>
      </c>
      <c r="F626" s="141"/>
      <c r="G626" s="12"/>
    </row>
    <row r="627" spans="1:7" ht="15.75">
      <c r="A627" s="709">
        <v>14770</v>
      </c>
      <c r="B627" s="141">
        <v>0.1</v>
      </c>
      <c r="C627" s="839" t="s">
        <v>339</v>
      </c>
      <c r="D627" s="12"/>
      <c r="E627" s="786">
        <v>1350000</v>
      </c>
      <c r="F627" s="805"/>
      <c r="G627" s="12"/>
    </row>
    <row r="628" spans="1:7" ht="15.75">
      <c r="A628" s="709">
        <v>14782</v>
      </c>
      <c r="B628" s="141">
        <v>0.1</v>
      </c>
      <c r="C628" s="839" t="s">
        <v>340</v>
      </c>
      <c r="D628" s="852"/>
      <c r="E628" s="786">
        <v>1200000</v>
      </c>
      <c r="F628" s="141"/>
      <c r="G628" s="12"/>
    </row>
    <row r="629" spans="1:7" ht="15.75">
      <c r="A629" s="709">
        <v>14620</v>
      </c>
      <c r="B629" s="257">
        <v>0.1</v>
      </c>
      <c r="C629" s="711" t="s">
        <v>347</v>
      </c>
      <c r="D629" s="853"/>
      <c r="E629" s="330">
        <v>1300000</v>
      </c>
      <c r="F629" s="820"/>
      <c r="G629" s="156"/>
    </row>
    <row r="630" spans="1:7" ht="15.75">
      <c r="A630" s="709">
        <v>14642</v>
      </c>
      <c r="B630" s="257">
        <v>0.1</v>
      </c>
      <c r="C630" s="711" t="s">
        <v>348</v>
      </c>
      <c r="D630" s="853"/>
      <c r="E630" s="330">
        <v>1000000</v>
      </c>
      <c r="F630" s="820"/>
      <c r="G630" s="156"/>
    </row>
    <row r="631" spans="1:7" ht="15.75">
      <c r="A631" s="709">
        <v>14701</v>
      </c>
      <c r="B631" s="257">
        <v>0.1</v>
      </c>
      <c r="C631" s="711" t="s">
        <v>350</v>
      </c>
      <c r="D631" s="853"/>
      <c r="E631" s="330">
        <v>1200000</v>
      </c>
      <c r="F631" s="820"/>
      <c r="G631" s="156"/>
    </row>
    <row r="632" spans="1:7" ht="15.75">
      <c r="A632" s="709">
        <v>14709</v>
      </c>
      <c r="B632" s="257">
        <v>0.1</v>
      </c>
      <c r="C632" s="34" t="s">
        <v>352</v>
      </c>
      <c r="D632" s="853"/>
      <c r="E632" s="330">
        <v>1400000</v>
      </c>
      <c r="F632" s="820"/>
      <c r="G632" s="156"/>
    </row>
    <row r="633" spans="1:7" ht="15.75">
      <c r="A633" s="709">
        <v>14738</v>
      </c>
      <c r="B633" s="257">
        <v>0.1</v>
      </c>
      <c r="C633" s="34" t="s">
        <v>355</v>
      </c>
      <c r="D633" s="853"/>
      <c r="E633" s="330">
        <v>1800000</v>
      </c>
      <c r="F633" s="820"/>
      <c r="G633" s="156"/>
    </row>
    <row r="634" spans="1:7" ht="15.75">
      <c r="A634" s="709">
        <v>14767</v>
      </c>
      <c r="B634" s="257">
        <v>0.1</v>
      </c>
      <c r="C634" s="854" t="s">
        <v>358</v>
      </c>
      <c r="D634" s="852"/>
      <c r="E634" s="855">
        <v>2000000</v>
      </c>
      <c r="F634" s="33"/>
      <c r="G634" s="12"/>
    </row>
    <row r="635" spans="1:7" ht="15.75">
      <c r="A635" s="709">
        <v>14747</v>
      </c>
      <c r="B635" s="141">
        <v>0.1</v>
      </c>
      <c r="C635" s="736" t="s">
        <v>617</v>
      </c>
      <c r="D635" s="739"/>
      <c r="E635" s="786">
        <v>1400000</v>
      </c>
      <c r="F635" s="34"/>
      <c r="G635" s="325"/>
    </row>
    <row r="636" spans="1:7" ht="15.75">
      <c r="A636" s="709">
        <v>14689</v>
      </c>
      <c r="B636" s="257">
        <v>0.1</v>
      </c>
      <c r="C636" s="711" t="s">
        <v>349</v>
      </c>
      <c r="D636" s="739"/>
      <c r="E636" s="740">
        <v>1300000</v>
      </c>
      <c r="F636" s="743"/>
      <c r="G636" s="325"/>
    </row>
    <row r="637" spans="1:7" ht="15.75">
      <c r="A637" s="709">
        <v>14730</v>
      </c>
      <c r="B637" s="257">
        <v>0.1</v>
      </c>
      <c r="C637" s="34" t="s">
        <v>354</v>
      </c>
      <c r="D637" s="739"/>
      <c r="E637" s="330">
        <v>3500000</v>
      </c>
      <c r="F637" s="34"/>
      <c r="G637" s="325"/>
    </row>
    <row r="638" spans="1:7" ht="15.75">
      <c r="A638" s="709">
        <v>14796</v>
      </c>
      <c r="B638" s="257">
        <v>0.1</v>
      </c>
      <c r="C638" s="34" t="s">
        <v>359</v>
      </c>
      <c r="D638" s="330"/>
      <c r="E638" s="330">
        <v>1050000</v>
      </c>
      <c r="F638" s="34"/>
      <c r="G638" s="325"/>
    </row>
    <row r="639" spans="1:7" ht="15.75">
      <c r="A639" s="709">
        <v>14801</v>
      </c>
      <c r="B639" s="257">
        <v>0.1</v>
      </c>
      <c r="C639" s="34" t="s">
        <v>360</v>
      </c>
      <c r="D639" s="330"/>
      <c r="E639" s="330">
        <v>1400000</v>
      </c>
      <c r="F639" s="34"/>
      <c r="G639" s="325"/>
    </row>
    <row r="640" spans="1:7" ht="15.75">
      <c r="A640" s="709">
        <v>14724</v>
      </c>
      <c r="B640" s="141">
        <v>0.1</v>
      </c>
      <c r="C640" s="148" t="s">
        <v>334</v>
      </c>
      <c r="D640" s="786"/>
      <c r="E640" s="12">
        <v>700000</v>
      </c>
      <c r="F640" s="34"/>
      <c r="G640" s="325"/>
    </row>
    <row r="641" spans="1:7" ht="15.75">
      <c r="A641" s="709">
        <v>14823</v>
      </c>
      <c r="B641" s="859">
        <v>0.1</v>
      </c>
      <c r="C641" s="711" t="s">
        <v>366</v>
      </c>
      <c r="D641" s="739"/>
      <c r="E641" s="740">
        <v>1850000</v>
      </c>
      <c r="F641" s="743"/>
      <c r="G641" s="325"/>
    </row>
    <row r="642" spans="1:7" ht="15.75">
      <c r="A642" s="709">
        <v>14752</v>
      </c>
      <c r="B642" s="257">
        <v>0.1</v>
      </c>
      <c r="C642" s="34" t="s">
        <v>356</v>
      </c>
      <c r="D642" s="330"/>
      <c r="E642" s="330">
        <v>1400000</v>
      </c>
      <c r="F642" s="877"/>
      <c r="G642" s="325"/>
    </row>
    <row r="643" spans="1:7" ht="15.75">
      <c r="A643" s="709">
        <v>14852</v>
      </c>
      <c r="B643" s="33">
        <v>0.1</v>
      </c>
      <c r="C643" s="839" t="s">
        <v>341</v>
      </c>
      <c r="D643" s="786"/>
      <c r="E643" s="786">
        <v>1200000</v>
      </c>
      <c r="F643" s="34"/>
      <c r="G643" s="325"/>
    </row>
    <row r="644" spans="1:7" ht="18">
      <c r="A644" s="718"/>
      <c r="B644" s="720"/>
      <c r="C644" s="720"/>
      <c r="D644" s="721" t="s">
        <v>86</v>
      </c>
      <c r="E644" s="722">
        <f>SUM(E623:E643)</f>
        <v>31535000</v>
      </c>
      <c r="F644" s="719"/>
      <c r="G644" s="717">
        <f>SUM(G623:G643)</f>
        <v>0</v>
      </c>
    </row>
    <row r="647" spans="1:7">
      <c r="A647" s="1113" t="s">
        <v>370</v>
      </c>
      <c r="B647" s="1114"/>
      <c r="C647" s="1114"/>
      <c r="D647" s="1114"/>
      <c r="E647" s="1114"/>
      <c r="F647" s="1114"/>
      <c r="G647" s="1114"/>
    </row>
    <row r="648" spans="1:7">
      <c r="A648" s="1115"/>
      <c r="B648" s="1116"/>
      <c r="C648" s="1116"/>
      <c r="D648" s="1116"/>
      <c r="E648" s="1116"/>
      <c r="F648" s="1116"/>
      <c r="G648" s="1116"/>
    </row>
    <row r="649" spans="1:7">
      <c r="A649" s="1115"/>
      <c r="B649" s="1116"/>
      <c r="C649" s="1116"/>
      <c r="D649" s="1116"/>
      <c r="E649" s="1116"/>
      <c r="F649" s="1116"/>
      <c r="G649" s="1116"/>
    </row>
    <row r="650" spans="1:7">
      <c r="A650" s="1115"/>
      <c r="B650" s="1116"/>
      <c r="C650" s="1116"/>
      <c r="D650" s="1116"/>
      <c r="E650" s="1116"/>
      <c r="F650" s="1116"/>
      <c r="G650" s="1116"/>
    </row>
    <row r="652" spans="1:7">
      <c r="A652" s="1109" t="s">
        <v>622</v>
      </c>
      <c r="B652" s="1110"/>
      <c r="C652" s="1110"/>
      <c r="D652" s="1110"/>
      <c r="E652" s="1110"/>
      <c r="F652" s="1110"/>
      <c r="G652" s="1117"/>
    </row>
    <row r="653" spans="1:7">
      <c r="A653" s="1111"/>
      <c r="B653" s="1112"/>
      <c r="C653" s="1112"/>
      <c r="D653" s="1112"/>
      <c r="E653" s="1112"/>
      <c r="F653" s="1112"/>
      <c r="G653" s="1118"/>
    </row>
    <row r="654" spans="1:7">
      <c r="A654" s="723" t="s">
        <v>4</v>
      </c>
      <c r="B654" s="723" t="s">
        <v>495</v>
      </c>
      <c r="C654" s="724" t="s">
        <v>496</v>
      </c>
      <c r="D654" s="61" t="s">
        <v>497</v>
      </c>
      <c r="E654" s="723" t="s">
        <v>498</v>
      </c>
      <c r="F654" s="63" t="s">
        <v>8</v>
      </c>
      <c r="G654" s="725" t="s">
        <v>15</v>
      </c>
    </row>
    <row r="655" spans="1:7" ht="15.75">
      <c r="A655" s="709">
        <v>15073</v>
      </c>
      <c r="B655" s="141">
        <v>0.08</v>
      </c>
      <c r="C655" s="839" t="s">
        <v>383</v>
      </c>
      <c r="D655" s="786"/>
      <c r="E655" s="786">
        <v>1700000</v>
      </c>
      <c r="F655" s="141"/>
      <c r="G655" s="12"/>
    </row>
    <row r="656" spans="1:7" ht="15.75">
      <c r="A656" s="709">
        <v>14874</v>
      </c>
      <c r="B656" s="257">
        <v>0.1</v>
      </c>
      <c r="C656" s="711" t="s">
        <v>392</v>
      </c>
      <c r="D656" s="330"/>
      <c r="E656" s="330">
        <v>950000</v>
      </c>
      <c r="F656" s="805">
        <v>0.02</v>
      </c>
      <c r="G656" s="12"/>
    </row>
    <row r="657" spans="1:7" ht="15.75">
      <c r="A657" s="885">
        <v>14925</v>
      </c>
      <c r="B657" s="257">
        <v>0.1</v>
      </c>
      <c r="C657" s="711" t="s">
        <v>394</v>
      </c>
      <c r="D657" s="330"/>
      <c r="E657" s="330">
        <v>1200000</v>
      </c>
      <c r="F657" s="141"/>
      <c r="G657" s="12"/>
    </row>
    <row r="658" spans="1:7" ht="15.75">
      <c r="A658" s="920">
        <v>14937</v>
      </c>
      <c r="B658" s="921">
        <v>0.1</v>
      </c>
      <c r="C658" s="711" t="s">
        <v>395</v>
      </c>
      <c r="D658" s="330"/>
      <c r="E658" s="330">
        <v>2100000</v>
      </c>
      <c r="F658" s="805">
        <v>0.02</v>
      </c>
      <c r="G658" s="12"/>
    </row>
    <row r="659" spans="1:7" ht="15.75">
      <c r="A659" s="890">
        <v>14998</v>
      </c>
      <c r="B659" s="257">
        <v>0.1</v>
      </c>
      <c r="C659" s="711" t="s">
        <v>401</v>
      </c>
      <c r="D659" s="330"/>
      <c r="E659" s="330">
        <v>1350000</v>
      </c>
      <c r="F659" s="141"/>
      <c r="G659" s="12"/>
    </row>
    <row r="660" spans="1:7" ht="15.75">
      <c r="A660" s="890">
        <v>15008</v>
      </c>
      <c r="B660" s="257">
        <v>0.1</v>
      </c>
      <c r="C660" s="711" t="s">
        <v>403</v>
      </c>
      <c r="D660" s="330"/>
      <c r="E660" s="330">
        <v>2050000</v>
      </c>
      <c r="F660" s="820"/>
      <c r="G660" s="156"/>
    </row>
    <row r="661" spans="1:7" ht="15.75">
      <c r="A661" s="890">
        <v>15115</v>
      </c>
      <c r="B661" s="257">
        <v>0.1</v>
      </c>
      <c r="C661" s="711" t="s">
        <v>623</v>
      </c>
      <c r="D661" s="330"/>
      <c r="E661" s="330">
        <v>2000000</v>
      </c>
      <c r="F661" s="820"/>
      <c r="G661" s="156"/>
    </row>
    <row r="662" spans="1:7" ht="15.75">
      <c r="A662" s="709">
        <v>15112</v>
      </c>
      <c r="B662" s="257">
        <v>0.1</v>
      </c>
      <c r="C662" s="711" t="s">
        <v>406</v>
      </c>
      <c r="D662" s="330"/>
      <c r="E662" s="330">
        <v>900000</v>
      </c>
      <c r="F662" s="820"/>
      <c r="G662" s="156"/>
    </row>
    <row r="663" spans="1:7" ht="15.75">
      <c r="A663" s="771"/>
      <c r="B663" s="843"/>
      <c r="C663" s="785"/>
      <c r="D663" s="892"/>
      <c r="E663" s="842"/>
      <c r="F663" s="893"/>
      <c r="G663" s="894"/>
    </row>
    <row r="664" spans="1:7" ht="15.75">
      <c r="A664" s="771"/>
      <c r="B664" s="843"/>
      <c r="C664" s="785"/>
      <c r="D664" s="892"/>
      <c r="E664" s="842"/>
      <c r="F664" s="893"/>
      <c r="G664" s="894"/>
    </row>
    <row r="665" spans="1:7" ht="15.75">
      <c r="A665" s="771"/>
      <c r="B665" s="843"/>
      <c r="C665" s="895"/>
      <c r="D665" s="891"/>
      <c r="E665" s="896"/>
      <c r="F665" s="772"/>
      <c r="G665" s="774"/>
    </row>
    <row r="666" spans="1:7" ht="18">
      <c r="A666" s="714"/>
      <c r="B666" s="714"/>
      <c r="C666" s="714"/>
      <c r="D666" s="715"/>
      <c r="E666" s="811">
        <f>SUM(E655:E665)</f>
        <v>12250000</v>
      </c>
      <c r="F666" s="714"/>
      <c r="G666" s="821">
        <f>SUM(G655:G665)</f>
        <v>0</v>
      </c>
    </row>
    <row r="667" spans="1:7">
      <c r="A667" s="713"/>
      <c r="B667" s="713"/>
      <c r="C667" s="713"/>
      <c r="D667" s="713"/>
      <c r="E667" s="742"/>
      <c r="F667" s="713"/>
      <c r="G667" s="742"/>
    </row>
    <row r="668" spans="1:7">
      <c r="A668" s="713"/>
      <c r="B668" s="713"/>
      <c r="C668" s="713"/>
      <c r="D668" s="713"/>
      <c r="E668" s="713"/>
      <c r="F668" s="713"/>
      <c r="G668" s="713"/>
    </row>
    <row r="669" spans="1:7">
      <c r="A669" s="713"/>
      <c r="B669" s="713"/>
      <c r="C669" s="713"/>
      <c r="D669" s="713"/>
      <c r="E669" s="713"/>
      <c r="F669" s="713"/>
      <c r="G669" s="713"/>
    </row>
    <row r="670" spans="1:7">
      <c r="A670" s="1109" t="s">
        <v>624</v>
      </c>
      <c r="B670" s="1110"/>
      <c r="C670" s="1110"/>
      <c r="D670" s="1110"/>
      <c r="E670" s="1110"/>
      <c r="F670" s="1110"/>
      <c r="G670" s="1117"/>
    </row>
    <row r="671" spans="1:7">
      <c r="A671" s="1111"/>
      <c r="B671" s="1112"/>
      <c r="C671" s="1112"/>
      <c r="D671" s="1112"/>
      <c r="E671" s="1112"/>
      <c r="F671" s="1112"/>
      <c r="G671" s="1118"/>
    </row>
    <row r="672" spans="1:7">
      <c r="A672" s="150" t="s">
        <v>4</v>
      </c>
      <c r="B672" s="60" t="s">
        <v>495</v>
      </c>
      <c r="C672" s="150" t="s">
        <v>496</v>
      </c>
      <c r="D672" s="61" t="s">
        <v>497</v>
      </c>
      <c r="E672" s="60" t="s">
        <v>498</v>
      </c>
      <c r="F672" s="727" t="s">
        <v>8</v>
      </c>
      <c r="G672" s="726" t="s">
        <v>15</v>
      </c>
    </row>
    <row r="673" spans="1:7" ht="15.75">
      <c r="A673" s="771"/>
      <c r="B673" s="861"/>
      <c r="C673" s="844"/>
      <c r="D673" s="845"/>
      <c r="E673" s="862"/>
      <c r="F673" s="785"/>
      <c r="G673" s="846"/>
    </row>
    <row r="674" spans="1:7" ht="15.75">
      <c r="A674" s="771"/>
      <c r="B674" s="843"/>
      <c r="C674" s="841"/>
      <c r="D674" s="845"/>
      <c r="E674" s="847"/>
      <c r="F674" s="848"/>
      <c r="G674" s="846"/>
    </row>
    <row r="675" spans="1:7" ht="15.75">
      <c r="A675" s="771"/>
      <c r="B675" s="843"/>
      <c r="C675" s="785"/>
      <c r="D675" s="845"/>
      <c r="E675" s="842"/>
      <c r="F675" s="785"/>
      <c r="G675" s="846"/>
    </row>
    <row r="676" spans="1:7" ht="15.75">
      <c r="A676" s="771"/>
      <c r="B676" s="843"/>
      <c r="C676" s="785"/>
      <c r="D676" s="842"/>
      <c r="E676" s="842"/>
      <c r="F676" s="785"/>
      <c r="G676" s="846"/>
    </row>
    <row r="677" spans="1:7" ht="15.75">
      <c r="A677" s="771"/>
      <c r="B677" s="843"/>
      <c r="C677" s="785"/>
      <c r="D677" s="842"/>
      <c r="E677" s="842"/>
      <c r="F677" s="785"/>
      <c r="G677" s="846"/>
    </row>
    <row r="678" spans="1:7" ht="18">
      <c r="A678" s="718"/>
      <c r="B678" s="718"/>
      <c r="C678" s="718"/>
      <c r="D678" s="850"/>
      <c r="E678" s="851">
        <f>SUM(E673:E677)</f>
        <v>0</v>
      </c>
      <c r="F678" s="719"/>
      <c r="G678" s="716">
        <v>0</v>
      </c>
    </row>
    <row r="681" spans="1:7">
      <c r="A681" s="1109" t="s">
        <v>625</v>
      </c>
      <c r="B681" s="1110"/>
      <c r="C681" s="1110"/>
      <c r="D681" s="1110"/>
      <c r="E681" s="1110"/>
      <c r="F681" s="1110"/>
      <c r="G681" s="1117"/>
    </row>
    <row r="682" spans="1:7">
      <c r="A682" s="1111"/>
      <c r="B682" s="1112"/>
      <c r="C682" s="1112"/>
      <c r="D682" s="1112"/>
      <c r="E682" s="1112"/>
      <c r="F682" s="1112"/>
      <c r="G682" s="1118"/>
    </row>
    <row r="683" spans="1:7">
      <c r="A683" s="60" t="s">
        <v>4</v>
      </c>
      <c r="B683" s="60" t="s">
        <v>495</v>
      </c>
      <c r="C683" s="60" t="s">
        <v>496</v>
      </c>
      <c r="D683" s="61" t="s">
        <v>497</v>
      </c>
      <c r="E683" s="60" t="s">
        <v>498</v>
      </c>
      <c r="F683" s="727" t="s">
        <v>8</v>
      </c>
      <c r="G683" s="726" t="s">
        <v>15</v>
      </c>
    </row>
    <row r="684" spans="1:7" ht="15.75">
      <c r="A684" s="709">
        <v>14881</v>
      </c>
      <c r="B684" s="33">
        <v>0.1</v>
      </c>
      <c r="C684" s="148" t="s">
        <v>371</v>
      </c>
      <c r="D684" s="12"/>
      <c r="E684" s="12">
        <v>1250000</v>
      </c>
      <c r="F684" s="127"/>
      <c r="G684" s="325"/>
    </row>
    <row r="685" spans="1:7" ht="15.75">
      <c r="A685" s="709">
        <v>14887</v>
      </c>
      <c r="B685" s="33">
        <v>0.1</v>
      </c>
      <c r="C685" s="148" t="s">
        <v>373</v>
      </c>
      <c r="D685" s="12"/>
      <c r="E685" s="12">
        <v>3057000</v>
      </c>
      <c r="F685" s="127"/>
      <c r="G685" s="325"/>
    </row>
    <row r="686" spans="1:7" ht="15.75">
      <c r="A686" s="709">
        <v>14989</v>
      </c>
      <c r="B686" s="33">
        <v>0.1</v>
      </c>
      <c r="C686" s="148" t="s">
        <v>379</v>
      </c>
      <c r="D686" s="12"/>
      <c r="E686" s="12">
        <v>1350000</v>
      </c>
      <c r="F686" s="127"/>
      <c r="G686" s="325"/>
    </row>
    <row r="687" spans="1:7" ht="15.75">
      <c r="A687" s="709">
        <v>15009</v>
      </c>
      <c r="B687" s="33">
        <v>0.1</v>
      </c>
      <c r="C687" s="148" t="s">
        <v>626</v>
      </c>
      <c r="D687" s="12"/>
      <c r="E687" s="12">
        <v>1000000</v>
      </c>
      <c r="F687" s="127"/>
      <c r="G687" s="325"/>
    </row>
    <row r="688" spans="1:7" ht="18">
      <c r="A688" s="709">
        <v>15032</v>
      </c>
      <c r="B688" s="33">
        <v>0.1</v>
      </c>
      <c r="C688" s="148" t="s">
        <v>382</v>
      </c>
      <c r="D688" s="12"/>
      <c r="E688" s="12">
        <v>2200000</v>
      </c>
      <c r="F688" s="918"/>
      <c r="G688" s="904"/>
    </row>
    <row r="689" spans="1:7" ht="15.75">
      <c r="A689" s="709">
        <v>15084</v>
      </c>
      <c r="B689" s="33">
        <v>0.1</v>
      </c>
      <c r="C689" s="307" t="s">
        <v>384</v>
      </c>
      <c r="D689" s="12"/>
      <c r="E689" s="12">
        <v>1300000</v>
      </c>
      <c r="F689" s="919"/>
      <c r="G689" s="10"/>
    </row>
    <row r="690" spans="1:7" ht="15.75">
      <c r="A690" s="709">
        <v>14862</v>
      </c>
      <c r="B690" s="801">
        <v>0.1</v>
      </c>
      <c r="C690" s="34" t="s">
        <v>391</v>
      </c>
      <c r="D690" s="903"/>
      <c r="E690" s="903">
        <v>1150000</v>
      </c>
      <c r="F690" s="919"/>
      <c r="G690" s="10"/>
    </row>
    <row r="691" spans="1:7" ht="15.75">
      <c r="A691" s="709">
        <v>14959</v>
      </c>
      <c r="B691" s="257">
        <v>0.08</v>
      </c>
      <c r="C691" s="830" t="s">
        <v>397</v>
      </c>
      <c r="D691" s="330"/>
      <c r="E691" s="330">
        <v>1200000</v>
      </c>
      <c r="F691" s="919"/>
      <c r="G691" s="10"/>
    </row>
    <row r="692" spans="1:7" ht="15.75">
      <c r="A692" s="889">
        <v>14960</v>
      </c>
      <c r="B692" s="257">
        <v>0.1</v>
      </c>
      <c r="C692" s="830" t="s">
        <v>398</v>
      </c>
      <c r="D692" s="330"/>
      <c r="E692" s="330">
        <v>900000</v>
      </c>
      <c r="F692" s="919"/>
      <c r="G692" s="10"/>
    </row>
    <row r="693" spans="1:7" ht="15.75">
      <c r="A693" s="709">
        <v>15106</v>
      </c>
      <c r="B693" s="141">
        <v>0.1</v>
      </c>
      <c r="C693" s="839" t="s">
        <v>385</v>
      </c>
      <c r="D693" s="786"/>
      <c r="E693" s="786">
        <v>1400000</v>
      </c>
      <c r="F693" s="919"/>
      <c r="G693" s="10"/>
    </row>
    <row r="694" spans="1:7" ht="15.75">
      <c r="A694" s="889">
        <v>15111</v>
      </c>
      <c r="B694" s="37">
        <v>0.1</v>
      </c>
      <c r="C694" s="711" t="s">
        <v>405</v>
      </c>
      <c r="D694" s="12"/>
      <c r="E694" s="330">
        <v>1200000</v>
      </c>
      <c r="F694" s="127">
        <v>0.02</v>
      </c>
      <c r="G694" s="10"/>
    </row>
    <row r="695" spans="1:7" ht="18">
      <c r="A695" s="771"/>
      <c r="B695" s="772"/>
      <c r="C695" s="897"/>
      <c r="D695" s="774"/>
      <c r="E695" s="902">
        <f>SUM(E684:E694)</f>
        <v>16007000</v>
      </c>
      <c r="F695" s="20"/>
      <c r="G695" s="20"/>
    </row>
    <row r="696" spans="1:7" ht="15.75">
      <c r="A696" s="898"/>
      <c r="B696" s="899"/>
      <c r="C696" s="900"/>
      <c r="D696" s="901"/>
    </row>
    <row r="697" spans="1:7" ht="15.75">
      <c r="A697" s="898"/>
      <c r="B697" s="899"/>
      <c r="C697" s="900"/>
      <c r="D697" s="901"/>
    </row>
    <row r="699" spans="1:7">
      <c r="A699" s="1109" t="s">
        <v>627</v>
      </c>
      <c r="B699" s="1110"/>
      <c r="C699" s="1110"/>
      <c r="D699" s="1110"/>
      <c r="E699" s="1110"/>
      <c r="F699" s="1110"/>
      <c r="G699" s="1117"/>
    </row>
    <row r="700" spans="1:7">
      <c r="A700" s="1111"/>
      <c r="B700" s="1112"/>
      <c r="C700" s="1112"/>
      <c r="D700" s="1112"/>
      <c r="E700" s="1112"/>
      <c r="F700" s="1112"/>
      <c r="G700" s="1118"/>
    </row>
    <row r="701" spans="1:7">
      <c r="A701" s="150" t="s">
        <v>4</v>
      </c>
      <c r="B701" s="60" t="s">
        <v>495</v>
      </c>
      <c r="C701" s="150" t="s">
        <v>496</v>
      </c>
      <c r="D701" s="61" t="s">
        <v>497</v>
      </c>
      <c r="E701" s="60" t="s">
        <v>498</v>
      </c>
      <c r="F701" s="727" t="s">
        <v>8</v>
      </c>
      <c r="G701" s="726" t="s">
        <v>15</v>
      </c>
    </row>
    <row r="702" spans="1:7" ht="15.75">
      <c r="A702" s="709">
        <v>14909</v>
      </c>
      <c r="B702" s="141">
        <v>0.1</v>
      </c>
      <c r="C702" s="839" t="s">
        <v>376</v>
      </c>
      <c r="D702" s="786"/>
      <c r="E702" s="786">
        <v>1100000</v>
      </c>
      <c r="F702" s="34"/>
      <c r="G702" s="325"/>
    </row>
    <row r="703" spans="1:7" ht="15.75">
      <c r="A703" s="709">
        <v>15013</v>
      </c>
      <c r="B703" s="141">
        <v>0.1</v>
      </c>
      <c r="C703" s="839" t="s">
        <v>381</v>
      </c>
      <c r="D703" s="786"/>
      <c r="E703" s="786">
        <v>1000000</v>
      </c>
      <c r="F703" s="854"/>
      <c r="G703" s="325"/>
    </row>
    <row r="704" spans="1:7" ht="15.75">
      <c r="A704" s="709">
        <v>14964</v>
      </c>
      <c r="B704" s="257">
        <v>0.1</v>
      </c>
      <c r="C704" s="835" t="s">
        <v>400</v>
      </c>
      <c r="D704" s="330"/>
      <c r="E704" s="330">
        <v>2000000</v>
      </c>
      <c r="F704" s="854"/>
      <c r="G704" s="325"/>
    </row>
    <row r="705" spans="1:7" ht="18">
      <c r="A705" s="718"/>
      <c r="B705" s="718"/>
      <c r="C705" s="718"/>
      <c r="D705" s="850"/>
      <c r="E705" s="851">
        <f>SUM(E702:E704)</f>
        <v>4100000</v>
      </c>
      <c r="F705" s="719"/>
      <c r="G705" s="716">
        <v>0</v>
      </c>
    </row>
    <row r="708" spans="1:7">
      <c r="A708" s="1109" t="s">
        <v>628</v>
      </c>
      <c r="B708" s="1110"/>
      <c r="C708" s="1110"/>
      <c r="D708" s="1110"/>
      <c r="E708" s="1110"/>
      <c r="F708" s="1110"/>
      <c r="G708" s="1117"/>
    </row>
    <row r="709" spans="1:7">
      <c r="A709" s="1111"/>
      <c r="B709" s="1112"/>
      <c r="C709" s="1112"/>
      <c r="D709" s="1112"/>
      <c r="E709" s="1112"/>
      <c r="F709" s="1112"/>
      <c r="G709" s="1118"/>
    </row>
    <row r="710" spans="1:7">
      <c r="A710" s="150" t="s">
        <v>4</v>
      </c>
      <c r="B710" s="60" t="s">
        <v>495</v>
      </c>
      <c r="C710" s="150" t="s">
        <v>496</v>
      </c>
      <c r="D710" s="61" t="s">
        <v>497</v>
      </c>
      <c r="E710" s="60" t="s">
        <v>498</v>
      </c>
      <c r="F710" s="727" t="s">
        <v>8</v>
      </c>
      <c r="G710" s="726" t="s">
        <v>15</v>
      </c>
    </row>
    <row r="711" spans="1:7" ht="15.75">
      <c r="A711" s="709">
        <v>14903</v>
      </c>
      <c r="B711" s="141">
        <v>0.1</v>
      </c>
      <c r="C711" s="839" t="s">
        <v>375</v>
      </c>
      <c r="D711" s="786"/>
      <c r="E711" s="786">
        <v>1150000</v>
      </c>
      <c r="F711" s="34"/>
      <c r="G711" s="325"/>
    </row>
    <row r="712" spans="1:7" ht="15.75">
      <c r="A712" s="709">
        <v>14945</v>
      </c>
      <c r="B712" s="141">
        <v>0.08</v>
      </c>
      <c r="C712" s="839" t="s">
        <v>377</v>
      </c>
      <c r="D712" s="786"/>
      <c r="E712" s="786">
        <v>1200000</v>
      </c>
      <c r="F712" s="743"/>
      <c r="G712" s="325"/>
    </row>
    <row r="713" spans="1:7" ht="15.75">
      <c r="A713" s="709">
        <v>14943</v>
      </c>
      <c r="B713" s="141">
        <v>0.08</v>
      </c>
      <c r="C713" s="839" t="s">
        <v>378</v>
      </c>
      <c r="D713" s="786"/>
      <c r="E713" s="786">
        <v>1200000</v>
      </c>
      <c r="F713" s="743"/>
      <c r="G713" s="325"/>
    </row>
    <row r="714" spans="1:7" ht="15.75">
      <c r="A714" s="771"/>
      <c r="B714" s="843"/>
      <c r="C714" s="841"/>
      <c r="D714" s="845"/>
      <c r="E714" s="842"/>
      <c r="F714" s="785"/>
      <c r="G714" s="846"/>
    </row>
    <row r="715" spans="1:7" ht="15.75">
      <c r="A715" s="771"/>
      <c r="B715" s="772"/>
      <c r="C715" s="773"/>
      <c r="D715" s="845"/>
      <c r="E715" s="842"/>
      <c r="F715" s="785"/>
      <c r="G715" s="846"/>
    </row>
    <row r="716" spans="1:7" ht="18">
      <c r="A716" s="718"/>
      <c r="B716" s="718"/>
      <c r="C716" s="718"/>
      <c r="D716" s="850"/>
      <c r="E716" s="851">
        <f>SUM(E711:E715)</f>
        <v>3550000</v>
      </c>
      <c r="F716" s="719"/>
      <c r="G716" s="716">
        <v>0</v>
      </c>
    </row>
    <row r="719" spans="1:7">
      <c r="A719" s="1109" t="s">
        <v>629</v>
      </c>
      <c r="B719" s="1110"/>
      <c r="C719" s="1110"/>
      <c r="D719" s="1110"/>
      <c r="E719" s="1110"/>
      <c r="F719" s="1110"/>
      <c r="G719" s="1110"/>
    </row>
    <row r="720" spans="1:7">
      <c r="A720" s="1111"/>
      <c r="B720" s="1112"/>
      <c r="C720" s="1112"/>
      <c r="D720" s="1112"/>
      <c r="E720" s="1112"/>
      <c r="F720" s="1112"/>
      <c r="G720" s="1112"/>
    </row>
    <row r="721" spans="1:7">
      <c r="A721" s="723" t="s">
        <v>4</v>
      </c>
      <c r="B721" s="723" t="s">
        <v>495</v>
      </c>
      <c r="C721" s="724" t="s">
        <v>496</v>
      </c>
      <c r="D721" s="61" t="s">
        <v>497</v>
      </c>
      <c r="E721" s="723" t="s">
        <v>498</v>
      </c>
      <c r="F721" s="63" t="s">
        <v>8</v>
      </c>
      <c r="G721" s="725" t="s">
        <v>15</v>
      </c>
    </row>
    <row r="722" spans="1:7" ht="15.75">
      <c r="A722" s="709">
        <v>15073</v>
      </c>
      <c r="B722" s="141">
        <v>0.08</v>
      </c>
      <c r="C722" s="839" t="s">
        <v>383</v>
      </c>
      <c r="D722" s="786"/>
      <c r="E722" s="786">
        <v>1700000</v>
      </c>
      <c r="F722" s="141"/>
      <c r="G722" s="12"/>
    </row>
    <row r="723" spans="1:7" ht="15.75">
      <c r="A723" s="709">
        <v>14874</v>
      </c>
      <c r="B723" s="257">
        <v>0.1</v>
      </c>
      <c r="C723" s="711" t="s">
        <v>392</v>
      </c>
      <c r="D723" s="330"/>
      <c r="E723" s="330">
        <v>950000</v>
      </c>
      <c r="F723" s="141"/>
      <c r="G723" s="12"/>
    </row>
    <row r="724" spans="1:7" ht="15.75">
      <c r="A724" s="885">
        <v>14925</v>
      </c>
      <c r="B724" s="257">
        <v>0.1</v>
      </c>
      <c r="C724" s="711" t="s">
        <v>394</v>
      </c>
      <c r="D724" s="330"/>
      <c r="E724" s="330">
        <v>1200000</v>
      </c>
      <c r="F724" s="141"/>
      <c r="G724" s="12"/>
    </row>
    <row r="725" spans="1:7" ht="15.75">
      <c r="A725" s="920">
        <v>14937</v>
      </c>
      <c r="B725" s="921">
        <v>0.1</v>
      </c>
      <c r="C725" s="711" t="s">
        <v>395</v>
      </c>
      <c r="D725" s="330"/>
      <c r="E725" s="330">
        <v>2100000</v>
      </c>
      <c r="F725" s="141"/>
      <c r="G725" s="12"/>
    </row>
    <row r="726" spans="1:7" ht="15.75">
      <c r="A726" s="890">
        <v>14998</v>
      </c>
      <c r="B726" s="257">
        <v>0.1</v>
      </c>
      <c r="C726" s="711" t="s">
        <v>401</v>
      </c>
      <c r="D726" s="330"/>
      <c r="E726" s="330">
        <v>1350000</v>
      </c>
      <c r="F726" s="805"/>
      <c r="G726" s="12"/>
    </row>
    <row r="727" spans="1:7" ht="15.75">
      <c r="A727" s="890">
        <v>15008</v>
      </c>
      <c r="B727" s="257">
        <v>0.1</v>
      </c>
      <c r="C727" s="711" t="s">
        <v>403</v>
      </c>
      <c r="D727" s="330"/>
      <c r="E727" s="330">
        <v>2050000</v>
      </c>
      <c r="F727" s="141"/>
      <c r="G727" s="12"/>
    </row>
    <row r="728" spans="1:7" ht="15.75">
      <c r="A728" s="890">
        <v>15115</v>
      </c>
      <c r="B728" s="257">
        <v>0.1</v>
      </c>
      <c r="C728" s="711" t="s">
        <v>623</v>
      </c>
      <c r="D728" s="330"/>
      <c r="E728" s="330">
        <v>2000000</v>
      </c>
      <c r="F728" s="820"/>
      <c r="G728" s="156"/>
    </row>
    <row r="729" spans="1:7" ht="15.75">
      <c r="A729" s="709">
        <v>15112</v>
      </c>
      <c r="B729" s="257">
        <v>0.1</v>
      </c>
      <c r="C729" s="711" t="s">
        <v>406</v>
      </c>
      <c r="D729" s="330"/>
      <c r="E729" s="330">
        <v>900000</v>
      </c>
      <c r="F729" s="820"/>
      <c r="G729" s="156"/>
    </row>
    <row r="730" spans="1:7" ht="15.75">
      <c r="A730" s="709">
        <v>14881</v>
      </c>
      <c r="B730" s="33">
        <v>0.1</v>
      </c>
      <c r="C730" s="148" t="s">
        <v>371</v>
      </c>
      <c r="D730" s="12"/>
      <c r="E730" s="12">
        <v>1250000</v>
      </c>
      <c r="F730" s="820"/>
      <c r="G730" s="156"/>
    </row>
    <row r="731" spans="1:7" ht="15.75">
      <c r="A731" s="709">
        <v>14887</v>
      </c>
      <c r="B731" s="33">
        <v>0.1</v>
      </c>
      <c r="C731" s="148" t="s">
        <v>373</v>
      </c>
      <c r="D731" s="12"/>
      <c r="E731" s="12">
        <v>3057000</v>
      </c>
      <c r="F731" s="820"/>
      <c r="G731" s="156"/>
    </row>
    <row r="732" spans="1:7" ht="15.75">
      <c r="A732" s="709">
        <v>14989</v>
      </c>
      <c r="B732" s="33">
        <v>0.1</v>
      </c>
      <c r="C732" s="148" t="s">
        <v>379</v>
      </c>
      <c r="D732" s="12"/>
      <c r="E732" s="12">
        <v>1350000</v>
      </c>
      <c r="F732" s="820"/>
      <c r="G732" s="156"/>
    </row>
    <row r="733" spans="1:7" ht="15.75">
      <c r="A733" s="709">
        <v>15009</v>
      </c>
      <c r="B733" s="33">
        <v>0.1</v>
      </c>
      <c r="C733" s="148" t="s">
        <v>626</v>
      </c>
      <c r="D733" s="12"/>
      <c r="E733" s="12">
        <v>1000000</v>
      </c>
      <c r="F733" s="33"/>
      <c r="G733" s="12"/>
    </row>
    <row r="734" spans="1:7" ht="15.75">
      <c r="A734" s="709">
        <v>15032</v>
      </c>
      <c r="B734" s="33">
        <v>0.1</v>
      </c>
      <c r="C734" s="148" t="s">
        <v>382</v>
      </c>
      <c r="D734" s="12"/>
      <c r="E734" s="12">
        <v>2200000</v>
      </c>
      <c r="F734" s="34"/>
      <c r="G734" s="325"/>
    </row>
    <row r="735" spans="1:7" ht="15.75">
      <c r="A735" s="709">
        <v>15084</v>
      </c>
      <c r="B735" s="33">
        <v>0.1</v>
      </c>
      <c r="C735" s="307" t="s">
        <v>384</v>
      </c>
      <c r="D735" s="12"/>
      <c r="E735" s="12">
        <v>1300000</v>
      </c>
      <c r="F735" s="743"/>
      <c r="G735" s="325"/>
    </row>
    <row r="736" spans="1:7" ht="15.75">
      <c r="A736" s="709">
        <v>14862</v>
      </c>
      <c r="B736" s="801">
        <v>0.1</v>
      </c>
      <c r="C736" s="34" t="s">
        <v>391</v>
      </c>
      <c r="D736" s="903"/>
      <c r="E736" s="903">
        <v>1150000</v>
      </c>
      <c r="F736" s="34"/>
      <c r="G736" s="325"/>
    </row>
    <row r="737" spans="1:7" ht="15.75">
      <c r="A737" s="709">
        <v>14959</v>
      </c>
      <c r="B737" s="257">
        <v>0.08</v>
      </c>
      <c r="C737" s="830" t="s">
        <v>397</v>
      </c>
      <c r="D737" s="330"/>
      <c r="E737" s="330">
        <v>1200000</v>
      </c>
      <c r="F737" s="34"/>
      <c r="G737" s="325"/>
    </row>
    <row r="738" spans="1:7" ht="15.75">
      <c r="A738" s="889">
        <v>14960</v>
      </c>
      <c r="B738" s="257">
        <v>0.1</v>
      </c>
      <c r="C738" s="830" t="s">
        <v>398</v>
      </c>
      <c r="D738" s="330"/>
      <c r="E738" s="330">
        <v>900000</v>
      </c>
      <c r="F738" s="34"/>
      <c r="G738" s="325"/>
    </row>
    <row r="739" spans="1:7" ht="15.75">
      <c r="A739" s="709">
        <v>15106</v>
      </c>
      <c r="B739" s="141">
        <v>0.1</v>
      </c>
      <c r="C739" s="839" t="s">
        <v>385</v>
      </c>
      <c r="D739" s="786"/>
      <c r="E739" s="786">
        <v>1400000</v>
      </c>
      <c r="F739" s="34"/>
      <c r="G739" s="325"/>
    </row>
    <row r="740" spans="1:7" ht="15.75">
      <c r="A740" s="889">
        <v>15111</v>
      </c>
      <c r="B740" s="37">
        <v>0.1</v>
      </c>
      <c r="C740" s="34" t="s">
        <v>405</v>
      </c>
      <c r="D740" s="12"/>
      <c r="E740" s="330">
        <v>1200000</v>
      </c>
      <c r="F740" s="743"/>
      <c r="G740" s="325"/>
    </row>
    <row r="741" spans="1:7" ht="15.75">
      <c r="A741" s="709">
        <v>14909</v>
      </c>
      <c r="B741" s="141">
        <v>0.1</v>
      </c>
      <c r="C741" s="839" t="s">
        <v>376</v>
      </c>
      <c r="D741" s="786"/>
      <c r="E741" s="786">
        <v>1100000</v>
      </c>
      <c r="F741" s="877"/>
      <c r="G741" s="325"/>
    </row>
    <row r="742" spans="1:7" ht="15.75">
      <c r="A742" s="709">
        <v>15013</v>
      </c>
      <c r="B742" s="141">
        <v>0.1</v>
      </c>
      <c r="C742" s="839" t="s">
        <v>381</v>
      </c>
      <c r="D742" s="786"/>
      <c r="E742" s="786">
        <v>1000000</v>
      </c>
      <c r="F742" s="877"/>
      <c r="G742" s="325"/>
    </row>
    <row r="743" spans="1:7" ht="15.75">
      <c r="A743" s="709">
        <v>14964</v>
      </c>
      <c r="B743" s="257">
        <v>0.1</v>
      </c>
      <c r="C743" s="830" t="s">
        <v>400</v>
      </c>
      <c r="D743" s="330"/>
      <c r="E743" s="330">
        <v>2000000</v>
      </c>
      <c r="F743" s="877"/>
      <c r="G743" s="325"/>
    </row>
    <row r="744" spans="1:7" ht="15.75">
      <c r="A744" s="709">
        <v>14903</v>
      </c>
      <c r="B744" s="141">
        <v>0.1</v>
      </c>
      <c r="C744" s="839" t="s">
        <v>375</v>
      </c>
      <c r="D744" s="786"/>
      <c r="E744" s="786">
        <v>1150000</v>
      </c>
      <c r="F744" s="877"/>
      <c r="G744" s="325"/>
    </row>
    <row r="745" spans="1:7" ht="15.75">
      <c r="A745" s="709">
        <v>14945</v>
      </c>
      <c r="B745" s="141">
        <v>0.08</v>
      </c>
      <c r="C745" s="839" t="s">
        <v>377</v>
      </c>
      <c r="D745" s="786"/>
      <c r="E745" s="786">
        <v>1200000</v>
      </c>
      <c r="F745" s="877"/>
      <c r="G745" s="325"/>
    </row>
    <row r="746" spans="1:7" ht="15.75">
      <c r="A746" s="709">
        <v>14943</v>
      </c>
      <c r="B746" s="141">
        <v>0.08</v>
      </c>
      <c r="C746" s="839" t="s">
        <v>378</v>
      </c>
      <c r="D746" s="786"/>
      <c r="E746" s="786">
        <v>1200000</v>
      </c>
      <c r="F746" s="877"/>
      <c r="G746" s="325"/>
    </row>
    <row r="747" spans="1:7" ht="18">
      <c r="A747" s="718"/>
      <c r="B747" s="720"/>
      <c r="C747" s="720"/>
      <c r="D747" s="721" t="s">
        <v>86</v>
      </c>
      <c r="E747" s="722">
        <f>SUM(E722:E746)</f>
        <v>35907000</v>
      </c>
      <c r="F747" s="719"/>
      <c r="G747" s="717">
        <f>SUM(G722:G746)</f>
        <v>0</v>
      </c>
    </row>
    <row r="751" spans="1:7">
      <c r="A751" s="1113" t="s">
        <v>410</v>
      </c>
      <c r="B751" s="1114"/>
      <c r="C751" s="1114"/>
      <c r="D751" s="1114"/>
      <c r="E751" s="1114"/>
      <c r="F751" s="1114"/>
      <c r="G751" s="1114"/>
    </row>
    <row r="752" spans="1:7">
      <c r="A752" s="1115"/>
      <c r="B752" s="1116"/>
      <c r="C752" s="1116"/>
      <c r="D752" s="1116"/>
      <c r="E752" s="1116"/>
      <c r="F752" s="1116"/>
      <c r="G752" s="1116"/>
    </row>
    <row r="753" spans="1:7">
      <c r="A753" s="1115"/>
      <c r="B753" s="1116"/>
      <c r="C753" s="1116"/>
      <c r="D753" s="1116"/>
      <c r="E753" s="1116"/>
      <c r="F753" s="1116"/>
      <c r="G753" s="1116"/>
    </row>
    <row r="754" spans="1:7">
      <c r="A754" s="1115"/>
      <c r="B754" s="1116"/>
      <c r="C754" s="1116"/>
      <c r="D754" s="1116"/>
      <c r="E754" s="1116"/>
      <c r="F754" s="1116"/>
      <c r="G754" s="1116"/>
    </row>
    <row r="756" spans="1:7">
      <c r="A756" s="1109" t="s">
        <v>630</v>
      </c>
      <c r="B756" s="1110"/>
      <c r="C756" s="1110"/>
      <c r="D756" s="1110"/>
      <c r="E756" s="1110"/>
      <c r="F756" s="1110"/>
      <c r="G756" s="1117"/>
    </row>
    <row r="757" spans="1:7">
      <c r="A757" s="1111"/>
      <c r="B757" s="1112"/>
      <c r="C757" s="1112"/>
      <c r="D757" s="1112"/>
      <c r="E757" s="1112"/>
      <c r="F757" s="1112"/>
      <c r="G757" s="1118"/>
    </row>
    <row r="758" spans="1:7">
      <c r="A758" s="723" t="s">
        <v>4</v>
      </c>
      <c r="B758" s="723" t="s">
        <v>495</v>
      </c>
      <c r="C758" s="724" t="s">
        <v>496</v>
      </c>
      <c r="D758" s="61" t="s">
        <v>497</v>
      </c>
      <c r="E758" s="723" t="s">
        <v>498</v>
      </c>
      <c r="F758" s="63" t="s">
        <v>8</v>
      </c>
      <c r="G758" s="725" t="s">
        <v>15</v>
      </c>
    </row>
    <row r="759" spans="1:7" ht="15.75">
      <c r="A759" s="709">
        <v>15360</v>
      </c>
      <c r="B759" s="141">
        <v>0.1</v>
      </c>
      <c r="C759" s="839" t="s">
        <v>423</v>
      </c>
      <c r="D759" s="786"/>
      <c r="E759" s="786">
        <v>1300000</v>
      </c>
      <c r="F759" s="141"/>
      <c r="G759" s="12"/>
    </row>
    <row r="760" spans="1:7" ht="15.75">
      <c r="A760" s="709">
        <v>15146</v>
      </c>
      <c r="B760" s="257">
        <v>0.1</v>
      </c>
      <c r="C760" s="34" t="s">
        <v>429</v>
      </c>
      <c r="D760" s="330"/>
      <c r="E760" s="330">
        <v>1300000</v>
      </c>
      <c r="F760" s="805"/>
      <c r="G760" s="12"/>
    </row>
    <row r="761" spans="1:7" ht="15.75">
      <c r="A761" s="709">
        <v>15198</v>
      </c>
      <c r="B761" s="257">
        <v>0.1</v>
      </c>
      <c r="C761" s="34" t="s">
        <v>433</v>
      </c>
      <c r="D761" s="330"/>
      <c r="E761" s="330">
        <v>1400000</v>
      </c>
      <c r="F761" s="141"/>
      <c r="G761" s="12"/>
    </row>
    <row r="762" spans="1:7" ht="15.75">
      <c r="A762" s="709">
        <v>15223</v>
      </c>
      <c r="B762" s="710">
        <v>0.08</v>
      </c>
      <c r="C762" s="34" t="s">
        <v>434</v>
      </c>
      <c r="D762" s="330"/>
      <c r="E762" s="330">
        <v>1800000</v>
      </c>
      <c r="F762" s="805"/>
      <c r="G762" s="12"/>
    </row>
    <row r="763" spans="1:7" ht="15.75">
      <c r="A763" s="934">
        <v>15230</v>
      </c>
      <c r="B763" s="710">
        <v>0.08</v>
      </c>
      <c r="C763" s="34" t="s">
        <v>435</v>
      </c>
      <c r="D763" s="330"/>
      <c r="E763" s="330">
        <v>2100000</v>
      </c>
      <c r="F763" s="141"/>
      <c r="G763" s="12"/>
    </row>
    <row r="764" spans="1:7" ht="15.75">
      <c r="A764" s="934">
        <v>15245</v>
      </c>
      <c r="B764" s="257">
        <v>0.1</v>
      </c>
      <c r="C764" s="34" t="s">
        <v>436</v>
      </c>
      <c r="D764" s="330"/>
      <c r="E764" s="330">
        <v>1900000</v>
      </c>
      <c r="F764" s="820"/>
      <c r="G764" s="156"/>
    </row>
    <row r="765" spans="1:7" ht="15.75">
      <c r="A765" s="709">
        <v>15271</v>
      </c>
      <c r="B765" s="257">
        <v>0.1</v>
      </c>
      <c r="C765" s="34" t="s">
        <v>437</v>
      </c>
      <c r="D765" s="330"/>
      <c r="E765" s="330">
        <v>950000</v>
      </c>
      <c r="F765" s="820"/>
      <c r="G765" s="156"/>
    </row>
    <row r="766" spans="1:7" ht="15.75">
      <c r="A766" s="709">
        <v>15295</v>
      </c>
      <c r="B766" s="33">
        <v>0.1</v>
      </c>
      <c r="C766" s="35" t="s">
        <v>442</v>
      </c>
      <c r="D766" s="12"/>
      <c r="E766" s="12">
        <v>1450000</v>
      </c>
      <c r="F766" s="820"/>
      <c r="G766" s="156"/>
    </row>
    <row r="767" spans="1:7" ht="15.75">
      <c r="A767" s="771"/>
      <c r="B767" s="843"/>
      <c r="C767" s="785"/>
      <c r="D767" s="892"/>
      <c r="E767" s="842"/>
      <c r="F767" s="893"/>
      <c r="G767" s="894"/>
    </row>
    <row r="768" spans="1:7" ht="15.75">
      <c r="A768" s="771"/>
      <c r="B768" s="843"/>
      <c r="C768" s="785"/>
      <c r="D768" s="892"/>
      <c r="E768" s="842"/>
      <c r="F768" s="893"/>
      <c r="G768" s="894"/>
    </row>
    <row r="769" spans="1:7" ht="15.75">
      <c r="A769" s="771"/>
      <c r="B769" s="843"/>
      <c r="C769" s="895"/>
      <c r="D769" s="891"/>
      <c r="E769" s="896"/>
      <c r="F769" s="772"/>
      <c r="G769" s="774"/>
    </row>
    <row r="770" spans="1:7" ht="18">
      <c r="A770" s="714"/>
      <c r="B770" s="714"/>
      <c r="C770" s="714"/>
      <c r="D770" s="715"/>
      <c r="E770" s="811">
        <f>SUM(E759:E769)</f>
        <v>12200000</v>
      </c>
      <c r="F770" s="714"/>
      <c r="G770" s="821">
        <f>SUM(G759:G769)</f>
        <v>0</v>
      </c>
    </row>
    <row r="771" spans="1:7">
      <c r="A771" s="713"/>
      <c r="B771" s="713"/>
      <c r="C771" s="713"/>
      <c r="D771" s="713"/>
      <c r="E771" s="742"/>
      <c r="F771" s="713"/>
      <c r="G771" s="742"/>
    </row>
    <row r="772" spans="1:7">
      <c r="A772" s="713"/>
      <c r="B772" s="713"/>
      <c r="C772" s="713"/>
      <c r="D772" s="713"/>
      <c r="E772" s="713"/>
      <c r="F772" s="713"/>
      <c r="G772" s="713"/>
    </row>
    <row r="773" spans="1:7">
      <c r="A773" s="713"/>
      <c r="B773" s="713"/>
      <c r="C773" s="713"/>
      <c r="D773" s="713"/>
      <c r="E773" s="713"/>
      <c r="F773" s="713"/>
      <c r="G773" s="713"/>
    </row>
    <row r="774" spans="1:7">
      <c r="A774" s="1109" t="s">
        <v>631</v>
      </c>
      <c r="B774" s="1110"/>
      <c r="C774" s="1110"/>
      <c r="D774" s="1110"/>
      <c r="E774" s="1110"/>
      <c r="F774" s="1110"/>
      <c r="G774" s="1117"/>
    </row>
    <row r="775" spans="1:7">
      <c r="A775" s="1111"/>
      <c r="B775" s="1112"/>
      <c r="C775" s="1112"/>
      <c r="D775" s="1112"/>
      <c r="E775" s="1112"/>
      <c r="F775" s="1112"/>
      <c r="G775" s="1118"/>
    </row>
    <row r="776" spans="1:7">
      <c r="A776" s="150" t="s">
        <v>4</v>
      </c>
      <c r="B776" s="60" t="s">
        <v>495</v>
      </c>
      <c r="C776" s="150" t="s">
        <v>496</v>
      </c>
      <c r="D776" s="61" t="s">
        <v>497</v>
      </c>
      <c r="E776" s="60" t="s">
        <v>498</v>
      </c>
      <c r="F776" s="727" t="s">
        <v>8</v>
      </c>
      <c r="G776" s="726" t="s">
        <v>15</v>
      </c>
    </row>
    <row r="777" spans="1:7" ht="15.75">
      <c r="A777" s="709">
        <v>15148</v>
      </c>
      <c r="B777" s="141">
        <v>0.1</v>
      </c>
      <c r="C777" s="839" t="s">
        <v>412</v>
      </c>
      <c r="D777" s="786"/>
      <c r="E777" s="786">
        <v>1000000</v>
      </c>
      <c r="F777" s="34"/>
      <c r="G777" s="325"/>
    </row>
    <row r="778" spans="1:7" ht="15.75">
      <c r="A778" s="709">
        <v>15277</v>
      </c>
      <c r="B778" s="141">
        <v>0.1</v>
      </c>
      <c r="C778" s="839" t="s">
        <v>632</v>
      </c>
      <c r="D778" s="786"/>
      <c r="E778" s="786">
        <v>1200000</v>
      </c>
      <c r="F778" s="743"/>
      <c r="G778" s="325"/>
    </row>
    <row r="779" spans="1:7" ht="15.75">
      <c r="A779" s="709">
        <v>15285</v>
      </c>
      <c r="B779" s="141">
        <v>0.1</v>
      </c>
      <c r="C779" s="839" t="s">
        <v>419</v>
      </c>
      <c r="D779" s="786"/>
      <c r="E779" s="786">
        <v>620000</v>
      </c>
      <c r="F779" s="743"/>
      <c r="G779" s="325"/>
    </row>
    <row r="780" spans="1:7" ht="15.75">
      <c r="A780" s="709">
        <v>15319</v>
      </c>
      <c r="B780" s="141">
        <v>0.1</v>
      </c>
      <c r="C780" s="839" t="s">
        <v>420</v>
      </c>
      <c r="D780" s="786"/>
      <c r="E780" s="786">
        <v>1300000</v>
      </c>
      <c r="F780" s="743"/>
      <c r="G780" s="325"/>
    </row>
    <row r="781" spans="1:7" ht="15.75">
      <c r="A781" s="709">
        <v>15327</v>
      </c>
      <c r="B781" s="141">
        <v>0.1</v>
      </c>
      <c r="C781" s="839" t="s">
        <v>421</v>
      </c>
      <c r="D781" s="786"/>
      <c r="E781" s="786">
        <v>1400000</v>
      </c>
      <c r="F781" s="743"/>
      <c r="G781" s="325"/>
    </row>
    <row r="782" spans="1:7" ht="15.75">
      <c r="A782" s="709">
        <v>15347</v>
      </c>
      <c r="B782" s="141">
        <v>0.1</v>
      </c>
      <c r="C782" s="839" t="s">
        <v>422</v>
      </c>
      <c r="D782" s="786"/>
      <c r="E782" s="786">
        <v>2100000</v>
      </c>
      <c r="F782" s="743"/>
      <c r="G782" s="325"/>
    </row>
    <row r="783" spans="1:7" ht="15.75">
      <c r="A783" s="709">
        <v>15378</v>
      </c>
      <c r="B783" s="805">
        <v>0.08</v>
      </c>
      <c r="C783" s="839" t="s">
        <v>424</v>
      </c>
      <c r="D783" s="786"/>
      <c r="E783" s="786">
        <v>950000</v>
      </c>
      <c r="F783" s="743"/>
      <c r="G783" s="325"/>
    </row>
    <row r="784" spans="1:7" ht="15.75">
      <c r="A784" s="709">
        <v>15177</v>
      </c>
      <c r="B784" s="710">
        <v>0.08</v>
      </c>
      <c r="C784" s="34" t="s">
        <v>431</v>
      </c>
      <c r="D784" s="330"/>
      <c r="E784" s="330">
        <v>1750000</v>
      </c>
      <c r="F784" s="743"/>
      <c r="G784" s="325"/>
    </row>
    <row r="785" spans="1:7" ht="15.75">
      <c r="A785" s="890">
        <v>15282</v>
      </c>
      <c r="B785" s="257">
        <v>0.1</v>
      </c>
      <c r="C785" s="830" t="s">
        <v>438</v>
      </c>
      <c r="D785" s="330"/>
      <c r="E785" s="330">
        <v>1300000</v>
      </c>
      <c r="F785" s="743"/>
      <c r="G785" s="325"/>
    </row>
    <row r="786" spans="1:7" ht="15.75">
      <c r="A786" s="771"/>
      <c r="B786" s="843"/>
      <c r="C786" s="841"/>
      <c r="D786" s="845"/>
      <c r="E786" s="847"/>
      <c r="F786" s="848"/>
      <c r="G786" s="846"/>
    </row>
    <row r="787" spans="1:7" ht="15.75">
      <c r="A787" s="771"/>
      <c r="B787" s="843"/>
      <c r="C787" s="841"/>
      <c r="D787" s="845"/>
      <c r="E787" s="847"/>
      <c r="F787" s="848"/>
      <c r="G787" s="846"/>
    </row>
    <row r="788" spans="1:7" ht="15.75">
      <c r="A788" s="771"/>
      <c r="B788" s="843"/>
      <c r="C788" s="785"/>
      <c r="D788" s="845"/>
      <c r="E788" s="842"/>
      <c r="F788" s="785"/>
      <c r="G788" s="846"/>
    </row>
    <row r="789" spans="1:7" ht="15.75">
      <c r="A789" s="771"/>
      <c r="B789" s="843"/>
      <c r="C789" s="785"/>
      <c r="D789" s="842"/>
      <c r="E789" s="842"/>
      <c r="F789" s="785"/>
      <c r="G789" s="846"/>
    </row>
    <row r="790" spans="1:7" ht="15.75">
      <c r="A790" s="771"/>
      <c r="B790" s="843"/>
      <c r="C790" s="785"/>
      <c r="D790" s="842"/>
      <c r="E790" s="842"/>
      <c r="F790" s="785"/>
      <c r="G790" s="846"/>
    </row>
    <row r="791" spans="1:7" ht="18">
      <c r="A791" s="718"/>
      <c r="B791" s="718"/>
      <c r="C791" s="718"/>
      <c r="D791" s="850"/>
      <c r="E791" s="851">
        <f>SUM(E777:E790)</f>
        <v>11620000</v>
      </c>
      <c r="F791" s="719"/>
      <c r="G791" s="716">
        <v>0</v>
      </c>
    </row>
    <row r="794" spans="1:7">
      <c r="A794" s="1109" t="s">
        <v>633</v>
      </c>
      <c r="B794" s="1110"/>
      <c r="C794" s="1110"/>
      <c r="D794" s="1110"/>
      <c r="E794" s="1110"/>
      <c r="F794" s="1110"/>
      <c r="G794" s="1117"/>
    </row>
    <row r="795" spans="1:7">
      <c r="A795" s="1111"/>
      <c r="B795" s="1112"/>
      <c r="C795" s="1112"/>
      <c r="D795" s="1112"/>
      <c r="E795" s="1112"/>
      <c r="F795" s="1112"/>
      <c r="G795" s="1118"/>
    </row>
    <row r="796" spans="1:7">
      <c r="A796" s="60" t="s">
        <v>4</v>
      </c>
      <c r="B796" s="60" t="s">
        <v>495</v>
      </c>
      <c r="C796" s="150" t="s">
        <v>496</v>
      </c>
      <c r="D796" s="61" t="s">
        <v>497</v>
      </c>
      <c r="E796" s="60" t="s">
        <v>498</v>
      </c>
      <c r="F796" s="727" t="s">
        <v>8</v>
      </c>
      <c r="G796" s="726" t="s">
        <v>15</v>
      </c>
    </row>
    <row r="797" spans="1:7" ht="15.75">
      <c r="A797" s="709">
        <v>15276</v>
      </c>
      <c r="B797" s="141">
        <v>0.1</v>
      </c>
      <c r="C797" s="839" t="s">
        <v>416</v>
      </c>
      <c r="D797" s="786"/>
      <c r="E797" s="786">
        <v>1180000</v>
      </c>
      <c r="F797" s="127"/>
      <c r="G797" s="325"/>
    </row>
    <row r="798" spans="1:7" ht="15.75">
      <c r="A798" s="709">
        <v>15284</v>
      </c>
      <c r="B798" s="141">
        <v>0.1</v>
      </c>
      <c r="C798" s="839" t="s">
        <v>418</v>
      </c>
      <c r="D798" s="786"/>
      <c r="E798" s="786">
        <v>900000</v>
      </c>
      <c r="F798" s="127"/>
      <c r="G798" s="325"/>
    </row>
    <row r="799" spans="1:7" ht="15.75">
      <c r="A799" s="709">
        <v>15178</v>
      </c>
      <c r="B799" s="257">
        <v>0.1</v>
      </c>
      <c r="C799" s="34" t="s">
        <v>432</v>
      </c>
      <c r="D799" s="330"/>
      <c r="E799" s="330">
        <v>1300000</v>
      </c>
      <c r="F799" s="127"/>
      <c r="G799" s="325"/>
    </row>
    <row r="800" spans="1:7" ht="15.75">
      <c r="A800" s="709">
        <v>15382</v>
      </c>
      <c r="B800" s="801">
        <v>0.1</v>
      </c>
      <c r="C800" s="736" t="s">
        <v>425</v>
      </c>
      <c r="D800" s="903"/>
      <c r="E800" s="903">
        <v>1800000</v>
      </c>
      <c r="F800" s="127"/>
      <c r="G800" s="325"/>
    </row>
    <row r="801" spans="1:7" ht="18">
      <c r="A801" s="709">
        <v>15394</v>
      </c>
      <c r="B801" s="257">
        <v>0.1</v>
      </c>
      <c r="C801" s="34" t="s">
        <v>426</v>
      </c>
      <c r="D801" s="330"/>
      <c r="E801" s="12">
        <v>1450000</v>
      </c>
      <c r="F801" s="918"/>
      <c r="G801" s="904"/>
    </row>
    <row r="802" spans="1:7" ht="15.75">
      <c r="A802" s="771"/>
      <c r="B802" s="772"/>
      <c r="C802" s="938"/>
      <c r="D802" s="774"/>
      <c r="E802" s="774"/>
      <c r="F802" s="939"/>
      <c r="G802" s="20"/>
    </row>
    <row r="803" spans="1:7" ht="15.75">
      <c r="A803" s="905"/>
      <c r="B803" s="940"/>
      <c r="C803" s="841"/>
      <c r="D803" s="774"/>
      <c r="E803" s="842"/>
      <c r="F803" s="775"/>
      <c r="G803" s="20"/>
    </row>
    <row r="804" spans="1:7" ht="18">
      <c r="A804" s="771"/>
      <c r="B804" s="772"/>
      <c r="C804" s="897"/>
      <c r="D804" s="774"/>
      <c r="E804" s="902">
        <f>SUM(E797:E803)</f>
        <v>6630000</v>
      </c>
      <c r="F804" s="20"/>
      <c r="G804" s="20"/>
    </row>
    <row r="805" spans="1:7" ht="15.75">
      <c r="A805" s="898"/>
      <c r="B805" s="899"/>
      <c r="C805" s="900"/>
      <c r="D805" s="901"/>
    </row>
    <row r="806" spans="1:7" ht="15.75">
      <c r="A806" s="898"/>
      <c r="B806" s="899"/>
      <c r="C806" s="900"/>
      <c r="D806" s="901"/>
    </row>
    <row r="808" spans="1:7">
      <c r="A808" s="1109" t="s">
        <v>634</v>
      </c>
      <c r="B808" s="1110"/>
      <c r="C808" s="1110"/>
      <c r="D808" s="1110"/>
      <c r="E808" s="1110"/>
      <c r="F808" s="1110"/>
      <c r="G808" s="1117"/>
    </row>
    <row r="809" spans="1:7">
      <c r="A809" s="1111"/>
      <c r="B809" s="1112"/>
      <c r="C809" s="1112"/>
      <c r="D809" s="1112"/>
      <c r="E809" s="1112"/>
      <c r="F809" s="1112"/>
      <c r="G809" s="1118"/>
    </row>
    <row r="810" spans="1:7">
      <c r="A810" s="150" t="s">
        <v>4</v>
      </c>
      <c r="B810" s="60" t="s">
        <v>495</v>
      </c>
      <c r="C810" s="150" t="s">
        <v>496</v>
      </c>
      <c r="D810" s="61" t="s">
        <v>497</v>
      </c>
      <c r="E810" s="60" t="s">
        <v>498</v>
      </c>
      <c r="F810" s="727" t="s">
        <v>8</v>
      </c>
      <c r="G810" s="726" t="s">
        <v>15</v>
      </c>
    </row>
    <row r="811" spans="1:7" ht="15.75">
      <c r="A811" s="709">
        <v>15140</v>
      </c>
      <c r="B811" s="859">
        <v>0.1</v>
      </c>
      <c r="C811" s="34" t="s">
        <v>441</v>
      </c>
      <c r="D811" s="856"/>
      <c r="E811" s="856">
        <v>1230000</v>
      </c>
      <c r="F811" s="34"/>
      <c r="G811" s="325"/>
    </row>
    <row r="812" spans="1:7" ht="15.75">
      <c r="A812" s="771"/>
      <c r="B812" s="861"/>
      <c r="C812" s="863"/>
      <c r="D812" s="862"/>
      <c r="E812" s="862"/>
      <c r="F812" s="895"/>
      <c r="G812" s="846"/>
    </row>
    <row r="813" spans="1:7" ht="18">
      <c r="A813" s="718"/>
      <c r="B813" s="718"/>
      <c r="C813" s="718"/>
      <c r="D813" s="850"/>
      <c r="E813" s="851">
        <f>SUM(E811:E812)</f>
        <v>1230000</v>
      </c>
      <c r="F813" s="719"/>
      <c r="G813" s="716">
        <v>0</v>
      </c>
    </row>
    <row r="817" spans="1:7">
      <c r="A817" s="1109" t="s">
        <v>635</v>
      </c>
      <c r="B817" s="1110"/>
      <c r="C817" s="1110"/>
      <c r="D817" s="1110"/>
      <c r="E817" s="1110"/>
      <c r="F817" s="1110"/>
      <c r="G817" s="1110"/>
    </row>
    <row r="818" spans="1:7">
      <c r="A818" s="1111"/>
      <c r="B818" s="1112"/>
      <c r="C818" s="1112"/>
      <c r="D818" s="1112"/>
      <c r="E818" s="1112"/>
      <c r="F818" s="1112"/>
      <c r="G818" s="1112"/>
    </row>
    <row r="819" spans="1:7">
      <c r="A819" s="723" t="s">
        <v>4</v>
      </c>
      <c r="B819" s="723" t="s">
        <v>495</v>
      </c>
      <c r="C819" s="724" t="s">
        <v>496</v>
      </c>
      <c r="D819" s="61" t="s">
        <v>497</v>
      </c>
      <c r="E819" s="723" t="s">
        <v>498</v>
      </c>
      <c r="F819" s="63" t="s">
        <v>8</v>
      </c>
      <c r="G819" s="725" t="s">
        <v>15</v>
      </c>
    </row>
    <row r="820" spans="1:7" ht="15.75">
      <c r="A820" s="709">
        <v>15360</v>
      </c>
      <c r="B820" s="141">
        <v>0.1</v>
      </c>
      <c r="C820" s="839" t="s">
        <v>423</v>
      </c>
      <c r="D820" s="786"/>
      <c r="E820" s="786">
        <v>1300000</v>
      </c>
      <c r="F820" s="141"/>
      <c r="G820" s="12"/>
    </row>
    <row r="821" spans="1:7" ht="15.75">
      <c r="A821" s="709">
        <v>15146</v>
      </c>
      <c r="B821" s="257">
        <v>0.1</v>
      </c>
      <c r="C821" s="34" t="s">
        <v>429</v>
      </c>
      <c r="D821" s="330"/>
      <c r="E821" s="330">
        <v>1300000</v>
      </c>
      <c r="F821" s="805"/>
      <c r="G821" s="12"/>
    </row>
    <row r="822" spans="1:7" ht="15.75">
      <c r="A822" s="709">
        <v>15198</v>
      </c>
      <c r="B822" s="257">
        <v>0.1</v>
      </c>
      <c r="C822" s="34" t="s">
        <v>433</v>
      </c>
      <c r="D822" s="330"/>
      <c r="E822" s="330">
        <v>1400000</v>
      </c>
      <c r="F822" s="141"/>
      <c r="G822" s="12"/>
    </row>
    <row r="823" spans="1:7" ht="15.75">
      <c r="A823" s="709">
        <v>15223</v>
      </c>
      <c r="B823" s="710">
        <v>0.08</v>
      </c>
      <c r="C823" s="34" t="s">
        <v>434</v>
      </c>
      <c r="D823" s="330"/>
      <c r="E823" s="330">
        <v>1800000</v>
      </c>
      <c r="F823" s="805"/>
      <c r="G823" s="12"/>
    </row>
    <row r="824" spans="1:7" ht="15.75">
      <c r="A824" s="934">
        <v>15230</v>
      </c>
      <c r="B824" s="257">
        <v>0.1</v>
      </c>
      <c r="C824" s="34" t="s">
        <v>435</v>
      </c>
      <c r="D824" s="330"/>
      <c r="E824" s="330">
        <v>2100000</v>
      </c>
      <c r="F824" s="141"/>
      <c r="G824" s="12"/>
    </row>
    <row r="825" spans="1:7" ht="15.75">
      <c r="A825" s="934">
        <v>15245</v>
      </c>
      <c r="B825" s="257">
        <v>0.1</v>
      </c>
      <c r="C825" s="34" t="s">
        <v>436</v>
      </c>
      <c r="D825" s="330"/>
      <c r="E825" s="330">
        <v>1900000</v>
      </c>
      <c r="F825" s="820"/>
      <c r="G825" s="156"/>
    </row>
    <row r="826" spans="1:7" ht="15.75">
      <c r="A826" s="709">
        <v>15271</v>
      </c>
      <c r="B826" s="257">
        <v>0.1</v>
      </c>
      <c r="C826" s="34" t="s">
        <v>437</v>
      </c>
      <c r="D826" s="330"/>
      <c r="E826" s="330">
        <v>950000</v>
      </c>
      <c r="F826" s="820"/>
      <c r="G826" s="156"/>
    </row>
    <row r="827" spans="1:7" ht="15.75">
      <c r="A827" s="709">
        <v>15295</v>
      </c>
      <c r="B827" s="33">
        <v>0.1</v>
      </c>
      <c r="C827" s="35" t="s">
        <v>442</v>
      </c>
      <c r="D827" s="12"/>
      <c r="E827" s="12">
        <v>1450000</v>
      </c>
      <c r="F827" s="820"/>
      <c r="G827" s="156"/>
    </row>
    <row r="828" spans="1:7" ht="15.75">
      <c r="A828" s="709">
        <v>15148</v>
      </c>
      <c r="B828" s="141">
        <v>0.1</v>
      </c>
      <c r="C828" s="839" t="s">
        <v>412</v>
      </c>
      <c r="D828" s="786"/>
      <c r="E828" s="786">
        <v>1000000</v>
      </c>
      <c r="F828" s="34"/>
      <c r="G828" s="325"/>
    </row>
    <row r="829" spans="1:7" ht="15.75">
      <c r="A829" s="709">
        <v>15277</v>
      </c>
      <c r="B829" s="141">
        <v>0.1</v>
      </c>
      <c r="C829" s="839" t="s">
        <v>414</v>
      </c>
      <c r="D829" s="786"/>
      <c r="E829" s="786">
        <v>1200000</v>
      </c>
      <c r="F829" s="743"/>
      <c r="G829" s="325"/>
    </row>
    <row r="830" spans="1:7" ht="15.75">
      <c r="A830" s="709">
        <v>15285</v>
      </c>
      <c r="B830" s="141">
        <v>0.1</v>
      </c>
      <c r="C830" s="839" t="s">
        <v>419</v>
      </c>
      <c r="D830" s="786"/>
      <c r="E830" s="786">
        <v>620000</v>
      </c>
      <c r="F830" s="743"/>
      <c r="G830" s="325"/>
    </row>
    <row r="831" spans="1:7" ht="15.75">
      <c r="A831" s="709">
        <v>15319</v>
      </c>
      <c r="B831" s="141">
        <v>0.1</v>
      </c>
      <c r="C831" s="839" t="s">
        <v>420</v>
      </c>
      <c r="D831" s="786"/>
      <c r="E831" s="786">
        <v>1300000</v>
      </c>
      <c r="F831" s="743"/>
      <c r="G831" s="325"/>
    </row>
    <row r="832" spans="1:7" ht="15.75">
      <c r="A832" s="709">
        <v>15327</v>
      </c>
      <c r="B832" s="141">
        <v>0.1</v>
      </c>
      <c r="C832" s="839" t="s">
        <v>421</v>
      </c>
      <c r="D832" s="786"/>
      <c r="E832" s="786">
        <v>1400000</v>
      </c>
      <c r="F832" s="743"/>
      <c r="G832" s="325"/>
    </row>
    <row r="833" spans="1:7" ht="15.75">
      <c r="A833" s="709">
        <v>15347</v>
      </c>
      <c r="B833" s="141">
        <v>0.1</v>
      </c>
      <c r="C833" s="839" t="s">
        <v>422</v>
      </c>
      <c r="D833" s="786"/>
      <c r="E833" s="786">
        <v>2100000</v>
      </c>
      <c r="F833" s="743"/>
      <c r="G833" s="325"/>
    </row>
    <row r="834" spans="1:7" ht="15.75">
      <c r="A834" s="709">
        <v>15378</v>
      </c>
      <c r="B834" s="805">
        <v>0.08</v>
      </c>
      <c r="C834" s="839" t="s">
        <v>424</v>
      </c>
      <c r="D834" s="786"/>
      <c r="E834" s="786">
        <v>950000</v>
      </c>
      <c r="F834" s="743"/>
      <c r="G834" s="325"/>
    </row>
    <row r="835" spans="1:7" ht="15.75">
      <c r="A835" s="709">
        <v>15177</v>
      </c>
      <c r="B835" s="710">
        <v>0.08</v>
      </c>
      <c r="C835" s="34" t="s">
        <v>431</v>
      </c>
      <c r="D835" s="330"/>
      <c r="E835" s="330">
        <v>1750000</v>
      </c>
      <c r="F835" s="743"/>
      <c r="G835" s="325"/>
    </row>
    <row r="836" spans="1:7" ht="15.75">
      <c r="A836" s="890">
        <v>15282</v>
      </c>
      <c r="B836" s="257">
        <v>0.1</v>
      </c>
      <c r="C836" s="830" t="s">
        <v>438</v>
      </c>
      <c r="D836" s="330"/>
      <c r="E836" s="330">
        <v>1300000</v>
      </c>
      <c r="F836" s="743"/>
      <c r="G836" s="325"/>
    </row>
    <row r="837" spans="1:7" ht="15.75">
      <c r="A837" s="709">
        <v>15276</v>
      </c>
      <c r="B837" s="141">
        <v>0.1</v>
      </c>
      <c r="C837" s="839" t="s">
        <v>416</v>
      </c>
      <c r="D837" s="786"/>
      <c r="E837" s="786">
        <v>1180000</v>
      </c>
      <c r="F837" s="127"/>
      <c r="G837" s="325"/>
    </row>
    <row r="838" spans="1:7" ht="15.75">
      <c r="A838" s="709">
        <v>15284</v>
      </c>
      <c r="B838" s="141">
        <v>0.1</v>
      </c>
      <c r="C838" s="839" t="s">
        <v>418</v>
      </c>
      <c r="D838" s="786"/>
      <c r="E838" s="786">
        <v>900000</v>
      </c>
      <c r="F838" s="127"/>
      <c r="G838" s="325"/>
    </row>
    <row r="839" spans="1:7" ht="15.75">
      <c r="A839" s="709">
        <v>15178</v>
      </c>
      <c r="B839" s="257">
        <v>0.1</v>
      </c>
      <c r="C839" s="34" t="s">
        <v>432</v>
      </c>
      <c r="D839" s="330"/>
      <c r="E839" s="330">
        <v>1300000</v>
      </c>
      <c r="F839" s="127"/>
      <c r="G839" s="325"/>
    </row>
    <row r="840" spans="1:7" ht="15.75">
      <c r="A840" s="709">
        <v>15382</v>
      </c>
      <c r="B840" s="141">
        <v>0.1</v>
      </c>
      <c r="C840" s="839" t="s">
        <v>425</v>
      </c>
      <c r="D840" s="786"/>
      <c r="E840" s="786">
        <v>1800000</v>
      </c>
      <c r="F840" s="127"/>
      <c r="G840" s="325"/>
    </row>
    <row r="841" spans="1:7" ht="15.75">
      <c r="A841" s="709">
        <v>15140</v>
      </c>
      <c r="B841" s="859">
        <v>0.1</v>
      </c>
      <c r="C841" s="34" t="s">
        <v>441</v>
      </c>
      <c r="D841" s="856"/>
      <c r="E841" s="856">
        <v>1230000</v>
      </c>
      <c r="F841" s="34"/>
      <c r="G841" s="325"/>
    </row>
    <row r="842" spans="1:7" ht="15.75">
      <c r="A842" s="709">
        <v>15394</v>
      </c>
      <c r="B842" s="257">
        <v>0.1</v>
      </c>
      <c r="C842" s="34" t="s">
        <v>426</v>
      </c>
      <c r="D842" s="330"/>
      <c r="E842" s="12">
        <v>1450000</v>
      </c>
      <c r="F842" s="877"/>
      <c r="G842" s="325"/>
    </row>
    <row r="843" spans="1:7" ht="18">
      <c r="A843" s="718"/>
      <c r="B843" s="720"/>
      <c r="C843" s="720"/>
      <c r="D843" s="721" t="s">
        <v>86</v>
      </c>
      <c r="E843" s="722">
        <f>SUM(E820:E842)</f>
        <v>31680000</v>
      </c>
      <c r="F843" s="719"/>
      <c r="G843" s="717">
        <f>SUM(G820:G842)</f>
        <v>0</v>
      </c>
    </row>
    <row r="848" spans="1:7">
      <c r="A848" s="1113" t="s">
        <v>443</v>
      </c>
      <c r="B848" s="1114"/>
      <c r="C848" s="1114"/>
      <c r="D848" s="1114"/>
      <c r="E848" s="1114"/>
      <c r="F848" s="1114"/>
      <c r="G848" s="1114"/>
    </row>
    <row r="849" spans="1:7">
      <c r="A849" s="1115"/>
      <c r="B849" s="1116"/>
      <c r="C849" s="1116"/>
      <c r="D849" s="1116"/>
      <c r="E849" s="1116"/>
      <c r="F849" s="1116"/>
      <c r="G849" s="1116"/>
    </row>
    <row r="850" spans="1:7">
      <c r="A850" s="1115"/>
      <c r="B850" s="1116"/>
      <c r="C850" s="1116"/>
      <c r="D850" s="1116"/>
      <c r="E850" s="1116"/>
      <c r="F850" s="1116"/>
      <c r="G850" s="1116"/>
    </row>
    <row r="851" spans="1:7">
      <c r="A851" s="1115"/>
      <c r="B851" s="1116"/>
      <c r="C851" s="1116"/>
      <c r="D851" s="1116"/>
      <c r="E851" s="1116"/>
      <c r="F851" s="1116"/>
      <c r="G851" s="1116"/>
    </row>
    <row r="853" spans="1:7">
      <c r="A853" s="1109" t="s">
        <v>636</v>
      </c>
      <c r="B853" s="1110"/>
      <c r="C853" s="1110"/>
      <c r="D853" s="1110"/>
      <c r="E853" s="1110"/>
      <c r="F853" s="1110"/>
      <c r="G853" s="1117"/>
    </row>
    <row r="854" spans="1:7">
      <c r="A854" s="1111"/>
      <c r="B854" s="1112"/>
      <c r="C854" s="1112"/>
      <c r="D854" s="1112"/>
      <c r="E854" s="1112"/>
      <c r="F854" s="1112"/>
      <c r="G854" s="1118"/>
    </row>
    <row r="855" spans="1:7">
      <c r="A855" s="723" t="s">
        <v>4</v>
      </c>
      <c r="B855" s="723" t="s">
        <v>495</v>
      </c>
      <c r="C855" s="724" t="s">
        <v>496</v>
      </c>
      <c r="D855" s="61" t="s">
        <v>497</v>
      </c>
      <c r="E855" s="723" t="s">
        <v>498</v>
      </c>
      <c r="F855" s="63" t="s">
        <v>8</v>
      </c>
      <c r="G855" s="725" t="s">
        <v>15</v>
      </c>
    </row>
    <row r="856" spans="1:7" ht="15.75">
      <c r="A856" s="709">
        <v>15416</v>
      </c>
      <c r="B856" s="805">
        <v>0.08</v>
      </c>
      <c r="C856" s="839" t="s">
        <v>445</v>
      </c>
      <c r="D856" s="786"/>
      <c r="E856" s="786">
        <v>1350000</v>
      </c>
      <c r="F856" s="141"/>
      <c r="G856" s="12"/>
    </row>
    <row r="857" spans="1:7" ht="15.75">
      <c r="A857" s="709">
        <v>15451</v>
      </c>
      <c r="B857" s="141">
        <v>0.1</v>
      </c>
      <c r="C857" s="839" t="s">
        <v>449</v>
      </c>
      <c r="D857" s="786"/>
      <c r="E857" s="786">
        <v>1000000</v>
      </c>
      <c r="F857" s="805"/>
      <c r="G857" s="12"/>
    </row>
    <row r="858" spans="1:7" ht="15.75">
      <c r="A858" s="995">
        <v>15490</v>
      </c>
      <c r="B858" s="141">
        <v>0.1</v>
      </c>
      <c r="C858" s="839" t="s">
        <v>452</v>
      </c>
      <c r="D858" s="786"/>
      <c r="E858" s="786">
        <v>1530000</v>
      </c>
      <c r="F858" s="141"/>
      <c r="G858" s="12"/>
    </row>
    <row r="859" spans="1:7" ht="15.75">
      <c r="A859" s="709">
        <v>15623</v>
      </c>
      <c r="B859" s="141">
        <v>0.1</v>
      </c>
      <c r="C859" s="839" t="s">
        <v>454</v>
      </c>
      <c r="D859" s="786"/>
      <c r="E859" s="786">
        <v>1300000</v>
      </c>
      <c r="F859" s="805"/>
      <c r="G859" s="12"/>
    </row>
    <row r="860" spans="1:7" ht="15.75">
      <c r="A860" s="709">
        <v>15484</v>
      </c>
      <c r="B860" s="257">
        <v>0.1</v>
      </c>
      <c r="C860" s="34" t="s">
        <v>461</v>
      </c>
      <c r="D860" s="330"/>
      <c r="E860" s="330">
        <v>1500000</v>
      </c>
      <c r="F860" s="141"/>
      <c r="G860" s="12"/>
    </row>
    <row r="861" spans="1:7" ht="15.75">
      <c r="A861" s="709">
        <v>15661</v>
      </c>
      <c r="B861" s="257">
        <v>0.1</v>
      </c>
      <c r="C861" s="34" t="s">
        <v>468</v>
      </c>
      <c r="D861" s="330"/>
      <c r="E861" s="1013">
        <v>3200000</v>
      </c>
      <c r="F861" s="330"/>
      <c r="G861" s="712"/>
    </row>
    <row r="862" spans="1:7" ht="15.75">
      <c r="A862" s="771"/>
      <c r="B862" s="843"/>
      <c r="C862" s="895"/>
      <c r="D862" s="891"/>
      <c r="E862" s="896"/>
      <c r="F862" s="772"/>
      <c r="G862" s="774"/>
    </row>
    <row r="863" spans="1:7" ht="18">
      <c r="A863" s="714"/>
      <c r="B863" s="714"/>
      <c r="C863" s="714"/>
      <c r="D863" s="715"/>
      <c r="E863" s="811">
        <f>SUM(E856:E862)</f>
        <v>9880000</v>
      </c>
      <c r="F863" s="714"/>
      <c r="G863" s="821">
        <f>SUM(G856:G862)</f>
        <v>0</v>
      </c>
    </row>
    <row r="864" spans="1:7">
      <c r="A864" s="713"/>
      <c r="B864" s="713"/>
      <c r="C864" s="713"/>
      <c r="D864" s="713"/>
      <c r="E864" s="742"/>
      <c r="F864" s="713"/>
      <c r="G864" s="742"/>
    </row>
    <row r="865" spans="1:7">
      <c r="A865" s="713"/>
      <c r="B865" s="713"/>
      <c r="C865" s="713"/>
      <c r="D865" s="713"/>
      <c r="E865" s="713"/>
      <c r="F865" s="713"/>
      <c r="G865" s="713"/>
    </row>
    <row r="866" spans="1:7">
      <c r="A866" s="713"/>
      <c r="B866" s="713"/>
      <c r="C866" s="713"/>
      <c r="D866" s="713"/>
      <c r="E866" s="713"/>
      <c r="F866" s="713"/>
      <c r="G866" s="713"/>
    </row>
    <row r="867" spans="1:7">
      <c r="A867" s="1109" t="s">
        <v>637</v>
      </c>
      <c r="B867" s="1110"/>
      <c r="C867" s="1110"/>
      <c r="D867" s="1110"/>
      <c r="E867" s="1110"/>
      <c r="F867" s="1110"/>
      <c r="G867" s="1117"/>
    </row>
    <row r="868" spans="1:7">
      <c r="A868" s="1111"/>
      <c r="B868" s="1112"/>
      <c r="C868" s="1112"/>
      <c r="D868" s="1112"/>
      <c r="E868" s="1112"/>
      <c r="F868" s="1112"/>
      <c r="G868" s="1118"/>
    </row>
    <row r="869" spans="1:7">
      <c r="A869" s="150" t="s">
        <v>4</v>
      </c>
      <c r="B869" s="60" t="s">
        <v>495</v>
      </c>
      <c r="C869" s="150" t="s">
        <v>496</v>
      </c>
      <c r="D869" s="61" t="s">
        <v>497</v>
      </c>
      <c r="E869" s="60" t="s">
        <v>498</v>
      </c>
      <c r="F869" s="727" t="s">
        <v>8</v>
      </c>
      <c r="G869" s="726" t="s">
        <v>15</v>
      </c>
    </row>
    <row r="870" spans="1:7" ht="15.75">
      <c r="A870" s="709">
        <v>15443</v>
      </c>
      <c r="B870" s="141">
        <v>0.1</v>
      </c>
      <c r="C870" s="839" t="s">
        <v>448</v>
      </c>
      <c r="D870" s="786"/>
      <c r="E870" s="786">
        <v>1400000</v>
      </c>
      <c r="F870" s="34"/>
      <c r="G870" s="325"/>
    </row>
    <row r="871" spans="1:7" ht="15.75">
      <c r="A871" s="994">
        <v>15541</v>
      </c>
      <c r="B871" s="141">
        <v>0.1</v>
      </c>
      <c r="C871" s="839" t="s">
        <v>453</v>
      </c>
      <c r="D871" s="786"/>
      <c r="E871" s="786">
        <v>1350000</v>
      </c>
      <c r="F871" s="743"/>
      <c r="G871" s="325"/>
    </row>
    <row r="872" spans="1:7" ht="15.75">
      <c r="A872" s="709">
        <v>15550</v>
      </c>
      <c r="B872" s="141">
        <v>0.1</v>
      </c>
      <c r="C872" s="839" t="s">
        <v>455</v>
      </c>
      <c r="D872" s="786"/>
      <c r="E872" s="786">
        <v>1400000</v>
      </c>
      <c r="F872" s="743"/>
      <c r="G872" s="325"/>
    </row>
    <row r="873" spans="1:7" ht="15.75">
      <c r="A873" s="709">
        <v>15621</v>
      </c>
      <c r="B873" s="820">
        <v>0.1</v>
      </c>
      <c r="C873" s="839" t="s">
        <v>457</v>
      </c>
      <c r="D873" s="856"/>
      <c r="E873" s="856">
        <v>1400000</v>
      </c>
      <c r="F873" s="743"/>
      <c r="G873" s="325"/>
    </row>
    <row r="874" spans="1:7" ht="15.75">
      <c r="A874" s="709">
        <v>15505</v>
      </c>
      <c r="B874" s="257">
        <v>0.1</v>
      </c>
      <c r="C874" s="34" t="s">
        <v>464</v>
      </c>
      <c r="D874" s="330"/>
      <c r="E874" s="330">
        <v>1300000</v>
      </c>
      <c r="F874" s="743"/>
      <c r="G874" s="325"/>
    </row>
    <row r="875" spans="1:7" ht="15.75">
      <c r="A875" s="771"/>
      <c r="B875" s="861"/>
      <c r="C875" s="863"/>
      <c r="D875" s="862"/>
      <c r="E875" s="862"/>
      <c r="F875" s="848"/>
      <c r="G875" s="846"/>
    </row>
    <row r="876" spans="1:7" ht="18">
      <c r="A876" s="718"/>
      <c r="B876" s="718"/>
      <c r="C876" s="718"/>
      <c r="D876" s="850"/>
      <c r="E876" s="851">
        <f>SUM(E870:E875)</f>
        <v>6850000</v>
      </c>
      <c r="F876" s="719"/>
      <c r="G876" s="716">
        <v>0</v>
      </c>
    </row>
    <row r="879" spans="1:7">
      <c r="A879" s="1109" t="s">
        <v>638</v>
      </c>
      <c r="B879" s="1110"/>
      <c r="C879" s="1110"/>
      <c r="D879" s="1110"/>
      <c r="E879" s="1110"/>
      <c r="F879" s="1110"/>
      <c r="G879" s="1117"/>
    </row>
    <row r="880" spans="1:7">
      <c r="A880" s="1111"/>
      <c r="B880" s="1112"/>
      <c r="C880" s="1112"/>
      <c r="D880" s="1112"/>
      <c r="E880" s="1112"/>
      <c r="F880" s="1112"/>
      <c r="G880" s="1118"/>
    </row>
    <row r="881" spans="1:7">
      <c r="A881" s="60" t="s">
        <v>4</v>
      </c>
      <c r="B881" s="60" t="s">
        <v>495</v>
      </c>
      <c r="C881" s="150" t="s">
        <v>496</v>
      </c>
      <c r="D881" s="61" t="s">
        <v>497</v>
      </c>
      <c r="E881" s="60" t="s">
        <v>498</v>
      </c>
      <c r="F881" s="727" t="s">
        <v>8</v>
      </c>
      <c r="G881" s="726" t="s">
        <v>15</v>
      </c>
    </row>
    <row r="882" spans="1:7" ht="15.75">
      <c r="A882" s="709">
        <v>15406</v>
      </c>
      <c r="B882" s="141">
        <v>0.1</v>
      </c>
      <c r="C882" s="839" t="s">
        <v>446</v>
      </c>
      <c r="D882" s="786"/>
      <c r="E882" s="786">
        <v>1380000</v>
      </c>
      <c r="F882" s="127"/>
      <c r="G882" s="325"/>
    </row>
    <row r="883" spans="1:7" ht="15.75">
      <c r="A883" s="709">
        <v>15430</v>
      </c>
      <c r="B883" s="141">
        <v>0.1</v>
      </c>
      <c r="C883" s="839" t="s">
        <v>447</v>
      </c>
      <c r="D883" s="786"/>
      <c r="E883" s="786">
        <v>1900000</v>
      </c>
      <c r="F883" s="127"/>
      <c r="G883" s="325"/>
    </row>
    <row r="884" spans="1:7" ht="15.75">
      <c r="A884" s="709">
        <v>15456</v>
      </c>
      <c r="B884" s="141">
        <v>0.1</v>
      </c>
      <c r="C884" s="839" t="s">
        <v>450</v>
      </c>
      <c r="D884" s="786"/>
      <c r="E884" s="786">
        <v>1700000</v>
      </c>
      <c r="F884" s="127"/>
      <c r="G884" s="325"/>
    </row>
    <row r="885" spans="1:7" ht="15.75">
      <c r="A885" s="709">
        <v>15472</v>
      </c>
      <c r="B885" s="141">
        <v>0.1</v>
      </c>
      <c r="C885" s="839" t="s">
        <v>451</v>
      </c>
      <c r="D885" s="786"/>
      <c r="E885" s="786">
        <v>1200000</v>
      </c>
      <c r="F885" s="127"/>
      <c r="G885" s="325"/>
    </row>
    <row r="886" spans="1:7" ht="15.75">
      <c r="A886" s="997">
        <v>15630</v>
      </c>
      <c r="B886" s="141">
        <v>0.1</v>
      </c>
      <c r="C886" s="34" t="s">
        <v>458</v>
      </c>
      <c r="D886" s="786"/>
      <c r="E886" s="786">
        <v>1600000</v>
      </c>
      <c r="F886" s="127"/>
      <c r="G886" s="325"/>
    </row>
    <row r="887" spans="1:7" ht="15.75">
      <c r="A887" s="709">
        <v>15498</v>
      </c>
      <c r="B887" s="257">
        <v>0.1</v>
      </c>
      <c r="C887" s="34" t="s">
        <v>463</v>
      </c>
      <c r="D887" s="330"/>
      <c r="E887" s="330">
        <v>1800000</v>
      </c>
      <c r="F887" s="127"/>
      <c r="G887" s="325"/>
    </row>
    <row r="888" spans="1:7" ht="15.75">
      <c r="A888" s="709">
        <v>15533</v>
      </c>
      <c r="B888" s="257">
        <v>0.1</v>
      </c>
      <c r="C888" s="34" t="s">
        <v>465</v>
      </c>
      <c r="D888" s="330"/>
      <c r="E888" s="330">
        <v>1300000</v>
      </c>
      <c r="F888" s="127"/>
      <c r="G888" s="325"/>
    </row>
    <row r="889" spans="1:7" ht="15.75">
      <c r="A889" s="709">
        <v>15609</v>
      </c>
      <c r="B889" s="710">
        <v>0.08</v>
      </c>
      <c r="C889" s="34" t="s">
        <v>467</v>
      </c>
      <c r="D889" s="330"/>
      <c r="E889" s="330">
        <v>1350000</v>
      </c>
      <c r="F889" s="127"/>
      <c r="G889" s="325"/>
    </row>
    <row r="890" spans="1:7" ht="15.75">
      <c r="A890" s="771"/>
      <c r="B890" s="1010"/>
      <c r="C890" s="844"/>
      <c r="D890" s="981"/>
      <c r="E890" s="981"/>
      <c r="F890" s="775"/>
      <c r="G890" s="846"/>
    </row>
    <row r="891" spans="1:7" ht="15.75">
      <c r="A891" s="905"/>
      <c r="B891" s="940"/>
      <c r="C891" s="841"/>
      <c r="D891" s="774"/>
      <c r="E891" s="842"/>
      <c r="F891" s="775"/>
      <c r="G891" s="20"/>
    </row>
    <row r="892" spans="1:7" ht="18">
      <c r="A892" s="771"/>
      <c r="B892" s="772"/>
      <c r="C892" s="897"/>
      <c r="D892" s="774"/>
      <c r="E892" s="902">
        <f>SUM(E882:E891)</f>
        <v>12230000</v>
      </c>
      <c r="F892" s="20"/>
      <c r="G892" s="20"/>
    </row>
    <row r="893" spans="1:7" ht="15.75">
      <c r="A893" s="898"/>
      <c r="B893" s="899"/>
      <c r="C893" s="900"/>
      <c r="D893" s="901"/>
    </row>
    <row r="894" spans="1:7" ht="15.75">
      <c r="A894" s="898"/>
      <c r="B894" s="899"/>
      <c r="C894" s="900"/>
      <c r="D894" s="901"/>
    </row>
    <row r="896" spans="1:7">
      <c r="A896" s="1109" t="s">
        <v>634</v>
      </c>
      <c r="B896" s="1110"/>
      <c r="C896" s="1110"/>
      <c r="D896" s="1110"/>
      <c r="E896" s="1110"/>
      <c r="F896" s="1110"/>
      <c r="G896" s="1117"/>
    </row>
    <row r="897" spans="1:7">
      <c r="A897" s="1111"/>
      <c r="B897" s="1112"/>
      <c r="C897" s="1112"/>
      <c r="D897" s="1112"/>
      <c r="E897" s="1112"/>
      <c r="F897" s="1112"/>
      <c r="G897" s="1118"/>
    </row>
    <row r="898" spans="1:7">
      <c r="A898" s="150" t="s">
        <v>4</v>
      </c>
      <c r="B898" s="60" t="s">
        <v>495</v>
      </c>
      <c r="C898" s="150" t="s">
        <v>496</v>
      </c>
      <c r="D898" s="61" t="s">
        <v>497</v>
      </c>
      <c r="E898" s="60" t="s">
        <v>498</v>
      </c>
      <c r="F898" s="727" t="s">
        <v>8</v>
      </c>
      <c r="G898" s="726" t="s">
        <v>15</v>
      </c>
    </row>
    <row r="899" spans="1:7" ht="15.75">
      <c r="A899" s="709">
        <v>15620</v>
      </c>
      <c r="B899" s="141">
        <v>0.1</v>
      </c>
      <c r="C899" s="839" t="s">
        <v>456</v>
      </c>
      <c r="D899" s="786"/>
      <c r="E899" s="786">
        <v>1350000</v>
      </c>
      <c r="F899" s="34"/>
      <c r="G899" s="530"/>
    </row>
    <row r="900" spans="1:7" ht="18">
      <c r="A900" s="718"/>
      <c r="B900" s="718"/>
      <c r="C900" s="718"/>
      <c r="D900" s="850"/>
      <c r="E900" s="851">
        <f>SUM(E899:E899)</f>
        <v>1350000</v>
      </c>
      <c r="F900" s="719"/>
      <c r="G900" s="811">
        <v>0</v>
      </c>
    </row>
    <row r="904" spans="1:7">
      <c r="A904" s="1109" t="s">
        <v>639</v>
      </c>
      <c r="B904" s="1110"/>
      <c r="C904" s="1110"/>
      <c r="D904" s="1110"/>
      <c r="E904" s="1110"/>
      <c r="F904" s="1110"/>
      <c r="G904" s="1110"/>
    </row>
    <row r="905" spans="1:7">
      <c r="A905" s="1111"/>
      <c r="B905" s="1112"/>
      <c r="C905" s="1112"/>
      <c r="D905" s="1112"/>
      <c r="E905" s="1112"/>
      <c r="F905" s="1112"/>
      <c r="G905" s="1112"/>
    </row>
    <row r="906" spans="1:7">
      <c r="A906" s="723" t="s">
        <v>4</v>
      </c>
      <c r="B906" s="723" t="s">
        <v>495</v>
      </c>
      <c r="C906" s="724" t="s">
        <v>496</v>
      </c>
      <c r="D906" s="61" t="s">
        <v>497</v>
      </c>
      <c r="E906" s="723" t="s">
        <v>498</v>
      </c>
      <c r="F906" s="63" t="s">
        <v>8</v>
      </c>
      <c r="G906" s="725" t="s">
        <v>15</v>
      </c>
    </row>
    <row r="907" spans="1:7" ht="15.75">
      <c r="A907" s="709">
        <v>15416</v>
      </c>
      <c r="B907" s="805">
        <v>0.08</v>
      </c>
      <c r="C907" s="839" t="s">
        <v>445</v>
      </c>
      <c r="D907" s="786"/>
      <c r="E907" s="786">
        <v>1350000</v>
      </c>
      <c r="F907" s="141"/>
      <c r="G907" s="12"/>
    </row>
    <row r="908" spans="1:7" ht="15.75">
      <c r="A908" s="709">
        <v>15451</v>
      </c>
      <c r="B908" s="141">
        <v>0.1</v>
      </c>
      <c r="C908" s="839" t="s">
        <v>449</v>
      </c>
      <c r="D908" s="786"/>
      <c r="E908" s="786">
        <v>1000000</v>
      </c>
      <c r="F908" s="805"/>
      <c r="G908" s="12"/>
    </row>
    <row r="909" spans="1:7" ht="15.75">
      <c r="A909" s="995">
        <v>15490</v>
      </c>
      <c r="B909" s="141">
        <v>0.1</v>
      </c>
      <c r="C909" s="839" t="s">
        <v>452</v>
      </c>
      <c r="D909" s="786"/>
      <c r="E909" s="786">
        <v>1530000</v>
      </c>
      <c r="F909" s="141"/>
      <c r="G909" s="12"/>
    </row>
    <row r="910" spans="1:7" ht="15.75">
      <c r="A910" s="709">
        <v>15623</v>
      </c>
      <c r="B910" s="141">
        <v>0.1</v>
      </c>
      <c r="C910" s="839" t="s">
        <v>454</v>
      </c>
      <c r="D910" s="786"/>
      <c r="E910" s="786">
        <v>1300000</v>
      </c>
      <c r="F910" s="805"/>
      <c r="G910" s="12"/>
    </row>
    <row r="911" spans="1:7" ht="15.75">
      <c r="A911" s="709">
        <v>15484</v>
      </c>
      <c r="B911" s="257">
        <v>0.1</v>
      </c>
      <c r="C911" s="34" t="s">
        <v>461</v>
      </c>
      <c r="D911" s="330"/>
      <c r="E911" s="330">
        <v>1500000</v>
      </c>
      <c r="F911" s="141"/>
      <c r="G911" s="12"/>
    </row>
    <row r="912" spans="1:7" ht="15.75">
      <c r="A912" s="709">
        <v>15661</v>
      </c>
      <c r="B912" s="257">
        <v>0.1</v>
      </c>
      <c r="C912" s="34" t="s">
        <v>468</v>
      </c>
      <c r="D912" s="330"/>
      <c r="E912" s="1013">
        <v>3200000</v>
      </c>
      <c r="F912" s="330"/>
      <c r="G912" s="712"/>
    </row>
    <row r="913" spans="1:7" ht="15.75">
      <c r="A913" s="709">
        <v>15443</v>
      </c>
      <c r="B913" s="141">
        <v>0.1</v>
      </c>
      <c r="C913" s="839" t="s">
        <v>448</v>
      </c>
      <c r="D913" s="786"/>
      <c r="E913" s="786">
        <v>1400000</v>
      </c>
      <c r="F913" s="820"/>
      <c r="G913" s="156"/>
    </row>
    <row r="914" spans="1:7" ht="15.75">
      <c r="A914" s="994">
        <v>15541</v>
      </c>
      <c r="B914" s="141">
        <v>0.1</v>
      </c>
      <c r="C914" s="839" t="s">
        <v>453</v>
      </c>
      <c r="D914" s="786"/>
      <c r="E914" s="786">
        <v>1350000</v>
      </c>
      <c r="F914" s="34"/>
      <c r="G914" s="325"/>
    </row>
    <row r="915" spans="1:7" ht="15.75">
      <c r="A915" s="709">
        <v>15550</v>
      </c>
      <c r="B915" s="141">
        <v>0.1</v>
      </c>
      <c r="C915" s="839" t="s">
        <v>455</v>
      </c>
      <c r="D915" s="786"/>
      <c r="E915" s="786">
        <v>1400000</v>
      </c>
      <c r="F915" s="743"/>
      <c r="G915" s="325"/>
    </row>
    <row r="916" spans="1:7" ht="15.75">
      <c r="A916" s="709">
        <v>15621</v>
      </c>
      <c r="B916" s="820">
        <v>0.1</v>
      </c>
      <c r="C916" s="839" t="s">
        <v>457</v>
      </c>
      <c r="D916" s="856"/>
      <c r="E916" s="856">
        <v>1500000</v>
      </c>
      <c r="F916" s="743"/>
      <c r="G916" s="325"/>
    </row>
    <row r="917" spans="1:7" ht="15.75">
      <c r="A917" s="709">
        <v>15505</v>
      </c>
      <c r="B917" s="257">
        <v>0.1</v>
      </c>
      <c r="C917" s="34" t="s">
        <v>464</v>
      </c>
      <c r="D917" s="330"/>
      <c r="E917" s="330">
        <v>1300000</v>
      </c>
      <c r="F917" s="743"/>
      <c r="G917" s="325"/>
    </row>
    <row r="918" spans="1:7" ht="15.75">
      <c r="A918" s="709">
        <v>15406</v>
      </c>
      <c r="B918" s="141">
        <v>0.1</v>
      </c>
      <c r="C918" s="839" t="s">
        <v>446</v>
      </c>
      <c r="D918" s="786"/>
      <c r="E918" s="786">
        <v>1380000</v>
      </c>
      <c r="F918" s="127"/>
      <c r="G918" s="325"/>
    </row>
    <row r="919" spans="1:7" ht="15.75">
      <c r="A919" s="709">
        <v>15430</v>
      </c>
      <c r="B919" s="141">
        <v>0.1</v>
      </c>
      <c r="C919" s="839" t="s">
        <v>447</v>
      </c>
      <c r="D919" s="786"/>
      <c r="E919" s="786">
        <v>1900000</v>
      </c>
      <c r="F919" s="127"/>
      <c r="G919" s="325"/>
    </row>
    <row r="920" spans="1:7" ht="15.75">
      <c r="A920" s="709">
        <v>15456</v>
      </c>
      <c r="B920" s="141">
        <v>0.1</v>
      </c>
      <c r="C920" s="839" t="s">
        <v>450</v>
      </c>
      <c r="D920" s="786"/>
      <c r="E920" s="786">
        <v>1700000</v>
      </c>
      <c r="F920" s="127"/>
      <c r="G920" s="325"/>
    </row>
    <row r="921" spans="1:7" ht="15.75">
      <c r="A921" s="709">
        <v>15472</v>
      </c>
      <c r="B921" s="141">
        <v>0.1</v>
      </c>
      <c r="C921" s="839" t="s">
        <v>451</v>
      </c>
      <c r="D921" s="786"/>
      <c r="E921" s="786">
        <v>1200000</v>
      </c>
      <c r="F921" s="127"/>
      <c r="G921" s="325"/>
    </row>
    <row r="922" spans="1:7" ht="15.75">
      <c r="A922" s="997">
        <v>15630</v>
      </c>
      <c r="B922" s="141">
        <v>0.1</v>
      </c>
      <c r="C922" s="34" t="s">
        <v>458</v>
      </c>
      <c r="D922" s="786"/>
      <c r="E922" s="786">
        <v>1600000</v>
      </c>
      <c r="F922" s="127"/>
      <c r="G922" s="325"/>
    </row>
    <row r="923" spans="1:7" ht="15.75">
      <c r="A923" s="709">
        <v>15498</v>
      </c>
      <c r="B923" s="257">
        <v>0.1</v>
      </c>
      <c r="C923" s="34" t="s">
        <v>463</v>
      </c>
      <c r="D923" s="330"/>
      <c r="E923" s="330">
        <v>1800000</v>
      </c>
      <c r="F923" s="127"/>
      <c r="G923" s="325"/>
    </row>
    <row r="924" spans="1:7" ht="15.75">
      <c r="A924" s="709">
        <v>15533</v>
      </c>
      <c r="B924" s="257">
        <v>0.1</v>
      </c>
      <c r="C924" s="34" t="s">
        <v>465</v>
      </c>
      <c r="D924" s="330"/>
      <c r="E924" s="330">
        <v>1300000</v>
      </c>
      <c r="F924" s="127"/>
      <c r="G924" s="325"/>
    </row>
    <row r="925" spans="1:7" ht="15.75">
      <c r="A925" s="709">
        <v>15609</v>
      </c>
      <c r="B925" s="257">
        <v>0.1</v>
      </c>
      <c r="C925" s="34" t="s">
        <v>467</v>
      </c>
      <c r="D925" s="330"/>
      <c r="E925" s="330">
        <v>1350000</v>
      </c>
      <c r="F925" s="127"/>
      <c r="G925" s="325"/>
    </row>
    <row r="926" spans="1:7" ht="15.75">
      <c r="A926" s="709">
        <v>15620</v>
      </c>
      <c r="B926" s="141">
        <v>0.1</v>
      </c>
      <c r="C926" s="839" t="s">
        <v>456</v>
      </c>
      <c r="D926" s="786"/>
      <c r="E926" s="786">
        <v>1350000</v>
      </c>
      <c r="F926" s="34"/>
      <c r="G926" s="530"/>
    </row>
    <row r="927" spans="1:7" ht="15.75">
      <c r="A927" s="709">
        <v>15440</v>
      </c>
      <c r="B927" s="141">
        <v>0.1</v>
      </c>
      <c r="C927" s="839" t="s">
        <v>459</v>
      </c>
      <c r="D927" s="786"/>
      <c r="E927" s="786">
        <v>850000</v>
      </c>
      <c r="F927" s="141"/>
      <c r="G927" s="148"/>
    </row>
    <row r="928" spans="1:7" ht="15.75">
      <c r="A928" s="709">
        <v>15415</v>
      </c>
      <c r="B928" s="33">
        <v>0.1</v>
      </c>
      <c r="C928" s="35" t="s">
        <v>472</v>
      </c>
      <c r="D928" s="12"/>
      <c r="E928" s="12">
        <v>1650000</v>
      </c>
      <c r="F928" s="877"/>
      <c r="G928" s="325"/>
    </row>
    <row r="929" spans="1:7" ht="18">
      <c r="A929" s="718"/>
      <c r="B929" s="720"/>
      <c r="C929" s="720"/>
      <c r="D929" s="721" t="s">
        <v>86</v>
      </c>
      <c r="E929" s="722">
        <f>SUM(E907:E928)</f>
        <v>32910000</v>
      </c>
      <c r="F929" s="719"/>
      <c r="G929" s="717">
        <f>SUM(G907:G928)</f>
        <v>0</v>
      </c>
    </row>
  </sheetData>
  <mergeCells count="76">
    <mergeCell ref="A817:G818"/>
    <mergeCell ref="A751:G754"/>
    <mergeCell ref="A756:G757"/>
    <mergeCell ref="A774:G775"/>
    <mergeCell ref="A794:G795"/>
    <mergeCell ref="A808:G809"/>
    <mergeCell ref="A708:G709"/>
    <mergeCell ref="A719:G720"/>
    <mergeCell ref="A647:G650"/>
    <mergeCell ref="A652:G653"/>
    <mergeCell ref="A670:G671"/>
    <mergeCell ref="A681:G682"/>
    <mergeCell ref="A699:G700"/>
    <mergeCell ref="A226:G227"/>
    <mergeCell ref="A49:G50"/>
    <mergeCell ref="A61:B61"/>
    <mergeCell ref="A62:B62"/>
    <mergeCell ref="A63:B63"/>
    <mergeCell ref="A64:B64"/>
    <mergeCell ref="A53:D53"/>
    <mergeCell ref="A55:G56"/>
    <mergeCell ref="A65:B65"/>
    <mergeCell ref="A163:G164"/>
    <mergeCell ref="A149:G150"/>
    <mergeCell ref="A99:G102"/>
    <mergeCell ref="A103:G104"/>
    <mergeCell ref="A66:B66"/>
    <mergeCell ref="A69:G70"/>
    <mergeCell ref="A194:B194"/>
    <mergeCell ref="A2:G5"/>
    <mergeCell ref="A6:G7"/>
    <mergeCell ref="A27:D27"/>
    <mergeCell ref="A29:G30"/>
    <mergeCell ref="A47:D47"/>
    <mergeCell ref="A342:H342"/>
    <mergeCell ref="A311:H311"/>
    <mergeCell ref="A318:H318"/>
    <mergeCell ref="A128:G129"/>
    <mergeCell ref="A248:G249"/>
    <mergeCell ref="A279:H279"/>
    <mergeCell ref="A281:H281"/>
    <mergeCell ref="A296:H296"/>
    <mergeCell ref="A199:G202"/>
    <mergeCell ref="A203:G204"/>
    <mergeCell ref="A156:G157"/>
    <mergeCell ref="A195:B195"/>
    <mergeCell ref="A190:B190"/>
    <mergeCell ref="A191:B191"/>
    <mergeCell ref="A192:B192"/>
    <mergeCell ref="A193:B193"/>
    <mergeCell ref="A485:G488"/>
    <mergeCell ref="A490:G491"/>
    <mergeCell ref="A516:G517"/>
    <mergeCell ref="A530:G531"/>
    <mergeCell ref="A344:H344"/>
    <mergeCell ref="A362:H362"/>
    <mergeCell ref="A383:H383"/>
    <mergeCell ref="A390:H390"/>
    <mergeCell ref="A425:H425"/>
    <mergeCell ref="A427:H427"/>
    <mergeCell ref="A441:H441"/>
    <mergeCell ref="A454:H454"/>
    <mergeCell ref="A461:H461"/>
    <mergeCell ref="A607:G608"/>
    <mergeCell ref="A620:G621"/>
    <mergeCell ref="A555:G558"/>
    <mergeCell ref="A560:G561"/>
    <mergeCell ref="A579:G580"/>
    <mergeCell ref="A590:G591"/>
    <mergeCell ref="A600:G601"/>
    <mergeCell ref="A904:G905"/>
    <mergeCell ref="A848:G851"/>
    <mergeCell ref="A853:G854"/>
    <mergeCell ref="A867:G868"/>
    <mergeCell ref="A879:G880"/>
    <mergeCell ref="A896:G897"/>
  </mergeCells>
  <pageMargins left="0.25" right="0.25" top="0.75" bottom="0.75" header="0.3" footer="0.3"/>
  <pageSetup paperSize="9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Administración Calasanz</cp:lastModifiedBy>
  <cp:revision/>
  <dcterms:created xsi:type="dcterms:W3CDTF">2022-01-14T17:29:06Z</dcterms:created>
  <dcterms:modified xsi:type="dcterms:W3CDTF">2022-12-01T19:33:47Z</dcterms:modified>
  <cp:category/>
  <cp:contentStatus/>
</cp:coreProperties>
</file>