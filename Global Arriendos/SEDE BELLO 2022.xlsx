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Global Arriendos\"/>
    </mc:Choice>
  </mc:AlternateContent>
  <xr:revisionPtr revIDLastSave="0" documentId="13_ncr:1_{FBC7251B-38F4-4924-B201-59E1C44F913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APTACIONES 2021 " sheetId="2" r:id="rId1"/>
    <sheet name="ASESORES EXTERNOS " sheetId="12" r:id="rId2"/>
    <sheet name="ASESORES INTERNOS" sheetId="13" r:id="rId3"/>
    <sheet name="CELULAR ASESORES " sheetId="5" r:id="rId4"/>
    <sheet name="DAHIANA COMISION" sheetId="11" state="hidden" r:id="rId5"/>
    <sheet name="ADMINISTRACIONES Y PORTERIAS" sheetId="8" r:id="rId6"/>
    <sheet name="CAJA MENOR SEDE BELLO " sheetId="3" r:id="rId7"/>
    <sheet name="INFORME 2021 DAHIANA" sheetId="1" state="hidden" r:id="rId8"/>
    <sheet name="DOCUMENTO EQUIVALENTE BELLO " sheetId="4" r:id="rId9"/>
  </sheets>
  <calcPr calcId="181029"/>
</workbook>
</file>

<file path=xl/calcChain.xml><?xml version="1.0" encoding="utf-8"?>
<calcChain xmlns="http://schemas.openxmlformats.org/spreadsheetml/2006/main">
  <c r="D1046" i="12" l="1"/>
  <c r="D1045" i="12"/>
  <c r="E1107" i="12"/>
  <c r="E1093" i="12"/>
  <c r="E1066" i="12"/>
  <c r="E985" i="12"/>
  <c r="J3239" i="2"/>
  <c r="D1167" i="13"/>
  <c r="D1138" i="13"/>
  <c r="J3293" i="2"/>
  <c r="E1033" i="12"/>
  <c r="J3266" i="2"/>
  <c r="E966" i="12"/>
  <c r="E1012" i="12"/>
  <c r="J3208" i="2"/>
  <c r="D1051" i="12"/>
  <c r="D179" i="5"/>
  <c r="C179" i="5"/>
  <c r="J3319" i="2"/>
  <c r="E1107" i="13"/>
  <c r="G900" i="12"/>
  <c r="Q903" i="12"/>
  <c r="G1055" i="13"/>
  <c r="G1056" i="13"/>
  <c r="G1057" i="13"/>
  <c r="G1106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063" i="13"/>
  <c r="Q856" i="12"/>
  <c r="Q857" i="12"/>
  <c r="Q858" i="12"/>
  <c r="Q859" i="12"/>
  <c r="Q860" i="12"/>
  <c r="Q861" i="12"/>
  <c r="E928" i="12"/>
  <c r="G920" i="12"/>
  <c r="G921" i="12"/>
  <c r="G922" i="12"/>
  <c r="G923" i="12"/>
  <c r="G924" i="12"/>
  <c r="G925" i="12"/>
  <c r="G926" i="12"/>
  <c r="G919" i="12"/>
  <c r="E914" i="12"/>
  <c r="Q900" i="12"/>
  <c r="Q901" i="12"/>
  <c r="Q902" i="12"/>
  <c r="Q899" i="12"/>
  <c r="Q914" i="12" s="1"/>
  <c r="E894" i="12"/>
  <c r="Q876" i="12"/>
  <c r="Q875" i="12"/>
  <c r="E869" i="12"/>
  <c r="Q855" i="12"/>
  <c r="Q854" i="12"/>
  <c r="G901" i="12"/>
  <c r="G902" i="12"/>
  <c r="G903" i="12"/>
  <c r="G904" i="12"/>
  <c r="G905" i="12"/>
  <c r="G906" i="12"/>
  <c r="G907" i="12"/>
  <c r="G908" i="12"/>
  <c r="G909" i="12"/>
  <c r="G910" i="12"/>
  <c r="G899" i="12"/>
  <c r="G915" i="12" s="1"/>
  <c r="E915" i="12" s="1"/>
  <c r="G1107" i="13"/>
  <c r="G1046" i="13"/>
  <c r="G1047" i="13"/>
  <c r="G1040" i="13"/>
  <c r="G887" i="12"/>
  <c r="G888" i="12"/>
  <c r="G889" i="12"/>
  <c r="G876" i="12"/>
  <c r="G877" i="12"/>
  <c r="G878" i="12"/>
  <c r="G879" i="12"/>
  <c r="G880" i="12"/>
  <c r="G881" i="12"/>
  <c r="G882" i="12"/>
  <c r="G883" i="12"/>
  <c r="G884" i="12"/>
  <c r="G885" i="12"/>
  <c r="G886" i="12"/>
  <c r="G875" i="12"/>
  <c r="G895" i="12" s="1"/>
  <c r="G855" i="12"/>
  <c r="G856" i="12"/>
  <c r="G857" i="12"/>
  <c r="G858" i="12"/>
  <c r="G859" i="12"/>
  <c r="G860" i="12"/>
  <c r="G861" i="12"/>
  <c r="G854" i="12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1" i="13"/>
  <c r="G1042" i="13"/>
  <c r="G1043" i="13"/>
  <c r="G1044" i="13"/>
  <c r="G1045" i="13"/>
  <c r="G1048" i="13"/>
  <c r="G1049" i="13"/>
  <c r="G1050" i="13"/>
  <c r="G1051" i="13"/>
  <c r="G1052" i="13"/>
  <c r="G1053" i="13"/>
  <c r="G1054" i="13"/>
  <c r="G1025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08" i="13"/>
  <c r="G1020" i="13" s="1"/>
  <c r="G907" i="13"/>
  <c r="E1058" i="13"/>
  <c r="E1020" i="13"/>
  <c r="J3116" i="2"/>
  <c r="J3091" i="2"/>
  <c r="E935" i="12"/>
  <c r="E15" i="12"/>
  <c r="E30" i="12"/>
  <c r="E49" i="12"/>
  <c r="E66" i="12"/>
  <c r="E81" i="12"/>
  <c r="D84" i="12"/>
  <c r="D90" i="12"/>
  <c r="E108" i="12"/>
  <c r="E128" i="12"/>
  <c r="E141" i="12"/>
  <c r="E159" i="12"/>
  <c r="E173" i="12"/>
  <c r="E175" i="12"/>
  <c r="D176" i="12"/>
  <c r="E200" i="12"/>
  <c r="E220" i="12"/>
  <c r="E240" i="12"/>
  <c r="E257" i="12"/>
  <c r="E271" i="12"/>
  <c r="D281" i="12"/>
  <c r="D287" i="12"/>
  <c r="E308" i="12"/>
  <c r="E324" i="12"/>
  <c r="E339" i="12"/>
  <c r="E361" i="12"/>
  <c r="E370" i="12"/>
  <c r="D380" i="12"/>
  <c r="D386" i="12"/>
  <c r="E408" i="12"/>
  <c r="E445" i="12"/>
  <c r="E459" i="12"/>
  <c r="E470" i="12"/>
  <c r="E479" i="12"/>
  <c r="E506" i="12"/>
  <c r="E529" i="12"/>
  <c r="E548" i="12"/>
  <c r="E574" i="12"/>
  <c r="E582" i="12"/>
  <c r="D585" i="12"/>
  <c r="D591" i="12"/>
  <c r="E601" i="12"/>
  <c r="E617" i="12"/>
  <c r="E635" i="12"/>
  <c r="E647" i="12"/>
  <c r="E655" i="12"/>
  <c r="D658" i="12"/>
  <c r="D664" i="12"/>
  <c r="E682" i="12"/>
  <c r="E701" i="12"/>
  <c r="E724" i="12"/>
  <c r="E731" i="12"/>
  <c r="E738" i="12"/>
  <c r="E745" i="12"/>
  <c r="D748" i="12"/>
  <c r="D754" i="12"/>
  <c r="E774" i="12"/>
  <c r="E789" i="12"/>
  <c r="E812" i="12"/>
  <c r="E822" i="12"/>
  <c r="E828" i="12"/>
  <c r="E829" i="12"/>
  <c r="D832" i="12"/>
  <c r="C165" i="5"/>
  <c r="E1000" i="13"/>
  <c r="G999" i="13"/>
  <c r="Q795" i="12"/>
  <c r="Q794" i="12"/>
  <c r="Q813" i="12" s="1"/>
  <c r="Q781" i="12"/>
  <c r="Q782" i="12"/>
  <c r="Q780" i="12"/>
  <c r="Q790" i="12" s="1"/>
  <c r="Q763" i="12"/>
  <c r="Q764" i="12"/>
  <c r="Q762" i="12"/>
  <c r="Q775" i="12" s="1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62" i="13"/>
  <c r="G1000" i="13" s="1"/>
  <c r="E957" i="13"/>
  <c r="J3063" i="2"/>
  <c r="G781" i="12"/>
  <c r="G782" i="12"/>
  <c r="G783" i="12"/>
  <c r="G784" i="12"/>
  <c r="G785" i="12"/>
  <c r="G780" i="12"/>
  <c r="G790" i="12" s="1"/>
  <c r="E790" i="12" s="1"/>
  <c r="G933" i="13"/>
  <c r="G934" i="13"/>
  <c r="G935" i="13"/>
  <c r="G936" i="13"/>
  <c r="G937" i="13"/>
  <c r="G938" i="13"/>
  <c r="G932" i="13"/>
  <c r="G925" i="13"/>
  <c r="G926" i="13"/>
  <c r="G927" i="13"/>
  <c r="G928" i="13"/>
  <c r="G929" i="13"/>
  <c r="G930" i="13"/>
  <c r="G924" i="13"/>
  <c r="G939" i="13" s="1"/>
  <c r="G896" i="13"/>
  <c r="G897" i="13"/>
  <c r="G898" i="13"/>
  <c r="G899" i="13"/>
  <c r="G900" i="13"/>
  <c r="G901" i="13"/>
  <c r="G902" i="13"/>
  <c r="G903" i="13"/>
  <c r="G904" i="13"/>
  <c r="G905" i="13"/>
  <c r="G906" i="13"/>
  <c r="G908" i="13"/>
  <c r="G909" i="13"/>
  <c r="G910" i="13"/>
  <c r="G911" i="13"/>
  <c r="G912" i="13"/>
  <c r="G913" i="13"/>
  <c r="G914" i="13"/>
  <c r="G915" i="13"/>
  <c r="G916" i="13"/>
  <c r="G917" i="13"/>
  <c r="G918" i="13"/>
  <c r="G895" i="13"/>
  <c r="G919" i="13" s="1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794" i="12"/>
  <c r="G813" i="12" s="1"/>
  <c r="E813" i="12" s="1"/>
  <c r="J2965" i="2"/>
  <c r="G763" i="12"/>
  <c r="G764" i="12"/>
  <c r="G765" i="12"/>
  <c r="G766" i="12"/>
  <c r="G767" i="12"/>
  <c r="G768" i="12"/>
  <c r="G769" i="12"/>
  <c r="G770" i="12"/>
  <c r="G771" i="12"/>
  <c r="G762" i="12"/>
  <c r="G775" i="12" s="1"/>
  <c r="E775" i="12" s="1"/>
  <c r="E919" i="13"/>
  <c r="G818" i="12"/>
  <c r="G819" i="12"/>
  <c r="G820" i="12"/>
  <c r="G817" i="12"/>
  <c r="G822" i="12" s="1"/>
  <c r="Q817" i="12"/>
  <c r="Q822" i="12" s="1"/>
  <c r="J2991" i="2"/>
  <c r="E939" i="13"/>
  <c r="E948" i="13"/>
  <c r="G946" i="13"/>
  <c r="G945" i="13"/>
  <c r="G944" i="13"/>
  <c r="G948" i="13" s="1"/>
  <c r="J3038" i="2"/>
  <c r="J3014" i="2"/>
  <c r="C149" i="5"/>
  <c r="E887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Q707" i="12"/>
  <c r="G863" i="13"/>
  <c r="G851" i="13"/>
  <c r="G852" i="13"/>
  <c r="G853" i="13"/>
  <c r="G854" i="13"/>
  <c r="G850" i="13"/>
  <c r="G857" i="13" s="1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14" i="13"/>
  <c r="G813" i="13"/>
  <c r="G834" i="13" s="1"/>
  <c r="Q690" i="12"/>
  <c r="Q691" i="12"/>
  <c r="G708" i="12"/>
  <c r="G709" i="12"/>
  <c r="G710" i="12"/>
  <c r="G711" i="12"/>
  <c r="G712" i="12"/>
  <c r="G713" i="12"/>
  <c r="G714" i="12"/>
  <c r="G715" i="12"/>
  <c r="G716" i="12"/>
  <c r="G717" i="12"/>
  <c r="G707" i="12"/>
  <c r="G724" i="12" s="1"/>
  <c r="Q689" i="12"/>
  <c r="Q688" i="12"/>
  <c r="Q701" i="12" s="1"/>
  <c r="G689" i="12"/>
  <c r="G690" i="12"/>
  <c r="G691" i="12"/>
  <c r="G692" i="12"/>
  <c r="G693" i="12"/>
  <c r="G694" i="12"/>
  <c r="G688" i="12"/>
  <c r="G701" i="12" s="1"/>
  <c r="E702" i="12" s="1"/>
  <c r="G672" i="12"/>
  <c r="G673" i="12"/>
  <c r="G674" i="12"/>
  <c r="G675" i="12"/>
  <c r="G676" i="12"/>
  <c r="G671" i="12"/>
  <c r="G682" i="12" s="1"/>
  <c r="G644" i="12"/>
  <c r="E857" i="13"/>
  <c r="E834" i="13"/>
  <c r="E844" i="13"/>
  <c r="C134" i="5"/>
  <c r="Q607" i="12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781" i="13"/>
  <c r="E806" i="13"/>
  <c r="G771" i="13"/>
  <c r="G772" i="13"/>
  <c r="G773" i="13"/>
  <c r="G770" i="13"/>
  <c r="G775" i="13" s="1"/>
  <c r="G757" i="13"/>
  <c r="G758" i="13"/>
  <c r="G759" i="13"/>
  <c r="G760" i="13"/>
  <c r="G761" i="13"/>
  <c r="G762" i="13"/>
  <c r="G756" i="13"/>
  <c r="G764" i="13" s="1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34" i="13"/>
  <c r="G750" i="13" s="1"/>
  <c r="G651" i="13"/>
  <c r="E750" i="13"/>
  <c r="Q624" i="12"/>
  <c r="Q623" i="12"/>
  <c r="Q635" i="12" s="1"/>
  <c r="G642" i="12"/>
  <c r="G643" i="12"/>
  <c r="Q642" i="12"/>
  <c r="Q641" i="12"/>
  <c r="Q647" i="12" s="1"/>
  <c r="G641" i="12"/>
  <c r="G647" i="12" s="1"/>
  <c r="E648" i="12" s="1"/>
  <c r="Q512" i="12"/>
  <c r="Q617" i="12"/>
  <c r="Q598" i="12"/>
  <c r="Q601" i="12" s="1"/>
  <c r="Q738" i="12"/>
  <c r="Q731" i="12"/>
  <c r="Q724" i="12"/>
  <c r="Q554" i="12"/>
  <c r="G624" i="12"/>
  <c r="G625" i="12"/>
  <c r="G626" i="12"/>
  <c r="G627" i="12"/>
  <c r="G628" i="12"/>
  <c r="G629" i="12"/>
  <c r="G630" i="12"/>
  <c r="G631" i="12"/>
  <c r="G632" i="12"/>
  <c r="G633" i="12"/>
  <c r="G623" i="12"/>
  <c r="G635" i="12" s="1"/>
  <c r="E636" i="12" s="1"/>
  <c r="G608" i="12"/>
  <c r="G609" i="12"/>
  <c r="G610" i="12"/>
  <c r="G611" i="12"/>
  <c r="G612" i="12"/>
  <c r="G613" i="12"/>
  <c r="G614" i="12"/>
  <c r="G607" i="12"/>
  <c r="G617" i="12" s="1"/>
  <c r="E618" i="12" s="1"/>
  <c r="G554" i="12"/>
  <c r="G599" i="12"/>
  <c r="G598" i="12"/>
  <c r="G601" i="12" s="1"/>
  <c r="E602" i="12" s="1"/>
  <c r="E775" i="13"/>
  <c r="E764" i="13"/>
  <c r="E726" i="13"/>
  <c r="C119" i="5"/>
  <c r="G542" i="12"/>
  <c r="G541" i="12"/>
  <c r="G673" i="13"/>
  <c r="G725" i="13" s="1"/>
  <c r="G724" i="13"/>
  <c r="Q555" i="12"/>
  <c r="Q536" i="12"/>
  <c r="Q537" i="12"/>
  <c r="Q538" i="12"/>
  <c r="Q539" i="12"/>
  <c r="Q540" i="12"/>
  <c r="Q535" i="12"/>
  <c r="Q548" i="12" s="1"/>
  <c r="Q513" i="12"/>
  <c r="Q529" i="12"/>
  <c r="Q496" i="12"/>
  <c r="Q495" i="12"/>
  <c r="Q506" i="12" s="1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2" i="13"/>
  <c r="G723" i="13"/>
  <c r="G685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14" i="13"/>
  <c r="G662" i="13"/>
  <c r="G652" i="13"/>
  <c r="G653" i="13"/>
  <c r="G703" i="13" s="1"/>
  <c r="G654" i="13"/>
  <c r="G655" i="13"/>
  <c r="G656" i="13"/>
  <c r="G657" i="13"/>
  <c r="G658" i="13"/>
  <c r="G659" i="13"/>
  <c r="G660" i="13"/>
  <c r="G661" i="13"/>
  <c r="G636" i="13"/>
  <c r="G663" i="13"/>
  <c r="G664" i="13"/>
  <c r="G665" i="13"/>
  <c r="G666" i="13"/>
  <c r="G667" i="13"/>
  <c r="G668" i="13"/>
  <c r="G669" i="13"/>
  <c r="G629" i="13"/>
  <c r="G670" i="13"/>
  <c r="G671" i="13"/>
  <c r="G721" i="13" s="1"/>
  <c r="G672" i="13"/>
  <c r="E680" i="13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36" i="12"/>
  <c r="G537" i="12"/>
  <c r="G538" i="12"/>
  <c r="G539" i="12"/>
  <c r="G540" i="12"/>
  <c r="G535" i="12"/>
  <c r="G496" i="12"/>
  <c r="G497" i="12"/>
  <c r="G498" i="12"/>
  <c r="G499" i="12"/>
  <c r="G500" i="12"/>
  <c r="G495" i="12"/>
  <c r="G506" i="12" s="1"/>
  <c r="E507" i="12" s="1"/>
  <c r="G513" i="12"/>
  <c r="G514" i="12"/>
  <c r="G515" i="12"/>
  <c r="G516" i="12"/>
  <c r="G517" i="12"/>
  <c r="G518" i="12"/>
  <c r="G519" i="12"/>
  <c r="G520" i="12"/>
  <c r="G521" i="12"/>
  <c r="G522" i="12"/>
  <c r="G523" i="12"/>
  <c r="G512" i="12"/>
  <c r="E191" i="3"/>
  <c r="E192" i="3" s="1"/>
  <c r="H1352" i="4"/>
  <c r="G1361" i="4" s="1"/>
  <c r="H1363" i="4" s="1"/>
  <c r="H1327" i="4"/>
  <c r="G1336" i="4" s="1"/>
  <c r="H1338" i="4" s="1"/>
  <c r="H1302" i="4"/>
  <c r="G1311" i="4" s="1"/>
  <c r="H1313" i="4" s="1"/>
  <c r="H1277" i="4"/>
  <c r="G1286" i="4" s="1"/>
  <c r="H1288" i="4" s="1"/>
  <c r="H1252" i="4"/>
  <c r="G1261" i="4" s="1"/>
  <c r="H1263" i="4" s="1"/>
  <c r="H1227" i="4"/>
  <c r="G1236" i="4" s="1"/>
  <c r="H1238" i="4" s="1"/>
  <c r="H1201" i="4"/>
  <c r="G1210" i="4" s="1"/>
  <c r="H1212" i="4" s="1"/>
  <c r="H1176" i="4"/>
  <c r="G1185" i="4" s="1"/>
  <c r="H1187" i="4" s="1"/>
  <c r="H1151" i="4"/>
  <c r="G1160" i="4" s="1"/>
  <c r="H1162" i="4" s="1"/>
  <c r="H1126" i="4"/>
  <c r="G1135" i="4" s="1"/>
  <c r="H1137" i="4" s="1"/>
  <c r="H1101" i="4"/>
  <c r="G1110" i="4" s="1"/>
  <c r="H1112" i="4" s="1"/>
  <c r="C105" i="5"/>
  <c r="E646" i="13"/>
  <c r="G646" i="13"/>
  <c r="E631" i="13"/>
  <c r="G631" i="13"/>
  <c r="G588" i="13"/>
  <c r="Q465" i="12"/>
  <c r="Q470" i="12" s="1"/>
  <c r="Q452" i="12"/>
  <c r="Q453" i="12"/>
  <c r="Q451" i="12"/>
  <c r="Q459" i="12" s="1"/>
  <c r="Q415" i="12"/>
  <c r="Q414" i="12"/>
  <c r="Q425" i="12" s="1"/>
  <c r="Q394" i="12"/>
  <c r="Q395" i="12"/>
  <c r="Q396" i="12"/>
  <c r="Q393" i="12"/>
  <c r="Q408" i="12" s="1"/>
  <c r="E606" i="13"/>
  <c r="G605" i="13"/>
  <c r="G604" i="13"/>
  <c r="G602" i="13"/>
  <c r="G601" i="13"/>
  <c r="G600" i="13"/>
  <c r="G599" i="13"/>
  <c r="G598" i="13"/>
  <c r="G597" i="13"/>
  <c r="G596" i="13"/>
  <c r="G595" i="13"/>
  <c r="G593" i="13"/>
  <c r="G592" i="13"/>
  <c r="G591" i="13"/>
  <c r="G590" i="13"/>
  <c r="G589" i="13"/>
  <c r="G587" i="13"/>
  <c r="G586" i="13"/>
  <c r="G585" i="13"/>
  <c r="G584" i="13"/>
  <c r="G583" i="13"/>
  <c r="G582" i="13"/>
  <c r="G581" i="13"/>
  <c r="G580" i="13"/>
  <c r="G579" i="13"/>
  <c r="G578" i="13"/>
  <c r="G576" i="13"/>
  <c r="G575" i="13"/>
  <c r="G574" i="13"/>
  <c r="G573" i="13"/>
  <c r="G572" i="13"/>
  <c r="G571" i="13"/>
  <c r="G570" i="13"/>
  <c r="G569" i="13"/>
  <c r="G567" i="13"/>
  <c r="G566" i="13"/>
  <c r="G565" i="13"/>
  <c r="G545" i="13"/>
  <c r="G546" i="13"/>
  <c r="G547" i="13"/>
  <c r="G594" i="13" s="1"/>
  <c r="G548" i="13"/>
  <c r="G549" i="13"/>
  <c r="G550" i="13"/>
  <c r="G551" i="13"/>
  <c r="G552" i="13"/>
  <c r="G553" i="13"/>
  <c r="G554" i="13"/>
  <c r="G555" i="13"/>
  <c r="G556" i="13"/>
  <c r="G603" i="13" s="1"/>
  <c r="G557" i="13"/>
  <c r="G558" i="13"/>
  <c r="G544" i="13"/>
  <c r="G528" i="13"/>
  <c r="G529" i="13"/>
  <c r="G530" i="13"/>
  <c r="G531" i="13"/>
  <c r="G532" i="13"/>
  <c r="G533" i="13"/>
  <c r="G534" i="13"/>
  <c r="G535" i="13"/>
  <c r="G527" i="13"/>
  <c r="G539" i="13" s="1"/>
  <c r="E539" i="13"/>
  <c r="G403" i="12"/>
  <c r="G504" i="13"/>
  <c r="G501" i="13"/>
  <c r="G502" i="13"/>
  <c r="G503" i="13"/>
  <c r="G568" i="13" s="1"/>
  <c r="G505" i="13"/>
  <c r="G506" i="13"/>
  <c r="G507" i="13"/>
  <c r="G508" i="13"/>
  <c r="G509" i="13"/>
  <c r="G510" i="13"/>
  <c r="G511" i="13"/>
  <c r="G512" i="13"/>
  <c r="G577" i="13" s="1"/>
  <c r="G513" i="13"/>
  <c r="G514" i="13"/>
  <c r="G515" i="13"/>
  <c r="G516" i="13"/>
  <c r="G500" i="13"/>
  <c r="G522" i="13" s="1"/>
  <c r="G452" i="12"/>
  <c r="G453" i="12"/>
  <c r="G454" i="12"/>
  <c r="G455" i="12"/>
  <c r="G456" i="12"/>
  <c r="G451" i="12"/>
  <c r="G459" i="12" s="1"/>
  <c r="E460" i="12" s="1"/>
  <c r="G466" i="12"/>
  <c r="G467" i="12"/>
  <c r="G468" i="12"/>
  <c r="G465" i="12"/>
  <c r="G432" i="12"/>
  <c r="G433" i="12"/>
  <c r="G434" i="12"/>
  <c r="G435" i="12"/>
  <c r="G436" i="12"/>
  <c r="G437" i="12"/>
  <c r="G438" i="12"/>
  <c r="G439" i="12"/>
  <c r="G431" i="12"/>
  <c r="G394" i="12"/>
  <c r="G395" i="12"/>
  <c r="G396" i="12"/>
  <c r="G397" i="12"/>
  <c r="G398" i="12"/>
  <c r="G399" i="12"/>
  <c r="G400" i="12"/>
  <c r="G401" i="12"/>
  <c r="G402" i="12"/>
  <c r="G393" i="12"/>
  <c r="G408" i="12" s="1"/>
  <c r="E409" i="12" s="1"/>
  <c r="G548" i="12"/>
  <c r="E549" i="12" s="1"/>
  <c r="G415" i="12"/>
  <c r="G416" i="12"/>
  <c r="G417" i="12"/>
  <c r="G418" i="12"/>
  <c r="G419" i="12"/>
  <c r="G421" i="12"/>
  <c r="G424" i="12"/>
  <c r="G422" i="12"/>
  <c r="G423" i="12"/>
  <c r="G529" i="12"/>
  <c r="E530" i="12" s="1"/>
  <c r="G420" i="12"/>
  <c r="G414" i="12"/>
  <c r="E560" i="13"/>
  <c r="E522" i="13"/>
  <c r="C92" i="5"/>
  <c r="G560" i="13"/>
  <c r="Q297" i="12"/>
  <c r="Q331" i="12"/>
  <c r="Q319" i="12"/>
  <c r="Q296" i="12"/>
  <c r="Q295" i="12"/>
  <c r="E445" i="13"/>
  <c r="G438" i="13"/>
  <c r="G439" i="13"/>
  <c r="G440" i="13"/>
  <c r="G441" i="13"/>
  <c r="G442" i="13"/>
  <c r="G443" i="13"/>
  <c r="G444" i="13"/>
  <c r="G437" i="13"/>
  <c r="G445" i="13" s="1"/>
  <c r="E434" i="13"/>
  <c r="G478" i="13"/>
  <c r="G476" i="13"/>
  <c r="G459" i="13"/>
  <c r="G460" i="13"/>
  <c r="G461" i="13"/>
  <c r="G462" i="13"/>
  <c r="G463" i="13"/>
  <c r="G464" i="13"/>
  <c r="G465" i="13"/>
  <c r="G467" i="13"/>
  <c r="G468" i="13"/>
  <c r="G469" i="13"/>
  <c r="G471" i="13"/>
  <c r="G472" i="13"/>
  <c r="G473" i="13"/>
  <c r="G474" i="13"/>
  <c r="G475" i="13"/>
  <c r="G477" i="13"/>
  <c r="G479" i="13"/>
  <c r="G480" i="13"/>
  <c r="G481" i="13"/>
  <c r="G482" i="13"/>
  <c r="G483" i="13"/>
  <c r="G484" i="13"/>
  <c r="G485" i="13"/>
  <c r="G486" i="13"/>
  <c r="G487" i="13"/>
  <c r="G488" i="13"/>
  <c r="G490" i="13"/>
  <c r="G491" i="13"/>
  <c r="G458" i="13"/>
  <c r="E492" i="13"/>
  <c r="G452" i="13"/>
  <c r="G451" i="13"/>
  <c r="G453" i="13"/>
  <c r="E453" i="13"/>
  <c r="G418" i="13"/>
  <c r="G419" i="13"/>
  <c r="G420" i="13"/>
  <c r="G421" i="13"/>
  <c r="G422" i="13"/>
  <c r="G423" i="13"/>
  <c r="G424" i="13"/>
  <c r="G425" i="13"/>
  <c r="G426" i="13"/>
  <c r="G427" i="13"/>
  <c r="G489" i="13" s="1"/>
  <c r="G417" i="13"/>
  <c r="G434" i="13" s="1"/>
  <c r="G446" i="13" s="1"/>
  <c r="G377" i="13"/>
  <c r="G378" i="13"/>
  <c r="G379" i="13"/>
  <c r="G380" i="13"/>
  <c r="G381" i="13"/>
  <c r="G382" i="13"/>
  <c r="G383" i="13"/>
  <c r="G384" i="13"/>
  <c r="G466" i="13" s="1"/>
  <c r="G385" i="13"/>
  <c r="G386" i="13"/>
  <c r="G387" i="13"/>
  <c r="G388" i="13"/>
  <c r="G470" i="13" s="1"/>
  <c r="G389" i="13"/>
  <c r="G390" i="13"/>
  <c r="G391" i="13"/>
  <c r="G392" i="13"/>
  <c r="G393" i="13"/>
  <c r="G376" i="13"/>
  <c r="G399" i="13" s="1"/>
  <c r="Q330" i="12"/>
  <c r="Q339" i="12" s="1"/>
  <c r="Q315" i="12"/>
  <c r="Q316" i="12"/>
  <c r="Q317" i="12"/>
  <c r="Q318" i="12"/>
  <c r="Q314" i="12"/>
  <c r="Q324" i="12" s="1"/>
  <c r="Q294" i="12"/>
  <c r="Q308" i="12" s="1"/>
  <c r="G331" i="12"/>
  <c r="G332" i="12"/>
  <c r="G333" i="12"/>
  <c r="G334" i="12"/>
  <c r="G335" i="12"/>
  <c r="G336" i="12"/>
  <c r="G337" i="12"/>
  <c r="G295" i="12"/>
  <c r="G296" i="12"/>
  <c r="G297" i="12"/>
  <c r="G298" i="12"/>
  <c r="G299" i="12"/>
  <c r="G300" i="12"/>
  <c r="G301" i="12"/>
  <c r="G302" i="12"/>
  <c r="G303" i="12"/>
  <c r="G346" i="12"/>
  <c r="G347" i="12"/>
  <c r="G348" i="12"/>
  <c r="G349" i="12"/>
  <c r="G350" i="12"/>
  <c r="G351" i="12"/>
  <c r="G352" i="12"/>
  <c r="G353" i="12"/>
  <c r="G315" i="12"/>
  <c r="G316" i="12"/>
  <c r="G317" i="12"/>
  <c r="G318" i="12"/>
  <c r="G319" i="12"/>
  <c r="G294" i="12"/>
  <c r="G314" i="12"/>
  <c r="G324" i="12" s="1"/>
  <c r="E325" i="12" s="1"/>
  <c r="G330" i="12"/>
  <c r="G345" i="12"/>
  <c r="G367" i="12"/>
  <c r="G470" i="12"/>
  <c r="E471" i="12" s="1"/>
  <c r="G445" i="12"/>
  <c r="E412" i="13"/>
  <c r="E399" i="13"/>
  <c r="G412" i="13"/>
  <c r="C79" i="5"/>
  <c r="E323" i="13"/>
  <c r="E322" i="13"/>
  <c r="G289" i="13"/>
  <c r="G290" i="13"/>
  <c r="G291" i="13"/>
  <c r="G292" i="13"/>
  <c r="G293" i="13"/>
  <c r="G294" i="13"/>
  <c r="G356" i="13" s="1"/>
  <c r="G295" i="13"/>
  <c r="G296" i="13"/>
  <c r="G297" i="13"/>
  <c r="G298" i="13"/>
  <c r="G299" i="13"/>
  <c r="G300" i="13"/>
  <c r="G301" i="13"/>
  <c r="G302" i="13"/>
  <c r="G303" i="13"/>
  <c r="G288" i="13"/>
  <c r="G310" i="13" s="1"/>
  <c r="G329" i="13"/>
  <c r="G330" i="13"/>
  <c r="G331" i="13"/>
  <c r="G332" i="13"/>
  <c r="G333" i="13"/>
  <c r="G334" i="13"/>
  <c r="G335" i="13"/>
  <c r="G336" i="13"/>
  <c r="G337" i="13"/>
  <c r="G338" i="13"/>
  <c r="G339" i="13"/>
  <c r="G341" i="13"/>
  <c r="G342" i="13"/>
  <c r="G343" i="13"/>
  <c r="G344" i="13"/>
  <c r="G345" i="13"/>
  <c r="G346" i="13"/>
  <c r="G347" i="13"/>
  <c r="G349" i="13"/>
  <c r="G350" i="13"/>
  <c r="G351" i="13"/>
  <c r="G352" i="13"/>
  <c r="G353" i="13"/>
  <c r="G354" i="13"/>
  <c r="G355" i="13"/>
  <c r="G357" i="13"/>
  <c r="G358" i="13"/>
  <c r="G359" i="13"/>
  <c r="G360" i="13"/>
  <c r="G361" i="13"/>
  <c r="G362" i="13"/>
  <c r="G363" i="13"/>
  <c r="G364" i="13"/>
  <c r="G365" i="13"/>
  <c r="G366" i="13"/>
  <c r="G367" i="13"/>
  <c r="G328" i="13"/>
  <c r="E368" i="13"/>
  <c r="Q246" i="12"/>
  <c r="Q257" i="12" s="1"/>
  <c r="Q229" i="12"/>
  <c r="Q228" i="12"/>
  <c r="Q227" i="12"/>
  <c r="Q226" i="12"/>
  <c r="Q240" i="12" s="1"/>
  <c r="Q207" i="12"/>
  <c r="Q208" i="12"/>
  <c r="Q209" i="12"/>
  <c r="Q206" i="12"/>
  <c r="Q192" i="12"/>
  <c r="Q191" i="12"/>
  <c r="Q200" i="12" s="1"/>
  <c r="G262" i="13"/>
  <c r="G263" i="13"/>
  <c r="G264" i="13"/>
  <c r="G265" i="13"/>
  <c r="G266" i="13"/>
  <c r="G340" i="13" s="1"/>
  <c r="G267" i="13"/>
  <c r="G268" i="13"/>
  <c r="G269" i="13"/>
  <c r="G270" i="13"/>
  <c r="G271" i="13"/>
  <c r="G272" i="13"/>
  <c r="G273" i="13"/>
  <c r="G274" i="13"/>
  <c r="G348" i="13" s="1"/>
  <c r="G275" i="13"/>
  <c r="G261" i="13"/>
  <c r="G282" i="13" s="1"/>
  <c r="G214" i="12"/>
  <c r="G215" i="12"/>
  <c r="G216" i="12"/>
  <c r="G317" i="13"/>
  <c r="G318" i="13"/>
  <c r="G319" i="13"/>
  <c r="G370" i="12"/>
  <c r="E371" i="12" s="1"/>
  <c r="G308" i="12"/>
  <c r="E309" i="12" s="1"/>
  <c r="G192" i="12"/>
  <c r="G193" i="12"/>
  <c r="G194" i="12"/>
  <c r="G195" i="12"/>
  <c r="G196" i="12"/>
  <c r="G197" i="12"/>
  <c r="G191" i="12"/>
  <c r="G227" i="12"/>
  <c r="G228" i="12"/>
  <c r="G229" i="12"/>
  <c r="G230" i="12"/>
  <c r="G231" i="12"/>
  <c r="G232" i="12"/>
  <c r="G233" i="12"/>
  <c r="G234" i="12"/>
  <c r="G235" i="12"/>
  <c r="G339" i="12"/>
  <c r="E340" i="12" s="1"/>
  <c r="G226" i="12"/>
  <c r="G247" i="12"/>
  <c r="G248" i="12"/>
  <c r="G249" i="12"/>
  <c r="G250" i="12"/>
  <c r="G251" i="12"/>
  <c r="G252" i="12"/>
  <c r="G253" i="12"/>
  <c r="G361" i="12"/>
  <c r="E362" i="12" s="1"/>
  <c r="G246" i="12"/>
  <c r="G257" i="12" s="1"/>
  <c r="E258" i="12" s="1"/>
  <c r="G316" i="13"/>
  <c r="G315" i="13"/>
  <c r="G207" i="12"/>
  <c r="G208" i="12"/>
  <c r="G209" i="12"/>
  <c r="G210" i="12"/>
  <c r="G211" i="12"/>
  <c r="G212" i="12"/>
  <c r="G213" i="12"/>
  <c r="G206" i="12"/>
  <c r="G220" i="12" s="1"/>
  <c r="G264" i="12"/>
  <c r="G265" i="12"/>
  <c r="G266" i="12"/>
  <c r="G263" i="12"/>
  <c r="G271" i="12" s="1"/>
  <c r="E272" i="12" s="1"/>
  <c r="E282" i="13"/>
  <c r="G323" i="13"/>
  <c r="E310" i="13"/>
  <c r="E256" i="13"/>
  <c r="J2226" i="2"/>
  <c r="G168" i="12"/>
  <c r="Q166" i="12"/>
  <c r="E235" i="13"/>
  <c r="Q139" i="12"/>
  <c r="Q138" i="12"/>
  <c r="H1074" i="4"/>
  <c r="G1083" i="4" s="1"/>
  <c r="H1085" i="4" s="1"/>
  <c r="G1058" i="4"/>
  <c r="H1050" i="4"/>
  <c r="H1049" i="4"/>
  <c r="H1060" i="4" s="1"/>
  <c r="E159" i="3"/>
  <c r="E160" i="3" s="1"/>
  <c r="Q165" i="12"/>
  <c r="Q148" i="12"/>
  <c r="Q147" i="12"/>
  <c r="Q137" i="12"/>
  <c r="Q135" i="12"/>
  <c r="Q136" i="12"/>
  <c r="Q134" i="12"/>
  <c r="Q115" i="12"/>
  <c r="Q114" i="12"/>
  <c r="Q99" i="12"/>
  <c r="Q98" i="12"/>
  <c r="Q97" i="12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209" i="13" s="1"/>
  <c r="G142" i="13"/>
  <c r="G210" i="13" s="1"/>
  <c r="G143" i="13"/>
  <c r="G129" i="13"/>
  <c r="G148" i="13" s="1"/>
  <c r="G154" i="13"/>
  <c r="G155" i="13"/>
  <c r="G156" i="13"/>
  <c r="G157" i="13"/>
  <c r="G158" i="13"/>
  <c r="G159" i="13"/>
  <c r="G160" i="13"/>
  <c r="G219" i="13" s="1"/>
  <c r="G161" i="13"/>
  <c r="G220" i="13" s="1"/>
  <c r="G162" i="13"/>
  <c r="G163" i="13"/>
  <c r="G164" i="13"/>
  <c r="G165" i="13"/>
  <c r="G153" i="13"/>
  <c r="G172" i="13" s="1"/>
  <c r="G198" i="13"/>
  <c r="G199" i="13"/>
  <c r="G200" i="13"/>
  <c r="G201" i="13"/>
  <c r="G202" i="13"/>
  <c r="G203" i="13"/>
  <c r="G204" i="13"/>
  <c r="G205" i="13"/>
  <c r="G206" i="13"/>
  <c r="G207" i="13"/>
  <c r="G208" i="13"/>
  <c r="G211" i="13"/>
  <c r="G212" i="13"/>
  <c r="G213" i="13"/>
  <c r="G214" i="13"/>
  <c r="G215" i="13"/>
  <c r="G216" i="13"/>
  <c r="G217" i="13"/>
  <c r="G218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197" i="13"/>
  <c r="G235" i="13" s="1"/>
  <c r="G180" i="13"/>
  <c r="G181" i="13"/>
  <c r="G182" i="13"/>
  <c r="G183" i="13"/>
  <c r="G184" i="13"/>
  <c r="G185" i="13"/>
  <c r="G186" i="13"/>
  <c r="G187" i="13"/>
  <c r="G188" i="13"/>
  <c r="G179" i="13"/>
  <c r="G166" i="12"/>
  <c r="G167" i="12"/>
  <c r="G169" i="12"/>
  <c r="G170" i="12"/>
  <c r="G171" i="12"/>
  <c r="G165" i="12"/>
  <c r="G148" i="12"/>
  <c r="G149" i="12"/>
  <c r="G150" i="12"/>
  <c r="G151" i="12"/>
  <c r="G152" i="12"/>
  <c r="G153" i="12"/>
  <c r="G147" i="12"/>
  <c r="G134" i="12"/>
  <c r="G135" i="12"/>
  <c r="G136" i="12"/>
  <c r="G137" i="12"/>
  <c r="G138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98" i="12"/>
  <c r="G99" i="12"/>
  <c r="G100" i="12"/>
  <c r="G101" i="12"/>
  <c r="G102" i="12"/>
  <c r="G103" i="12"/>
  <c r="G104" i="12"/>
  <c r="G97" i="12"/>
  <c r="G256" i="13"/>
  <c r="E192" i="13"/>
  <c r="G192" i="13"/>
  <c r="E172" i="13"/>
  <c r="E148" i="13"/>
  <c r="H1024" i="4"/>
  <c r="G1033" i="4" s="1"/>
  <c r="H1035" i="4" s="1"/>
  <c r="H999" i="4"/>
  <c r="G1008" i="4" s="1"/>
  <c r="H1010" i="4" s="1"/>
  <c r="H974" i="4"/>
  <c r="G983" i="4" s="1"/>
  <c r="H985" i="4" s="1"/>
  <c r="H949" i="4"/>
  <c r="G958" i="4" s="1"/>
  <c r="H960" i="4" s="1"/>
  <c r="H924" i="4"/>
  <c r="G933" i="4" s="1"/>
  <c r="H935" i="4" s="1"/>
  <c r="H899" i="4"/>
  <c r="G908" i="4" s="1"/>
  <c r="H910" i="4" s="1"/>
  <c r="H875" i="4"/>
  <c r="H874" i="4"/>
  <c r="G883" i="4" s="1"/>
  <c r="H885" i="4" s="1"/>
  <c r="G858" i="4"/>
  <c r="H850" i="4"/>
  <c r="H849" i="4"/>
  <c r="H860" i="4" s="1"/>
  <c r="H824" i="4"/>
  <c r="G833" i="4" s="1"/>
  <c r="H835" i="4" s="1"/>
  <c r="H799" i="4"/>
  <c r="G808" i="4" s="1"/>
  <c r="H810" i="4" s="1"/>
  <c r="H774" i="4"/>
  <c r="G783" i="4" s="1"/>
  <c r="H785" i="4" s="1"/>
  <c r="H749" i="4"/>
  <c r="G758" i="4" s="1"/>
  <c r="H760" i="4" s="1"/>
  <c r="C66" i="5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76" i="13"/>
  <c r="E123" i="3"/>
  <c r="E124" i="3"/>
  <c r="Q74" i="12"/>
  <c r="Q73" i="12"/>
  <c r="Q72" i="12"/>
  <c r="Q81" i="12" s="1"/>
  <c r="Q56" i="12"/>
  <c r="Q57" i="12"/>
  <c r="Q58" i="12"/>
  <c r="Q59" i="12"/>
  <c r="Q55" i="12"/>
  <c r="Q37" i="12"/>
  <c r="Q38" i="12"/>
  <c r="Q36" i="12"/>
  <c r="Q49" i="12" s="1"/>
  <c r="Q22" i="12"/>
  <c r="Q23" i="12"/>
  <c r="Q24" i="12"/>
  <c r="Q25" i="12"/>
  <c r="Q21" i="12"/>
  <c r="G73" i="12"/>
  <c r="G74" i="12"/>
  <c r="G75" i="12"/>
  <c r="G76" i="12"/>
  <c r="G77" i="12"/>
  <c r="G78" i="12"/>
  <c r="G79" i="12"/>
  <c r="G72" i="12"/>
  <c r="G56" i="12"/>
  <c r="G57" i="12"/>
  <c r="G58" i="12"/>
  <c r="G59" i="12"/>
  <c r="G60" i="12"/>
  <c r="G61" i="12"/>
  <c r="G62" i="12"/>
  <c r="G55" i="12"/>
  <c r="G37" i="12"/>
  <c r="G38" i="12"/>
  <c r="G39" i="12"/>
  <c r="G40" i="12"/>
  <c r="G41" i="12"/>
  <c r="G42" i="12"/>
  <c r="G43" i="12"/>
  <c r="G44" i="12"/>
  <c r="G45" i="12"/>
  <c r="G46" i="12"/>
  <c r="G36" i="12"/>
  <c r="G22" i="12"/>
  <c r="G23" i="12"/>
  <c r="G24" i="12"/>
  <c r="G25" i="12"/>
  <c r="G21" i="12"/>
  <c r="G7" i="12"/>
  <c r="G8" i="12"/>
  <c r="G9" i="12"/>
  <c r="G10" i="12"/>
  <c r="G11" i="12"/>
  <c r="G12" i="12"/>
  <c r="G13" i="12"/>
  <c r="G6" i="12"/>
  <c r="G60" i="13"/>
  <c r="G61" i="13"/>
  <c r="G62" i="13"/>
  <c r="G63" i="13"/>
  <c r="G64" i="13"/>
  <c r="G65" i="13"/>
  <c r="G66" i="13"/>
  <c r="G67" i="13"/>
  <c r="G59" i="13"/>
  <c r="G71" i="13" s="1"/>
  <c r="E71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35" i="13"/>
  <c r="G53" i="13" s="1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7" i="13"/>
  <c r="G28" i="13" s="1"/>
  <c r="E117" i="13"/>
  <c r="E28" i="13"/>
  <c r="J2056" i="2"/>
  <c r="J2032" i="2"/>
  <c r="E53" i="13"/>
  <c r="E1785" i="1"/>
  <c r="E28" i="11"/>
  <c r="E15" i="11"/>
  <c r="E1843" i="1"/>
  <c r="E1762" i="1"/>
  <c r="E1715" i="1"/>
  <c r="E1698" i="1"/>
  <c r="C51" i="5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593" i="1"/>
  <c r="G1627" i="1" s="1"/>
  <c r="E1628" i="1" s="1"/>
  <c r="G1582" i="1"/>
  <c r="G1583" i="1"/>
  <c r="G1584" i="1"/>
  <c r="G1581" i="1"/>
  <c r="G1586" i="1" s="1"/>
  <c r="E1587" i="1" s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50" i="1"/>
  <c r="G1572" i="1" s="1"/>
  <c r="E1573" i="1" s="1"/>
  <c r="G1510" i="1"/>
  <c r="G1511" i="1"/>
  <c r="G1512" i="1"/>
  <c r="G1513" i="1"/>
  <c r="G1514" i="1"/>
  <c r="G1515" i="1"/>
  <c r="G1516" i="1"/>
  <c r="G1509" i="1"/>
  <c r="G1518" i="1" s="1"/>
  <c r="E1519" i="1" s="1"/>
  <c r="E1627" i="1"/>
  <c r="O1474" i="1"/>
  <c r="O1490" i="1" s="1"/>
  <c r="G1480" i="1"/>
  <c r="G1481" i="1"/>
  <c r="G1482" i="1"/>
  <c r="G1483" i="1"/>
  <c r="G1484" i="1"/>
  <c r="G1485" i="1"/>
  <c r="G1486" i="1"/>
  <c r="G1487" i="1"/>
  <c r="G1488" i="1"/>
  <c r="G1479" i="1"/>
  <c r="G1490" i="1" s="1"/>
  <c r="E1491" i="1" s="1"/>
  <c r="E1490" i="1"/>
  <c r="O1441" i="1"/>
  <c r="O1442" i="1"/>
  <c r="O1440" i="1"/>
  <c r="O1468" i="1" s="1"/>
  <c r="G1459" i="1"/>
  <c r="G1460" i="1"/>
  <c r="G1461" i="1"/>
  <c r="G1462" i="1"/>
  <c r="G1463" i="1"/>
  <c r="G1464" i="1"/>
  <c r="G1465" i="1"/>
  <c r="G1458" i="1"/>
  <c r="G1468" i="1" s="1"/>
  <c r="E1469" i="1" s="1"/>
  <c r="O1419" i="1"/>
  <c r="O1418" i="1"/>
  <c r="O1434" i="1" s="1"/>
  <c r="G1425" i="1"/>
  <c r="G1426" i="1"/>
  <c r="G1427" i="1"/>
  <c r="G1428" i="1"/>
  <c r="G1429" i="1"/>
  <c r="G1430" i="1"/>
  <c r="G1431" i="1"/>
  <c r="G1432" i="1"/>
  <c r="G1424" i="1"/>
  <c r="G1434" i="1" s="1"/>
  <c r="E1435" i="1" s="1"/>
  <c r="O1408" i="1"/>
  <c r="O1407" i="1"/>
  <c r="O1412" i="1" s="1"/>
  <c r="G1410" i="1"/>
  <c r="G1412" i="1" s="1"/>
  <c r="E1413" i="1" s="1"/>
  <c r="O1389" i="1"/>
  <c r="O1390" i="1"/>
  <c r="O1391" i="1"/>
  <c r="O1388" i="1"/>
  <c r="O1401" i="1" s="1"/>
  <c r="G1396" i="1"/>
  <c r="G1397" i="1"/>
  <c r="G1398" i="1"/>
  <c r="G1399" i="1"/>
  <c r="G1395" i="1"/>
  <c r="G1401" i="1" s="1"/>
  <c r="E1402" i="1" s="1"/>
  <c r="D1859" i="1"/>
  <c r="E1802" i="1"/>
  <c r="G1732" i="1"/>
  <c r="E1732" i="1"/>
  <c r="E1681" i="1"/>
  <c r="E1680" i="1"/>
  <c r="O1664" i="1"/>
  <c r="G1664" i="1"/>
  <c r="E1665" i="1" s="1"/>
  <c r="E1664" i="1"/>
  <c r="E1586" i="1"/>
  <c r="E1572" i="1"/>
  <c r="E1518" i="1"/>
  <c r="J1870" i="2"/>
  <c r="J1846" i="2"/>
  <c r="J1530" i="2"/>
  <c r="E1412" i="1"/>
  <c r="E1468" i="1"/>
  <c r="E1401" i="1"/>
  <c r="E1434" i="1"/>
  <c r="E1281" i="1"/>
  <c r="E1355" i="1"/>
  <c r="J1680" i="2"/>
  <c r="J1662" i="2"/>
  <c r="J1656" i="2"/>
  <c r="J1629" i="2"/>
  <c r="J1623" i="2"/>
  <c r="J1596" i="2"/>
  <c r="J1590" i="2"/>
  <c r="J1557" i="2"/>
  <c r="J1522" i="2"/>
  <c r="E1226" i="1"/>
  <c r="G1353" i="1"/>
  <c r="E1314" i="1"/>
  <c r="G1312" i="1"/>
  <c r="G1224" i="1"/>
  <c r="G1279" i="1"/>
  <c r="G1352" i="1"/>
  <c r="G1202" i="1"/>
  <c r="G1348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9" i="1"/>
  <c r="G1350" i="1"/>
  <c r="G1351" i="1"/>
  <c r="G1321" i="1"/>
  <c r="G1355" i="1" s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298" i="1"/>
  <c r="O1232" i="1"/>
  <c r="O1241" i="1" s="1"/>
  <c r="E1204" i="1"/>
  <c r="O1197" i="1"/>
  <c r="G1223" i="1"/>
  <c r="G1278" i="1"/>
  <c r="G1277" i="1"/>
  <c r="G122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62" i="1"/>
  <c r="G1281" i="1" s="1"/>
  <c r="G1236" i="1"/>
  <c r="G1237" i="1"/>
  <c r="G1238" i="1"/>
  <c r="G1239" i="1"/>
  <c r="G1235" i="1"/>
  <c r="G1241" i="1" s="1"/>
  <c r="E1242" i="1" s="1"/>
  <c r="O1210" i="1"/>
  <c r="G1217" i="1"/>
  <c r="G1218" i="1"/>
  <c r="G1219" i="1"/>
  <c r="G1220" i="1"/>
  <c r="G1221" i="1"/>
  <c r="G1216" i="1"/>
  <c r="G1226" i="1" s="1"/>
  <c r="E1227" i="1" s="1"/>
  <c r="O1194" i="1"/>
  <c r="O1195" i="1"/>
  <c r="O1196" i="1"/>
  <c r="O1193" i="1"/>
  <c r="O1200" i="1" s="1"/>
  <c r="G1196" i="1"/>
  <c r="G1197" i="1"/>
  <c r="G1198" i="1"/>
  <c r="G1199" i="1"/>
  <c r="G1200" i="1"/>
  <c r="G1201" i="1"/>
  <c r="G1195" i="1"/>
  <c r="G1204" i="1" s="1"/>
  <c r="G1178" i="1"/>
  <c r="G1179" i="1"/>
  <c r="G1180" i="1"/>
  <c r="G1181" i="1"/>
  <c r="G1182" i="1"/>
  <c r="G1183" i="1"/>
  <c r="G1177" i="1"/>
  <c r="O1156" i="1"/>
  <c r="O1157" i="1"/>
  <c r="O1158" i="1"/>
  <c r="O1159" i="1"/>
  <c r="O1155" i="1"/>
  <c r="O1166" i="1" s="1"/>
  <c r="G1161" i="1"/>
  <c r="G1162" i="1"/>
  <c r="G1163" i="1"/>
  <c r="G1160" i="1"/>
  <c r="D1639" i="1"/>
  <c r="J1424" i="2"/>
  <c r="J1485" i="2"/>
  <c r="E1186" i="1"/>
  <c r="E1241" i="1"/>
  <c r="J1380" i="2"/>
  <c r="E1166" i="1"/>
  <c r="G1044" i="1"/>
  <c r="G1109" i="1"/>
  <c r="G1108" i="1"/>
  <c r="G1048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10" i="1"/>
  <c r="G1111" i="1"/>
  <c r="G1112" i="1"/>
  <c r="G1113" i="1"/>
  <c r="G1114" i="1"/>
  <c r="G1115" i="1"/>
  <c r="G1116" i="1"/>
  <c r="G1117" i="1"/>
  <c r="G1118" i="1"/>
  <c r="G1119" i="1"/>
  <c r="G1092" i="1"/>
  <c r="G1122" i="1" s="1"/>
  <c r="E1123" i="1" s="1"/>
  <c r="E1122" i="1"/>
  <c r="G1052" i="1"/>
  <c r="E1055" i="1"/>
  <c r="G964" i="1"/>
  <c r="G1016" i="1"/>
  <c r="G1049" i="1"/>
  <c r="J1491" i="2"/>
  <c r="J1452" i="2"/>
  <c r="J1417" i="2"/>
  <c r="J1344" i="2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70" i="1"/>
  <c r="G1039" i="1"/>
  <c r="G1040" i="1"/>
  <c r="G1041" i="1"/>
  <c r="G1042" i="1"/>
  <c r="G1043" i="1"/>
  <c r="G1045" i="1"/>
  <c r="G1046" i="1"/>
  <c r="G1047" i="1"/>
  <c r="G1050" i="1"/>
  <c r="G1051" i="1"/>
  <c r="G1038" i="1"/>
  <c r="G1055" i="1" s="1"/>
  <c r="E1056" i="1" s="1"/>
  <c r="O994" i="1"/>
  <c r="O995" i="1"/>
  <c r="O993" i="1"/>
  <c r="O1006" i="1" s="1"/>
  <c r="G1000" i="1"/>
  <c r="G1001" i="1"/>
  <c r="G1002" i="1"/>
  <c r="G1003" i="1"/>
  <c r="G999" i="1"/>
  <c r="G1006" i="1" s="1"/>
  <c r="E1007" i="1" s="1"/>
  <c r="G977" i="1"/>
  <c r="G978" i="1"/>
  <c r="G979" i="1"/>
  <c r="G980" i="1"/>
  <c r="G981" i="1"/>
  <c r="G982" i="1"/>
  <c r="G983" i="1"/>
  <c r="G976" i="1"/>
  <c r="G986" i="1" s="1"/>
  <c r="E987" i="1" s="1"/>
  <c r="O956" i="1"/>
  <c r="O966" i="1" s="1"/>
  <c r="G961" i="1"/>
  <c r="G962" i="1"/>
  <c r="G963" i="1"/>
  <c r="G960" i="1"/>
  <c r="O944" i="1"/>
  <c r="O945" i="1"/>
  <c r="O943" i="1"/>
  <c r="O949" i="1" s="1"/>
  <c r="G945" i="1"/>
  <c r="G946" i="1"/>
  <c r="G944" i="1"/>
  <c r="G949" i="1" s="1"/>
  <c r="D1371" i="1"/>
  <c r="J1307" i="2"/>
  <c r="E1085" i="1"/>
  <c r="G1013" i="1"/>
  <c r="G1014" i="1"/>
  <c r="G1015" i="1"/>
  <c r="G1017" i="1"/>
  <c r="G1018" i="1"/>
  <c r="G1012" i="1"/>
  <c r="G1021" i="1"/>
  <c r="E1022" i="1" s="1"/>
  <c r="E1006" i="1"/>
  <c r="E1021" i="1"/>
  <c r="E966" i="1"/>
  <c r="H723" i="4"/>
  <c r="G732" i="4" s="1"/>
  <c r="H734" i="4" s="1"/>
  <c r="H697" i="4"/>
  <c r="G706" i="4" s="1"/>
  <c r="H708" i="4" s="1"/>
  <c r="H671" i="4"/>
  <c r="G680" i="4" s="1"/>
  <c r="H682" i="4" s="1"/>
  <c r="H489" i="4"/>
  <c r="G498" i="4" s="1"/>
  <c r="H500" i="4" s="1"/>
  <c r="H515" i="4"/>
  <c r="G524" i="4"/>
  <c r="H526" i="4"/>
  <c r="H645" i="4"/>
  <c r="G654" i="4" s="1"/>
  <c r="H656" i="4" s="1"/>
  <c r="H619" i="4"/>
  <c r="G628" i="4" s="1"/>
  <c r="H630" i="4" s="1"/>
  <c r="H593" i="4"/>
  <c r="G602" i="4" s="1"/>
  <c r="H604" i="4" s="1"/>
  <c r="H567" i="4"/>
  <c r="G576" i="4" s="1"/>
  <c r="H578" i="4" s="1"/>
  <c r="H541" i="4"/>
  <c r="G550" i="4" s="1"/>
  <c r="H552" i="4" s="1"/>
  <c r="H463" i="4"/>
  <c r="G472" i="4" s="1"/>
  <c r="H474" i="4" s="1"/>
  <c r="H437" i="4"/>
  <c r="G446" i="4" s="1"/>
  <c r="H448" i="4" s="1"/>
  <c r="H411" i="4"/>
  <c r="G420" i="4" s="1"/>
  <c r="H422" i="4" s="1"/>
  <c r="H385" i="4"/>
  <c r="G394" i="4" s="1"/>
  <c r="H396" i="4" s="1"/>
  <c r="E88" i="3"/>
  <c r="E949" i="1"/>
  <c r="E986" i="1"/>
  <c r="J1313" i="2"/>
  <c r="J1281" i="2"/>
  <c r="J1275" i="2"/>
  <c r="J1247" i="2"/>
  <c r="J1241" i="2"/>
  <c r="J1214" i="2"/>
  <c r="J1206" i="2"/>
  <c r="J1168" i="2"/>
  <c r="E854" i="1"/>
  <c r="E877" i="1"/>
  <c r="G913" i="1"/>
  <c r="G914" i="1"/>
  <c r="G915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84" i="1"/>
  <c r="G917" i="1" s="1"/>
  <c r="E918" i="1" s="1"/>
  <c r="G758" i="1"/>
  <c r="G795" i="1"/>
  <c r="E744" i="1"/>
  <c r="E760" i="1"/>
  <c r="O806" i="1"/>
  <c r="O807" i="1"/>
  <c r="O808" i="1"/>
  <c r="O809" i="1"/>
  <c r="O805" i="1"/>
  <c r="O812" i="1" s="1"/>
  <c r="G806" i="1"/>
  <c r="G807" i="1"/>
  <c r="G808" i="1"/>
  <c r="G805" i="1"/>
  <c r="G812" i="1" s="1"/>
  <c r="E813" i="1" s="1"/>
  <c r="G787" i="1"/>
  <c r="G788" i="1"/>
  <c r="G789" i="1"/>
  <c r="G790" i="1"/>
  <c r="G791" i="1"/>
  <c r="G792" i="1"/>
  <c r="G793" i="1"/>
  <c r="G794" i="1"/>
  <c r="G786" i="1"/>
  <c r="G798" i="1" s="1"/>
  <c r="E799" i="1" s="1"/>
  <c r="O767" i="1"/>
  <c r="O768" i="1"/>
  <c r="O766" i="1"/>
  <c r="O776" i="1" s="1"/>
  <c r="G771" i="1"/>
  <c r="G772" i="1"/>
  <c r="G773" i="1"/>
  <c r="G770" i="1"/>
  <c r="G776" i="1" s="1"/>
  <c r="E777" i="1" s="1"/>
  <c r="O752" i="1"/>
  <c r="O751" i="1"/>
  <c r="O760" i="1" s="1"/>
  <c r="G754" i="1"/>
  <c r="G755" i="1"/>
  <c r="G756" i="1"/>
  <c r="G757" i="1"/>
  <c r="G753" i="1"/>
  <c r="G735" i="1"/>
  <c r="G736" i="1"/>
  <c r="G737" i="1"/>
  <c r="G738" i="1"/>
  <c r="G739" i="1"/>
  <c r="G740" i="1"/>
  <c r="G741" i="1"/>
  <c r="G734" i="1"/>
  <c r="G869" i="1"/>
  <c r="G870" i="1"/>
  <c r="G871" i="1"/>
  <c r="G872" i="1"/>
  <c r="G873" i="1"/>
  <c r="G874" i="1"/>
  <c r="G868" i="1"/>
  <c r="G877" i="1" s="1"/>
  <c r="E878" i="1" s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28" i="1"/>
  <c r="G827" i="1"/>
  <c r="G854" i="1" s="1"/>
  <c r="D1139" i="1"/>
  <c r="E950" i="1"/>
  <c r="J954" i="2"/>
  <c r="J995" i="2"/>
  <c r="J1098" i="2"/>
  <c r="E798" i="1"/>
  <c r="E25" i="1"/>
  <c r="E917" i="1"/>
  <c r="J1002" i="2"/>
  <c r="E704" i="1"/>
  <c r="J1136" i="2"/>
  <c r="J1130" i="2"/>
  <c r="J1104" i="2"/>
  <c r="J1070" i="2"/>
  <c r="J1062" i="2"/>
  <c r="J1036" i="2"/>
  <c r="J1030" i="2"/>
  <c r="J962" i="2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680" i="1"/>
  <c r="G704" i="1" s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52" i="1"/>
  <c r="G671" i="1" s="1"/>
  <c r="E671" i="1"/>
  <c r="E558" i="1"/>
  <c r="E622" i="1"/>
  <c r="O606" i="1"/>
  <c r="O607" i="1"/>
  <c r="O608" i="1"/>
  <c r="O609" i="1"/>
  <c r="O605" i="1"/>
  <c r="O611" i="1" s="1"/>
  <c r="G606" i="1"/>
  <c r="G607" i="1"/>
  <c r="G608" i="1"/>
  <c r="G609" i="1"/>
  <c r="G605" i="1"/>
  <c r="G614" i="1" s="1"/>
  <c r="E615" i="1" s="1"/>
  <c r="E614" i="1"/>
  <c r="G594" i="1"/>
  <c r="G595" i="1"/>
  <c r="G596" i="1"/>
  <c r="G593" i="1"/>
  <c r="G599" i="1" s="1"/>
  <c r="E600" i="1" s="1"/>
  <c r="G581" i="1"/>
  <c r="G580" i="1"/>
  <c r="G584" i="1" s="1"/>
  <c r="E585" i="1" s="1"/>
  <c r="G567" i="1"/>
  <c r="G568" i="1"/>
  <c r="G569" i="1"/>
  <c r="G570" i="1"/>
  <c r="G571" i="1"/>
  <c r="G566" i="1"/>
  <c r="G574" i="1" s="1"/>
  <c r="E575" i="1" s="1"/>
  <c r="D928" i="1"/>
  <c r="E812" i="1"/>
  <c r="E776" i="1"/>
  <c r="G744" i="1"/>
  <c r="O744" i="1"/>
  <c r="O550" i="1"/>
  <c r="O551" i="1"/>
  <c r="O552" i="1"/>
  <c r="O553" i="1"/>
  <c r="O549" i="1"/>
  <c r="O555" i="1" s="1"/>
  <c r="G552" i="1"/>
  <c r="G553" i="1"/>
  <c r="G554" i="1"/>
  <c r="G555" i="1"/>
  <c r="G556" i="1"/>
  <c r="G551" i="1"/>
  <c r="G558" i="1" s="1"/>
  <c r="E559" i="1" s="1"/>
  <c r="E599" i="1"/>
  <c r="E584" i="1"/>
  <c r="J750" i="2"/>
  <c r="J782" i="2"/>
  <c r="J817" i="2"/>
  <c r="J883" i="2"/>
  <c r="J916" i="2"/>
  <c r="J923" i="2"/>
  <c r="J716" i="2"/>
  <c r="J689" i="2"/>
  <c r="G634" i="1"/>
  <c r="J790" i="2"/>
  <c r="E574" i="1"/>
  <c r="E640" i="1"/>
  <c r="G637" i="1"/>
  <c r="G636" i="1"/>
  <c r="G635" i="1"/>
  <c r="G633" i="1"/>
  <c r="G632" i="1"/>
  <c r="G631" i="1"/>
  <c r="G630" i="1"/>
  <c r="G640" i="1" s="1"/>
  <c r="E641" i="1" s="1"/>
  <c r="J681" i="2"/>
  <c r="J889" i="2"/>
  <c r="G488" i="1"/>
  <c r="G480" i="1"/>
  <c r="O427" i="1"/>
  <c r="O467" i="1"/>
  <c r="G481" i="1"/>
  <c r="G482" i="1"/>
  <c r="G483" i="1"/>
  <c r="G484" i="1"/>
  <c r="G485" i="1"/>
  <c r="G486" i="1"/>
  <c r="G487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14" i="1"/>
  <c r="G531" i="1" s="1"/>
  <c r="G504" i="1"/>
  <c r="G505" i="1"/>
  <c r="G506" i="1"/>
  <c r="G503" i="1"/>
  <c r="G508" i="1" s="1"/>
  <c r="E509" i="1" s="1"/>
  <c r="E460" i="1"/>
  <c r="G467" i="1"/>
  <c r="G468" i="1"/>
  <c r="G469" i="1"/>
  <c r="G470" i="1"/>
  <c r="G471" i="1"/>
  <c r="G466" i="1"/>
  <c r="E473" i="1"/>
  <c r="D716" i="1"/>
  <c r="O426" i="1"/>
  <c r="O437" i="1" s="1"/>
  <c r="O466" i="1"/>
  <c r="O473" i="1" s="1"/>
  <c r="G430" i="1"/>
  <c r="G431" i="1"/>
  <c r="G432" i="1"/>
  <c r="G433" i="1"/>
  <c r="G434" i="1"/>
  <c r="G429" i="1"/>
  <c r="G437" i="1" s="1"/>
  <c r="H359" i="4"/>
  <c r="G368" i="4" s="1"/>
  <c r="H370" i="4" s="1"/>
  <c r="E508" i="1"/>
  <c r="E531" i="1"/>
  <c r="J856" i="2"/>
  <c r="J823" i="2"/>
  <c r="J756" i="2"/>
  <c r="J722" i="2"/>
  <c r="E437" i="1"/>
  <c r="G446" i="1"/>
  <c r="G447" i="1"/>
  <c r="G448" i="1"/>
  <c r="G445" i="1"/>
  <c r="G451" i="1" s="1"/>
  <c r="E452" i="1" s="1"/>
  <c r="E451" i="1"/>
  <c r="H333" i="4"/>
  <c r="G342" i="4" s="1"/>
  <c r="H344" i="4" s="1"/>
  <c r="H307" i="4"/>
  <c r="G316" i="4" s="1"/>
  <c r="H318" i="4" s="1"/>
  <c r="H279" i="4"/>
  <c r="G288" i="4" s="1"/>
  <c r="H290" i="4" s="1"/>
  <c r="H253" i="4"/>
  <c r="G262" i="4" s="1"/>
  <c r="H264" i="4" s="1"/>
  <c r="H225" i="4"/>
  <c r="G234" i="4" s="1"/>
  <c r="H236" i="4" s="1"/>
  <c r="H199" i="4"/>
  <c r="G208" i="4" s="1"/>
  <c r="H210" i="4" s="1"/>
  <c r="H171" i="4"/>
  <c r="G180" i="4" s="1"/>
  <c r="H182" i="4" s="1"/>
  <c r="D535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391" i="1"/>
  <c r="I409" i="1" s="1"/>
  <c r="G374" i="1"/>
  <c r="G375" i="1"/>
  <c r="G376" i="1"/>
  <c r="G377" i="1"/>
  <c r="G378" i="1"/>
  <c r="G379" i="1"/>
  <c r="G380" i="1"/>
  <c r="G381" i="1"/>
  <c r="G382" i="1"/>
  <c r="G373" i="1"/>
  <c r="E385" i="1"/>
  <c r="G358" i="1"/>
  <c r="G359" i="1"/>
  <c r="G360" i="1"/>
  <c r="G357" i="1"/>
  <c r="I363" i="1" s="1"/>
  <c r="G345" i="1"/>
  <c r="G347" i="1" s="1"/>
  <c r="G333" i="1"/>
  <c r="G334" i="1"/>
  <c r="G335" i="1"/>
  <c r="G336" i="1"/>
  <c r="G332" i="1"/>
  <c r="G338" i="1" s="1"/>
  <c r="O316" i="1"/>
  <c r="O315" i="1"/>
  <c r="G318" i="1"/>
  <c r="G319" i="1"/>
  <c r="G320" i="1"/>
  <c r="G321" i="1"/>
  <c r="G322" i="1"/>
  <c r="G323" i="1"/>
  <c r="G317" i="1"/>
  <c r="E408" i="1"/>
  <c r="E325" i="1"/>
  <c r="J537" i="2"/>
  <c r="E362" i="1"/>
  <c r="E338" i="1"/>
  <c r="E347" i="1"/>
  <c r="G257" i="1"/>
  <c r="J431" i="2"/>
  <c r="J456" i="2"/>
  <c r="G284" i="1"/>
  <c r="G285" i="1"/>
  <c r="G286" i="1"/>
  <c r="G287" i="1"/>
  <c r="G288" i="1"/>
  <c r="G289" i="1"/>
  <c r="G290" i="1"/>
  <c r="G291" i="1"/>
  <c r="G292" i="1"/>
  <c r="G293" i="1"/>
  <c r="G294" i="1"/>
  <c r="G283" i="1"/>
  <c r="G272" i="1"/>
  <c r="G273" i="1"/>
  <c r="G274" i="1"/>
  <c r="G275" i="1"/>
  <c r="G271" i="1"/>
  <c r="G277" i="1" s="1"/>
  <c r="E278" i="1" s="1"/>
  <c r="E277" i="1"/>
  <c r="G258" i="1"/>
  <c r="G259" i="1"/>
  <c r="G260" i="1"/>
  <c r="G261" i="1"/>
  <c r="G262" i="1"/>
  <c r="G256" i="1"/>
  <c r="E264" i="1"/>
  <c r="O241" i="1"/>
  <c r="O244" i="1" s="1"/>
  <c r="O230" i="1"/>
  <c r="G232" i="1"/>
  <c r="G233" i="1"/>
  <c r="G231" i="1"/>
  <c r="G235" i="1" s="1"/>
  <c r="E235" i="1"/>
  <c r="G221" i="1"/>
  <c r="G217" i="1"/>
  <c r="G218" i="1"/>
  <c r="G219" i="1"/>
  <c r="G220" i="1"/>
  <c r="G216" i="1"/>
  <c r="G224" i="1" s="1"/>
  <c r="E224" i="1"/>
  <c r="G242" i="1"/>
  <c r="G243" i="1"/>
  <c r="G241" i="1"/>
  <c r="G245" i="1" s="1"/>
  <c r="E51" i="3"/>
  <c r="E52" i="3" s="1"/>
  <c r="E245" i="1"/>
  <c r="E296" i="1"/>
  <c r="J311" i="2"/>
  <c r="J374" i="2"/>
  <c r="J393" i="2"/>
  <c r="H145" i="4"/>
  <c r="G154" i="4" s="1"/>
  <c r="H156" i="4" s="1"/>
  <c r="C39" i="5"/>
  <c r="C31" i="5"/>
  <c r="C23" i="5"/>
  <c r="C15" i="5"/>
  <c r="C7" i="5"/>
  <c r="N124" i="1"/>
  <c r="J387" i="2"/>
  <c r="J368" i="2"/>
  <c r="J336" i="2"/>
  <c r="J303" i="2"/>
  <c r="H119" i="4"/>
  <c r="G128" i="4"/>
  <c r="H130" i="4" s="1"/>
  <c r="G101" i="4"/>
  <c r="H103" i="4" s="1"/>
  <c r="H65" i="4"/>
  <c r="G74" i="4" s="1"/>
  <c r="H76" i="4" s="1"/>
  <c r="H38" i="4"/>
  <c r="H11" i="4"/>
  <c r="G47" i="4"/>
  <c r="H49" i="4" s="1"/>
  <c r="G20" i="4"/>
  <c r="H22" i="4" s="1"/>
  <c r="G296" i="1"/>
  <c r="E297" i="1" s="1"/>
  <c r="E265" i="1"/>
  <c r="O235" i="1"/>
  <c r="O236" i="1" s="1"/>
  <c r="E18" i="3"/>
  <c r="E19" i="3" s="1"/>
  <c r="E197" i="1"/>
  <c r="G195" i="1"/>
  <c r="G171" i="1"/>
  <c r="G108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79" i="1"/>
  <c r="G161" i="1"/>
  <c r="G162" i="1"/>
  <c r="G163" i="1"/>
  <c r="G164" i="1"/>
  <c r="G165" i="1"/>
  <c r="G166" i="1"/>
  <c r="G167" i="1"/>
  <c r="G168" i="1"/>
  <c r="G169" i="1"/>
  <c r="G170" i="1"/>
  <c r="G160" i="1"/>
  <c r="G172" i="1" s="1"/>
  <c r="G148" i="1"/>
  <c r="G149" i="1"/>
  <c r="G147" i="1"/>
  <c r="G151" i="1" s="1"/>
  <c r="H152" i="1" s="1"/>
  <c r="G119" i="1"/>
  <c r="G120" i="1"/>
  <c r="G121" i="1"/>
  <c r="G122" i="1"/>
  <c r="G118" i="1"/>
  <c r="G124" i="1" s="1"/>
  <c r="E125" i="1" s="1"/>
  <c r="E124" i="1"/>
  <c r="O102" i="1"/>
  <c r="O109" i="1" s="1"/>
  <c r="G105" i="1"/>
  <c r="G106" i="1"/>
  <c r="G107" i="1"/>
  <c r="G104" i="1"/>
  <c r="G110" i="1" s="1"/>
  <c r="G89" i="1"/>
  <c r="G90" i="1"/>
  <c r="G91" i="1"/>
  <c r="G92" i="1"/>
  <c r="G93" i="1"/>
  <c r="G94" i="1"/>
  <c r="G88" i="1"/>
  <c r="E173" i="1"/>
  <c r="E151" i="1"/>
  <c r="E110" i="1"/>
  <c r="D201" i="1"/>
  <c r="J174" i="2"/>
  <c r="E139" i="1"/>
  <c r="J272" i="2"/>
  <c r="O7" i="1"/>
  <c r="M8" i="1"/>
  <c r="E69" i="1"/>
  <c r="G66" i="1"/>
  <c r="G67" i="1"/>
  <c r="G65" i="1"/>
  <c r="G69" i="1" s="1"/>
  <c r="G23" i="1"/>
  <c r="G22" i="1"/>
  <c r="G15" i="1"/>
  <c r="G16" i="1"/>
  <c r="G14" i="1"/>
  <c r="G18" i="1" s="1"/>
  <c r="O6" i="1"/>
  <c r="O9" i="1" s="1"/>
  <c r="E42" i="1"/>
  <c r="G37" i="1"/>
  <c r="J263" i="2"/>
  <c r="J237" i="2"/>
  <c r="J212" i="2"/>
  <c r="J199" i="2"/>
  <c r="J160" i="2"/>
  <c r="G96" i="1"/>
  <c r="E97" i="1" s="1"/>
  <c r="E96" i="1"/>
  <c r="J129" i="2"/>
  <c r="J116" i="2"/>
  <c r="J103" i="2"/>
  <c r="J78" i="2"/>
  <c r="J65" i="2"/>
  <c r="J40" i="2"/>
  <c r="J27" i="2"/>
  <c r="G31" i="1"/>
  <c r="G49" i="1"/>
  <c r="G50" i="1"/>
  <c r="G48" i="1"/>
  <c r="E18" i="1"/>
  <c r="G36" i="1"/>
  <c r="G35" i="1"/>
  <c r="G34" i="1"/>
  <c r="G33" i="1"/>
  <c r="G32" i="1"/>
  <c r="G42" i="1" s="1"/>
  <c r="G25" i="1"/>
  <c r="O25" i="1" s="1"/>
  <c r="E9" i="1"/>
  <c r="G9" i="1"/>
  <c r="D938" i="12" l="1"/>
  <c r="G1058" i="13"/>
  <c r="G870" i="12"/>
  <c r="G929" i="12"/>
  <c r="E725" i="12"/>
  <c r="E823" i="12"/>
  <c r="G887" i="13"/>
  <c r="G806" i="13"/>
  <c r="G680" i="13"/>
  <c r="G574" i="12"/>
  <c r="G726" i="13"/>
  <c r="Q574" i="12"/>
  <c r="G606" i="13"/>
  <c r="G492" i="13"/>
  <c r="G368" i="13"/>
  <c r="Q220" i="12"/>
  <c r="E221" i="12" s="1"/>
  <c r="G240" i="12"/>
  <c r="E241" i="12" s="1"/>
  <c r="G200" i="12"/>
  <c r="E201" i="12" s="1"/>
  <c r="E236" i="13"/>
  <c r="G236" i="13" s="1"/>
  <c r="G15" i="12"/>
  <c r="G16" i="12" s="1"/>
  <c r="G30" i="12"/>
  <c r="G66" i="12"/>
  <c r="G81" i="12"/>
  <c r="Q30" i="12"/>
  <c r="G159" i="12"/>
  <c r="G108" i="12"/>
  <c r="G173" i="12"/>
  <c r="G141" i="12"/>
  <c r="G128" i="12"/>
  <c r="Q128" i="12" s="1"/>
  <c r="Q82" i="12"/>
  <c r="G49" i="12"/>
  <c r="Q50" i="12" s="1"/>
  <c r="Q66" i="12"/>
  <c r="Q67" i="12" s="1"/>
  <c r="G1314" i="1"/>
  <c r="E1315" i="1" s="1"/>
  <c r="E1282" i="1"/>
  <c r="E1356" i="1"/>
  <c r="E1205" i="1"/>
  <c r="G1186" i="1"/>
  <c r="E1187" i="1" s="1"/>
  <c r="G1166" i="1"/>
  <c r="E1167" i="1" s="1"/>
  <c r="G1085" i="1"/>
  <c r="E1086" i="1" s="1"/>
  <c r="G966" i="1"/>
  <c r="E967" i="1" s="1"/>
  <c r="G760" i="1"/>
  <c r="E761" i="1" s="1"/>
  <c r="E855" i="1"/>
  <c r="E745" i="1"/>
  <c r="G473" i="1"/>
  <c r="E474" i="1" s="1"/>
  <c r="G492" i="1"/>
  <c r="E438" i="1"/>
  <c r="G385" i="1"/>
  <c r="E386" i="1" s="1"/>
  <c r="O321" i="1"/>
  <c r="G325" i="1"/>
  <c r="O247" i="1"/>
  <c r="E246" i="1"/>
  <c r="E111" i="1"/>
  <c r="O110" i="1"/>
  <c r="G197" i="1"/>
  <c r="E198" i="1" s="1"/>
  <c r="E199" i="1" s="1"/>
  <c r="G51" i="1"/>
  <c r="E575" i="12" l="1"/>
  <c r="Q31" i="12"/>
  <c r="E493" i="1"/>
  <c r="E532" i="1"/>
  <c r="O325" i="1"/>
  <c r="E326" i="1"/>
  <c r="E425" i="12" l="1"/>
  <c r="Q891" i="12"/>
  <c r="E895" i="12"/>
  <c r="Q173" i="12"/>
  <c r="Q170" i="12"/>
  <c r="Q141" i="12"/>
  <c r="Q140" i="12"/>
  <c r="Q105" i="12"/>
  <c r="Q108" i="12"/>
  <c r="Q158" i="12"/>
  <c r="Q159" i="12"/>
  <c r="Q867" i="12"/>
  <c r="E870" i="12"/>
  <c r="G425" i="12"/>
  <c r="E42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tc={99D7C82A-DDB0-49E0-9C4B-C0326870866E}</author>
    <author>tc={85087A0A-B4DD-433C-B88A-FBEFD4019A5D}</author>
  </authors>
  <commentList>
    <comment ref="E175" authorId="0" shapeId="0" xr:uid="{99D7C82A-DDB0-49E0-9C4B-C0326870866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seria el valor para sumar a la meta de la sede, del presente asesor. ya que un negocio solo le suma al asesor
</t>
        </r>
      </text>
    </comment>
    <comment ref="D903" authorId="1" shapeId="0" xr:uid="{85087A0A-B4DD-433C-B88A-FBEFD4019A5D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negocio se le pago en julio.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tc={4190346C-2A3B-4C53-84FC-3F924FD7C0D6}</author>
    <author>tc={F1104CC4-BC59-4B1F-ADC3-03CE43F859A6}</author>
    <author>tc={8AF6DDB2-5B68-408C-B21B-EEB86159A324}</author>
  </authors>
  <commentList>
    <comment ref="C122" authorId="0" shapeId="0" xr:uid="{4190346C-2A3B-4C53-84FC-3F924FD7C0D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SUMAN AMBAS METAS POR EL 3%
</t>
        </r>
      </text>
    </comment>
    <comment ref="E256" authorId="1" shapeId="0" xr:uid="{F1104CC4-BC59-4B1F-ADC3-03CE43F859A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ojo se LIQUIDA EN LAURELES
</t>
        </r>
      </text>
    </comment>
    <comment ref="C1090" authorId="2" shapeId="0" xr:uid="{8AF6DDB2-5B68-408C-B21B-EEB86159A32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negocio se le pago en julio.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tc={5ABFB805-7D41-4F15-B137-4EBED671FD57}</author>
  </authors>
  <commentList>
    <comment ref="E641" authorId="0" shapeId="0" xr:uid="{5ABFB805-7D41-4F15-B137-4EBED671FD57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SE PAGO
</t>
        </r>
      </text>
    </comment>
  </commentList>
</comments>
</file>

<file path=xl/sharedStrings.xml><?xml version="1.0" encoding="utf-8"?>
<sst xmlns="http://schemas.openxmlformats.org/spreadsheetml/2006/main" count="32601" uniqueCount="5399">
  <si>
    <t>Enero 2021</t>
  </si>
  <si>
    <t>Jennifer Torres</t>
  </si>
  <si>
    <t>Captaciones Arrendamientos</t>
  </si>
  <si>
    <t>N.</t>
  </si>
  <si>
    <t>Fecha</t>
  </si>
  <si>
    <t>Tipo inmueble</t>
  </si>
  <si>
    <t>Unidad o dirección</t>
  </si>
  <si>
    <t>Sector</t>
  </si>
  <si>
    <t>Valor</t>
  </si>
  <si>
    <t>Portero o directo</t>
  </si>
  <si>
    <t>Avisos</t>
  </si>
  <si>
    <t>Fotos</t>
  </si>
  <si>
    <t>#</t>
  </si>
  <si>
    <t>Apartamento</t>
  </si>
  <si>
    <t>Oporto Campestre 1203</t>
  </si>
  <si>
    <t>Machado - Copacabana</t>
  </si>
  <si>
    <t>Directo</t>
  </si>
  <si>
    <t>Si</t>
  </si>
  <si>
    <t>Puerto Ventura 2310</t>
  </si>
  <si>
    <t>Santa Ana</t>
  </si>
  <si>
    <t>Arredondo</t>
  </si>
  <si>
    <t>puerto ventura 1908</t>
  </si>
  <si>
    <t>Flor de agua 2430</t>
  </si>
  <si>
    <t>Roldan</t>
  </si>
  <si>
    <t>si</t>
  </si>
  <si>
    <t>15/01/2021</t>
  </si>
  <si>
    <t>Flor de agua 831</t>
  </si>
  <si>
    <t xml:space="preserve">CAMILO </t>
  </si>
  <si>
    <t>Flor de agua 2132</t>
  </si>
  <si>
    <t>Entre vientos 907</t>
  </si>
  <si>
    <t>Niquia</t>
  </si>
  <si>
    <t>Gallo</t>
  </si>
  <si>
    <t xml:space="preserve">DAHIANA </t>
  </si>
  <si>
    <t>Captaciones Ventas</t>
  </si>
  <si>
    <t>Hacienda niquia 1608</t>
  </si>
  <si>
    <t>250.000.000</t>
  </si>
  <si>
    <t>SI</t>
  </si>
  <si>
    <t>APTO</t>
  </si>
  <si>
    <t>FLOR DE AGUA 2430</t>
  </si>
  <si>
    <t xml:space="preserve">BELLO </t>
  </si>
  <si>
    <t>ROLDAN</t>
  </si>
  <si>
    <t>21/01/2021</t>
  </si>
  <si>
    <t>CAMINO DEL VIENTO 701</t>
  </si>
  <si>
    <t xml:space="preserve">DIRECTO </t>
  </si>
  <si>
    <t>NO</t>
  </si>
  <si>
    <t xml:space="preserve">23/01/2021 </t>
  </si>
  <si>
    <t>PEÑA VERDE 637</t>
  </si>
  <si>
    <t>Sebastian Buitrago</t>
  </si>
  <si>
    <t>Casa</t>
  </si>
  <si>
    <t>Santa Isabel 2 CASA 33</t>
  </si>
  <si>
    <t>Gonzalez</t>
  </si>
  <si>
    <t>No</t>
  </si>
  <si>
    <t>MEDITERRANEA 1422</t>
  </si>
  <si>
    <t>JUAN GARCIA</t>
  </si>
  <si>
    <t>MEDITERRANEA 1424</t>
  </si>
  <si>
    <t xml:space="preserve">JUAN GARCIA </t>
  </si>
  <si>
    <t>Fuente clara 1515</t>
  </si>
  <si>
    <t>Sabaneta</t>
  </si>
  <si>
    <t>Rincón de Santa Isabel 33</t>
  </si>
  <si>
    <t>Bello</t>
  </si>
  <si>
    <t>Edificio Amaranto 302</t>
  </si>
  <si>
    <t>PUERTO PARAISO 801</t>
  </si>
  <si>
    <t>Carlos Zapata</t>
  </si>
  <si>
    <t>MONSERATTE 1004</t>
  </si>
  <si>
    <t xml:space="preserve">BUENOS AIRES </t>
  </si>
  <si>
    <t>Luis Restrepo</t>
  </si>
  <si>
    <t>15/01/2020</t>
  </si>
  <si>
    <t>RESERVA DE BUCAROS 310</t>
  </si>
  <si>
    <t>SANTA ANA</t>
  </si>
  <si>
    <t>EWIN RIOS</t>
  </si>
  <si>
    <t>15/01/ 2020</t>
  </si>
  <si>
    <t>RESERVA DE BUCAROS 1109</t>
  </si>
  <si>
    <t xml:space="preserve">EDWIN RIOS </t>
  </si>
  <si>
    <t>20/ 01/2021</t>
  </si>
  <si>
    <t>CASA</t>
  </si>
  <si>
    <t>SAN FRANCISCO CASA</t>
  </si>
  <si>
    <t>NIQUIA</t>
  </si>
  <si>
    <t>CEIBA DEL NORTE 914</t>
  </si>
  <si>
    <t xml:space="preserve">NIQUIA </t>
  </si>
  <si>
    <t xml:space="preserve">LUIS BARRIOS </t>
  </si>
  <si>
    <t>Arturo Ruiz</t>
  </si>
  <si>
    <t>18/12/2020</t>
  </si>
  <si>
    <t>Puerto Alegre 1525</t>
  </si>
  <si>
    <t>22/12/2020</t>
  </si>
  <si>
    <t>Flor de Agua 1727</t>
  </si>
  <si>
    <t>José Jimenez</t>
  </si>
  <si>
    <t>san juan de la cabañita 303</t>
  </si>
  <si>
    <t>bello</t>
  </si>
  <si>
    <t>directo</t>
  </si>
  <si>
    <t>13/01/2021</t>
  </si>
  <si>
    <t>Amazonika 1220</t>
  </si>
  <si>
    <t>portero</t>
  </si>
  <si>
    <t xml:space="preserve">APARTAMENTO </t>
  </si>
  <si>
    <t>FLOR DE AGUA 1025</t>
  </si>
  <si>
    <t>ADRIANA VILLA</t>
  </si>
  <si>
    <t>18/01/2021</t>
  </si>
  <si>
    <t>PUERTO ALEGRE 748</t>
  </si>
  <si>
    <t>19/01/2021</t>
  </si>
  <si>
    <t xml:space="preserve">CASA SEGUNDO PISO PLAYA RICA </t>
  </si>
  <si>
    <t>20/01/2021</t>
  </si>
  <si>
    <t xml:space="preserve">apARTAMENTO </t>
  </si>
  <si>
    <t>FLOR DE AGUA 128</t>
  </si>
  <si>
    <t xml:space="preserve">JIMENEZ </t>
  </si>
  <si>
    <t>20/01/20231</t>
  </si>
  <si>
    <t>YERBABUENA 1709</t>
  </si>
  <si>
    <t>POBLADO</t>
  </si>
  <si>
    <t xml:space="preserve">22/01/2021 </t>
  </si>
  <si>
    <t>MEDITERRANEA 2017</t>
  </si>
  <si>
    <t xml:space="preserve">GARCIA </t>
  </si>
  <si>
    <t>23 /01/2021</t>
  </si>
  <si>
    <t>OCEANA 734</t>
  </si>
  <si>
    <t>BEATRIZ (ADMON)</t>
  </si>
  <si>
    <t>Ed Amaranto 202</t>
  </si>
  <si>
    <t xml:space="preserve">cabañas </t>
  </si>
  <si>
    <t>Ed Amaranto 301</t>
  </si>
  <si>
    <t>CAMILO</t>
  </si>
  <si>
    <t>ed Amaranto 401</t>
  </si>
  <si>
    <t>ed Amaranto 402</t>
  </si>
  <si>
    <t>PORTADA</t>
  </si>
  <si>
    <t>apto</t>
  </si>
  <si>
    <t xml:space="preserve">Ed dallas </t>
  </si>
  <si>
    <t>niquia</t>
  </si>
  <si>
    <t>OCEANA 2133</t>
  </si>
  <si>
    <t>ARROYO</t>
  </si>
  <si>
    <t>MAJAGUA 413</t>
  </si>
  <si>
    <t>BELLO</t>
  </si>
  <si>
    <t>26/01/2021</t>
  </si>
  <si>
    <t>OPORTO CAMPESTRE 1506</t>
  </si>
  <si>
    <t xml:space="preserve">COPACABANA </t>
  </si>
  <si>
    <t xml:space="preserve">FEBRERO </t>
  </si>
  <si>
    <t xml:space="preserve">1 DE FEBRERO 2021 </t>
  </si>
  <si>
    <t>BODEGA</t>
  </si>
  <si>
    <t xml:space="preserve">BODEGA ESTACION BELLO </t>
  </si>
  <si>
    <t xml:space="preserve">JOAN </t>
  </si>
  <si>
    <t>5 DE FEBRERO 2021</t>
  </si>
  <si>
    <t xml:space="preserve">CASA </t>
  </si>
  <si>
    <t xml:space="preserve">CASA VILLAS DE CONFENALCO </t>
  </si>
  <si>
    <t xml:space="preserve">12 DE FEBRERO 2021 </t>
  </si>
  <si>
    <t xml:space="preserve">APTO </t>
  </si>
  <si>
    <t>PUERTO VENTURA 411</t>
  </si>
  <si>
    <t>LOPEZ</t>
  </si>
  <si>
    <t xml:space="preserve">13 DE FEBRERO 2021 </t>
  </si>
  <si>
    <t>FLOR DE AGUA 1626</t>
  </si>
  <si>
    <t>FLOR DE AGUA 628</t>
  </si>
  <si>
    <t xml:space="preserve">ROLDAN </t>
  </si>
  <si>
    <t>15 DE FEBRERO 2021</t>
  </si>
  <si>
    <t xml:space="preserve">OFICINA </t>
  </si>
  <si>
    <t xml:space="preserve">CENTRO PROFESIONAL VILLANUEVA </t>
  </si>
  <si>
    <t xml:space="preserve">CENTRO </t>
  </si>
  <si>
    <t>FLOR DE AGUA 2129</t>
  </si>
  <si>
    <t>18 DE FEBRERO 2021</t>
  </si>
  <si>
    <t>EDIFICIO RAMOS 401</t>
  </si>
  <si>
    <t xml:space="preserve">19 DE FEBRERO 2021 </t>
  </si>
  <si>
    <t>FLOR DE AGUA 2528</t>
  </si>
  <si>
    <t xml:space="preserve">20 DE FEBRERO 2021 </t>
  </si>
  <si>
    <t>TRIGALES 1228</t>
  </si>
  <si>
    <t xml:space="preserve">23 DE FEBRERO 2021 </t>
  </si>
  <si>
    <t>PENINSULA 2709</t>
  </si>
  <si>
    <t>25 DE FEBRERO 2021</t>
  </si>
  <si>
    <t>ENSENADA 2525</t>
  </si>
  <si>
    <t>25  DE FEBRERO 2021</t>
  </si>
  <si>
    <t xml:space="preserve">CENTRO PROFESIONAL VILLANUEVAOFICINA 103  </t>
  </si>
  <si>
    <t>PUERTO NUEVO 837</t>
  </si>
  <si>
    <t xml:space="preserve">JAVIER </t>
  </si>
  <si>
    <t>NORTEAMERICA 2040</t>
  </si>
  <si>
    <t>MAJAGUA 1551</t>
  </si>
  <si>
    <t>1 DE FEBRERO 2021</t>
  </si>
  <si>
    <t>ED.MENDOZA 101</t>
  </si>
  <si>
    <t>DIRECTO</t>
  </si>
  <si>
    <t>ED.MENDOZA 401</t>
  </si>
  <si>
    <t>ED.MENDOZA 501</t>
  </si>
  <si>
    <t>ED.MENDOZA 601</t>
  </si>
  <si>
    <t xml:space="preserve">5 DE FEBRERO 2021 </t>
  </si>
  <si>
    <t>APTO NIQUIA CAMACOL</t>
  </si>
  <si>
    <t>APTO NIQUIA CAMACOL INT 201</t>
  </si>
  <si>
    <t xml:space="preserve">TERRAZA </t>
  </si>
  <si>
    <t xml:space="preserve">ATERRAZA </t>
  </si>
  <si>
    <t xml:space="preserve">6 DE FEBRERO 2121 </t>
  </si>
  <si>
    <t>GUAYACANES DE TERRANOVA 154</t>
  </si>
  <si>
    <t>12 DE FEBRERO 2021</t>
  </si>
  <si>
    <t xml:space="preserve">SANTA ANA </t>
  </si>
  <si>
    <t xml:space="preserve">VENTAS </t>
  </si>
  <si>
    <t xml:space="preserve">15 DE FEBRERO 2021 </t>
  </si>
  <si>
    <t>RESERVA DE BUCAROS 808</t>
  </si>
  <si>
    <t xml:space="preserve">18 DE FEBRERO 2021 </t>
  </si>
  <si>
    <t>APT</t>
  </si>
  <si>
    <t>1 FEBRERO 2021</t>
  </si>
  <si>
    <t>MEDITERRANEA 522</t>
  </si>
  <si>
    <t>GARCIA</t>
  </si>
  <si>
    <t>MEDITERRANEA 118</t>
  </si>
  <si>
    <t>CEIBA DEL NORTE 924</t>
  </si>
  <si>
    <t>4  DE FEBRERO 2021</t>
  </si>
  <si>
    <t>MEDITERRANEA 1920</t>
  </si>
  <si>
    <t>BALCONES DE TIERRA LINDA 124</t>
  </si>
  <si>
    <t xml:space="preserve">ENVIGADO </t>
  </si>
  <si>
    <t>9 DE FEBRERO 2021</t>
  </si>
  <si>
    <t>MONSERATT 1206</t>
  </si>
  <si>
    <t>LUIS RESTREPO</t>
  </si>
  <si>
    <t xml:space="preserve">17 DE FEBRERO 2021 </t>
  </si>
  <si>
    <t>CORAL 1403</t>
  </si>
  <si>
    <t>OSCAR YANEZ</t>
  </si>
  <si>
    <t>CEIBA DEL NORTE 1912</t>
  </si>
  <si>
    <t xml:space="preserve">PLAZA NAVARRA </t>
  </si>
  <si>
    <t xml:space="preserve">DANIEL </t>
  </si>
  <si>
    <t xml:space="preserve">CURAZAO APT 1010 </t>
  </si>
  <si>
    <t>4 DE FEBRERO 2021</t>
  </si>
  <si>
    <t>FLORIDA DE NORTEAMERICA 132</t>
  </si>
  <si>
    <t xml:space="preserve">OMAR VASQUEZ </t>
  </si>
  <si>
    <t>MADERA NATURAL 804</t>
  </si>
  <si>
    <t>CAMINO DE LOS VIENTOS 1003</t>
  </si>
  <si>
    <t xml:space="preserve">MAURICIO CANO </t>
  </si>
  <si>
    <t>FLOR DE AGUA 1132</t>
  </si>
  <si>
    <t>1  FEBRERO 2021</t>
  </si>
  <si>
    <t>TIERRA LINDA CAMPESTRE 2101</t>
  </si>
  <si>
    <t>TIERRA LINDA CAMPESTRE 606</t>
  </si>
  <si>
    <t>TORRE DEL BOSQUE 206</t>
  </si>
  <si>
    <t>MEDELLIN</t>
  </si>
  <si>
    <t>JOAN</t>
  </si>
  <si>
    <t>MEDITERRANEA 1622</t>
  </si>
  <si>
    <t>LOCAL</t>
  </si>
  <si>
    <t xml:space="preserve">LOCAL BELEN ROSALES </t>
  </si>
  <si>
    <t>MEDITERRANEA 1224</t>
  </si>
  <si>
    <t>MEDITERRANEA 1222</t>
  </si>
  <si>
    <t>APT0</t>
  </si>
  <si>
    <t>OCEANA 2326</t>
  </si>
  <si>
    <t>MEDITERRANEA 1821</t>
  </si>
  <si>
    <t>FLOR DE AGUA 1226</t>
  </si>
  <si>
    <t>FLOR DE AGUA 2525</t>
  </si>
  <si>
    <t>FLOR DE AGUA 2332</t>
  </si>
  <si>
    <t>10  DE FEBRERO 2021</t>
  </si>
  <si>
    <t>NADERA SILVESTRE 1202</t>
  </si>
  <si>
    <t>POSADA</t>
  </si>
  <si>
    <t>TORRE DEL BOSQUE 603</t>
  </si>
  <si>
    <t>JESUS</t>
  </si>
  <si>
    <t>BOSQUE ALTO 707</t>
  </si>
  <si>
    <t xml:space="preserve">ZULETA </t>
  </si>
  <si>
    <t>BOSQUE ALTO 2001</t>
  </si>
  <si>
    <t xml:space="preserve">17 DE FEBREO 2021 </t>
  </si>
  <si>
    <t xml:space="preserve">CASA UNICENTRO </t>
  </si>
  <si>
    <t xml:space="preserve">LAURELES </t>
  </si>
  <si>
    <t xml:space="preserve">22 DE FEBRERO 2021 </t>
  </si>
  <si>
    <t>FLOR DE AGUA 2330</t>
  </si>
  <si>
    <t>23 DE FEBRERO 2021</t>
  </si>
  <si>
    <t>OCEANA 628</t>
  </si>
  <si>
    <t>BOSQUE ALTO 2301</t>
  </si>
  <si>
    <t>10 DE FEBRERO 2021</t>
  </si>
  <si>
    <t>BOSQUE ALTO 1608</t>
  </si>
  <si>
    <t>TORRE DEL BOSQUE 1104</t>
  </si>
  <si>
    <t>BOAVISTA 710</t>
  </si>
  <si>
    <t xml:space="preserve">NATALIA ADMON </t>
  </si>
  <si>
    <t>ALTOS DE NIQUIA 201</t>
  </si>
  <si>
    <t>CEIBA DEL NORTE 2022</t>
  </si>
  <si>
    <t>CAROLINA DEL NORTE CASA 9</t>
  </si>
  <si>
    <t>BELLO-NORTEAMERICA</t>
  </si>
  <si>
    <t>CAROLINA DEL NORTE CASA 16</t>
  </si>
  <si>
    <t>16 DE FEBRERO 2021</t>
  </si>
  <si>
    <t xml:space="preserve">OCENA 2336 </t>
  </si>
  <si>
    <t>PUERTO ALWEGRE 1808</t>
  </si>
  <si>
    <t xml:space="preserve">MARZO </t>
  </si>
  <si>
    <t xml:space="preserve">1 DE MARZO </t>
  </si>
  <si>
    <t>FLOR DE AGUA 725</t>
  </si>
  <si>
    <t xml:space="preserve">LOCAL CENTRO COMERCIAL 34-41 </t>
  </si>
  <si>
    <t>FLOR DE AGUA 1932</t>
  </si>
  <si>
    <t xml:space="preserve">FLOR DE AGUA 2128 </t>
  </si>
  <si>
    <t xml:space="preserve">2 DE MARZO </t>
  </si>
  <si>
    <t xml:space="preserve">3 DE MARZO </t>
  </si>
  <si>
    <t>OCEANA 2336</t>
  </si>
  <si>
    <t xml:space="preserve">4 DE MARZO </t>
  </si>
  <si>
    <t>CENTRO COMERCIAL ESTACION NIQUIA 501</t>
  </si>
  <si>
    <t xml:space="preserve">6 DE MARZO </t>
  </si>
  <si>
    <t>MOLINOS DEL SOL 1317</t>
  </si>
  <si>
    <t xml:space="preserve">SI </t>
  </si>
  <si>
    <t xml:space="preserve">9 DE MARZO </t>
  </si>
  <si>
    <t>APTO-STUDIO</t>
  </si>
  <si>
    <t xml:space="preserve">APARTA STUDIO LAURELES </t>
  </si>
  <si>
    <t xml:space="preserve">13 DE MARZO </t>
  </si>
  <si>
    <t>MOLINOS DEL SOL 1919</t>
  </si>
  <si>
    <t xml:space="preserve">GUILLERMO MORALES </t>
  </si>
  <si>
    <t xml:space="preserve">18 DE MARZO 2021 </t>
  </si>
  <si>
    <t>TORREMOLINOS 103</t>
  </si>
  <si>
    <t xml:space="preserve">20 DE MARZO 2021 </t>
  </si>
  <si>
    <t>PALMAR DE SERRAMONTE 401</t>
  </si>
  <si>
    <t>23 DE MARZO 2021</t>
  </si>
  <si>
    <t>AVELLANEDA 1710</t>
  </si>
  <si>
    <t xml:space="preserve">JAVIER ZAPATA </t>
  </si>
  <si>
    <t xml:space="preserve">24 DE MARZO 2021 </t>
  </si>
  <si>
    <t>FLORIDA DE NORTEAMERICA 1912</t>
  </si>
  <si>
    <t>25 DE MARZO 2021</t>
  </si>
  <si>
    <t>BARLOVENTO 209</t>
  </si>
  <si>
    <t>ALEX</t>
  </si>
  <si>
    <t>PINAR DEL N ORTE 501</t>
  </si>
  <si>
    <t>BELLO-CABAÑAS</t>
  </si>
  <si>
    <t>26 DE MARZO 2021</t>
  </si>
  <si>
    <t>ALTOBELO 1508</t>
  </si>
  <si>
    <t>BELLO-PEREZ</t>
  </si>
  <si>
    <t>MORENO</t>
  </si>
  <si>
    <t xml:space="preserve">27 DE MARZO 2021 </t>
  </si>
  <si>
    <t>BONANZA 1102</t>
  </si>
  <si>
    <t>ALTOBELO 316</t>
  </si>
  <si>
    <t>SERGIO</t>
  </si>
  <si>
    <t>29 DE MARZO 2021</t>
  </si>
  <si>
    <t>PARQUE DE BELLO 301</t>
  </si>
  <si>
    <t>APTO PLAYA RICA 60-43</t>
  </si>
  <si>
    <t>CENTRO PROFESIONAL VILLANUEVA 103</t>
  </si>
  <si>
    <t>CENTRO PROFESIONAL VILLANUEVA 305</t>
  </si>
  <si>
    <t xml:space="preserve">8 DE MARZO </t>
  </si>
  <si>
    <t>AIRES DE NIQUIA  202</t>
  </si>
  <si>
    <t>10 DE MARZO</t>
  </si>
  <si>
    <t>FLORIDA DE NORTEAMERICA 2040</t>
  </si>
  <si>
    <t>HACIENDA NIQUIA 13254</t>
  </si>
  <si>
    <t>AGUA CLARA 1524</t>
  </si>
  <si>
    <t>LOCAL CC ESTACION NIQUIA 510</t>
  </si>
  <si>
    <t xml:space="preserve">5 DE MARZO </t>
  </si>
  <si>
    <t>LOCAL GIRARDOT</t>
  </si>
  <si>
    <t xml:space="preserve">1 DE MARZO 2021 </t>
  </si>
  <si>
    <t>FLOR DE AGUA 2328</t>
  </si>
  <si>
    <t>DAVID MUÑOZ</t>
  </si>
  <si>
    <t>10 DE MARZO 2021</t>
  </si>
  <si>
    <t>CERRO AZUL 1606</t>
  </si>
  <si>
    <t>TORRE DEL BOSQUE 901</t>
  </si>
  <si>
    <t xml:space="preserve">17 DE MARZO </t>
  </si>
  <si>
    <t>ROTERDAM 2009</t>
  </si>
  <si>
    <t>BELLO-NAVARRA</t>
  </si>
  <si>
    <t>JOSE ESPINAL</t>
  </si>
  <si>
    <t>1 DE MARZ0 2021</t>
  </si>
  <si>
    <t>FLOR DE AGUA 1525</t>
  </si>
  <si>
    <t>OCEANA 836</t>
  </si>
  <si>
    <t>4 DE MARZO 2021</t>
  </si>
  <si>
    <t>LA QUINTA 909</t>
  </si>
  <si>
    <t>LONDOÑO</t>
  </si>
  <si>
    <t xml:space="preserve">PRIMER PISO BARRIO PEREZ </t>
  </si>
  <si>
    <t>NANCY BERRIO</t>
  </si>
  <si>
    <t>6 DE MARZO 2021</t>
  </si>
  <si>
    <t xml:space="preserve">CUARTO PISO BARRIO PEREZ </t>
  </si>
  <si>
    <t>BOSQUE ALTO 1307</t>
  </si>
  <si>
    <t>OCEANA 536</t>
  </si>
  <si>
    <t>MEDITERRANEA 220</t>
  </si>
  <si>
    <t>PRIMER PISO CABAÑAS 58D 15</t>
  </si>
  <si>
    <t xml:space="preserve">11 DE MARZO 2021 </t>
  </si>
  <si>
    <t>FLOR DE AGUA 727</t>
  </si>
  <si>
    <t>FLOR DE AGUA 2625</t>
  </si>
  <si>
    <t xml:space="preserve">15 DE MARZO 2021 </t>
  </si>
  <si>
    <t>OCEANA 1724</t>
  </si>
  <si>
    <t>OCEANA 1028</t>
  </si>
  <si>
    <t xml:space="preserve">16 DE MARZO 2021 </t>
  </si>
  <si>
    <t>MEDITERRANEA 2023</t>
  </si>
  <si>
    <t>GERSON</t>
  </si>
  <si>
    <t>MEDITERRANEA 818</t>
  </si>
  <si>
    <t>MEDITERRANEA 1924</t>
  </si>
  <si>
    <t>FLOR DE AGUA 1830</t>
  </si>
  <si>
    <t>BOSQUE ALTO 801</t>
  </si>
  <si>
    <t>PITRIZA 1405</t>
  </si>
  <si>
    <t>ESTRELLA</t>
  </si>
  <si>
    <t xml:space="preserve">25 DE MARZO 2021 </t>
  </si>
  <si>
    <t>FLOR DE AGUA 1731</t>
  </si>
  <si>
    <t>1 DE MARZO 2021</t>
  </si>
  <si>
    <t xml:space="preserve">9 DE MARZO 2021 </t>
  </si>
  <si>
    <t>LOS ARBOLES 1303</t>
  </si>
  <si>
    <t xml:space="preserve">BELLO- NIQUIA </t>
  </si>
  <si>
    <t>RONY</t>
  </si>
  <si>
    <t>OCEANA 2628</t>
  </si>
  <si>
    <t>FLORIDA DE NORTEAMERICA 2525</t>
  </si>
  <si>
    <t>ALTOBELO 908</t>
  </si>
  <si>
    <t>PORTON DEL NORTE 2003</t>
  </si>
  <si>
    <t>APTO 301 BARRIO PEREZ</t>
  </si>
  <si>
    <t>APTO 401 BARRIO PEREZ</t>
  </si>
  <si>
    <t xml:space="preserve">ABRIL </t>
  </si>
  <si>
    <t>1 DE ABRIL</t>
  </si>
  <si>
    <t>OFICINA 303 PARQUE DE BELLO</t>
  </si>
  <si>
    <t xml:space="preserve">1 DE ABRIL </t>
  </si>
  <si>
    <t>OFICINA 403 PARQUE DE BELLO</t>
  </si>
  <si>
    <t>OFICINA 402 PARQUE DE BELLO</t>
  </si>
  <si>
    <t xml:space="preserve">8 DE ABRIL </t>
  </si>
  <si>
    <t xml:space="preserve">FLOR DE AGUA 2631 </t>
  </si>
  <si>
    <t xml:space="preserve">15 DE ABRIL </t>
  </si>
  <si>
    <t>FLOR DE AGUA 2532</t>
  </si>
  <si>
    <t xml:space="preserve">20 DE ABRIL </t>
  </si>
  <si>
    <t xml:space="preserve">MEDITERRANEA 1920 </t>
  </si>
  <si>
    <t xml:space="preserve">21 ABRIL </t>
  </si>
  <si>
    <t>FLOR DE AGUA 1732</t>
  </si>
  <si>
    <t>27 DE ABRIL</t>
  </si>
  <si>
    <t>LA QUINTA 1506</t>
  </si>
  <si>
    <t xml:space="preserve">28 DE ABRIL </t>
  </si>
  <si>
    <t>MAJAGUA 1713</t>
  </si>
  <si>
    <t>ALTOBELO314</t>
  </si>
  <si>
    <t xml:space="preserve">NATALIA </t>
  </si>
  <si>
    <t>ALTOBELO 912</t>
  </si>
  <si>
    <t>BELLO-VILLAS DEL SOL</t>
  </si>
  <si>
    <t xml:space="preserve">1  DE ABRIL </t>
  </si>
  <si>
    <t xml:space="preserve">OPORTO 1508 </t>
  </si>
  <si>
    <t xml:space="preserve">MACHADO </t>
  </si>
  <si>
    <t>ADRIANA VILL</t>
  </si>
  <si>
    <t>FLOR DE AGUA 2628</t>
  </si>
  <si>
    <t>BELO</t>
  </si>
  <si>
    <t>LUIS BERRIO</t>
  </si>
  <si>
    <t xml:space="preserve">21 DE ABRIL </t>
  </si>
  <si>
    <t xml:space="preserve">MEDITERRANEA 320 </t>
  </si>
  <si>
    <t>JUAN</t>
  </si>
  <si>
    <t xml:space="preserve">26 DE ABRIL </t>
  </si>
  <si>
    <t>PLAZA NAVARRA APT 2218</t>
  </si>
  <si>
    <t xml:space="preserve">DANIELMONTEALEGRE </t>
  </si>
  <si>
    <t xml:space="preserve">12 DE ABRIL </t>
  </si>
  <si>
    <t xml:space="preserve">SEGUNDO PISO BARRIO PEREZ </t>
  </si>
  <si>
    <t>POBLADO NIQUIA 1913</t>
  </si>
  <si>
    <t xml:space="preserve">SAN FRANCISCO 175 </t>
  </si>
  <si>
    <t xml:space="preserve">13 DE ABRIL </t>
  </si>
  <si>
    <t>PUERTO ALEGRE 108</t>
  </si>
  <si>
    <t xml:space="preserve">13 de ABRIL </t>
  </si>
  <si>
    <t xml:space="preserve">OCEANA 2627 </t>
  </si>
  <si>
    <t xml:space="preserve">ESPINOSA </t>
  </si>
  <si>
    <t>FLOR DE AGUA 1229</t>
  </si>
  <si>
    <t xml:space="preserve">14 DE ABRIL </t>
  </si>
  <si>
    <t xml:space="preserve">PUERTO ALEGRE 342 </t>
  </si>
  <si>
    <t>15 DE ABRIL</t>
  </si>
  <si>
    <t>FLOR DE AGUA 1125</t>
  </si>
  <si>
    <t>FLOR DE AGUA 429</t>
  </si>
  <si>
    <t>ROLAN</t>
  </si>
  <si>
    <t xml:space="preserve">APTO PARQUE DE BELLO 47-48 </t>
  </si>
  <si>
    <t>1200000-900000</t>
  </si>
  <si>
    <t xml:space="preserve">ALBERTO </t>
  </si>
  <si>
    <t>BOSQUE ALTO  1907</t>
  </si>
  <si>
    <t>22 DE ABRIL</t>
  </si>
  <si>
    <t>MEDITERRANEA 1918</t>
  </si>
  <si>
    <t xml:space="preserve">22 DE ABRIL </t>
  </si>
  <si>
    <t>BOSQUE ALTO 805</t>
  </si>
  <si>
    <t>LOS ARBOLES 2622</t>
  </si>
  <si>
    <t>FLOR DE AGUA 329</t>
  </si>
  <si>
    <t>FLOR DE AGUA 2427</t>
  </si>
  <si>
    <t xml:space="preserve">27 DE ABRIL </t>
  </si>
  <si>
    <t>PLAZA NAVARRA 1629</t>
  </si>
  <si>
    <t>DANIEL M</t>
  </si>
  <si>
    <t>EDIFICIO CATALINA 201</t>
  </si>
  <si>
    <t xml:space="preserve">BELOVENTO 403 </t>
  </si>
  <si>
    <t>VILLA SURAMERICA 9901</t>
  </si>
  <si>
    <t>COLORES</t>
  </si>
  <si>
    <t>VINILO 2604</t>
  </si>
  <si>
    <t xml:space="preserve">BELLO-NIQUIA </t>
  </si>
  <si>
    <t>LOS ARBOLES 1213</t>
  </si>
  <si>
    <t>OCEANA 3035</t>
  </si>
  <si>
    <t>BELLO-OBRERO</t>
  </si>
  <si>
    <t>NATIVO ARENA 1102</t>
  </si>
  <si>
    <t>ENVIGADO</t>
  </si>
  <si>
    <t xml:space="preserve">BRAYAN </t>
  </si>
  <si>
    <t>20 DE ABRIL</t>
  </si>
  <si>
    <t>PUERTO ALEGRE 341</t>
  </si>
  <si>
    <t>DAKOTA 2 CASA 107</t>
  </si>
  <si>
    <t xml:space="preserve">NORTEAMERICA </t>
  </si>
  <si>
    <t xml:space="preserve">CASA BARRIO ROSALPI </t>
  </si>
  <si>
    <t>BELLO-ROSALPI</t>
  </si>
  <si>
    <t>PUERTO PARAISO 203</t>
  </si>
  <si>
    <t xml:space="preserve">BELLO-SANTA ANA </t>
  </si>
  <si>
    <t xml:space="preserve">MAYO </t>
  </si>
  <si>
    <t>1 DE MAYO</t>
  </si>
  <si>
    <t>FLOR DE AGUA 2125</t>
  </si>
  <si>
    <t xml:space="preserve">1 DE MAYO </t>
  </si>
  <si>
    <t>ALTOBELO 1813</t>
  </si>
  <si>
    <t>11 DE MAYO</t>
  </si>
  <si>
    <t>MEDITERRANEA 1619</t>
  </si>
  <si>
    <t xml:space="preserve">BODEGA </t>
  </si>
  <si>
    <t>CARRERA 65B N° 16 A 64</t>
  </si>
  <si>
    <t>3MII MAS IVA</t>
  </si>
  <si>
    <t xml:space="preserve">12 DE MAYO </t>
  </si>
  <si>
    <t>PLAZA NAVARRA 1622</t>
  </si>
  <si>
    <t xml:space="preserve">DANIEL M </t>
  </si>
  <si>
    <t xml:space="preserve">13 DE MAYO </t>
  </si>
  <si>
    <t xml:space="preserve">CIUDAD CENTRAL 1011 </t>
  </si>
  <si>
    <t xml:space="preserve">JUAN ESTEBAN </t>
  </si>
  <si>
    <t xml:space="preserve">14 DE MAYO </t>
  </si>
  <si>
    <t>RECINTOS DE LA ABADIA 701</t>
  </si>
  <si>
    <t>MEDITERRANEA 2021</t>
  </si>
  <si>
    <t xml:space="preserve">7 DE MAYO </t>
  </si>
  <si>
    <t>MEDITERRANEA 1121</t>
  </si>
  <si>
    <t>MEDITERRANEA 421</t>
  </si>
  <si>
    <t xml:space="preserve">11 DE MAYO </t>
  </si>
  <si>
    <t>MEDITERRANEA 922</t>
  </si>
  <si>
    <t xml:space="preserve">GERSON </t>
  </si>
  <si>
    <t>FLORIDA DE NORTEAMERICA 408</t>
  </si>
  <si>
    <t>14 DE MAYO</t>
  </si>
  <si>
    <t>MEDITERRANEA 918</t>
  </si>
  <si>
    <t xml:space="preserve">20 DE MAYO </t>
  </si>
  <si>
    <t>LA QUINTA 1308</t>
  </si>
  <si>
    <t xml:space="preserve">CARLOS </t>
  </si>
  <si>
    <t>BARLOVENTO 403</t>
  </si>
  <si>
    <t>PUERTO ALEGRE 1808</t>
  </si>
  <si>
    <t>SAN FRANCISCO 3 CASA 104</t>
  </si>
  <si>
    <t>18 DE MAYO</t>
  </si>
  <si>
    <t>NORDICA 1716</t>
  </si>
  <si>
    <t xml:space="preserve">19 DE MAYO </t>
  </si>
  <si>
    <t>ROSALES DE TERRANOVA 1142</t>
  </si>
  <si>
    <t xml:space="preserve">BRAYAN AGUDELO </t>
  </si>
  <si>
    <t>MADERA SILVESTRE 211</t>
  </si>
  <si>
    <t>MADERA SILVESTRE 306</t>
  </si>
  <si>
    <t xml:space="preserve">21 DE MAYO </t>
  </si>
  <si>
    <t>PUERTA MADERA 1362</t>
  </si>
  <si>
    <t>ANDRES</t>
  </si>
  <si>
    <t>20 DE MAYO</t>
  </si>
  <si>
    <t>LA QUINTA 1109</t>
  </si>
  <si>
    <t>NORDICA 2616</t>
  </si>
  <si>
    <t>ASPRILLA</t>
  </si>
  <si>
    <t xml:space="preserve">24 DE MAYO </t>
  </si>
  <si>
    <t>MADERA NATURAL 808</t>
  </si>
  <si>
    <t>GERMAN</t>
  </si>
  <si>
    <t xml:space="preserve">JORGE </t>
  </si>
  <si>
    <t>RINCON DEL BOSQUE 313</t>
  </si>
  <si>
    <t>BELLO-TRAPICHE</t>
  </si>
  <si>
    <t xml:space="preserve">PDT </t>
  </si>
  <si>
    <t xml:space="preserve">25 DE MAYO </t>
  </si>
  <si>
    <t>MIRASOL CAMPESTRE 2039</t>
  </si>
  <si>
    <t xml:space="preserve">BELLO- MIRADOR </t>
  </si>
  <si>
    <t xml:space="preserve">CARLOS Y EDIER </t>
  </si>
  <si>
    <t xml:space="preserve">SEBASTIAN BUITRAGO </t>
  </si>
  <si>
    <t>NORDICA 1514</t>
  </si>
  <si>
    <t xml:space="preserve">ASPRILLA </t>
  </si>
  <si>
    <t>PUERTA MADERA 1851</t>
  </si>
  <si>
    <t xml:space="preserve">22 DE MAYO </t>
  </si>
  <si>
    <t xml:space="preserve">CASA GRAN AVENIDA </t>
  </si>
  <si>
    <t>ALTOS DE LA TRINIDAD 2001</t>
  </si>
  <si>
    <t>ANDREA</t>
  </si>
  <si>
    <t xml:space="preserve">23 DE MAYO </t>
  </si>
  <si>
    <t>CURAZAO 1720</t>
  </si>
  <si>
    <t xml:space="preserve">JORGE BOLAÑOS </t>
  </si>
  <si>
    <t>NORDIKA 708</t>
  </si>
  <si>
    <t xml:space="preserve">ANDREA </t>
  </si>
  <si>
    <t xml:space="preserve">ALEXIS ALVAREZ </t>
  </si>
  <si>
    <t>ROTERNAM 1312</t>
  </si>
  <si>
    <t xml:space="preserve">JOSE </t>
  </si>
  <si>
    <t xml:space="preserve">JUNIO </t>
  </si>
  <si>
    <t xml:space="preserve">SEBASTIAN ECHAVARRIA </t>
  </si>
  <si>
    <t xml:space="preserve">27 DE MAYO </t>
  </si>
  <si>
    <t>CEIBA DEL NORTE 512</t>
  </si>
  <si>
    <t xml:space="preserve">MARYORY ESTHER </t>
  </si>
  <si>
    <t>CEIBA DEL NORTE  1206</t>
  </si>
  <si>
    <t>MARYORIS ESTHER</t>
  </si>
  <si>
    <t xml:space="preserve">28 DE MAYO </t>
  </si>
  <si>
    <t>PLAZA NAVARRA 529</t>
  </si>
  <si>
    <t xml:space="preserve">BELLO- NAVARRA </t>
  </si>
  <si>
    <t>JORGE VILLEGAS</t>
  </si>
  <si>
    <t xml:space="preserve">29 DE MAYO </t>
  </si>
  <si>
    <t>NORDICA 2714</t>
  </si>
  <si>
    <t xml:space="preserve">ANTONIO GIRALDO </t>
  </si>
  <si>
    <t>MONTE SION 1206</t>
  </si>
  <si>
    <t xml:space="preserve">COPACABANA- LA MISERICORDIA </t>
  </si>
  <si>
    <t xml:space="preserve">JUAN DIEG PINEDA </t>
  </si>
  <si>
    <t xml:space="preserve">31 DE MAYO </t>
  </si>
  <si>
    <t>MONTE SION 101</t>
  </si>
  <si>
    <t>3 DE JUNIO</t>
  </si>
  <si>
    <t>NORDICA 1607</t>
  </si>
  <si>
    <t xml:space="preserve">6 DE JUNIO </t>
  </si>
  <si>
    <t>OPORTO CAMPESTRE 206</t>
  </si>
  <si>
    <t xml:space="preserve">BELLO-MACHADO </t>
  </si>
  <si>
    <t>FRANCISCO CANO</t>
  </si>
  <si>
    <t xml:space="preserve">7 DE JUNIO </t>
  </si>
  <si>
    <t>MONTE SION 1205</t>
  </si>
  <si>
    <t xml:space="preserve">JHOAN URAN </t>
  </si>
  <si>
    <t>PLAZUELA DEL NORTE 321</t>
  </si>
  <si>
    <t xml:space="preserve">CAMILO BOHORQUEZ </t>
  </si>
  <si>
    <t>TORRE DEL BOSQUE 1101</t>
  </si>
  <si>
    <t>COPACABANA- CRISTO REY</t>
  </si>
  <si>
    <t>JUAN CAMILO AGUIRRE</t>
  </si>
  <si>
    <t>ALCALA 1312</t>
  </si>
  <si>
    <t>BELLO- FONTIDUEÑO</t>
  </si>
  <si>
    <t xml:space="preserve">VALENTINA ANGEL </t>
  </si>
  <si>
    <t>MONTE SION 1105</t>
  </si>
  <si>
    <t xml:space="preserve">8 DE JUNIO </t>
  </si>
  <si>
    <t>OPORTO CAMPESTRE 304</t>
  </si>
  <si>
    <t>BELLO- MACHADO</t>
  </si>
  <si>
    <t>OPORTO CAMPESTRE 202</t>
  </si>
  <si>
    <t xml:space="preserve"> 8 DE JUNIO </t>
  </si>
  <si>
    <t>NUEVO MILENIO 209</t>
  </si>
  <si>
    <t>PDT</t>
  </si>
  <si>
    <t xml:space="preserve">9 DE JUNIO </t>
  </si>
  <si>
    <t>TORRE DEL CAMPO 701</t>
  </si>
  <si>
    <t>OPORTO CAMPESTRE 1104</t>
  </si>
  <si>
    <t>CEIBA DEL NORTE 1109</t>
  </si>
  <si>
    <t>11 DE JUNIO</t>
  </si>
  <si>
    <t>BELLO-MADERA</t>
  </si>
  <si>
    <t>DIEGO MUÑOZ</t>
  </si>
  <si>
    <t>SENDEROS DE SAN JACINTO CASA 60</t>
  </si>
  <si>
    <t>SANFRANCISCO ETAPA 3 CASA 06</t>
  </si>
  <si>
    <t xml:space="preserve">CAIBA DEL NORTE 512 </t>
  </si>
  <si>
    <t>CEIBA DEL NORTE 2222</t>
  </si>
  <si>
    <t xml:space="preserve">3 DE JUNIO </t>
  </si>
  <si>
    <t xml:space="preserve">ARTURO RUIZ </t>
  </si>
  <si>
    <t>BOSQUE ALTO 1205</t>
  </si>
  <si>
    <t>BELLO-AMAZONIA</t>
  </si>
  <si>
    <t>ZULETA</t>
  </si>
  <si>
    <t>BOSQUE ALTO 2307</t>
  </si>
  <si>
    <t xml:space="preserve">FLOR 2032 </t>
  </si>
  <si>
    <t xml:space="preserve">BELLO- SANTA ANA </t>
  </si>
  <si>
    <t>OCEANA 920</t>
  </si>
  <si>
    <t xml:space="preserve">BELLO-OBRERO </t>
  </si>
  <si>
    <t xml:space="preserve">ESPINOZA </t>
  </si>
  <si>
    <t>FLOR 2232</t>
  </si>
  <si>
    <t xml:space="preserve">31 de MAYO </t>
  </si>
  <si>
    <t>ENSENADA 1526</t>
  </si>
  <si>
    <t xml:space="preserve">BELLO- AMAZONIA </t>
  </si>
  <si>
    <t>HENRRY</t>
  </si>
  <si>
    <t>CAMINO DEL VIENTO 1121</t>
  </si>
  <si>
    <t xml:space="preserve">ACEVEDO </t>
  </si>
  <si>
    <t>MEDITERRANEA 321</t>
  </si>
  <si>
    <t xml:space="preserve">2 DE JUNIO </t>
  </si>
  <si>
    <t xml:space="preserve">CASA PRIMER PISO OBRERO </t>
  </si>
  <si>
    <t xml:space="preserve">BELLO- OBRERO </t>
  </si>
  <si>
    <t>BOSQUE ALTO 1207</t>
  </si>
  <si>
    <t>RAMOS</t>
  </si>
  <si>
    <t>FLOR APARTAMENTOS 328</t>
  </si>
  <si>
    <t xml:space="preserve">CASA PRIMER PISO CABAÑAS </t>
  </si>
  <si>
    <t xml:space="preserve">BELLO-CABAÑAS </t>
  </si>
  <si>
    <t xml:space="preserve">5 DE JUNIO </t>
  </si>
  <si>
    <t>BOSQUE ALTO 901</t>
  </si>
  <si>
    <t xml:space="preserve">RAMOS </t>
  </si>
  <si>
    <t>OCEANA 1536</t>
  </si>
  <si>
    <t>ESPINOSA</t>
  </si>
  <si>
    <t>BOSQUE ALTO 2006</t>
  </si>
  <si>
    <t>BOSQUE ALTO 1906</t>
  </si>
  <si>
    <t xml:space="preserve">10 DE JUNIO </t>
  </si>
  <si>
    <t>FLOR DE AGUA 1325</t>
  </si>
  <si>
    <t>FLOR DE AGUA 2127</t>
  </si>
  <si>
    <t>21 DE JUNIO</t>
  </si>
  <si>
    <t>PUERTO PARAISO 905</t>
  </si>
  <si>
    <t xml:space="preserve">BELLO-CIUDAD DE LOS PUERTOS </t>
  </si>
  <si>
    <t xml:space="preserve">21 DE JUNIO </t>
  </si>
  <si>
    <t>PUERTO PARAISO 1305</t>
  </si>
  <si>
    <t xml:space="preserve">18 DE JUNIO </t>
  </si>
  <si>
    <t>PORTAL DEL NORTE 415</t>
  </si>
  <si>
    <t>BELLO-NIQUIA</t>
  </si>
  <si>
    <t>26 DE MAYO</t>
  </si>
  <si>
    <t>PUERTO NUEVO 9708</t>
  </si>
  <si>
    <t xml:space="preserve">FREDY </t>
  </si>
  <si>
    <t>27 DE MAYO</t>
  </si>
  <si>
    <t>CIUDAD CENTRAL 310</t>
  </si>
  <si>
    <t>BELLO - MADERA</t>
  </si>
  <si>
    <t xml:space="preserve">DILSON REYES </t>
  </si>
  <si>
    <t>PUERTO VENTURA 2010</t>
  </si>
  <si>
    <t>ESTEBAN LOPEZ</t>
  </si>
  <si>
    <t>CANTARES  DE RIACHUELOS 405</t>
  </si>
  <si>
    <t>BELLO- EL CARMELO</t>
  </si>
  <si>
    <t>KENY MUÑOZ</t>
  </si>
  <si>
    <t>CANTARES DE RIACHUELOS  1202</t>
  </si>
  <si>
    <t xml:space="preserve">BELLO-EL CARMELO </t>
  </si>
  <si>
    <t>FLOR DE AGUA 2329</t>
  </si>
  <si>
    <t>RESERVA DE BUCAROS 305</t>
  </si>
  <si>
    <t>MEJIA</t>
  </si>
  <si>
    <t>31 DE MAYP</t>
  </si>
  <si>
    <t>ALTOBELO 2404</t>
  </si>
  <si>
    <t>BELLO- PEREZ</t>
  </si>
  <si>
    <t xml:space="preserve">SERGIO ADMON </t>
  </si>
  <si>
    <t xml:space="preserve">1 DE JUNIO </t>
  </si>
  <si>
    <t>RESERVA DE BUCAROS 207</t>
  </si>
  <si>
    <t xml:space="preserve">1 de JUNIO </t>
  </si>
  <si>
    <t>MADERA SILVESTRE 510</t>
  </si>
  <si>
    <t xml:space="preserve">BELLO- MADERA </t>
  </si>
  <si>
    <t>CARLOS POSADA</t>
  </si>
  <si>
    <t>PUERTO AZUL 1803</t>
  </si>
  <si>
    <t xml:space="preserve">BELLO- LOS PUERTOS </t>
  </si>
  <si>
    <t xml:space="preserve">ANDRES Y KATY </t>
  </si>
  <si>
    <t>CAMINO DEL PARQUE 2101</t>
  </si>
  <si>
    <t>MEDELLIN- LOS BERNAL</t>
  </si>
  <si>
    <t>4 DE JUNIO</t>
  </si>
  <si>
    <t xml:space="preserve">PUERTO ALEGRE 1208 </t>
  </si>
  <si>
    <t xml:space="preserve">BELLO-LOS PUERTOS </t>
  </si>
  <si>
    <t xml:space="preserve">4 DE JUNIO </t>
  </si>
  <si>
    <t xml:space="preserve">LOCAL </t>
  </si>
  <si>
    <t xml:space="preserve">LOCAL PARQUE BELLO SEGUNDO PISO </t>
  </si>
  <si>
    <t xml:space="preserve">BELLO- PARQUE </t>
  </si>
  <si>
    <t>ALTOBELO 213</t>
  </si>
  <si>
    <t xml:space="preserve">MORENO </t>
  </si>
  <si>
    <t xml:space="preserve">8 JUNIO </t>
  </si>
  <si>
    <t>TORRE ALASKA 402</t>
  </si>
  <si>
    <t xml:space="preserve">BELLO- CABAÑAS </t>
  </si>
  <si>
    <t>NOI</t>
  </si>
  <si>
    <t xml:space="preserve">CASA CABAÑAS </t>
  </si>
  <si>
    <t xml:space="preserve">DIRECTA </t>
  </si>
  <si>
    <t>CANTARES DE RIACHUELOS  2202</t>
  </si>
  <si>
    <t xml:space="preserve">BELLO- EL CARMELO </t>
  </si>
  <si>
    <t xml:space="preserve">KENNY </t>
  </si>
  <si>
    <t>RESERVA DE BUCAROS 401</t>
  </si>
  <si>
    <t>BELLO-BUCAROS</t>
  </si>
  <si>
    <t>MIRASOL CAMPESTRE 1839</t>
  </si>
  <si>
    <t xml:space="preserve">BELLO-EL MIRADOR </t>
  </si>
  <si>
    <t>SERNA</t>
  </si>
  <si>
    <t>FLOR DE AGUA 2529</t>
  </si>
  <si>
    <t>240.000.000</t>
  </si>
  <si>
    <t>TORRE ALAASKA 501</t>
  </si>
  <si>
    <t xml:space="preserve">BELLO-PEREZ </t>
  </si>
  <si>
    <t>PARRA</t>
  </si>
  <si>
    <t>NORDICA 612</t>
  </si>
  <si>
    <t>ASPRILLA Y BARBOSA</t>
  </si>
  <si>
    <t>PARQUE ALTO 2104</t>
  </si>
  <si>
    <t>MANUEL</t>
  </si>
  <si>
    <t>LOCAL AEROPUERTO 344</t>
  </si>
  <si>
    <t xml:space="preserve">MEDELLIN-GUYABAL </t>
  </si>
  <si>
    <t>VILLAS DE CONFENALCO 201</t>
  </si>
  <si>
    <t xml:space="preserve">BELLO-TRAPICHE </t>
  </si>
  <si>
    <t>LOS ARBOLES 2506</t>
  </si>
  <si>
    <t>NOGALES DE TERRANOVA CASA 31</t>
  </si>
  <si>
    <t>GUILLERMO YANEZ</t>
  </si>
  <si>
    <t xml:space="preserve">APTPO BARRIO CENTRAL </t>
  </si>
  <si>
    <t xml:space="preserve">BELLO- CENTRAL </t>
  </si>
  <si>
    <t>NOPGALES DE TERRANOVA APT  150</t>
  </si>
  <si>
    <t xml:space="preserve">16 DE JUNIO </t>
  </si>
  <si>
    <t>CURAZAO 903</t>
  </si>
  <si>
    <t xml:space="preserve">BELLO-LA CAMILA </t>
  </si>
  <si>
    <t>BOLAÑOS</t>
  </si>
  <si>
    <t>AMAZONICA 1124</t>
  </si>
  <si>
    <t>PATIÑO</t>
  </si>
  <si>
    <t>CURAZAO 2037</t>
  </si>
  <si>
    <t xml:space="preserve">BELLO- LA CAMILA </t>
  </si>
  <si>
    <t>NORDICA 1314</t>
  </si>
  <si>
    <t xml:space="preserve">17 DE JUNIO </t>
  </si>
  <si>
    <t>PUERTO PARAISO 804</t>
  </si>
  <si>
    <t xml:space="preserve">BELLO- CIUDAD DE LOS PIUERTOS </t>
  </si>
  <si>
    <t xml:space="preserve">19 DE JUNIO </t>
  </si>
  <si>
    <t>PUERTO PARAISO 1101</t>
  </si>
  <si>
    <t>22 DE JUNIO</t>
  </si>
  <si>
    <t>PUERTO PARAISO 1701</t>
  </si>
  <si>
    <t>NORDICA 1612</t>
  </si>
  <si>
    <t>PUERTO PARAISO 702</t>
  </si>
  <si>
    <t>23 DE JUNIO</t>
  </si>
  <si>
    <t>PLAZUELA DEL NORTE 9926</t>
  </si>
  <si>
    <t>VIVENZA APARTAMENTOS 2014</t>
  </si>
  <si>
    <t xml:space="preserve">MAURICIO </t>
  </si>
  <si>
    <t xml:space="preserve">NORDICA 2405 </t>
  </si>
  <si>
    <t>NORDICA 2503</t>
  </si>
  <si>
    <t xml:space="preserve">JUAN </t>
  </si>
  <si>
    <t>POBLADO NIQUIA 312</t>
  </si>
  <si>
    <t xml:space="preserve">BELLO-NAVARRA </t>
  </si>
  <si>
    <t>LUIS</t>
  </si>
  <si>
    <t xml:space="preserve">ALAMEDA DEL NORTE CASA 12 </t>
  </si>
  <si>
    <t>ADRIANA</t>
  </si>
  <si>
    <t xml:space="preserve">8  DE JUNIO </t>
  </si>
  <si>
    <t>PUERTO PARAISO 508</t>
  </si>
  <si>
    <t xml:space="preserve">PORTADA </t>
  </si>
  <si>
    <t xml:space="preserve">LINA CARPINTERO </t>
  </si>
  <si>
    <t>TIERRA LINDA 1406</t>
  </si>
  <si>
    <t xml:space="preserve">BELLO-LA GABRIELA </t>
  </si>
  <si>
    <t>MARTINEZ</t>
  </si>
  <si>
    <t>TIERRA LINDA 409</t>
  </si>
  <si>
    <t>TIERRA LINDA 1503</t>
  </si>
  <si>
    <t>LOCAL PRADO</t>
  </si>
  <si>
    <t>BELLO-PRADO</t>
  </si>
  <si>
    <t xml:space="preserve">11 DE JUNIO </t>
  </si>
  <si>
    <t>TIERRA LINDA 702</t>
  </si>
  <si>
    <t xml:space="preserve">ALONSO VILLA </t>
  </si>
  <si>
    <t>12 DE JUNIO</t>
  </si>
  <si>
    <t>TIERRA LINDA 209</t>
  </si>
  <si>
    <t>CASA CABAÑAS 55-95</t>
  </si>
  <si>
    <t>BELLO. CABAÑAS</t>
  </si>
  <si>
    <t xml:space="preserve">MATEO ROMERO </t>
  </si>
  <si>
    <t>MADERA SILVESTRE 2406</t>
  </si>
  <si>
    <t xml:space="preserve">BELLO-MADERA </t>
  </si>
  <si>
    <t xml:space="preserve">CARLOS POSADA </t>
  </si>
  <si>
    <t xml:space="preserve">PUERTO PARAISO 908 </t>
  </si>
  <si>
    <t xml:space="preserve">ANDRES ZULETA </t>
  </si>
  <si>
    <t xml:space="preserve">CASA CABAÑAS 57-67 TERCER PISO </t>
  </si>
  <si>
    <t xml:space="preserve">10DE JUNIO </t>
  </si>
  <si>
    <t>CASA GRAN AVENIDA 50-81</t>
  </si>
  <si>
    <t>BELLO-GRAN AVENIDA</t>
  </si>
  <si>
    <t xml:space="preserve">CASA PEDREGAL </t>
  </si>
  <si>
    <t xml:space="preserve">BELLO-PEDREGAL </t>
  </si>
  <si>
    <t>PUERTO PARAISO603</t>
  </si>
  <si>
    <t xml:space="preserve">ANDRES ZXULETA </t>
  </si>
  <si>
    <t>BALCONES DE PRAGA APTO OBRERO 50 A 13 APTO 901</t>
  </si>
  <si>
    <t>MADERA SILVESTRE 1208</t>
  </si>
  <si>
    <t xml:space="preserve">22 DE JUNIO </t>
  </si>
  <si>
    <t xml:space="preserve">CASA MOLINARES </t>
  </si>
  <si>
    <t>BELLO-MOLINARES</t>
  </si>
  <si>
    <t>TIERRA LINDA 2506</t>
  </si>
  <si>
    <t xml:space="preserve">BELLO-LA GRABRIELA </t>
  </si>
  <si>
    <t xml:space="preserve">23 DE JUNIO </t>
  </si>
  <si>
    <t>MIRASOL CAMPESTRE 936</t>
  </si>
  <si>
    <t xml:space="preserve">BELLO- EL MIRADOR </t>
  </si>
  <si>
    <t xml:space="preserve">CASA SEGUNDO PISO MIRADOR DE LA QUINTA </t>
  </si>
  <si>
    <t>PUERTO PARAISO 2301</t>
  </si>
  <si>
    <t xml:space="preserve">CASA BARRIO NUEVO 58DD 50 </t>
  </si>
  <si>
    <t xml:space="preserve">BARRIO NUEVO </t>
  </si>
  <si>
    <t>CORAL 1708</t>
  </si>
  <si>
    <t>GRAN AVENIDA 50-81</t>
  </si>
  <si>
    <t>GRAN AVENIDA</t>
  </si>
  <si>
    <t>MIRASOL CANPESTRE 936</t>
  </si>
  <si>
    <t>MIRADOR</t>
  </si>
  <si>
    <t xml:space="preserve">JULIO </t>
  </si>
  <si>
    <t xml:space="preserve">1 DE JULIO </t>
  </si>
  <si>
    <t>MONTESION 1103</t>
  </si>
  <si>
    <t>LA MISERICORDIA</t>
  </si>
  <si>
    <t xml:space="preserve">JUAN PINEDA </t>
  </si>
  <si>
    <t>OPORTO CAMPESTRE 1003</t>
  </si>
  <si>
    <t>MACHADO</t>
  </si>
  <si>
    <t>RODRIGUEZ</t>
  </si>
  <si>
    <t>MONTESION 508</t>
  </si>
  <si>
    <t>JHOAN URAN</t>
  </si>
  <si>
    <t>OPORTO CAMPESTRE 904</t>
  </si>
  <si>
    <t xml:space="preserve">HARLEY MOLINA </t>
  </si>
  <si>
    <t>CEIBA DEL NORTE 2423</t>
  </si>
  <si>
    <t xml:space="preserve">MARYORIS </t>
  </si>
  <si>
    <t>OPORTO CAMPESTRE  1507</t>
  </si>
  <si>
    <t>SAMUEL RODRIGUEZ</t>
  </si>
  <si>
    <t>21 DE JULIO</t>
  </si>
  <si>
    <t>LOS ARBOLES 127</t>
  </si>
  <si>
    <t xml:space="preserve">HERNAN </t>
  </si>
  <si>
    <t>2 DE JUNIO</t>
  </si>
  <si>
    <t>CAMINO DEL VIENTO 1015</t>
  </si>
  <si>
    <t xml:space="preserve">AMAZONIA </t>
  </si>
  <si>
    <t xml:space="preserve">2 DE JULIO </t>
  </si>
  <si>
    <t>MADERA NATURAL 9903</t>
  </si>
  <si>
    <t xml:space="preserve">MADERA </t>
  </si>
  <si>
    <t>DIEGO</t>
  </si>
  <si>
    <t xml:space="preserve">6 DE JULIO </t>
  </si>
  <si>
    <t>NORDICA 915</t>
  </si>
  <si>
    <t xml:space="preserve">GIRALDO </t>
  </si>
  <si>
    <t>9 DE JULIO</t>
  </si>
  <si>
    <t>TERRALUNA 403</t>
  </si>
  <si>
    <t>MIRAFLORES</t>
  </si>
  <si>
    <t xml:space="preserve">13 DE JULIO </t>
  </si>
  <si>
    <t>CEIBA DEL NORTE 1818</t>
  </si>
  <si>
    <t>MARYOLIS</t>
  </si>
  <si>
    <t>17 DE JULIO</t>
  </si>
  <si>
    <t>CEIBA DEL NORTE 1322</t>
  </si>
  <si>
    <t xml:space="preserve">19 DE JULIO </t>
  </si>
  <si>
    <t>NORDICA 1801</t>
  </si>
  <si>
    <t xml:space="preserve">JULIAN ZAPATA </t>
  </si>
  <si>
    <t>MAJAGUA NATURAL 1253</t>
  </si>
  <si>
    <t xml:space="preserve">TRAPICHE </t>
  </si>
  <si>
    <t>TIERRA LINDA CAMPESTRE 1904</t>
  </si>
  <si>
    <t>GABRIELA</t>
  </si>
  <si>
    <t>ARMANDO</t>
  </si>
  <si>
    <t>PUERTO PARAISO 101</t>
  </si>
  <si>
    <t>CEIBA DEL NORTE 2324</t>
  </si>
  <si>
    <t>NIQIUIA</t>
  </si>
  <si>
    <t>MAYORIS</t>
  </si>
  <si>
    <t>MONTESION 608</t>
  </si>
  <si>
    <t>CARDONA</t>
  </si>
  <si>
    <t>22 DE JULIO</t>
  </si>
  <si>
    <t>HABITAT DE NIQUIA APTO 106</t>
  </si>
  <si>
    <t>CEIBA DEL NORTE 2219</t>
  </si>
  <si>
    <t xml:space="preserve">CASA MACHADO 43-20 </t>
  </si>
  <si>
    <t>ALCALA</t>
  </si>
  <si>
    <t>OPORTO CAMPESTRE 2202</t>
  </si>
  <si>
    <t>14 DE JULIO</t>
  </si>
  <si>
    <t>ALAMEDA DEL NORTE 26</t>
  </si>
  <si>
    <t>NAVARRA</t>
  </si>
  <si>
    <t>ADRIANA ZAPATA</t>
  </si>
  <si>
    <t>CAMINO DEL VIENTO 519</t>
  </si>
  <si>
    <t>CAMINO DEL VIENTO 1519</t>
  </si>
  <si>
    <t>CAMINO DEL VIENTO 2222</t>
  </si>
  <si>
    <t>FLOR DE AGUA 1928</t>
  </si>
  <si>
    <t>FLOR DE AGUA 428</t>
  </si>
  <si>
    <t>BALCONES DE CONQUISTADORES 403</t>
  </si>
  <si>
    <t>CONQUISTADORES</t>
  </si>
  <si>
    <t>CAMINO DEL VIENTO 1609</t>
  </si>
  <si>
    <t>FLOR DE AGUA 1228</t>
  </si>
  <si>
    <t>FLOR DE AGUA 829</t>
  </si>
  <si>
    <t>8 DE JULIO</t>
  </si>
  <si>
    <t>ENSENADA 1823</t>
  </si>
  <si>
    <t>MEDINA</t>
  </si>
  <si>
    <t>CAMINO DEL VIENTO 2220</t>
  </si>
  <si>
    <t>13 DE JULIO</t>
  </si>
  <si>
    <t>OCEANA 2524</t>
  </si>
  <si>
    <t>OBRERO</t>
  </si>
  <si>
    <t>MEDITERRANEA 426</t>
  </si>
  <si>
    <t xml:space="preserve">14 DE JULIO </t>
  </si>
  <si>
    <t>OCEANA 1522</t>
  </si>
  <si>
    <t>FLOR APARTAMENTOS 2132</t>
  </si>
  <si>
    <t>FLOR APARTAMENTOS 1425</t>
  </si>
  <si>
    <t>TORRE MARISCAL 602</t>
  </si>
  <si>
    <t>FLOR 2429</t>
  </si>
  <si>
    <t>YULMAN</t>
  </si>
  <si>
    <t xml:space="preserve">18 DE JULIO </t>
  </si>
  <si>
    <t xml:space="preserve">PUERTO ALEGRE 1133 </t>
  </si>
  <si>
    <t xml:space="preserve">LOS PUERTOS </t>
  </si>
  <si>
    <t>FABIO</t>
  </si>
  <si>
    <t>PUERTO PARAISO 810</t>
  </si>
  <si>
    <t>FLOR DE AGUA 2732</t>
  </si>
  <si>
    <t>FLOR DE AGUA 928</t>
  </si>
  <si>
    <t>26 DE JULIO</t>
  </si>
  <si>
    <t>FLOR DE AGUA 625</t>
  </si>
  <si>
    <t xml:space="preserve">26 DE JULIO </t>
  </si>
  <si>
    <t>PUERTO PARAISO 903</t>
  </si>
  <si>
    <t>PUERTO PARAISO 1402</t>
  </si>
  <si>
    <t>FLOR APARTAMENTOS 1528</t>
  </si>
  <si>
    <t>EDIFICIO DALLAS 302</t>
  </si>
  <si>
    <t xml:space="preserve">9 DE JULIO </t>
  </si>
  <si>
    <t>PUERTO VENTURA  812</t>
  </si>
  <si>
    <t xml:space="preserve">CIUDAD DE LOS PUERTOS </t>
  </si>
  <si>
    <t>MIRASOL CAMPESTRE 539</t>
  </si>
  <si>
    <t xml:space="preserve">MIRADOR </t>
  </si>
  <si>
    <t>TORRE NAVARRA 1204</t>
  </si>
  <si>
    <t>MIRASOL CAMPESTRE 338</t>
  </si>
  <si>
    <t xml:space="preserve">MAURICIO QUINTERO </t>
  </si>
  <si>
    <t>MIRASOL CAMPESTRE 1237</t>
  </si>
  <si>
    <t>MIRASOL CAMPESTRE  837</t>
  </si>
  <si>
    <t>6 DE JULIO</t>
  </si>
  <si>
    <t>PUERTO AZUL 706</t>
  </si>
  <si>
    <t xml:space="preserve">ESEQUIEL </t>
  </si>
  <si>
    <t>VERONICA Y RUIZ</t>
  </si>
  <si>
    <t>CANTARES DE RIACHUELOS 1305</t>
  </si>
  <si>
    <t>EL CARMELO</t>
  </si>
  <si>
    <t>KENNY</t>
  </si>
  <si>
    <t>10 DE JULIO</t>
  </si>
  <si>
    <t>CIUDAD CENTRAL 1418</t>
  </si>
  <si>
    <t>BENITEZ</t>
  </si>
  <si>
    <t xml:space="preserve">12 DE JULIO </t>
  </si>
  <si>
    <t>PUERTO ALEGRE 502</t>
  </si>
  <si>
    <t>EDIFICIO ZAFIRO 301</t>
  </si>
  <si>
    <t>CABAÑAS</t>
  </si>
  <si>
    <t xml:space="preserve">14 de JULIO </t>
  </si>
  <si>
    <t>PUERTO PARAISO 305</t>
  </si>
  <si>
    <t>OMAR GOMEZ</t>
  </si>
  <si>
    <t>LA CANBAÑITA 301</t>
  </si>
  <si>
    <t xml:space="preserve">PUERTO PARAISO 716 </t>
  </si>
  <si>
    <t xml:space="preserve">JHON MARTINEZ </t>
  </si>
  <si>
    <t>19 DE JULIO</t>
  </si>
  <si>
    <t>CANTARES DE RIACHUELOS 1901</t>
  </si>
  <si>
    <t>CARMELO</t>
  </si>
  <si>
    <t>KENY</t>
  </si>
  <si>
    <t>23 DE JULIO</t>
  </si>
  <si>
    <t>LOCAL-BODEGA</t>
  </si>
  <si>
    <t xml:space="preserve">BODEGA MEDELLIN BOGOTA </t>
  </si>
  <si>
    <t>CIUDAD CENTRAL 801</t>
  </si>
  <si>
    <t xml:space="preserve">BENITEZ REYES </t>
  </si>
  <si>
    <t>VINILO 2303</t>
  </si>
  <si>
    <t>TATIANA</t>
  </si>
  <si>
    <t>PUERTO VENTURA 2304</t>
  </si>
  <si>
    <t>CANTARES DE RIACHUELOS LOCAL 113</t>
  </si>
  <si>
    <t>ALTOBELO 1004</t>
  </si>
  <si>
    <t>PEREZ</t>
  </si>
  <si>
    <t>SERGIO ADMON</t>
  </si>
  <si>
    <t xml:space="preserve">21 DE JULIO </t>
  </si>
  <si>
    <t>PUERTO VENTURA 1304</t>
  </si>
  <si>
    <t>PUERTO VENTURA 2301</t>
  </si>
  <si>
    <t>ESTEBAN LOPES¿Z</t>
  </si>
  <si>
    <t>PARQUE ALTO 1906</t>
  </si>
  <si>
    <t>MANUEL MONSALVE</t>
  </si>
  <si>
    <t>CERRO AZUL 9805</t>
  </si>
  <si>
    <t>FELIPE</t>
  </si>
  <si>
    <t>LOS ARBOLES 812</t>
  </si>
  <si>
    <t>RONNY</t>
  </si>
  <si>
    <t>LAURELES DE TERRANOVA 1092</t>
  </si>
  <si>
    <t>ALTOS DE LA TRINIDAD 2004</t>
  </si>
  <si>
    <t>PARQUE ALTO 1007</t>
  </si>
  <si>
    <t>MONSALVE</t>
  </si>
  <si>
    <t>TERRITORIO ROBLEDO 602</t>
  </si>
  <si>
    <t>ROBLEDO</t>
  </si>
  <si>
    <t xml:space="preserve">NORDICA 1116 </t>
  </si>
  <si>
    <t xml:space="preserve">22 DE JULIO </t>
  </si>
  <si>
    <t>MEDITERRANEA 1226</t>
  </si>
  <si>
    <t>RAMOS VELEZ 201</t>
  </si>
  <si>
    <t>CERRO CLARO 2303</t>
  </si>
  <si>
    <t xml:space="preserve">JHONATAN </t>
  </si>
  <si>
    <t xml:space="preserve">28 DE JULIO </t>
  </si>
  <si>
    <t>NORDICA 1715</t>
  </si>
  <si>
    <t xml:space="preserve">PULGARIN </t>
  </si>
  <si>
    <t>CASA CASTILLA 94-54</t>
  </si>
  <si>
    <t xml:space="preserve">LA ESMERALDA </t>
  </si>
  <si>
    <t>LOS ARBOLES 2603</t>
  </si>
  <si>
    <t>AV 37 N° 55-26</t>
  </si>
  <si>
    <t>CASA CUARTO PISO BARRIO NUEVO</t>
  </si>
  <si>
    <t xml:space="preserve">CASA SANTA ANA 47-47 </t>
  </si>
  <si>
    <t>PUERTO PARAISO 105</t>
  </si>
  <si>
    <t>ANDRES ZULETA</t>
  </si>
  <si>
    <t>PARQUE ALTO 2408</t>
  </si>
  <si>
    <t>CAMINO DEL VIENTO 822</t>
  </si>
  <si>
    <t>AMAZONIA</t>
  </si>
  <si>
    <t>ACEVEDO</t>
  </si>
  <si>
    <t>2 DE JULIO</t>
  </si>
  <si>
    <t xml:space="preserve">LA GABRIELA </t>
  </si>
  <si>
    <t>ARMANDO MARTINEZ</t>
  </si>
  <si>
    <t>MADERA SILVESTRE 406</t>
  </si>
  <si>
    <t>APT SALENTO 3</t>
  </si>
  <si>
    <t>SALENTO 3</t>
  </si>
  <si>
    <t>APTO BARRIO PEREZ 301</t>
  </si>
  <si>
    <t xml:space="preserve"> MANCHESTER 45-21</t>
  </si>
  <si>
    <t xml:space="preserve">MANCHESTER </t>
  </si>
  <si>
    <t xml:space="preserve">17 DE JULIO </t>
  </si>
  <si>
    <t>PUERTO PARAISO 1512</t>
  </si>
  <si>
    <t>MIRASOL CAMPESTRE 1425</t>
  </si>
  <si>
    <t>CAMINO DEL VIENTO 515</t>
  </si>
  <si>
    <t>CAMINO DEL VIENTO 919</t>
  </si>
  <si>
    <t xml:space="preserve">TORRES DE LA MACARENA 102 </t>
  </si>
  <si>
    <t>ENSENADA 1316</t>
  </si>
  <si>
    <t xml:space="preserve">SEBASTIAN MEDINA </t>
  </si>
  <si>
    <t>MADERA SILVESTRE 506</t>
  </si>
  <si>
    <t>CAMINO DEL VIENTO 2218</t>
  </si>
  <si>
    <t>APTO FLORENCIA 72A 19</t>
  </si>
  <si>
    <t xml:space="preserve">FLORENCIA </t>
  </si>
  <si>
    <t>CAMINO DEL VIENTO 1716</t>
  </si>
  <si>
    <t>CAMINO DEL VIENTO 1818</t>
  </si>
  <si>
    <t xml:space="preserve">ACAVEDO </t>
  </si>
  <si>
    <t xml:space="preserve">CASA BARRIO NUEVO 59A 23 4TO PISO </t>
  </si>
  <si>
    <t>MIRASOL CAMPESTRE 1917</t>
  </si>
  <si>
    <t xml:space="preserve">EL MIRADOR </t>
  </si>
  <si>
    <t>248.900.000</t>
  </si>
  <si>
    <t>OCEANA 2125</t>
  </si>
  <si>
    <t>ENSENADA 2218</t>
  </si>
  <si>
    <t xml:space="preserve">LOCAL BARRIO SUAREZ </t>
  </si>
  <si>
    <t>SUAREZ</t>
  </si>
  <si>
    <t>APTO QUITASOL 201</t>
  </si>
  <si>
    <t>RESERVA DE BUCAROS 405</t>
  </si>
  <si>
    <t>BUCAROS</t>
  </si>
  <si>
    <t>BRAYAN ACEVEDO</t>
  </si>
  <si>
    <t xml:space="preserve">AGOSTO </t>
  </si>
  <si>
    <t xml:space="preserve">1 DE AGOSTO </t>
  </si>
  <si>
    <t>TIERRA LINDA CAMPESTRE 1201</t>
  </si>
  <si>
    <t>CEIBA DEL NORTE 1918</t>
  </si>
  <si>
    <t>MARYORIS</t>
  </si>
  <si>
    <t>CEIBA DEL NORTE 2005</t>
  </si>
  <si>
    <t>MORYORIS</t>
  </si>
  <si>
    <t>1 DE AGOSTP</t>
  </si>
  <si>
    <t>TIERRA LINDA CAMPESTRE 1409</t>
  </si>
  <si>
    <t>CEIBA DEL NORTE 1212</t>
  </si>
  <si>
    <t>CAMINO DEL VIENTO 121</t>
  </si>
  <si>
    <t>MONTESION 707</t>
  </si>
  <si>
    <t xml:space="preserve">GONZALO CARDONA </t>
  </si>
  <si>
    <t>2 DE AGOSTO</t>
  </si>
  <si>
    <t>CASA CABAÑAS 58CC 14</t>
  </si>
  <si>
    <t>3 DE AGOSTO</t>
  </si>
  <si>
    <t>NORDICA 1702</t>
  </si>
  <si>
    <t xml:space="preserve">5 DE AGOSTO </t>
  </si>
  <si>
    <t>DANIELA RAMOS</t>
  </si>
  <si>
    <t>10 DE AGOSTO</t>
  </si>
  <si>
    <t>CEIBA DEL NORTE 730</t>
  </si>
  <si>
    <t>11 DE AGOSTO</t>
  </si>
  <si>
    <t>CEIBA DEL NORTE 1704</t>
  </si>
  <si>
    <t>12 DE AGOSTO</t>
  </si>
  <si>
    <t>CAMINO DEL VIENTO 1416</t>
  </si>
  <si>
    <t>17 DE AGOSTO</t>
  </si>
  <si>
    <t>CONSORCIO EJECUTIVO AFICINA 301</t>
  </si>
  <si>
    <t>JHOINNY ZAPATA</t>
  </si>
  <si>
    <t>18 DE AGOSTO</t>
  </si>
  <si>
    <t>NORDICA 1403</t>
  </si>
  <si>
    <t>LARA</t>
  </si>
  <si>
    <t xml:space="preserve">18 DE AGOSTO </t>
  </si>
  <si>
    <t>TIERRA LINDA CAMPESTRE 2209</t>
  </si>
  <si>
    <t>MONTESION 2206</t>
  </si>
  <si>
    <t xml:space="preserve">20 DE AGOSTO </t>
  </si>
  <si>
    <t>CURAZAO 1825</t>
  </si>
  <si>
    <t>DIEGO MARIN</t>
  </si>
  <si>
    <t>OPORTO CAMPESTRE 1306</t>
  </si>
  <si>
    <t xml:space="preserve">SAMUEL RODRIGUEZ </t>
  </si>
  <si>
    <t>20  DE AGOSTO</t>
  </si>
  <si>
    <t>NORDICA 1914</t>
  </si>
  <si>
    <t xml:space="preserve">JHON JAIRO MEJIA </t>
  </si>
  <si>
    <t>TIERRA LINDA CAPESTRE 1301</t>
  </si>
  <si>
    <t>MAURICIO PULGARIN</t>
  </si>
  <si>
    <t xml:space="preserve">CRISTO REY </t>
  </si>
  <si>
    <t>ALAMEDA DEL NORTE CASA 70</t>
  </si>
  <si>
    <t>MIRADOR DE BARCELONA 1004</t>
  </si>
  <si>
    <t>185.000.000</t>
  </si>
  <si>
    <t>CEIBA DEL NORTE 1717</t>
  </si>
  <si>
    <t>220.000.000</t>
  </si>
  <si>
    <t>CAMINO DEL VIENTO 916</t>
  </si>
  <si>
    <t>CORAL 1206</t>
  </si>
  <si>
    <t xml:space="preserve"> DE AGOSTO </t>
  </si>
  <si>
    <t>EMPORIUM PLAZA 602</t>
  </si>
  <si>
    <t>CAMINO DEL VIENTO 2402</t>
  </si>
  <si>
    <t>MEDITERRANEA 617</t>
  </si>
  <si>
    <t xml:space="preserve">CAMINO DEL VIENTO 719 </t>
  </si>
  <si>
    <t>CAMINO DEL VIENTO 620</t>
  </si>
  <si>
    <t xml:space="preserve">3 DE AGOSTO </t>
  </si>
  <si>
    <t>ENSENADA 1516</t>
  </si>
  <si>
    <t>19 DE AGOSTO</t>
  </si>
  <si>
    <t>ENSENADA 2324</t>
  </si>
  <si>
    <t xml:space="preserve">19 DE AGOSTO </t>
  </si>
  <si>
    <t>FLOR DE AGUA 2425</t>
  </si>
  <si>
    <t>HIGUITA</t>
  </si>
  <si>
    <t>MAJAGUA NATURAL 2666</t>
  </si>
  <si>
    <t>TRAPICHE</t>
  </si>
  <si>
    <t>SIMON</t>
  </si>
  <si>
    <t>21 DE AGOSTO</t>
  </si>
  <si>
    <t>ENSENADA 1519</t>
  </si>
  <si>
    <t>23 DE AGOSTO</t>
  </si>
  <si>
    <t xml:space="preserve">CABAÑITAS 5TO PISO </t>
  </si>
  <si>
    <t xml:space="preserve">23 DE AGOSTO </t>
  </si>
  <si>
    <t>FLORES DE SAN JUAN 403</t>
  </si>
  <si>
    <t>ENSENADA 2619</t>
  </si>
  <si>
    <t xml:space="preserve">MEDINA </t>
  </si>
  <si>
    <t>24 DE AGOSTO</t>
  </si>
  <si>
    <t>CAMINO DEL VIENTO 1507</t>
  </si>
  <si>
    <t>HILARIO</t>
  </si>
  <si>
    <t>ENSENADA 1719</t>
  </si>
  <si>
    <t>1 DE AGOSTO</t>
  </si>
  <si>
    <t>1 AGOSTO</t>
  </si>
  <si>
    <t>PUERTO PARAISO 712</t>
  </si>
  <si>
    <t>LA QUINTA 408</t>
  </si>
  <si>
    <t xml:space="preserve">LONDOÑO </t>
  </si>
  <si>
    <t xml:space="preserve">2 DE AGOSTO </t>
  </si>
  <si>
    <t>ALTOBELO 511</t>
  </si>
  <si>
    <t>JHON</t>
  </si>
  <si>
    <t>5 DE AGOSTO</t>
  </si>
  <si>
    <t>PUERTO PARAISO 2011</t>
  </si>
  <si>
    <t>ALVAREZ</t>
  </si>
  <si>
    <t xml:space="preserve">6 DE AGOSTO </t>
  </si>
  <si>
    <t>LOCAL CANTARES DE RIACHUELOS 110</t>
  </si>
  <si>
    <t xml:space="preserve">EL CARMELO </t>
  </si>
  <si>
    <t>PUERTO PARAISO 504</t>
  </si>
  <si>
    <t>OMAR</t>
  </si>
  <si>
    <t>ALTOBELO 1515</t>
  </si>
  <si>
    <t>URIBE</t>
  </si>
  <si>
    <t>13 DE AGOSTO</t>
  </si>
  <si>
    <t>CANTARES DE RIACHUELOS 108</t>
  </si>
  <si>
    <t>PUERTO PARAISO 1506</t>
  </si>
  <si>
    <t>PUERTO NUEVO 1934</t>
  </si>
  <si>
    <t>LEIDY ROJAS</t>
  </si>
  <si>
    <t xml:space="preserve">17 DE AGOSTO </t>
  </si>
  <si>
    <t>EDIFICIO MARECHIANO 102</t>
  </si>
  <si>
    <t xml:space="preserve">OBRERO </t>
  </si>
  <si>
    <t>JAMES</t>
  </si>
  <si>
    <t>17 DE AGOSTP</t>
  </si>
  <si>
    <t>EDIFICIO MARECHIANO 301</t>
  </si>
  <si>
    <t xml:space="preserve">JAMES </t>
  </si>
  <si>
    <t>PUERTO VENTURA 212</t>
  </si>
  <si>
    <t>APARTA STUDIO ROSALPI 302</t>
  </si>
  <si>
    <t xml:space="preserve">ROSALPI </t>
  </si>
  <si>
    <t>PUERTO PARAISO 1508</t>
  </si>
  <si>
    <t>OMARF</t>
  </si>
  <si>
    <t>CANTARES DE RIACHUELOS 109</t>
  </si>
  <si>
    <t>GIL</t>
  </si>
  <si>
    <t>PUERTO VENTURA 1002</t>
  </si>
  <si>
    <t>PUERTO PARAISO 1007</t>
  </si>
  <si>
    <t>CAMINO DEL VIENTO 1715</t>
  </si>
  <si>
    <t xml:space="preserve">25 DE AGOSTO </t>
  </si>
  <si>
    <t>PUERTO PARAISO 706</t>
  </si>
  <si>
    <t>PEREIRA</t>
  </si>
  <si>
    <t>ENTREVIENTOS 801</t>
  </si>
  <si>
    <t>QUITASOL</t>
  </si>
  <si>
    <t>HECTOR</t>
  </si>
  <si>
    <t xml:space="preserve">AVELLANEDA </t>
  </si>
  <si>
    <t>avellaneda</t>
  </si>
  <si>
    <t>rony</t>
  </si>
  <si>
    <t>PUERTA MADERA 569</t>
  </si>
  <si>
    <t>MADERA</t>
  </si>
  <si>
    <t>OMAIRA</t>
  </si>
  <si>
    <t>PUERTO PARAISO 1606</t>
  </si>
  <si>
    <t>PUEERTOS</t>
  </si>
  <si>
    <t xml:space="preserve">LOS ÑPUERTOS </t>
  </si>
  <si>
    <t>MADERA SILVESTRE 1706</t>
  </si>
  <si>
    <t>SILVIA MUÑOZ</t>
  </si>
  <si>
    <t>MEDITERRANEA 1428</t>
  </si>
  <si>
    <t>MATEO ROMERO</t>
  </si>
  <si>
    <t>ALCALA 1815</t>
  </si>
  <si>
    <t>FONTIDUEÑO</t>
  </si>
  <si>
    <t>ALEXANDER</t>
  </si>
  <si>
    <t>GUTIERREZ</t>
  </si>
  <si>
    <t xml:space="preserve">11 DE AGOSTO </t>
  </si>
  <si>
    <t>CAMINO DEL VIENTO 1216</t>
  </si>
  <si>
    <t>ACAVEDO</t>
  </si>
  <si>
    <t>CAMINO DEL VIENTO 1118</t>
  </si>
  <si>
    <t xml:space="preserve">PARQUE LA FLORIDA SDO PISO </t>
  </si>
  <si>
    <t>FLOR DE AGUA 925</t>
  </si>
  <si>
    <t>HUGUITA</t>
  </si>
  <si>
    <t>TORRE LA CASONA APT 1905</t>
  </si>
  <si>
    <t>ROBERTO SUAREZ</t>
  </si>
  <si>
    <t>FLOR DE AGUA 1431</t>
  </si>
  <si>
    <t>FLOR DE AGUA 2632</t>
  </si>
  <si>
    <t>SANTA ISABEL APTO 3220</t>
  </si>
  <si>
    <t>MEDITERRANEA 218</t>
  </si>
  <si>
    <t>20 DE AGOSTO</t>
  </si>
  <si>
    <t>PIUERTO PARAISO 907</t>
  </si>
  <si>
    <t xml:space="preserve">APTO CABAÑAS </t>
  </si>
  <si>
    <t>AVELLANEDA 1924</t>
  </si>
  <si>
    <t>PUERTA MADERA 1548</t>
  </si>
  <si>
    <t>ANDRES VIDES</t>
  </si>
  <si>
    <t>MADERA NATURAL 2002</t>
  </si>
  <si>
    <t>CAMINO DEL VIENTO 1316</t>
  </si>
  <si>
    <t>CAMINO DEL VIENTO 419</t>
  </si>
  <si>
    <t>AVELLANEDA 1688</t>
  </si>
  <si>
    <t>VILLAS DEL SOL</t>
  </si>
  <si>
    <t>PUERTA MADERaA 346</t>
  </si>
  <si>
    <t>BARRIO NUEVO 58DD 160</t>
  </si>
  <si>
    <t xml:space="preserve">JUAN SEBASTIAN GONZALEZ </t>
  </si>
  <si>
    <t>CURAZAO 1715</t>
  </si>
  <si>
    <t xml:space="preserve">ALCALA </t>
  </si>
  <si>
    <t>DANIEL VEGAMBRE</t>
  </si>
  <si>
    <t>CURAZAO 1128</t>
  </si>
  <si>
    <t>LOS ARBOLES 1520</t>
  </si>
  <si>
    <t>HERNAN OROZCO</t>
  </si>
  <si>
    <t>LOS ARBOLES 1304</t>
  </si>
  <si>
    <t>LOS ARBOLES 1920</t>
  </si>
  <si>
    <t>25 DE AGOSTO</t>
  </si>
  <si>
    <t>FLORIDA DE NORTEAMOERICA 503</t>
  </si>
  <si>
    <t xml:space="preserve">YORMAN </t>
  </si>
  <si>
    <t>LOS ARBOLES 705</t>
  </si>
  <si>
    <t xml:space="preserve">JUAN DIEGO MARIN </t>
  </si>
  <si>
    <t>PUERTO ALEGRE 1801</t>
  </si>
  <si>
    <t>LOS ARBOLES 2018</t>
  </si>
  <si>
    <t>HERNAN</t>
  </si>
  <si>
    <t>CURAZAO 1821</t>
  </si>
  <si>
    <t>AGUA CLARA 504</t>
  </si>
  <si>
    <t>TIERRA LINDA CAMPESTRE 1906</t>
  </si>
  <si>
    <t>CASA ENVIGADO</t>
  </si>
  <si>
    <t>MIRASOL CAMPESTRE 1434</t>
  </si>
  <si>
    <t>MIRANDA</t>
  </si>
  <si>
    <t>YORMAN PATIÑO</t>
  </si>
  <si>
    <t>LA VIDA ES BELLA 704</t>
  </si>
  <si>
    <t xml:space="preserve">JUAN TABAREZ </t>
  </si>
  <si>
    <t>LOS ARBOLES 1414</t>
  </si>
  <si>
    <t xml:space="preserve">SEPTIEMBRE </t>
  </si>
  <si>
    <t>26 DE AGOSTO</t>
  </si>
  <si>
    <t>CEIBA DEL NORTE 1013</t>
  </si>
  <si>
    <t xml:space="preserve">26 DE AGOSTO </t>
  </si>
  <si>
    <t>TIERRA LINDA CAMPESTRE 1007</t>
  </si>
  <si>
    <t>27 DE AGOSTO</t>
  </si>
  <si>
    <t>TORRE DEL BOSQUE 908</t>
  </si>
  <si>
    <t xml:space="preserve">JUAN CAMILO AGUIRRE </t>
  </si>
  <si>
    <t xml:space="preserve">27 DE AGOSTO </t>
  </si>
  <si>
    <t>MADERA NATURAL 1301</t>
  </si>
  <si>
    <t>MONTESION 1806</t>
  </si>
  <si>
    <t xml:space="preserve">LA MISERICORDIA </t>
  </si>
  <si>
    <t>JUAN PINEDA</t>
  </si>
  <si>
    <t xml:space="preserve">30 DE AGOSTO </t>
  </si>
  <si>
    <t>CEIBA DEL NORTE 1012</t>
  </si>
  <si>
    <t xml:space="preserve">1 DE SEPTIEMBRE </t>
  </si>
  <si>
    <t>CASA MARIQUE SEGUNDO PISO</t>
  </si>
  <si>
    <t xml:space="preserve">MANRIQUE </t>
  </si>
  <si>
    <t>OPORTO CAMPESTRE 1901</t>
  </si>
  <si>
    <t>1 DE SETIEMBRE</t>
  </si>
  <si>
    <t>OPORTO CAMPESTRE 1801</t>
  </si>
  <si>
    <t xml:space="preserve">1  DE SEPTIEMBRE </t>
  </si>
  <si>
    <t>PUERTO PARAISO615</t>
  </si>
  <si>
    <t xml:space="preserve">NORDICA 2612 </t>
  </si>
  <si>
    <t xml:space="preserve">LORA AROYAVE </t>
  </si>
  <si>
    <t xml:space="preserve">6 DE SEPTIEMBRE </t>
  </si>
  <si>
    <t>NORDICA 1213</t>
  </si>
  <si>
    <t>YEISON LORA</t>
  </si>
  <si>
    <t>OPORTO 208</t>
  </si>
  <si>
    <t>MONTESION 1608</t>
  </si>
  <si>
    <t xml:space="preserve">8 DE SEPTIEMBRE </t>
  </si>
  <si>
    <t>NORDICA 2512</t>
  </si>
  <si>
    <t>NQUIA</t>
  </si>
  <si>
    <t>JHON JAIRO MEJIA</t>
  </si>
  <si>
    <t xml:space="preserve">13 DE SEPTIEMBRE </t>
  </si>
  <si>
    <t>TIERRA LINDA 2601</t>
  </si>
  <si>
    <t xml:space="preserve">LUISA </t>
  </si>
  <si>
    <t>CASA CABAÑAS 58D 05</t>
  </si>
  <si>
    <t xml:space="preserve">CABAÑAS </t>
  </si>
  <si>
    <t xml:space="preserve">16 DE SEEPTIEMBRE </t>
  </si>
  <si>
    <t>NORDICA 1404</t>
  </si>
  <si>
    <t>YEISON LARA</t>
  </si>
  <si>
    <t xml:space="preserve">17 DE SEPTIEMBRE </t>
  </si>
  <si>
    <t>NORDICA 1207</t>
  </si>
  <si>
    <t>20 DE SEPTIEMBRE</t>
  </si>
  <si>
    <t xml:space="preserve">PORTO LETICIA </t>
  </si>
  <si>
    <t xml:space="preserve">MARLON LONDOÑO </t>
  </si>
  <si>
    <t>SAmuel RODRIGUEZ</t>
  </si>
  <si>
    <t xml:space="preserve">si </t>
  </si>
  <si>
    <t>MONTESION 1108</t>
  </si>
  <si>
    <t>14 DE SEPTIEMBRE</t>
  </si>
  <si>
    <t xml:space="preserve">PUERTO PARAISO 1803 </t>
  </si>
  <si>
    <t>MEDITERRANEA 1627</t>
  </si>
  <si>
    <t>OCEANA 2422</t>
  </si>
  <si>
    <t xml:space="preserve">OCEANA 2620 </t>
  </si>
  <si>
    <t>PUERTO PARAISO 1304</t>
  </si>
  <si>
    <t>OCEANA 2019</t>
  </si>
  <si>
    <t xml:space="preserve">2 DE SEPTIEMBRE </t>
  </si>
  <si>
    <t>HACIENDA NIQUIA 708</t>
  </si>
  <si>
    <t>ANDRES MEJIA</t>
  </si>
  <si>
    <t>4 DE SEPRIEMNRE</t>
  </si>
  <si>
    <t>PUERTO PARAISO 1104</t>
  </si>
  <si>
    <t>6 DE SEPTIEMBRE</t>
  </si>
  <si>
    <t>FLOR 328</t>
  </si>
  <si>
    <t>CAMINO DEL VIENTO 1302</t>
  </si>
  <si>
    <t xml:space="preserve">7 DE SEPTIEMBRE </t>
  </si>
  <si>
    <t>MEDITERRANEA 1728</t>
  </si>
  <si>
    <t>CAMINO DEL VIENTO 1515</t>
  </si>
  <si>
    <t>EDIFICIO DEL CAFE 606</t>
  </si>
  <si>
    <t>9 DE SEPTIEMBRE</t>
  </si>
  <si>
    <t>FLOR DE AGUA 2527</t>
  </si>
  <si>
    <t>TUBERQUIA</t>
  </si>
  <si>
    <t>FLOR DE AGUA 1925</t>
  </si>
  <si>
    <t xml:space="preserve">TUBERQUIA </t>
  </si>
  <si>
    <t xml:space="preserve">9 DE SEPTIEMBRE </t>
  </si>
  <si>
    <t>CAMINO DEL VIENTO 1722</t>
  </si>
  <si>
    <t xml:space="preserve">11 DE SEPTIEMBRE </t>
  </si>
  <si>
    <t>MEDITERRANEA 1917</t>
  </si>
  <si>
    <t>FLOR DE AGUA 1825</t>
  </si>
  <si>
    <t xml:space="preserve">HIGUITA </t>
  </si>
  <si>
    <t>ENSENADA 1820</t>
  </si>
  <si>
    <t>PUERTO PARAISO 1216</t>
  </si>
  <si>
    <t>CAMINO DEL VIENTO 1620</t>
  </si>
  <si>
    <t>OCEANA 2027</t>
  </si>
  <si>
    <t>BEDOYA</t>
  </si>
  <si>
    <t>BOSQUE ALTO 2303</t>
  </si>
  <si>
    <t>DANIELA</t>
  </si>
  <si>
    <t>OPORTO CIUDADELA 2312</t>
  </si>
  <si>
    <t>FABIO PEREZ</t>
  </si>
  <si>
    <t xml:space="preserve">ARANJUEZ PRIMER PISO </t>
  </si>
  <si>
    <t>ARANJUEZ</t>
  </si>
  <si>
    <t xml:space="preserve">ARANJUEZ SEGUNDO PISO </t>
  </si>
  <si>
    <t xml:space="preserve">8 DE SEPTIRMBRE </t>
  </si>
  <si>
    <t>ALTOBELO 1512</t>
  </si>
  <si>
    <t>4 DE SEPT</t>
  </si>
  <si>
    <t>MARICHIANO 501</t>
  </si>
  <si>
    <t>PUERTO PARAISO 710</t>
  </si>
  <si>
    <t xml:space="preserve">4 DE SEPT </t>
  </si>
  <si>
    <t>PUERTO PARAISO 709</t>
  </si>
  <si>
    <t>PUERTO AZUL 2008</t>
  </si>
  <si>
    <t>7 DE SEPTIEMBRE</t>
  </si>
  <si>
    <t>PUERTO PARAISO 714</t>
  </si>
  <si>
    <t>RESERVA DE BUCAROS 701</t>
  </si>
  <si>
    <t xml:space="preserve">BLANDON </t>
  </si>
  <si>
    <t>CASA LOCAL</t>
  </si>
  <si>
    <t>CASA LOCAL CONQUISTADORES 66A 31</t>
  </si>
  <si>
    <t>JUAN CAMILO</t>
  </si>
  <si>
    <t xml:space="preserve">CASA LOCAL </t>
  </si>
  <si>
    <t>CASA LOCAL 103 CONQUISTADORES 60A 13</t>
  </si>
  <si>
    <t xml:space="preserve">CONQUISTADORES </t>
  </si>
  <si>
    <t xml:space="preserve">JUAN CAMILO </t>
  </si>
  <si>
    <t>CAS LOCAL 101 CONQUISTADORES 60A 13</t>
  </si>
  <si>
    <t>CASA LOCAL SEGUNDO PISO 66A 14</t>
  </si>
  <si>
    <t>CASA LOCAL CONQUISTAORES 66A 24</t>
  </si>
  <si>
    <t>CANTARES DE RIACHUELOS 1202</t>
  </si>
  <si>
    <t xml:space="preserve">CARMELO </t>
  </si>
  <si>
    <t>ENSENADA 616</t>
  </si>
  <si>
    <t xml:space="preserve">LEIDY ROJAS </t>
  </si>
  <si>
    <t>CIUDAD CENTRAL 101</t>
  </si>
  <si>
    <t>REYES</t>
  </si>
  <si>
    <t>10 DE SEPTIEMBRE</t>
  </si>
  <si>
    <t>PUERTO VENTURA 2306</t>
  </si>
  <si>
    <t>PUERTO VENTURA 336</t>
  </si>
  <si>
    <t>ORTIZ</t>
  </si>
  <si>
    <t>PUERTO VENTURA 1602</t>
  </si>
  <si>
    <t>MARTINEZ Y PEREIRA</t>
  </si>
  <si>
    <t xml:space="preserve">15 DE SEPTIEMBRE </t>
  </si>
  <si>
    <t xml:space="preserve">CASA PARQUE BELLO 49-25 </t>
  </si>
  <si>
    <t xml:space="preserve">PARQUE </t>
  </si>
  <si>
    <t xml:space="preserve">16 DE SEPTIEMBRE </t>
  </si>
  <si>
    <t>PUERTO PARAISO 1813</t>
  </si>
  <si>
    <t xml:space="preserve">22 DE SEPTIEMBRE </t>
  </si>
  <si>
    <t>PUERTO PARAISO 2115</t>
  </si>
  <si>
    <t xml:space="preserve">17 DE SEPTOEMBRE </t>
  </si>
  <si>
    <t>´PUERTO AZUL 2204</t>
  </si>
  <si>
    <t xml:space="preserve">ANDRES TUBERQUIA </t>
  </si>
  <si>
    <t xml:space="preserve">25 DE SEPTIEMBRE </t>
  </si>
  <si>
    <t>OPORTO 113</t>
  </si>
  <si>
    <t xml:space="preserve">25 de SEPTIEMBRE </t>
  </si>
  <si>
    <t>ROTTERDAN 1410</t>
  </si>
  <si>
    <t xml:space="preserve">CASA CASTELLANA </t>
  </si>
  <si>
    <t>CASTELLANA</t>
  </si>
  <si>
    <t>27 DE AGOSTP</t>
  </si>
  <si>
    <t xml:space="preserve">APTO 4TO PISO MADERA </t>
  </si>
  <si>
    <t>28 DE AGOSTO</t>
  </si>
  <si>
    <t xml:space="preserve">APTO CABAÑAS 2DO PISO </t>
  </si>
  <si>
    <t xml:space="preserve">28 DE AGOSTO </t>
  </si>
  <si>
    <t>CAMINO DEL VIENTO 1518</t>
  </si>
  <si>
    <t>30 DE AGOSTO</t>
  </si>
  <si>
    <t>PUERTA MADERA 1828</t>
  </si>
  <si>
    <t xml:space="preserve">MARCO TORRES </t>
  </si>
  <si>
    <t xml:space="preserve">2 DE SEPT </t>
  </si>
  <si>
    <t>PUERTO PARAISO 701</t>
  </si>
  <si>
    <t>GOMEZ</t>
  </si>
  <si>
    <t xml:space="preserve">3 DE SEPTIEMBRE </t>
  </si>
  <si>
    <t>FLOR APARTAMENTOS 2229</t>
  </si>
  <si>
    <t>MADERA SILVESTRE 1412</t>
  </si>
  <si>
    <t>CARLOS</t>
  </si>
  <si>
    <t>FLOR 732</t>
  </si>
  <si>
    <t>ALCALA 614</t>
  </si>
  <si>
    <t>ARLEY</t>
  </si>
  <si>
    <t>CABAÑAS 58-94</t>
  </si>
  <si>
    <t>RENDON</t>
  </si>
  <si>
    <t xml:space="preserve">14 DE SEPTIEMBRE </t>
  </si>
  <si>
    <t xml:space="preserve">ALTOS DE LA TRINIDAD 1404 </t>
  </si>
  <si>
    <t>FLOR DE AGUA 2131</t>
  </si>
  <si>
    <t>MANCHESTER 45-84</t>
  </si>
  <si>
    <t xml:space="preserve">21 DE SEPTIEMBRE </t>
  </si>
  <si>
    <t>MEDITERRANEA 718</t>
  </si>
  <si>
    <t>FABRICATO</t>
  </si>
  <si>
    <t xml:space="preserve">21 de SEPTIEMBRE </t>
  </si>
  <si>
    <t>PUERTO PARAISO 913</t>
  </si>
  <si>
    <t>JHON MARTINEZ</t>
  </si>
  <si>
    <t>PUERTO PARAISO 102</t>
  </si>
  <si>
    <t>21 DE SEPTIEMBRE</t>
  </si>
  <si>
    <t>CAMINO DEL VIENTO 502</t>
  </si>
  <si>
    <t xml:space="preserve">24 DE SEPTIEMBRE </t>
  </si>
  <si>
    <t>MIRASOL CAMPESTRE 1336</t>
  </si>
  <si>
    <t xml:space="preserve">24 de SEPTIEMBRE </t>
  </si>
  <si>
    <t xml:space="preserve">5TO PISO OBRERO </t>
  </si>
  <si>
    <t>LOCAL NIQUIA 37-41</t>
  </si>
  <si>
    <t>DIRECTP</t>
  </si>
  <si>
    <t>FLOR DE AGUA 732</t>
  </si>
  <si>
    <t>31 AGOSTO</t>
  </si>
  <si>
    <t xml:space="preserve">QUINTO PISO CABAÑAS </t>
  </si>
  <si>
    <t>CURAZAO 1106</t>
  </si>
  <si>
    <t>JORGE BOLAÑOS</t>
  </si>
  <si>
    <t>CURAZAO 820</t>
  </si>
  <si>
    <t>DANIEL BEGAN¿MBRE</t>
  </si>
  <si>
    <t>LOS ARBOLES 2620</t>
  </si>
  <si>
    <t>CURAZAO</t>
  </si>
  <si>
    <t>CURAZAO 1506</t>
  </si>
  <si>
    <t>6 DE AGOSTO</t>
  </si>
  <si>
    <t>LOS ARBOLES 2005</t>
  </si>
  <si>
    <t xml:space="preserve">DIEGO MARIN </t>
  </si>
  <si>
    <t>APTO PRADO 49A 35</t>
  </si>
  <si>
    <t>PRADO</t>
  </si>
  <si>
    <t>15 DE AGOSTO</t>
  </si>
  <si>
    <t>LOS ARBOLES 813</t>
  </si>
  <si>
    <t xml:space="preserve">15 DE AGOSTO </t>
  </si>
  <si>
    <t>CEIBA DEL NORTE 504</t>
  </si>
  <si>
    <t>YORMAN</t>
  </si>
  <si>
    <t>CURAZAO 2131</t>
  </si>
  <si>
    <t>YOTMAN CUARTAS</t>
  </si>
  <si>
    <t>PORTON DEL NORTE 1101</t>
  </si>
  <si>
    <t>LOS ARBOLES 1905</t>
  </si>
  <si>
    <t>CURAZAO 1240</t>
  </si>
  <si>
    <t>BARRIO NUEVO 59-07</t>
  </si>
  <si>
    <t xml:space="preserve">OSCAR </t>
  </si>
  <si>
    <t xml:space="preserve">23 DE SEPTIEMBRE </t>
  </si>
  <si>
    <t>ENTREVIENTOS 1102</t>
  </si>
  <si>
    <t>ENTREVIENTOS 2101</t>
  </si>
  <si>
    <t>DANIEL</t>
  </si>
  <si>
    <t>PARQUE ALTO 902</t>
  </si>
  <si>
    <t>OSCAR CUARTAS</t>
  </si>
  <si>
    <t>PUERTO AZUL 2902</t>
  </si>
  <si>
    <t xml:space="preserve">SAN FELIX </t>
  </si>
  <si>
    <t>SAN FELIX</t>
  </si>
  <si>
    <t>SNO</t>
  </si>
  <si>
    <t>EDIFICIO COLMENA 405</t>
  </si>
  <si>
    <t>CURAZAO 424</t>
  </si>
  <si>
    <t xml:space="preserve">ALTOS DE NIQUIA SEGUNDO PISO </t>
  </si>
  <si>
    <t xml:space="preserve">ALTOS DE NIQUIA </t>
  </si>
  <si>
    <t>CURAZAO 1832</t>
  </si>
  <si>
    <t xml:space="preserve">OCTUBRE </t>
  </si>
  <si>
    <t xml:space="preserve">27 SEPTIEMBRE </t>
  </si>
  <si>
    <t>CEIBA DEL NORTE 1420</t>
  </si>
  <si>
    <t xml:space="preserve">MARYORIS CALVANO </t>
  </si>
  <si>
    <t>CEIBA DEL NORTE 104</t>
  </si>
  <si>
    <t>NORDICA 1214</t>
  </si>
  <si>
    <t>JULIAN ZAPATA</t>
  </si>
  <si>
    <t>30 SEPTIEMBRE</t>
  </si>
  <si>
    <t>MONTESION 101</t>
  </si>
  <si>
    <t xml:space="preserve">5 DE SEPTIEMBRE </t>
  </si>
  <si>
    <t>NORDICA 811</t>
  </si>
  <si>
    <t>SEBAS</t>
  </si>
  <si>
    <t>ARBOLEDA DEL CAMPO 9919</t>
  </si>
  <si>
    <t>RAUL LAINEZ</t>
  </si>
  <si>
    <t xml:space="preserve">SEBAS </t>
  </si>
  <si>
    <t xml:space="preserve">7 DE OCTUBRE </t>
  </si>
  <si>
    <t xml:space="preserve">MADERA SILVESTRE 2003 </t>
  </si>
  <si>
    <t>DUBAN MANCO</t>
  </si>
  <si>
    <t>8 OCTUBRE</t>
  </si>
  <si>
    <t xml:space="preserve">SAN FELIX SEGUNDO PISO </t>
  </si>
  <si>
    <t>13 DE OCTUBRE</t>
  </si>
  <si>
    <t>MADERA SILVESTRE 1007</t>
  </si>
  <si>
    <t xml:space="preserve">DUVAN MANCO </t>
  </si>
  <si>
    <t>NORDICA 815</t>
  </si>
  <si>
    <t>11 DE OCTUBRE</t>
  </si>
  <si>
    <t>MONTESION 104</t>
  </si>
  <si>
    <t>MISERICORDIA</t>
  </si>
  <si>
    <t xml:space="preserve">20 DE OCTUBRE </t>
  </si>
  <si>
    <t xml:space="preserve">EL ZARZAL </t>
  </si>
  <si>
    <t xml:space="preserve">22 DE OCTUBRE </t>
  </si>
  <si>
    <t xml:space="preserve">CEIBA DEL NORTE 1810 </t>
  </si>
  <si>
    <t>TORRE NAVARRA 205</t>
  </si>
  <si>
    <t xml:space="preserve">NAVARRA </t>
  </si>
  <si>
    <t>23 DE OCTUBRE</t>
  </si>
  <si>
    <t xml:space="preserve">CASA VEREDA SAN ESTEBAN COPACABANA </t>
  </si>
  <si>
    <t xml:space="preserve">DIANA </t>
  </si>
  <si>
    <t xml:space="preserve">23 DE OCTUBRE </t>
  </si>
  <si>
    <t xml:space="preserve">25 DE OCTUBRE </t>
  </si>
  <si>
    <t>MOLINOS DEL PRADO 206</t>
  </si>
  <si>
    <t xml:space="preserve">WILSON DIAZ </t>
  </si>
  <si>
    <t xml:space="preserve">MEDITERRANEA 1429 </t>
  </si>
  <si>
    <t>NORDICA 1412</t>
  </si>
  <si>
    <t>LORA</t>
  </si>
  <si>
    <t>29 SEPTIEMBRE</t>
  </si>
  <si>
    <t xml:space="preserve">15 OCTUBRE </t>
  </si>
  <si>
    <t>HACIENDA NIQUIA 627</t>
  </si>
  <si>
    <t xml:space="preserve">29 SEPTIEMBRE </t>
  </si>
  <si>
    <t>GIRASOLES LA 57 LOCAL 101</t>
  </si>
  <si>
    <t xml:space="preserve">NO </t>
  </si>
  <si>
    <t xml:space="preserve">GIRASOLES LA 57 LOCAL 101 </t>
  </si>
  <si>
    <t>29 SEPTIMBRE</t>
  </si>
  <si>
    <t>GIRASOLES LA 57 CASA 102</t>
  </si>
  <si>
    <t>FLOR DE AGUA 2431</t>
  </si>
  <si>
    <t>AMAZONIKA 1524</t>
  </si>
  <si>
    <t>MEDITERRANEA 1725</t>
  </si>
  <si>
    <t>JARDINES DE SAN REMO 204</t>
  </si>
  <si>
    <t xml:space="preserve">SABANETA </t>
  </si>
  <si>
    <t xml:space="preserve">ARLEY </t>
  </si>
  <si>
    <t xml:space="preserve">1 DE OCTUBRE </t>
  </si>
  <si>
    <t>ENSENADA 1919</t>
  </si>
  <si>
    <t>ENSENADA 220</t>
  </si>
  <si>
    <t>ENSENADA 615</t>
  </si>
  <si>
    <t>ARTURO</t>
  </si>
  <si>
    <t>PUERTO PARAISO 604</t>
  </si>
  <si>
    <t>MARECHIANO 202</t>
  </si>
  <si>
    <t xml:space="preserve">ARTURO </t>
  </si>
  <si>
    <t xml:space="preserve">8 DE OCTUBRE </t>
  </si>
  <si>
    <t>EDIFICIO SANTORINI 403</t>
  </si>
  <si>
    <t>LAURELES</t>
  </si>
  <si>
    <t>ENSENADA 1026</t>
  </si>
  <si>
    <t xml:space="preserve">11 OCTUBRE </t>
  </si>
  <si>
    <t>MEDITERRANEA 719</t>
  </si>
  <si>
    <t>juan</t>
  </si>
  <si>
    <t>ENSENADA 1918</t>
  </si>
  <si>
    <t>OAMAZONIA</t>
  </si>
  <si>
    <t>ENSENADA 1822</t>
  </si>
  <si>
    <t xml:space="preserve">13 DE OCTUBRE </t>
  </si>
  <si>
    <t xml:space="preserve">SEGUNDO PISO EL ROSARIO 53-20 </t>
  </si>
  <si>
    <t xml:space="preserve">EL ROSARIO </t>
  </si>
  <si>
    <t xml:space="preserve">15 DE OCTUBRE </t>
  </si>
  <si>
    <t>CASA CATILLA 91-82</t>
  </si>
  <si>
    <t xml:space="preserve">CASTILLA </t>
  </si>
  <si>
    <t>20 DE OCTUBRE</t>
  </si>
  <si>
    <t>MEDITERRANEA 830</t>
  </si>
  <si>
    <t>MEDITERRANEA 1329</t>
  </si>
  <si>
    <t>ENSENADA 1119</t>
  </si>
  <si>
    <t xml:space="preserve">27 sePTIEMBRE </t>
  </si>
  <si>
    <t xml:space="preserve">FLOR 2431 </t>
  </si>
  <si>
    <t>BOSQUE ALTO 1405</t>
  </si>
  <si>
    <t>OCEANA 2325</t>
  </si>
  <si>
    <t>JORGE</t>
  </si>
  <si>
    <t>10 OCTUBRE</t>
  </si>
  <si>
    <t>TORRE CASHAMANTA 301</t>
  </si>
  <si>
    <t>DIORECTO</t>
  </si>
  <si>
    <t>28 SEPTIEMBRE</t>
  </si>
  <si>
    <t>PUERTO ALEGRE 848</t>
  </si>
  <si>
    <t>VICTOR HUGO ZEA</t>
  </si>
  <si>
    <t>LOS BUCAROS 2002</t>
  </si>
  <si>
    <t xml:space="preserve">DAVID CUARTAS </t>
  </si>
  <si>
    <t>PORTO LETICIA 2304</t>
  </si>
  <si>
    <t xml:space="preserve">WILMER MADRID </t>
  </si>
  <si>
    <t xml:space="preserve">1 de OCTUBRE </t>
  </si>
  <si>
    <t>CURAZAO 1130</t>
  </si>
  <si>
    <t xml:space="preserve">NORDICA 1813 </t>
  </si>
  <si>
    <t xml:space="preserve">4 DE OCTUBRE </t>
  </si>
  <si>
    <t>LOS ARBOLES 1810</t>
  </si>
  <si>
    <t xml:space="preserve">JOAN-JUANSE </t>
  </si>
  <si>
    <t xml:space="preserve">9 OCTUBRE </t>
  </si>
  <si>
    <t>MONTE SION 805</t>
  </si>
  <si>
    <t xml:space="preserve">GOZALO </t>
  </si>
  <si>
    <t>DIANA</t>
  </si>
  <si>
    <t xml:space="preserve">19 DE OCTUBRE </t>
  </si>
  <si>
    <t>LOS ARBOLES 1516</t>
  </si>
  <si>
    <t>LOS ARBOLES 1405</t>
  </si>
  <si>
    <t xml:space="preserve">APTO ESTACION FLORESTA 44C 18 </t>
  </si>
  <si>
    <t xml:space="preserve">FLORESTA </t>
  </si>
  <si>
    <t>APTO TRAPICHE 68-07</t>
  </si>
  <si>
    <t xml:space="preserve">AVENIDA LA PLAYA 45-30 SEGUNDO Y TERCER </t>
  </si>
  <si>
    <t xml:space="preserve">APTO PEDREGAL  71-15 PISO 3 </t>
  </si>
  <si>
    <t xml:space="preserve">PEDREGAL </t>
  </si>
  <si>
    <t xml:space="preserve">PLAZUELA DEL NORTE 552 </t>
  </si>
  <si>
    <t xml:space="preserve">LOCLA </t>
  </si>
  <si>
    <t>ESTACION NIQUIA 37-41</t>
  </si>
  <si>
    <t>EDIFICIO POTASI 804</t>
  </si>
  <si>
    <t xml:space="preserve">LOS ARBOLES 1819 </t>
  </si>
  <si>
    <t>CURAZAO 1702</t>
  </si>
  <si>
    <t xml:space="preserve">20 DE PCTUBRE </t>
  </si>
  <si>
    <t>PARQUE ALTO 907</t>
  </si>
  <si>
    <t>TRAPICHRE</t>
  </si>
  <si>
    <t xml:space="preserve">29  SEPTIEMBRE </t>
  </si>
  <si>
    <t>PARQUE ALTO 1212</t>
  </si>
  <si>
    <t>CASA SEVILLA 50D 15</t>
  </si>
  <si>
    <t xml:space="preserve">SEVILLA </t>
  </si>
  <si>
    <t>POSADO</t>
  </si>
  <si>
    <t>FLOR 2629</t>
  </si>
  <si>
    <t>JOAN-MATEO</t>
  </si>
  <si>
    <t xml:space="preserve">FLOR 2728 </t>
  </si>
  <si>
    <t xml:space="preserve">JOAN-MATEO </t>
  </si>
  <si>
    <t>APTO OBRERO 52-10 APTO 402</t>
  </si>
  <si>
    <t>AREDDY</t>
  </si>
  <si>
    <t xml:space="preserve">MAJAGUA 1001 </t>
  </si>
  <si>
    <t>PULGARIN</t>
  </si>
  <si>
    <t xml:space="preserve">16 DE OCTUBRE </t>
  </si>
  <si>
    <t>BELLO MANCHESTER</t>
  </si>
  <si>
    <t>MANCHESTER</t>
  </si>
  <si>
    <t>APTPO</t>
  </si>
  <si>
    <t xml:space="preserve">APTO CABAÑAS 57A 30 </t>
  </si>
  <si>
    <t>PUERTO PARAISO 413</t>
  </si>
  <si>
    <t xml:space="preserve">APTO CABAÑAS 57a 30 apto 301 </t>
  </si>
  <si>
    <t xml:space="preserve">20 DE POCTUBRE </t>
  </si>
  <si>
    <t>MADERA SILVESTRE 607</t>
  </si>
  <si>
    <t>MADERA NATURAL 901</t>
  </si>
  <si>
    <t>LOCAL NIQUIA 243</t>
  </si>
  <si>
    <t xml:space="preserve">BODEGA PARQUE BELLO </t>
  </si>
  <si>
    <t xml:space="preserve">PRADO </t>
  </si>
  <si>
    <t>MADERA SILVESTRE 1302</t>
  </si>
  <si>
    <t xml:space="preserve">AMAZONICA 1331 </t>
  </si>
  <si>
    <t>APTO ROBLEDO LA CAMPIÑA 91 D 55</t>
  </si>
  <si>
    <t xml:space="preserve">HACIENDA NIQUIA 1914 </t>
  </si>
  <si>
    <t xml:space="preserve">POSADA </t>
  </si>
  <si>
    <t>MEDITERRANEA 227</t>
  </si>
  <si>
    <t>BARRIO CENTRAL 201</t>
  </si>
  <si>
    <t xml:space="preserve">14 de octubre </t>
  </si>
  <si>
    <t>FLORIDA DE NORTEAMERICA 508</t>
  </si>
  <si>
    <t>19 DE OCTUBRE</t>
  </si>
  <si>
    <t>305 PARQUE DE BELLO</t>
  </si>
  <si>
    <t>JORGE GUTIERREZ</t>
  </si>
  <si>
    <t>CEIBA SDEL NORTE 1314</t>
  </si>
  <si>
    <t>PUERTO PARAISO 1601</t>
  </si>
  <si>
    <t xml:space="preserve">OMAR GOMEZ </t>
  </si>
  <si>
    <t>ATHENEA PLAZA 305</t>
  </si>
  <si>
    <t>JORGE GUITIERREZ</t>
  </si>
  <si>
    <t>ALTOBELO 816</t>
  </si>
  <si>
    <t xml:space="preserve">MOLINA </t>
  </si>
  <si>
    <t>PUERTO NUEVO 708</t>
  </si>
  <si>
    <t>CANTARES DE RIACHUELOS 1601</t>
  </si>
  <si>
    <t>16 DE OCTUBRE</t>
  </si>
  <si>
    <t>PUERTO NUEVO 813</t>
  </si>
  <si>
    <t>PUERTO NUEVO 501</t>
  </si>
  <si>
    <t xml:space="preserve">21 DE OCTUBRE </t>
  </si>
  <si>
    <t>PUERTO PARAISO 705</t>
  </si>
  <si>
    <t>LOCAL CC ESTACION NIQUIA 247</t>
  </si>
  <si>
    <t>LOCAL CC ESTACION NIQUIA 251</t>
  </si>
  <si>
    <t>LOCAL CC ESTACION NIQUIA 529</t>
  </si>
  <si>
    <t>ALTOBELO 2408</t>
  </si>
  <si>
    <t>FLORIDA NORTEAMERICA 1622</t>
  </si>
  <si>
    <t>16 OCTUBRE</t>
  </si>
  <si>
    <t>FLORIDA DE NORTEAMERICA 1029</t>
  </si>
  <si>
    <t>NORTEAMERICA</t>
  </si>
  <si>
    <t>CANTARES DE RIACHUELOS 1007</t>
  </si>
  <si>
    <t xml:space="preserve">NOVIEMBRE </t>
  </si>
  <si>
    <t>27 DE OCTUBRE</t>
  </si>
  <si>
    <t xml:space="preserve">ORION II APTO 1002 </t>
  </si>
  <si>
    <t>28 DE OCTUBRE</t>
  </si>
  <si>
    <t>LOCAL COPACABANA SEGUNDO PISO</t>
  </si>
  <si>
    <t xml:space="preserve">28 DE OCTUBRE </t>
  </si>
  <si>
    <t xml:space="preserve">29 DE OCTUBRE </t>
  </si>
  <si>
    <t>TIERRA LINDA 908</t>
  </si>
  <si>
    <t>2 DE NOVIEMBRE</t>
  </si>
  <si>
    <t>NORDICA 1802</t>
  </si>
  <si>
    <t>3 NOVIEMBRE</t>
  </si>
  <si>
    <t>NORDICA 1904</t>
  </si>
  <si>
    <t>8 DE NOVIEMBRE</t>
  </si>
  <si>
    <t xml:space="preserve">CEIBA DEL NORTE 2501 </t>
  </si>
  <si>
    <t>CEIBA DEL NORTE 2601</t>
  </si>
  <si>
    <t>10 DE NOVIEMBRE</t>
  </si>
  <si>
    <t>CEIBA DEL NORTE 1701</t>
  </si>
  <si>
    <t>MONTESION 1801</t>
  </si>
  <si>
    <t>GONZALO CARDONA</t>
  </si>
  <si>
    <t>CEIBA DEL NORTE 327</t>
  </si>
  <si>
    <t>13/11/2021</t>
  </si>
  <si>
    <t xml:space="preserve">NORDICA 1204 </t>
  </si>
  <si>
    <t>JULIAN</t>
  </si>
  <si>
    <t>16/11/2021</t>
  </si>
  <si>
    <t>CEIBA DEL NORTE 522</t>
  </si>
  <si>
    <t>17/11/2021</t>
  </si>
  <si>
    <t>CEIBA DEL NORTE 2529</t>
  </si>
  <si>
    <t>CEIBA DEL NORTE 826</t>
  </si>
  <si>
    <t>CEIBA DEL NORTE 2019</t>
  </si>
  <si>
    <t>19/11/2021</t>
  </si>
  <si>
    <t>MONTESION 207</t>
  </si>
  <si>
    <t>22/11/2021</t>
  </si>
  <si>
    <t>NORDICA 611</t>
  </si>
  <si>
    <t>23/11/2021</t>
  </si>
  <si>
    <t>CEIBA DEL NORTE 1428</t>
  </si>
  <si>
    <t>24/11/2021</t>
  </si>
  <si>
    <t>CEIBA DEL NORTE 1512</t>
  </si>
  <si>
    <t>AL CIELO 201</t>
  </si>
  <si>
    <t>288.000.000</t>
  </si>
  <si>
    <t>WILLIAM</t>
  </si>
  <si>
    <t>AL CIELO 301</t>
  </si>
  <si>
    <t>239.000.000</t>
  </si>
  <si>
    <t>AL CIELO 501</t>
  </si>
  <si>
    <t>247.000.000</t>
  </si>
  <si>
    <t>GALES 17</t>
  </si>
  <si>
    <t>LOS ARBOLES 904</t>
  </si>
  <si>
    <t>HUMBERTO</t>
  </si>
  <si>
    <t>29 octubre</t>
  </si>
  <si>
    <t>MEDITERRANEA 528</t>
  </si>
  <si>
    <t>ENSENADA 1517</t>
  </si>
  <si>
    <t xml:space="preserve">HENRY </t>
  </si>
  <si>
    <t>2  DE NOVIEMBRE</t>
  </si>
  <si>
    <t>FLORIDA DE NORTEAMERICA 1449</t>
  </si>
  <si>
    <t xml:space="preserve">LOS COLORES 501 </t>
  </si>
  <si>
    <t>LOS COLORES</t>
  </si>
  <si>
    <t>4 NOVIEMBRE</t>
  </si>
  <si>
    <t>PUERTO PARAISO 1207</t>
  </si>
  <si>
    <t>5 NOVIEMBRE</t>
  </si>
  <si>
    <t>BOSQUE ALTO 2506</t>
  </si>
  <si>
    <t>IBARGUE</t>
  </si>
  <si>
    <t>ENSENADA 319</t>
  </si>
  <si>
    <t xml:space="preserve">8 NOVIEMBRE </t>
  </si>
  <si>
    <t xml:space="preserve">ENSENADA 416 </t>
  </si>
  <si>
    <t>9 NOVIEMBRE</t>
  </si>
  <si>
    <t>PUERTO PARAISO 909</t>
  </si>
  <si>
    <t>CAMIO DEL VIENTO 717</t>
  </si>
  <si>
    <t>18/11/2021</t>
  </si>
  <si>
    <t>CALLE 52A 54-61 PISO 3</t>
  </si>
  <si>
    <t>NANCY</t>
  </si>
  <si>
    <t>PUERTO AZUL 2108</t>
  </si>
  <si>
    <t>CIUDADELA LOS PUERTOS</t>
  </si>
  <si>
    <t>20/11/2021</t>
  </si>
  <si>
    <t>CALLE 27B 58BB 18</t>
  </si>
  <si>
    <t>PUNTA LUNA 3 AP 604</t>
  </si>
  <si>
    <t>CALASANZ</t>
  </si>
  <si>
    <t>SEBASTIAN</t>
  </si>
  <si>
    <t>CAMINO DEL VIENTO 2307</t>
  </si>
  <si>
    <t>CORDOBA</t>
  </si>
  <si>
    <t>AVENIDA 37 45-54 PRIMER PISO</t>
  </si>
  <si>
    <t>LAS VEGAS</t>
  </si>
  <si>
    <t>OPORTO CIUDADELA 114</t>
  </si>
  <si>
    <t>PUERTO NUEVO 2008</t>
  </si>
  <si>
    <t>PUERTO AZUL 1907</t>
  </si>
  <si>
    <t>ENSENADA 526</t>
  </si>
  <si>
    <t>ENSENADA 1725</t>
  </si>
  <si>
    <t>PUERTO AZUL 2501</t>
  </si>
  <si>
    <t>GARRIDO</t>
  </si>
  <si>
    <t>LA VIDA ES BELLA 3001</t>
  </si>
  <si>
    <t xml:space="preserve">LAQA GABRIELA </t>
  </si>
  <si>
    <t>3 DE NOVIEMBRE</t>
  </si>
  <si>
    <t>LOS ARBOLES 2512</t>
  </si>
  <si>
    <t>1.300.000</t>
  </si>
  <si>
    <t xml:space="preserve">5 DE NOVIEMBRE </t>
  </si>
  <si>
    <t>LOS ARBOLES 1819</t>
  </si>
  <si>
    <t>CURAZAO 703</t>
  </si>
  <si>
    <t>6 DE NOVIEMBRE</t>
  </si>
  <si>
    <t>SAN SEBASTIAN 9802</t>
  </si>
  <si>
    <t xml:space="preserve">8 DE NOVIEMBRE </t>
  </si>
  <si>
    <t>ENTREVIENTOS 1802</t>
  </si>
  <si>
    <t>DANIEL GALLO</t>
  </si>
  <si>
    <t>ENTREVIENTOS 312</t>
  </si>
  <si>
    <t>VILLA ROMERA 2107</t>
  </si>
  <si>
    <t xml:space="preserve">MARIA AUXILIADORA </t>
  </si>
  <si>
    <t>CURAZAO 1625</t>
  </si>
  <si>
    <t>ENTREVIENTOS 309</t>
  </si>
  <si>
    <t>CURAZAO 316</t>
  </si>
  <si>
    <t>CURAZAO 2011</t>
  </si>
  <si>
    <t>LOS ARBOLES 2616</t>
  </si>
  <si>
    <t>HUMBERTO VALDEZ</t>
  </si>
  <si>
    <t xml:space="preserve">VEREDA LA MONTAÑITA </t>
  </si>
  <si>
    <t>COPACABANA</t>
  </si>
  <si>
    <t>RESERVA DE BUCAROS 1317</t>
  </si>
  <si>
    <t>POTOSI 1001</t>
  </si>
  <si>
    <t>BOSTON</t>
  </si>
  <si>
    <t>MONTSERRAT 2010</t>
  </si>
  <si>
    <t>OBRA 2000</t>
  </si>
  <si>
    <t>TORRE LIBERTADORES 901</t>
  </si>
  <si>
    <t>BOMBONA</t>
  </si>
  <si>
    <t>25/11/2021</t>
  </si>
  <si>
    <t>CERRO CLARO 1504</t>
  </si>
  <si>
    <t>JHONATAN</t>
  </si>
  <si>
    <t>TRIGALES 1020</t>
  </si>
  <si>
    <t>FLORIDA DE NORTEAMERICA 2042</t>
  </si>
  <si>
    <t>LOS ARBOLES 1105</t>
  </si>
  <si>
    <t>LOS ARBOLES 922</t>
  </si>
  <si>
    <t>PUERTO PARAISO 204</t>
  </si>
  <si>
    <t>HACIENDA NIQUIA 2308</t>
  </si>
  <si>
    <t>29 OCTUBRE</t>
  </si>
  <si>
    <t>MADERA SILVESTRE 2712</t>
  </si>
  <si>
    <t xml:space="preserve">SILVIA </t>
  </si>
  <si>
    <t xml:space="preserve">PUERTO NUEVO 1001 </t>
  </si>
  <si>
    <t xml:space="preserve">LEIDY </t>
  </si>
  <si>
    <t>12/11/22021</t>
  </si>
  <si>
    <t>MADERA FINA 1310</t>
  </si>
  <si>
    <t>AGUDELO</t>
  </si>
  <si>
    <t>PARQUE ALTO 710</t>
  </si>
  <si>
    <t>CALLE 51A 54-63 AP 201</t>
  </si>
  <si>
    <t>CARRRERA 81 43-30</t>
  </si>
  <si>
    <t>CARRRERA 81 43-46</t>
  </si>
  <si>
    <t>PUERTO PARAISO 511</t>
  </si>
  <si>
    <t>TIERRA LINDA 301</t>
  </si>
  <si>
    <t>LA GABRIELA</t>
  </si>
  <si>
    <t>VILLA</t>
  </si>
  <si>
    <t>SAN FRANCISCO ET 2 075</t>
  </si>
  <si>
    <t>ADRIAN</t>
  </si>
  <si>
    <t>ARBOLEDA DEL CAMPO 624</t>
  </si>
  <si>
    <t>LAINEZ</t>
  </si>
  <si>
    <t>CALLE 53 49-25</t>
  </si>
  <si>
    <t>PUERTO PARAISO 514</t>
  </si>
  <si>
    <t>PUERTO PARAISO 2214</t>
  </si>
  <si>
    <t>MADERA NATURAL 9708</t>
  </si>
  <si>
    <t>CALLE 23A # 57A-30</t>
  </si>
  <si>
    <t xml:space="preserve">PUERTO PARAISO 1614 </t>
  </si>
  <si>
    <t>DIAGONAL 43 # 34-29 PRIMER PISO</t>
  </si>
  <si>
    <t>MADERA SILVESTRE 1211</t>
  </si>
  <si>
    <t>BOA VISTA 815</t>
  </si>
  <si>
    <t>DORIAN</t>
  </si>
  <si>
    <t>APTO EL SALVADOR 9801</t>
  </si>
  <si>
    <t>APTO EL SALVADOR 201</t>
  </si>
  <si>
    <t>APTO EL SALVADOR 101</t>
  </si>
  <si>
    <t>LUISA</t>
  </si>
  <si>
    <t>APTO EL SALVADOR 41-114 APTO 101</t>
  </si>
  <si>
    <t>APTO EL SALVADOR 41-112 APTO 9801</t>
  </si>
  <si>
    <t>PUERTO PARAISO 1509</t>
  </si>
  <si>
    <t>PUERTO NUEVO 9908</t>
  </si>
  <si>
    <t>PUERTO ALEGRE 129</t>
  </si>
  <si>
    <t xml:space="preserve">29DE OCTUBRE </t>
  </si>
  <si>
    <t>LOCAL PARQUE 52-56</t>
  </si>
  <si>
    <t>PARQUE BELLO</t>
  </si>
  <si>
    <t xml:space="preserve">29 DE PCTUBRE </t>
  </si>
  <si>
    <t>ALTOBELO 2115</t>
  </si>
  <si>
    <t>CEIBA DEL NORTE 2104</t>
  </si>
  <si>
    <t>2 DE NOVIMEBRE</t>
  </si>
  <si>
    <t>4 DE NOVIEMBRE</t>
  </si>
  <si>
    <t>FLORIDA DE NORTEAMERICA 1442</t>
  </si>
  <si>
    <t>PUERTO VENTURA 1104</t>
  </si>
  <si>
    <t>5 DE NOVIMEBRE</t>
  </si>
  <si>
    <t>PUERTO VENTURA 1502</t>
  </si>
  <si>
    <t>APTO ALCALA 34-29</t>
  </si>
  <si>
    <t>PUERTO PARAISO 2014</t>
  </si>
  <si>
    <t xml:space="preserve">PORTERO  </t>
  </si>
  <si>
    <t>RESERVA DE BUCARO 306</t>
  </si>
  <si>
    <t>CASTAÑEDA</t>
  </si>
  <si>
    <t>10 NOVIEMBRE</t>
  </si>
  <si>
    <t>TIERRA LINDA 2104</t>
  </si>
  <si>
    <t>TIERRA LINDA 2106</t>
  </si>
  <si>
    <t>270.000.000</t>
  </si>
  <si>
    <t>170.000.000</t>
  </si>
  <si>
    <t>PARQUE ALTO 1806</t>
  </si>
  <si>
    <t>2 NOVIEMBRE</t>
  </si>
  <si>
    <t>PLAZA NAVARRA 2006</t>
  </si>
  <si>
    <t>ENSENADA 1216</t>
  </si>
  <si>
    <t>DICIEMBRE</t>
  </si>
  <si>
    <t>26/11/2021</t>
  </si>
  <si>
    <t>CARRERA 47 # 7-94</t>
  </si>
  <si>
    <t>PATIO BONITO</t>
  </si>
  <si>
    <t>29/11/2021</t>
  </si>
  <si>
    <t>NORDICA 2709</t>
  </si>
  <si>
    <t>YEISON</t>
  </si>
  <si>
    <t>30/11/2021</t>
  </si>
  <si>
    <t>NORDICA 2405</t>
  </si>
  <si>
    <t>MONTESION 1301</t>
  </si>
  <si>
    <t>GONZALO</t>
  </si>
  <si>
    <t>MONTESION 2005</t>
  </si>
  <si>
    <t>NORDICA 2517</t>
  </si>
  <si>
    <t>NORDICA 514</t>
  </si>
  <si>
    <t>POBLADO NIQUIA 2429</t>
  </si>
  <si>
    <t>CEIBA DEL NORTE 1608</t>
  </si>
  <si>
    <t>13/12/2021</t>
  </si>
  <si>
    <t>CEIBA DEL NORTE 1004</t>
  </si>
  <si>
    <t>14/12/2021</t>
  </si>
  <si>
    <t>NORDICA 2112</t>
  </si>
  <si>
    <t>MONTESION 2202</t>
  </si>
  <si>
    <t>15/12/2021</t>
  </si>
  <si>
    <t>ED AL CIELO 302</t>
  </si>
  <si>
    <t>17/12/2021</t>
  </si>
  <si>
    <t>ALAMEDA DEL NORTE</t>
  </si>
  <si>
    <t>20/12/2021</t>
  </si>
  <si>
    <t>CALLE 46 #49B -07 APT 201</t>
  </si>
  <si>
    <t>ABRAHAM HERNANDEZ</t>
  </si>
  <si>
    <t>CALLE 46 #49B -07</t>
  </si>
  <si>
    <t>21/12/2021</t>
  </si>
  <si>
    <t>CEIBA DEL NORTE 1728</t>
  </si>
  <si>
    <t>MARYORIS CALVANO</t>
  </si>
  <si>
    <t xml:space="preserve">EDIFICIO MACEDONIA </t>
  </si>
  <si>
    <t>SANTIAGO SIERRA</t>
  </si>
  <si>
    <t>23/12/2021</t>
  </si>
  <si>
    <t>PUERTO PARAISO 1203</t>
  </si>
  <si>
    <t>LOS PUERTOS</t>
  </si>
  <si>
    <t>NORDICA 2703</t>
  </si>
  <si>
    <t>MONTESION 804</t>
  </si>
  <si>
    <t>MEDITTERRANEA 2023</t>
  </si>
  <si>
    <t>JHON CARDENAS</t>
  </si>
  <si>
    <t>CAMINO DEL VIENTO 218</t>
  </si>
  <si>
    <t>PUERTO AZUL 1808</t>
  </si>
  <si>
    <t>GERARDO O ANDRES</t>
  </si>
  <si>
    <t>CALLE 65C 91-23 AP 9901</t>
  </si>
  <si>
    <t>DIERECTO</t>
  </si>
  <si>
    <t>BOSQUE ALTO 806</t>
  </si>
  <si>
    <t>CAMINO DEL VIENTO 610</t>
  </si>
  <si>
    <t>CIUDADELA VERONA 1303</t>
  </si>
  <si>
    <t>MEDITERRANEA 1930</t>
  </si>
  <si>
    <t>MEDITERRANEA 1327</t>
  </si>
  <si>
    <t>PUERTO PARAISO 1903</t>
  </si>
  <si>
    <t>16/12/2021</t>
  </si>
  <si>
    <t>MIRADOR DE PILARICA 1406</t>
  </si>
  <si>
    <t>PILARICA</t>
  </si>
  <si>
    <t>STIVEN</t>
  </si>
  <si>
    <t>MIRADOR DE PILARICA 1407</t>
  </si>
  <si>
    <t>MIRADOR DE PILARICA 1405</t>
  </si>
  <si>
    <t>CALLE 50 #58 -41 PRIMER PISO</t>
  </si>
  <si>
    <t>ASUNCION</t>
  </si>
  <si>
    <t>18/12/2021</t>
  </si>
  <si>
    <t>CERRO CLARO 1209</t>
  </si>
  <si>
    <t>NIQUIA TERRANOVA</t>
  </si>
  <si>
    <t>DARWIN CASTAÑO</t>
  </si>
  <si>
    <t>CERRO CLARO 2101</t>
  </si>
  <si>
    <t>MEDITERRANEA 827</t>
  </si>
  <si>
    <t>SERRAMONTE 302</t>
  </si>
  <si>
    <t>CALLE 25 # 57A-62CUARTO PISO</t>
  </si>
  <si>
    <t>CABAÑITAS</t>
  </si>
  <si>
    <t>CALLE 24 # 58-88N TERCER PISO</t>
  </si>
  <si>
    <t>CALLE 24 # 58-88N PRIMER PISO</t>
  </si>
  <si>
    <t>LOSA RBOLES 2309</t>
  </si>
  <si>
    <t>LOS ARBOLES 905</t>
  </si>
  <si>
    <t>MADERA SILVSTRE 306</t>
  </si>
  <si>
    <t>CURAZAO 119</t>
  </si>
  <si>
    <t>AVENIDA 43 57-39 AP 302</t>
  </si>
  <si>
    <t>VINILO 2203</t>
  </si>
  <si>
    <t>CARRERA 59 61-03 PISO 3</t>
  </si>
  <si>
    <t>BUENOS AIRES</t>
  </si>
  <si>
    <t>OFICINA</t>
  </si>
  <si>
    <t>EDIFICIO LATITUD 905</t>
  </si>
  <si>
    <t>eb</t>
  </si>
  <si>
    <t>MILLA DE ORO DISTRITO DE NEGOCIOS 1415</t>
  </si>
  <si>
    <t>CENTRO EMPRESARIAL HOTEL 10</t>
  </si>
  <si>
    <t>CERRO CLARO 301</t>
  </si>
  <si>
    <t xml:space="preserve">CALLE 36A #58B -15 PISO 1 </t>
  </si>
  <si>
    <t>MOLINARES</t>
  </si>
  <si>
    <t>CERRO CLARO 203</t>
  </si>
  <si>
    <t>AVELLANEDA 901</t>
  </si>
  <si>
    <t>AVELLANEDA 502</t>
  </si>
  <si>
    <t>CARRERA 62 #57 -30</t>
  </si>
  <si>
    <t>LA CUMBRE</t>
  </si>
  <si>
    <t>PARQUE ALTO APTO 2008</t>
  </si>
  <si>
    <t>ARBOLEDA DEL CAMPO 1405</t>
  </si>
  <si>
    <t>NELSON MEDINA</t>
  </si>
  <si>
    <t>TORRE MARQUESA DEL NORTE 201</t>
  </si>
  <si>
    <t>22/12/2021</t>
  </si>
  <si>
    <t>CERRO CLARO 509</t>
  </si>
  <si>
    <t>2/12/21021</t>
  </si>
  <si>
    <t>VILLA CARLOTA 112</t>
  </si>
  <si>
    <t>MANILA</t>
  </si>
  <si>
    <t>ALAMEDA DEL NORTE CASA 31</t>
  </si>
  <si>
    <t>17/122021</t>
  </si>
  <si>
    <t>PUERTO PARAISO 415</t>
  </si>
  <si>
    <t>CAMILA</t>
  </si>
  <si>
    <t>MADERA SILVESTRE 2211</t>
  </si>
  <si>
    <t>PUERTO PARAISO 1919</t>
  </si>
  <si>
    <t>PUERTO PARAISO 2024</t>
  </si>
  <si>
    <t>PUERTO PARAISO 713</t>
  </si>
  <si>
    <t>ANTONIO</t>
  </si>
  <si>
    <t>COLINAS DE BUCAROS 606</t>
  </si>
  <si>
    <t>DURAN</t>
  </si>
  <si>
    <t>MAJAGUA NATURAL 2160</t>
  </si>
  <si>
    <t>EL TRAPICHE</t>
  </si>
  <si>
    <t>PUERTA MADERA 1040</t>
  </si>
  <si>
    <t>VIDES</t>
  </si>
  <si>
    <t>CARRERA 53 65-21</t>
  </si>
  <si>
    <t>PUERTO PARAISO 309</t>
  </si>
  <si>
    <t>PUERTO PARAISO</t>
  </si>
  <si>
    <t>TIERRA LINDA 1606</t>
  </si>
  <si>
    <t>MONTE SION 1008</t>
  </si>
  <si>
    <t>OROZCO</t>
  </si>
  <si>
    <t>APTAESTUDIO</t>
  </si>
  <si>
    <t>TIERRA LINDA 2204</t>
  </si>
  <si>
    <t>PUERTO PARAISO 316</t>
  </si>
  <si>
    <t>ALTOBELO 1711</t>
  </si>
  <si>
    <t>CASTRILLON</t>
  </si>
  <si>
    <t>FLOR DE AGUA 0927</t>
  </si>
  <si>
    <t>FLOR DE AGUA 0926</t>
  </si>
  <si>
    <t>EDIFICIO SAN IGNACIO 101</t>
  </si>
  <si>
    <t>ESTADIO</t>
  </si>
  <si>
    <t>EDIFICIO SAN IGNACIO 401</t>
  </si>
  <si>
    <t>Avenida 21B 57AA-118 AP 202</t>
  </si>
  <si>
    <t>FINCA</t>
  </si>
  <si>
    <t>PARCELACION EL LIMONAR</t>
  </si>
  <si>
    <t>SENDERO LA ESPERANZA</t>
  </si>
  <si>
    <t>CARRERA 45 # 54-63</t>
  </si>
  <si>
    <t>190.000.000</t>
  </si>
  <si>
    <t>DIAGONAL 43 34-29 PISO 3</t>
  </si>
  <si>
    <t>PUERTO VENTIRA 702</t>
  </si>
  <si>
    <t>ESTEBAN</t>
  </si>
  <si>
    <t>PUERTO PARAISO 921</t>
  </si>
  <si>
    <t>N O</t>
  </si>
  <si>
    <t>PUERTO VENTURA 1711</t>
  </si>
  <si>
    <t>PUERTO PARAISO 1413</t>
  </si>
  <si>
    <t>PUERTO PARAISO 2114</t>
  </si>
  <si>
    <t>PUERTO NUEVO 1203</t>
  </si>
  <si>
    <t>PUERTO NUEVO 1408</t>
  </si>
  <si>
    <t>PUERTO PARAISO 1915</t>
  </si>
  <si>
    <t>PUERTO VENTURA 907</t>
  </si>
  <si>
    <t>PUERTO NUEVO 9938</t>
  </si>
  <si>
    <t>PUERTO PARAISO 2305</t>
  </si>
  <si>
    <t>PUERTO PARAISO 2306</t>
  </si>
  <si>
    <t>AMAZONIKA 1432</t>
  </si>
  <si>
    <t>AMAZONIKA 720</t>
  </si>
  <si>
    <t>CANTARES DE RIACHUELOS 1603</t>
  </si>
  <si>
    <t>ALTOBELO 1903</t>
  </si>
  <si>
    <t>ROTERDAM 2412</t>
  </si>
  <si>
    <t xml:space="preserve">CALLE 37 55-22 PISO 1 </t>
  </si>
  <si>
    <t>MADERA SILVESTRE 2710</t>
  </si>
  <si>
    <t>AÑO 2022</t>
  </si>
  <si>
    <t xml:space="preserve">ENERO </t>
  </si>
  <si>
    <t>27/12/2021</t>
  </si>
  <si>
    <t>EDIFICIO SAN IGNACIO OF 301</t>
  </si>
  <si>
    <t>TORREON DEL CENTRO 901</t>
  </si>
  <si>
    <t>CENTRO</t>
  </si>
  <si>
    <t>GERMAN ALZATE</t>
  </si>
  <si>
    <t>28/12/2021</t>
  </si>
  <si>
    <t>NORDICA 2014</t>
  </si>
  <si>
    <t>APARTAESTUDIO</t>
  </si>
  <si>
    <t>NORDICA 614</t>
  </si>
  <si>
    <t xml:space="preserve">CALLE 2 SUR # 51-49 </t>
  </si>
  <si>
    <t>CRISTO REY</t>
  </si>
  <si>
    <t>ARBOLES 1808</t>
  </si>
  <si>
    <t>CRISTIAN</t>
  </si>
  <si>
    <t>17/1/2022</t>
  </si>
  <si>
    <t>ENTREVIENTOS 1602</t>
  </si>
  <si>
    <t>GALLO</t>
  </si>
  <si>
    <t>ENTREVIENTOS 808</t>
  </si>
  <si>
    <t>18/01/2022</t>
  </si>
  <si>
    <t>AGUA CLARA 1318</t>
  </si>
  <si>
    <t>PRIMAVERA</t>
  </si>
  <si>
    <t>TRIGALES 639</t>
  </si>
  <si>
    <t>17/01/2022</t>
  </si>
  <si>
    <t>NORDICA 1915</t>
  </si>
  <si>
    <t>YESISON LORA</t>
  </si>
  <si>
    <t>NORDICA 315</t>
  </si>
  <si>
    <t>PUERTO PARAISO 1323</t>
  </si>
  <si>
    <t>TORRE NAVARRA 1803</t>
  </si>
  <si>
    <t>JOSE</t>
  </si>
  <si>
    <t>19/01/2022</t>
  </si>
  <si>
    <t>CURAZAO 1723</t>
  </si>
  <si>
    <t>20/01/2022</t>
  </si>
  <si>
    <t>LOS ARBOLES 1320</t>
  </si>
  <si>
    <t>25/01/2021</t>
  </si>
  <si>
    <t>CEIBA DEL NORTE 1703</t>
  </si>
  <si>
    <t>MARYORI</t>
  </si>
  <si>
    <t>ED AL CIELO 501</t>
  </si>
  <si>
    <t>ED AL CIELO 301</t>
  </si>
  <si>
    <t>25/01/2022</t>
  </si>
  <si>
    <t>VIVENZA 801</t>
  </si>
  <si>
    <t>CAPTACIONES VENTA</t>
  </si>
  <si>
    <t>CEIBA DEL NORTE 2004</t>
  </si>
  <si>
    <t>VICENZA 302</t>
  </si>
  <si>
    <t>FATIMA</t>
  </si>
  <si>
    <t>VICENZA 301</t>
  </si>
  <si>
    <t>ARTURO RUIZ</t>
  </si>
  <si>
    <t>MEDITERRANEA 930</t>
  </si>
  <si>
    <t>29/12/2021</t>
  </si>
  <si>
    <t>PUERTO AZUL 1802</t>
  </si>
  <si>
    <t>GARRIDO O ANDRES</t>
  </si>
  <si>
    <t>BOSQUE ALTO 1905</t>
  </si>
  <si>
    <t>OCEANA 2001</t>
  </si>
  <si>
    <t>PONTEVEDRA 904</t>
  </si>
  <si>
    <t>CIUDAD CENTRAL 114</t>
  </si>
  <si>
    <t>ENSENADA 1621</t>
  </si>
  <si>
    <t>OCEANA 1302</t>
  </si>
  <si>
    <t>MEDITERRANEA 221</t>
  </si>
  <si>
    <t>CARRERA 55 # 27A-35 SEGUNDO PISO</t>
  </si>
  <si>
    <t>DARLYN</t>
  </si>
  <si>
    <t xml:space="preserve">CALLE 26B # 51-15 </t>
  </si>
  <si>
    <t>ENSENADA 818</t>
  </si>
  <si>
    <t>ENSENADA 1426</t>
  </si>
  <si>
    <t>MEDITERRANEA 1130</t>
  </si>
  <si>
    <t>17/01/2021</t>
  </si>
  <si>
    <t>COLINA DE BUCAROS 1505</t>
  </si>
  <si>
    <t>CALLE 38 66A-55 SEGUNDO PISO</t>
  </si>
  <si>
    <t>TERRITORIO AURORA 1213</t>
  </si>
  <si>
    <t>21/01/2022</t>
  </si>
  <si>
    <t>OPRTO CIUDADELA 816</t>
  </si>
  <si>
    <t>FLOR DE AGUA 1029</t>
  </si>
  <si>
    <t>MEIDTERRANEA 1130</t>
  </si>
  <si>
    <t>COLINA DE BUCAROS 1603</t>
  </si>
  <si>
    <t>VERGARA</t>
  </si>
  <si>
    <t>CALLE 26 58C-29 SEGUNDO PISO</t>
  </si>
  <si>
    <t xml:space="preserve">JUAN SEBASTIAN </t>
  </si>
  <si>
    <t>CURAZAO 1120</t>
  </si>
  <si>
    <t>PUERTO PARAISO 1820</t>
  </si>
  <si>
    <t>CALLE 51A 55-36 PISO 1</t>
  </si>
  <si>
    <t>MONSERRAT 1206</t>
  </si>
  <si>
    <t>TULIPANES 1001</t>
  </si>
  <si>
    <t>DIAZ</t>
  </si>
  <si>
    <t>CURAZAO 730</t>
  </si>
  <si>
    <t>PUERTO PARAISO 910</t>
  </si>
  <si>
    <t>PUERTA MADERA 428</t>
  </si>
  <si>
    <t>PUERTO PARAISO 2202</t>
  </si>
  <si>
    <t>PUERTO PARAISO 301</t>
  </si>
  <si>
    <t>TIERRA LINDA 2805</t>
  </si>
  <si>
    <t>PUERTO PARAISO 1217</t>
  </si>
  <si>
    <t>PUERTO PARAISO 505</t>
  </si>
  <si>
    <t>14/01/2022</t>
  </si>
  <si>
    <t>PUERTO PARAISO 618</t>
  </si>
  <si>
    <t>PUERTO PARAISO 2020</t>
  </si>
  <si>
    <t>PUERTO PARAISO 1410</t>
  </si>
  <si>
    <t>CASA TIERRA ADENTRO 80 MTS</t>
  </si>
  <si>
    <t>TIERRA ADENTRO</t>
  </si>
  <si>
    <t>CASA TIERRA ADENTRO 90MT</t>
  </si>
  <si>
    <t>CASA TIERRA ADENTRO 110MT</t>
  </si>
  <si>
    <t>CIRSTIAN</t>
  </si>
  <si>
    <t>24/01/2022</t>
  </si>
  <si>
    <t>CERRO CLARO 1508</t>
  </si>
  <si>
    <t>MAJAGUA ANTURAL 1566</t>
  </si>
  <si>
    <t xml:space="preserve">CALLE 26A # 43F-18 </t>
  </si>
  <si>
    <t>BARRIO COLOMBIA</t>
  </si>
  <si>
    <t>FLOR DE AGUA 825</t>
  </si>
  <si>
    <t>PUERTO ALEGRE 348</t>
  </si>
  <si>
    <t>POIRTERO</t>
  </si>
  <si>
    <t>ED SKY 1405</t>
  </si>
  <si>
    <t>JIMENEZ</t>
  </si>
  <si>
    <t>PUERTO NUEVO 631</t>
  </si>
  <si>
    <t>PUERTO AZUL 2102</t>
  </si>
  <si>
    <t>ALEXIS ALVAREZ</t>
  </si>
  <si>
    <t>1.200.000</t>
  </si>
  <si>
    <t>PUERTO PARAISO 1609</t>
  </si>
  <si>
    <t>PUERTO PARAISO 1510</t>
  </si>
  <si>
    <t>PUERTO PARAISO 1901</t>
  </si>
  <si>
    <t>CANTARES DE RIACHUELOS 2205</t>
  </si>
  <si>
    <t>LUJISA</t>
  </si>
  <si>
    <t>PUERTO PARAISO 1522</t>
  </si>
  <si>
    <t>13/01/2022</t>
  </si>
  <si>
    <t>PUERTO PARAISO 919</t>
  </si>
  <si>
    <t>PUERTO NUEVO 208</t>
  </si>
  <si>
    <t>PUERTO VENTURA 1311</t>
  </si>
  <si>
    <t>PUERTO VENTURA 9911</t>
  </si>
  <si>
    <t>COLINA DE BUCAROS 505</t>
  </si>
  <si>
    <t>CRISTINA</t>
  </si>
  <si>
    <t>PUERTO PARAISO 811</t>
  </si>
  <si>
    <t>AMAZONIKA 726</t>
  </si>
  <si>
    <t>FLORIDA DE  NORTEAMERICA 448</t>
  </si>
  <si>
    <t>COLINA DE BUCAROS 1307</t>
  </si>
  <si>
    <t>PUERTO PARAISO 513</t>
  </si>
  <si>
    <t>JOHN</t>
  </si>
  <si>
    <t>PUERTO NUEVO 618</t>
  </si>
  <si>
    <t>MIRADOR DE BUCAROS 303</t>
  </si>
  <si>
    <t>PUERTO PARAISO 509</t>
  </si>
  <si>
    <t>MADERA SILVESTRE 9908</t>
  </si>
  <si>
    <t>AGUIRRE</t>
  </si>
  <si>
    <t>CRA 80 N° 39 -139</t>
  </si>
  <si>
    <t>PUERTO PARAISO 1710</t>
  </si>
  <si>
    <t>ED MANANTIALES 501</t>
  </si>
  <si>
    <t>TOLEDO CAMPESTRE 2708</t>
  </si>
  <si>
    <t>FEBRERO</t>
  </si>
  <si>
    <t>31/01/2022</t>
  </si>
  <si>
    <t>VIVENZA 1501</t>
  </si>
  <si>
    <t>CALLE 28 58A-50</t>
  </si>
  <si>
    <t>ENTREVIENTOS 805</t>
  </si>
  <si>
    <t>LA VIDA ES BELLA 2115</t>
  </si>
  <si>
    <t>FRANCYS</t>
  </si>
  <si>
    <t>LA VIDA ES BELLA 2116</t>
  </si>
  <si>
    <t>TOLEDO CAMPESTRE 604</t>
  </si>
  <si>
    <t>MOLINOS DE PRADO 103</t>
  </si>
  <si>
    <t>PRADO CENTRO</t>
  </si>
  <si>
    <t>WILSON</t>
  </si>
  <si>
    <t>17/02/2022</t>
  </si>
  <si>
    <t>CERRO CLARO 201</t>
  </si>
  <si>
    <t>DARWIN</t>
  </si>
  <si>
    <t>JOHANA</t>
  </si>
  <si>
    <t>18/02/2022</t>
  </si>
  <si>
    <t>CEIBA DEL NORTE 410</t>
  </si>
  <si>
    <t>TRIGALES 913</t>
  </si>
  <si>
    <t>VICTOR</t>
  </si>
  <si>
    <t>21/02/2022</t>
  </si>
  <si>
    <t>PUERTO PARAISO 602</t>
  </si>
  <si>
    <t>CALLE 26 58C-62</t>
  </si>
  <si>
    <t>CERRO CLARO 1401</t>
  </si>
  <si>
    <t>LOCAL METRO MALL 203</t>
  </si>
  <si>
    <t>24/02/2022</t>
  </si>
  <si>
    <t>NORDICA 1803</t>
  </si>
  <si>
    <t>LA VIDA ES BELLA 1313</t>
  </si>
  <si>
    <t>MAJAGUA NATURAL</t>
  </si>
  <si>
    <t>CASTAÑO</t>
  </si>
  <si>
    <t>CALLE 46 49B-07 PISO 1</t>
  </si>
  <si>
    <t>CALLE 46 49B-07 PISO 3</t>
  </si>
  <si>
    <t>25/02/2022</t>
  </si>
  <si>
    <t>ED LA COLINA DG 59 47-38</t>
  </si>
  <si>
    <t>26/01/2022</t>
  </si>
  <si>
    <t>VICENZA 401</t>
  </si>
  <si>
    <t>VICENZA 303</t>
  </si>
  <si>
    <t>VICENZA 1711</t>
  </si>
  <si>
    <t>CITRINO 1908</t>
  </si>
  <si>
    <t>SAN GERMAN</t>
  </si>
  <si>
    <t>NORDICA206</t>
  </si>
  <si>
    <t>PUERTO PARAISO 1719</t>
  </si>
  <si>
    <t>MARULANDA</t>
  </si>
  <si>
    <t>3/02/20221</t>
  </si>
  <si>
    <t>CURAZAO 1601</t>
  </si>
  <si>
    <t>ED SKY 1805</t>
  </si>
  <si>
    <t>ED SKY 1705</t>
  </si>
  <si>
    <t>FLOR DE AGUA 2208</t>
  </si>
  <si>
    <t>14/02/2022</t>
  </si>
  <si>
    <t>ARBOLEDA DEL RODEO 1552</t>
  </si>
  <si>
    <t>BELEN</t>
  </si>
  <si>
    <t>15/02/2022</t>
  </si>
  <si>
    <t>ED SAN IGNACIO 302</t>
  </si>
  <si>
    <t>PUERTO PARAISO 1511</t>
  </si>
  <si>
    <t>PUERTA MADERA 1936</t>
  </si>
  <si>
    <t>22/02/2022</t>
  </si>
  <si>
    <t>CALLE 25 55 73</t>
  </si>
  <si>
    <t xml:space="preserve">CARRERA 59B 40 37 </t>
  </si>
  <si>
    <t>SERRRAMONTE</t>
  </si>
  <si>
    <t>23/02/2022</t>
  </si>
  <si>
    <t>PUERTO PARAISO 1922</t>
  </si>
  <si>
    <t>CARRERA 58 83E-56 INT 307</t>
  </si>
  <si>
    <t>MORAVIA</t>
  </si>
  <si>
    <t>PUERTO PARAISO 2106</t>
  </si>
  <si>
    <t>PUERTO PARAISO 1610</t>
  </si>
  <si>
    <t>TIERRA LINDA 1206</t>
  </si>
  <si>
    <t>HENRY</t>
  </si>
  <si>
    <t>ED SKY 1305</t>
  </si>
  <si>
    <t>PUERTO ALEGRE 1909</t>
  </si>
  <si>
    <t>25/02/20221</t>
  </si>
  <si>
    <t>PUERTO PARAISO 1920</t>
  </si>
  <si>
    <t>CASA VEREDA MANGARRIBA</t>
  </si>
  <si>
    <t>GIRARDOTA</t>
  </si>
  <si>
    <t>SKY 1805</t>
  </si>
  <si>
    <t>SKY1705</t>
  </si>
  <si>
    <t>SKY 2802</t>
  </si>
  <si>
    <t>PUERTO PARAISO 2213</t>
  </si>
  <si>
    <t>PUERTO NUEVO 9914</t>
  </si>
  <si>
    <t>PUERTO PARAISO 2010</t>
  </si>
  <si>
    <t>PARQUE ALTO 915</t>
  </si>
  <si>
    <t>PUERTO PARAISO 1118</t>
  </si>
  <si>
    <t>MALLERLY</t>
  </si>
  <si>
    <t>TORRE PLATINUM 701</t>
  </si>
  <si>
    <t>PUERTO PARAISO 819</t>
  </si>
  <si>
    <t>TIERRA LINDA 1004</t>
  </si>
  <si>
    <t>AMAZONIKA 1034</t>
  </si>
  <si>
    <t>JOAHAN</t>
  </si>
  <si>
    <t>CANTARES DE RIACHUELOS 17602</t>
  </si>
  <si>
    <t>QUINTERO</t>
  </si>
  <si>
    <t>PARQUE ALTO 607</t>
  </si>
  <si>
    <t>JOAHANA</t>
  </si>
  <si>
    <t>ALTOBELO 405</t>
  </si>
  <si>
    <t>FRANCISCO</t>
  </si>
  <si>
    <t>PUERTO PARAISO 1617</t>
  </si>
  <si>
    <t>COLINA DE BUCAROS 506</t>
  </si>
  <si>
    <t>COLINA DE BUCAROS 607</t>
  </si>
  <si>
    <t>COLINA DE BUCAROS 1204</t>
  </si>
  <si>
    <t>MARIO</t>
  </si>
  <si>
    <t xml:space="preserve">AMAZONIKA 1718 </t>
  </si>
  <si>
    <t>PUERTO PARAISO 815</t>
  </si>
  <si>
    <t>CARRERA 52 33 31</t>
  </si>
  <si>
    <t>PUERTO ALLEGRE 644</t>
  </si>
  <si>
    <t>CALLE 24 53-102 AP 401</t>
  </si>
  <si>
    <t>CALLE 24 53-102 AP 301</t>
  </si>
  <si>
    <t>15/04/2022</t>
  </si>
  <si>
    <t>PUERTO NUEVO 1138</t>
  </si>
  <si>
    <t>29/01/2022</t>
  </si>
  <si>
    <t>ENSENADA 1228</t>
  </si>
  <si>
    <t>OCEANA 1720</t>
  </si>
  <si>
    <t>ESPINOZA</t>
  </si>
  <si>
    <t>BOSQUE ALTO 1807</t>
  </si>
  <si>
    <t>BOSQUE ALTO 1806</t>
  </si>
  <si>
    <t>CALLE 26A 58C 612</t>
  </si>
  <si>
    <t>ENSENADA 2416</t>
  </si>
  <si>
    <t xml:space="preserve">CALLE 27B  55 07 </t>
  </si>
  <si>
    <t>OCEANA 832</t>
  </si>
  <si>
    <t>CALLE 23 58CC-68 PISO 4</t>
  </si>
  <si>
    <t>PORTON DEL OBRERO 302</t>
  </si>
  <si>
    <t>ALBERTO</t>
  </si>
  <si>
    <t>MEDITERRANEA 1018</t>
  </si>
  <si>
    <t>HACIENDA NIQUIA 16109</t>
  </si>
  <si>
    <t>FLOR DE AGUA 1829</t>
  </si>
  <si>
    <t>CARRERA 55 35 08</t>
  </si>
  <si>
    <t>PUERTO PARAISO 1516</t>
  </si>
  <si>
    <t>SKY 2305</t>
  </si>
  <si>
    <t>PUERTO ALEGRE 1736</t>
  </si>
  <si>
    <t>LUNA DEL CAMPO 1208</t>
  </si>
  <si>
    <t>SIERRA MORENO 821</t>
  </si>
  <si>
    <t>LA INMACULADA</t>
  </si>
  <si>
    <t>MORALES</t>
  </si>
  <si>
    <t>PAULA</t>
  </si>
  <si>
    <t>OCEANA 2719</t>
  </si>
  <si>
    <t>METRA MALL 203</t>
  </si>
  <si>
    <t>TOIERRA LINDA 2106</t>
  </si>
  <si>
    <t>MILENA ACEVEDO</t>
  </si>
  <si>
    <t>LOS ARBOLES 715</t>
  </si>
  <si>
    <t>ED LA COLINA DG 59 47-34</t>
  </si>
  <si>
    <t>ED LA COLINA DG 59 47-42</t>
  </si>
  <si>
    <t>PUERTO PARAISO 401</t>
  </si>
  <si>
    <t>NORDICA 2106</t>
  </si>
  <si>
    <t>AVISOS</t>
  </si>
  <si>
    <t>TIERRA LINDA CAMPESTRES 1201</t>
  </si>
  <si>
    <t>MONTE SION 1807</t>
  </si>
  <si>
    <t>CEIBA DEL NORTE 1406</t>
  </si>
  <si>
    <t>NORDICA 1014</t>
  </si>
  <si>
    <t>TIERRA LINDA  CAMPESTRE 709</t>
  </si>
  <si>
    <t>OSCAR</t>
  </si>
  <si>
    <t>TIERRA LINDA CAMPESTRE 2206</t>
  </si>
  <si>
    <t>LA VIDA ES BELLA 3107</t>
  </si>
  <si>
    <t>JUAN TABARES</t>
  </si>
  <si>
    <t>MIRADOR DE BUCAROS 1101</t>
  </si>
  <si>
    <t>JULIETH</t>
  </si>
  <si>
    <t>PUERTA MADERA 1723</t>
  </si>
  <si>
    <t>16/03/2022</t>
  </si>
  <si>
    <t>TOLEDO CAMPESTRE 2402</t>
  </si>
  <si>
    <t>RAMIREZ</t>
  </si>
  <si>
    <t>17/03(/2022</t>
  </si>
  <si>
    <t>CERRO CLARO 408</t>
  </si>
  <si>
    <t>PORTERO</t>
  </si>
  <si>
    <t>22/03/2022</t>
  </si>
  <si>
    <t>CERRO CLARO 209</t>
  </si>
  <si>
    <t>23/03/2022</t>
  </si>
  <si>
    <t>CR 48 # 47-72</t>
  </si>
  <si>
    <t>TOLEDO CAMPESTRE 1702</t>
  </si>
  <si>
    <t>luisa</t>
  </si>
  <si>
    <t>TOLEDO CAMPESTRE 2801</t>
  </si>
  <si>
    <t>25/03/2022</t>
  </si>
  <si>
    <t>JOAN+</t>
  </si>
  <si>
    <t>CEIBA DEL NORTE 1528</t>
  </si>
  <si>
    <t>ENSENADA 1818</t>
  </si>
  <si>
    <t>SKY 1603</t>
  </si>
  <si>
    <t>245.000.000</t>
  </si>
  <si>
    <t>JUAN DAVID GUSZMAN</t>
  </si>
  <si>
    <t>SKY 1605</t>
  </si>
  <si>
    <t>280.000.000</t>
  </si>
  <si>
    <t>CURAZAO 331</t>
  </si>
  <si>
    <t>PUERTO ALEGRE 330</t>
  </si>
  <si>
    <t>PUERTO PARAISO 609</t>
  </si>
  <si>
    <t>MADERA NATURAL 2109</t>
  </si>
  <si>
    <t>CURAZAO 2133</t>
  </si>
  <si>
    <t>BEGAMBRE</t>
  </si>
  <si>
    <t>SKY 1905</t>
  </si>
  <si>
    <t>PUERTO PARAISO 2021</t>
  </si>
  <si>
    <t>PUERTO PARAISO 214</t>
  </si>
  <si>
    <t>14/03/2022</t>
  </si>
  <si>
    <t>SIERRA MORENA 318</t>
  </si>
  <si>
    <t>PUERTO PARAISO 1317</t>
  </si>
  <si>
    <t>PUERTO PARAISO 1121</t>
  </si>
  <si>
    <t>SKY 1102</t>
  </si>
  <si>
    <t>PALMERAS 1543</t>
  </si>
  <si>
    <t>PUERTO PARAISO 1022</t>
  </si>
  <si>
    <t>24/03/2022</t>
  </si>
  <si>
    <t>FLOR DE AGUA 1707</t>
  </si>
  <si>
    <t>MIRASOL CAMPESTRE 1414</t>
  </si>
  <si>
    <t>JARAMILLO</t>
  </si>
  <si>
    <t>PUERTO PARAISO 223</t>
  </si>
  <si>
    <t>ISABEL</t>
  </si>
  <si>
    <t>VILLA NORTE MANZA C 517</t>
  </si>
  <si>
    <t>LAS ARALIAS 301</t>
  </si>
  <si>
    <t>TRAPCIHE</t>
  </si>
  <si>
    <t>PUERTO PARAISO 311</t>
  </si>
  <si>
    <t>PUERTO ALEGRE 633</t>
  </si>
  <si>
    <t>19/03/2022</t>
  </si>
  <si>
    <t>PUERTO PARAISO 2018</t>
  </si>
  <si>
    <t>ELIECER</t>
  </si>
  <si>
    <t>CRA 58 A N° 42 D - 12</t>
  </si>
  <si>
    <t>1.000.000</t>
  </si>
  <si>
    <t>COLINA DE BUCAROS 1706</t>
  </si>
  <si>
    <t>MIRADOR DE BUCAROS 1705</t>
  </si>
  <si>
    <t>PUERTO PARAISO 1005</t>
  </si>
  <si>
    <t>MARLON</t>
  </si>
  <si>
    <t>PUERTO ALEGRE 1525</t>
  </si>
  <si>
    <t>CALLE 117 50A-136</t>
  </si>
  <si>
    <t>PABLO</t>
  </si>
  <si>
    <t>COLINA DE BUCAROS 1301</t>
  </si>
  <si>
    <t>COLINA DE BUCAROS 1001</t>
  </si>
  <si>
    <t>POTERO</t>
  </si>
  <si>
    <t>PUERTA MADERA 2254</t>
  </si>
  <si>
    <t>DORIA</t>
  </si>
  <si>
    <t>MIRADOR DE BUCAROS 1605</t>
  </si>
  <si>
    <t>MONICA</t>
  </si>
  <si>
    <t>18/03/2022</t>
  </si>
  <si>
    <t>CALLE 52A 53-13 PISO 1</t>
  </si>
  <si>
    <t>PUERTO ALEGRE 211</t>
  </si>
  <si>
    <t>COLINA DE BUCAROS 207</t>
  </si>
  <si>
    <t>MIRADOR DE BUCAROS 1405</t>
  </si>
  <si>
    <t>COLINA DE BUCAROS 1608</t>
  </si>
  <si>
    <t>CURAZAO 2107</t>
  </si>
  <si>
    <t>BOLAÑO</t>
  </si>
  <si>
    <t>BALCONES DL ANGEL 108</t>
  </si>
  <si>
    <t>TORO</t>
  </si>
  <si>
    <t>CRA 53 N° 30B - 25</t>
  </si>
  <si>
    <t>LA FLORIDA</t>
  </si>
  <si>
    <t>285.000.000</t>
  </si>
  <si>
    <t>300.000.000</t>
  </si>
  <si>
    <t>28/02/2022</t>
  </si>
  <si>
    <t>APARTAMENTO</t>
  </si>
  <si>
    <t>PUERTO PARAISO 822</t>
  </si>
  <si>
    <t>CIUDADELA DE LOS PUERTOS</t>
  </si>
  <si>
    <t>CALLE 32 # 58-125</t>
  </si>
  <si>
    <t>CARRERA 76A 20AB-68</t>
  </si>
  <si>
    <t>PARIS</t>
  </si>
  <si>
    <t>MADERA FINA 2501</t>
  </si>
  <si>
    <t>MADERA ESENCIAL 913</t>
  </si>
  <si>
    <t>CANTILLO</t>
  </si>
  <si>
    <t>PUERTO PARAISO 1814</t>
  </si>
  <si>
    <t>PUERTO PARAISO 510</t>
  </si>
  <si>
    <t>CALLE 113 76-44</t>
  </si>
  <si>
    <t>S1</t>
  </si>
  <si>
    <t>CALLE 113 76-46</t>
  </si>
  <si>
    <t>SANTANDER</t>
  </si>
  <si>
    <t>BOSQUE ALTO 1007</t>
  </si>
  <si>
    <t>PUERTO PARAISO 2308</t>
  </si>
  <si>
    <t>MANCHESTER II AP 1108</t>
  </si>
  <si>
    <t>FLOR DE AGUA 1831</t>
  </si>
  <si>
    <t>PALOMINO</t>
  </si>
  <si>
    <t>MADERA SILVESTRE 1609</t>
  </si>
  <si>
    <t>LEANDRO</t>
  </si>
  <si>
    <t>FLOR DE AGUA 1326</t>
  </si>
  <si>
    <t>FLOR DE AGUA 2126</t>
  </si>
  <si>
    <t>15/03/2022</t>
  </si>
  <si>
    <t>LOPERA</t>
  </si>
  <si>
    <t>17/03/2022</t>
  </si>
  <si>
    <t>ENSENADA 2430</t>
  </si>
  <si>
    <t>OCEANA 2135</t>
  </si>
  <si>
    <t>ROTERDAM 702</t>
  </si>
  <si>
    <t>CALLE 49 46C-13 PRIMER PISO</t>
  </si>
  <si>
    <t>SAN FRANCISCO</t>
  </si>
  <si>
    <t>28/03/2022</t>
  </si>
  <si>
    <t xml:space="preserve">CALLE 51 N° 58 - 31 </t>
  </si>
  <si>
    <t>CURAZAO 406</t>
  </si>
  <si>
    <t>CARRERA 52 55 18 201</t>
  </si>
  <si>
    <t>ANDALUICA</t>
  </si>
  <si>
    <t>CARRERA 52 55 18 301</t>
  </si>
  <si>
    <t>ED LA COLINA 501</t>
  </si>
  <si>
    <t>LOS ARBOLES 2508</t>
  </si>
  <si>
    <t>BREINER</t>
  </si>
  <si>
    <t>GALES 1801</t>
  </si>
  <si>
    <t>AMAZONIK 1429</t>
  </si>
  <si>
    <t>TORRE MANHATAN 101</t>
  </si>
  <si>
    <t>OPORTO 1217</t>
  </si>
  <si>
    <t>MIGUEL</t>
  </si>
  <si>
    <t>OPORTO 2517</t>
  </si>
  <si>
    <t>POBLADO NIQUIA 215</t>
  </si>
  <si>
    <t>MIRADOR DE BUCAROS 2102</t>
  </si>
  <si>
    <t>EDGAR</t>
  </si>
  <si>
    <t>COLINA DE BUCAROS 1901</t>
  </si>
  <si>
    <t>ARBEY</t>
  </si>
  <si>
    <t xml:space="preserve">GALES 1603 </t>
  </si>
  <si>
    <t xml:space="preserve">CARRERA 76A 20AB-68 </t>
  </si>
  <si>
    <t>MEDITERRANEO 623</t>
  </si>
  <si>
    <t>JUAN DAVID</t>
  </si>
  <si>
    <t>GALES 2904</t>
  </si>
  <si>
    <t>ENSENADA 423</t>
  </si>
  <si>
    <t>CALLE 51 N° 54 - 26</t>
  </si>
  <si>
    <t>CALLE 27B 58BB 89 PISO 1</t>
  </si>
  <si>
    <t>PORTADA OTROS</t>
  </si>
  <si>
    <t>GALES 2704</t>
  </si>
  <si>
    <t>BRAYAN</t>
  </si>
  <si>
    <t>AGUA CLARA 1420</t>
  </si>
  <si>
    <t>FABER</t>
  </si>
  <si>
    <t>ED CORAL 1102</t>
  </si>
  <si>
    <t>ABRIL</t>
  </si>
  <si>
    <t>30/03/2022</t>
  </si>
  <si>
    <t>NORDICA 2116</t>
  </si>
  <si>
    <t>TOLEDO CAMPESTRE 2408</t>
  </si>
  <si>
    <t>MIRADOR DE BUCAROS 1906</t>
  </si>
  <si>
    <t>JULIETH USME</t>
  </si>
  <si>
    <t>MIRADOR DE BUCAROS 906</t>
  </si>
  <si>
    <t>NORDICA 2114</t>
  </si>
  <si>
    <t>19/04/2022</t>
  </si>
  <si>
    <t>CERRO CLARO 707</t>
  </si>
  <si>
    <t>SANCHEZ</t>
  </si>
  <si>
    <t>MAJAGUA NATURAL 2053</t>
  </si>
  <si>
    <t>NORDICA 1304</t>
  </si>
  <si>
    <t>TOLEDO CAMPESTRE 2504</t>
  </si>
  <si>
    <t>20/04/2022</t>
  </si>
  <si>
    <t>VILLAS DE CONFENALCO 301</t>
  </si>
  <si>
    <t>USME</t>
  </si>
  <si>
    <t>VILLAS DE CONMFENALCO 201</t>
  </si>
  <si>
    <t>MAGENTA 1603</t>
  </si>
  <si>
    <t>ELIZABETH</t>
  </si>
  <si>
    <t>21/04/2022</t>
  </si>
  <si>
    <t>FLOR DE AGUA 2706</t>
  </si>
  <si>
    <t>CARRERA 55 33 16 AP 201</t>
  </si>
  <si>
    <t>CALLE 25A # 58BB-81 </t>
  </si>
  <si>
    <t>MONTE SION 1104</t>
  </si>
  <si>
    <t>TIERRA LINDA 2609</t>
  </si>
  <si>
    <t>GUTIERESZ</t>
  </si>
  <si>
    <t>PUERTO PARAISO 1301</t>
  </si>
  <si>
    <t>29/03/2022</t>
  </si>
  <si>
    <t>PUERTO PARAISO 1607</t>
  </si>
  <si>
    <t>POBLADO NIQUIA 2011</t>
  </si>
  <si>
    <t>DIAGONAL 59A 23A-11</t>
  </si>
  <si>
    <t>BARRIO NUEVO</t>
  </si>
  <si>
    <t xml:space="preserve">JARDINES DEL SUR </t>
  </si>
  <si>
    <t>LA TABLAZA</t>
  </si>
  <si>
    <t>JOAN LUISA</t>
  </si>
  <si>
    <t>FLOR DE AGUA 2306</t>
  </si>
  <si>
    <t>MADERA NATIVA 3110</t>
  </si>
  <si>
    <t>13/04/2022</t>
  </si>
  <si>
    <t>RESERVA DE BUCAROS 2201</t>
  </si>
  <si>
    <t>CARRERA 53B 48-23</t>
  </si>
  <si>
    <t>18/04/2022</t>
  </si>
  <si>
    <t xml:space="preserve">CURAZAO 840 </t>
  </si>
  <si>
    <t xml:space="preserve">JOAN  </t>
  </si>
  <si>
    <t>PUERTO PARAISO 2309</t>
  </si>
  <si>
    <t>PUERTOS</t>
  </si>
  <si>
    <t>PUERTO PARAISO 720</t>
  </si>
  <si>
    <t>22/04/2022</t>
  </si>
  <si>
    <t>CURAZAO 532</t>
  </si>
  <si>
    <t>PUERTO PARAISO 1514</t>
  </si>
  <si>
    <t>CALLE 56B 66BB 51</t>
  </si>
  <si>
    <t>TULIPANES</t>
  </si>
  <si>
    <t>MAJAGUA 1354</t>
  </si>
  <si>
    <t>22(/04/2022</t>
  </si>
  <si>
    <t>OCEANA 2824</t>
  </si>
  <si>
    <t>MONTEFLOR 2319</t>
  </si>
  <si>
    <t>LAS LOMITAS</t>
  </si>
  <si>
    <t>JERRY</t>
  </si>
  <si>
    <t>MIRADOR D EOS BUCAROS 1507</t>
  </si>
  <si>
    <t>COLINA DE BUCAROS 510</t>
  </si>
  <si>
    <t>COLINA DE BUCAROS 613</t>
  </si>
  <si>
    <t>COLINA DE BUCAROS 610</t>
  </si>
  <si>
    <t>COLINA DE BUCAROS 2008</t>
  </si>
  <si>
    <t>COLINA DE BUCAROS 1010</t>
  </si>
  <si>
    <t xml:space="preserve">VERGARA </t>
  </si>
  <si>
    <t>CALLE 28 55-39</t>
  </si>
  <si>
    <t>PUERTO PARAISO 1816</t>
  </si>
  <si>
    <t>SKY 1403</t>
  </si>
  <si>
    <t>ALTOBELO 1111</t>
  </si>
  <si>
    <t>PUERTO PARAISO 1013</t>
  </si>
  <si>
    <t xml:space="preserve">OMAR </t>
  </si>
  <si>
    <t>PUERTO ALEGRE 833</t>
  </si>
  <si>
    <t>COLINAS DE BUCAROS 510</t>
  </si>
  <si>
    <t>21/04/2023</t>
  </si>
  <si>
    <t>ENSENADA 716</t>
  </si>
  <si>
    <t>31/03/2022</t>
  </si>
  <si>
    <t>ENSENADA 2424</t>
  </si>
  <si>
    <t>MEDITERRANEA 920</t>
  </si>
  <si>
    <t>CALLE 57 N° 47 - 20 AP 301</t>
  </si>
  <si>
    <t>CONGOLO</t>
  </si>
  <si>
    <t>CALLE 57 N° 47 - 20 AP 302</t>
  </si>
  <si>
    <t>FLOR DE AGUA 2228</t>
  </si>
  <si>
    <t xml:space="preserve">DG 58CC 27B 97 </t>
  </si>
  <si>
    <t>DG 58CC 27B 98 PIRMER PISO</t>
  </si>
  <si>
    <t>DG 58CC 27B 99 TERCER PISO</t>
  </si>
  <si>
    <t>MIRADOR DE BUCAROS 1301</t>
  </si>
  <si>
    <t>RODIRGUEZ</t>
  </si>
  <si>
    <t>PUERTO VENTURA 702</t>
  </si>
  <si>
    <t>VENETTO Y MURATTO 302</t>
  </si>
  <si>
    <t>ENSENADA 117</t>
  </si>
  <si>
    <t>OCEANA 1727</t>
  </si>
  <si>
    <t>SKY 2602</t>
  </si>
  <si>
    <t>ENSENADA 1620</t>
  </si>
  <si>
    <t>LA VIDA ES BELLA 3003</t>
  </si>
  <si>
    <t>CC ESTACION NIQUIA 433</t>
  </si>
  <si>
    <t>hector</t>
  </si>
  <si>
    <t>MAYO</t>
  </si>
  <si>
    <t>26/04/2022</t>
  </si>
  <si>
    <t>CERRO CLARO 1907</t>
  </si>
  <si>
    <t>DUVAN</t>
  </si>
  <si>
    <t>27/04/2022</t>
  </si>
  <si>
    <t>CERRO CLARO 1702</t>
  </si>
  <si>
    <t>MARIN</t>
  </si>
  <si>
    <t>28/04/2022</t>
  </si>
  <si>
    <t>NORDICA 1108</t>
  </si>
  <si>
    <t>CEIBA DEL NORTE 1023</t>
  </si>
  <si>
    <t>CEIBA DEL NORTE 323</t>
  </si>
  <si>
    <t>LAURA</t>
  </si>
  <si>
    <t>17/05/2022</t>
  </si>
  <si>
    <t xml:space="preserve">CERRO CLARO 1909 </t>
  </si>
  <si>
    <t>NORDICA 1511</t>
  </si>
  <si>
    <t>FRANCY</t>
  </si>
  <si>
    <t>18/05/2022</t>
  </si>
  <si>
    <t>CALLE 46 N° 39 - 25 ( 201)</t>
  </si>
  <si>
    <t>CALLE 46 N° 49 -31</t>
  </si>
  <si>
    <t>CALLE 46 N° 39 - 25 (301)</t>
  </si>
  <si>
    <t>19/05/2022</t>
  </si>
  <si>
    <t xml:space="preserve">NORDICA 2203 </t>
  </si>
  <si>
    <t>20/05/2022</t>
  </si>
  <si>
    <t xml:space="preserve">AVENIDA 36B N° 65 A - 34 </t>
  </si>
  <si>
    <t>25/05/2022</t>
  </si>
  <si>
    <t>CEIBA DEL NORTE 703</t>
  </si>
  <si>
    <t>CERRO CLARO 2501</t>
  </si>
  <si>
    <t>MAJAGUA NATURAL 238</t>
  </si>
  <si>
    <t>120.000.000</t>
  </si>
  <si>
    <t>CAMINO DEL BOSQUE 319</t>
  </si>
  <si>
    <t>DARIO SALDARRIAGA</t>
  </si>
  <si>
    <t>PUERTO PARAISO 417</t>
  </si>
  <si>
    <t>PUERTO PARAISO 1618</t>
  </si>
  <si>
    <t>PUERTO PARAISO 419</t>
  </si>
  <si>
    <t>FLOR DE AGUA 2001</t>
  </si>
  <si>
    <t>BERRIO</t>
  </si>
  <si>
    <t>FLOR DE AGUA 1603</t>
  </si>
  <si>
    <t>PUERTO VENTURA 816</t>
  </si>
  <si>
    <t>GONZALEZ</t>
  </si>
  <si>
    <t>CLL 37 N° 58B-29 SEGUNDO PISO</t>
  </si>
  <si>
    <t>PUERTO PARAISO 2315</t>
  </si>
  <si>
    <t>16/05/2022</t>
  </si>
  <si>
    <t>FLOR DE AGUA 1432</t>
  </si>
  <si>
    <t>PUERTO PARAISO 1602</t>
  </si>
  <si>
    <t>DIAGONAL 59 N° 47 - 15 AP 9902</t>
  </si>
  <si>
    <t>DIAGONAL 59 N° 47 - 15 AP 9901</t>
  </si>
  <si>
    <t>NIQUA</t>
  </si>
  <si>
    <t>DIAGONAL 59 N° 47 - 15 CUARTO PISO</t>
  </si>
  <si>
    <t>23/05/2022</t>
  </si>
  <si>
    <t>CALLE 23 A N° 57 A - 31 2 PISO</t>
  </si>
  <si>
    <t>FLOR APARTAMENTOS 1508</t>
  </si>
  <si>
    <t>311.000.000</t>
  </si>
  <si>
    <t>RESERVA DE BUCAROS 1301</t>
  </si>
  <si>
    <t>COLINA DE BUCAROS 1910</t>
  </si>
  <si>
    <t>PUERTO PARAISO 1115</t>
  </si>
  <si>
    <t>NORDICA 1610</t>
  </si>
  <si>
    <t>PUERTO PARAISO 119</t>
  </si>
  <si>
    <t>PARQUE ALTO 1601</t>
  </si>
  <si>
    <t>COLINA DE BUCAROS 1107</t>
  </si>
  <si>
    <t>PUERTA MADERA 1729</t>
  </si>
  <si>
    <t>PUERTO PARAISO 221</t>
  </si>
  <si>
    <t xml:space="preserve">CALLE 23 A N° 57 A 31 PISO 2 </t>
  </si>
  <si>
    <t>ALAMEDA CAMPESTRE CASA 12</t>
  </si>
  <si>
    <t>RETIRO</t>
  </si>
  <si>
    <t>24/05/2022</t>
  </si>
  <si>
    <t>FLOR DE AGUA 2608</t>
  </si>
  <si>
    <t>ALEJA</t>
  </si>
  <si>
    <t>JHON CASTRILLON</t>
  </si>
  <si>
    <t>CALLE 25 N° 55 - 05</t>
  </si>
  <si>
    <t>COLINA DE BUCAROS 1101</t>
  </si>
  <si>
    <t>168.000.000</t>
  </si>
  <si>
    <t>CURAZAO 1429</t>
  </si>
  <si>
    <t>157.000.000</t>
  </si>
  <si>
    <t>PUERTO PARAISO 1111</t>
  </si>
  <si>
    <t>1.350.000</t>
  </si>
  <si>
    <t>FLOR DE AGUA 306</t>
  </si>
  <si>
    <t>1.500.000</t>
  </si>
  <si>
    <t>FLOR DE AGUA 1406</t>
  </si>
  <si>
    <t>CARRERA 58 BB N° 29 - 20</t>
  </si>
  <si>
    <t xml:space="preserve">BULEVAR 55 </t>
  </si>
  <si>
    <t>JUNIO</t>
  </si>
  <si>
    <t>26/05/2022</t>
  </si>
  <si>
    <t>CERRO CLARO 2508</t>
  </si>
  <si>
    <t>31/05/2022</t>
  </si>
  <si>
    <t>LAURELES DE TERRANOVA 2005</t>
  </si>
  <si>
    <t>CERRO CLARO 905</t>
  </si>
  <si>
    <t xml:space="preserve">MIRADOR DE BUCAROS 1807 </t>
  </si>
  <si>
    <t>FRANCO</t>
  </si>
  <si>
    <t>LAURELES DE TERRANOVA 1081</t>
  </si>
  <si>
    <t>CRA 47 N° 51 - 22</t>
  </si>
  <si>
    <t>FLOR DE AGUA 1805</t>
  </si>
  <si>
    <t>16/06/2022</t>
  </si>
  <si>
    <t>NORDICA 2713</t>
  </si>
  <si>
    <t>YERSON LORA</t>
  </si>
  <si>
    <t>22/06/2022</t>
  </si>
  <si>
    <t>AZALEAS 301</t>
  </si>
  <si>
    <t>AZALEAS 201</t>
  </si>
  <si>
    <t>AZALEAS  LOCAL 301</t>
  </si>
  <si>
    <t>AZALEAS  LOCAL 101</t>
  </si>
  <si>
    <t>AZALEAS  LOCAL 102</t>
  </si>
  <si>
    <t xml:space="preserve">VILLAS DE COMFENALCO 201 Y 301 </t>
  </si>
  <si>
    <t>VILLAS DE COMFENALCO</t>
  </si>
  <si>
    <t>TIERRA LINDA CAMPESTRE 109</t>
  </si>
  <si>
    <t>YEIRSON LORA</t>
  </si>
  <si>
    <t>CRA 16 N° 5 - 51</t>
  </si>
  <si>
    <t>PUERTO PARAISO 1803</t>
  </si>
  <si>
    <t xml:space="preserve">FLOR DE AGUA 830 </t>
  </si>
  <si>
    <t xml:space="preserve">CRA 54 A N° 47 - 47 </t>
  </si>
  <si>
    <t>SKY 2804</t>
  </si>
  <si>
    <t>SKY 2803</t>
  </si>
  <si>
    <t>PUERTO PARAISO 322</t>
  </si>
  <si>
    <t>FLOR DE AGUA 1126</t>
  </si>
  <si>
    <t>CLL 49 N° 68 - 13 OF 201</t>
  </si>
  <si>
    <t>SURAMERICANA</t>
  </si>
  <si>
    <t>AGUA CLARA 1323</t>
  </si>
  <si>
    <t xml:space="preserve">EL TRAPICHE </t>
  </si>
  <si>
    <t>13/06/2022</t>
  </si>
  <si>
    <t>PUERTO PARAISO 523</t>
  </si>
  <si>
    <t>PUERTO PARAISO 520</t>
  </si>
  <si>
    <t>14/06/2022</t>
  </si>
  <si>
    <t>CEIBA DEL NORTE 1524</t>
  </si>
  <si>
    <t>28/05/2022</t>
  </si>
  <si>
    <t>COLINA DE BUCAROS 1908</t>
  </si>
  <si>
    <t>CALLE 114 N° 67 A - 42</t>
  </si>
  <si>
    <t>BOYACA LAS BRISAS</t>
  </si>
  <si>
    <t>PUERTO PARAISO 215</t>
  </si>
  <si>
    <t>PUERTA</t>
  </si>
  <si>
    <t>MADERA ESENCIAL 2315</t>
  </si>
  <si>
    <t>COLINA DE BUCAROS 1411</t>
  </si>
  <si>
    <t>COLINA DE BUCAROS 1412</t>
  </si>
  <si>
    <t>PUERTO VENTURA 715</t>
  </si>
  <si>
    <t>ARROYAVE</t>
  </si>
  <si>
    <t>PUERTO VENTURA 508</t>
  </si>
  <si>
    <t>15/06/2022</t>
  </si>
  <si>
    <t>PUERTO PARAISO 2217</t>
  </si>
  <si>
    <t>VIDANTA APARTAMENTOS 2412</t>
  </si>
  <si>
    <t>BELLAVISTA</t>
  </si>
  <si>
    <t>PUERTO AZUL 1005</t>
  </si>
  <si>
    <t>RIVERA</t>
  </si>
  <si>
    <t>OCENANA 1920</t>
  </si>
  <si>
    <t>24/06/2022</t>
  </si>
  <si>
    <t xml:space="preserve">FLOR DE AGUA 303 </t>
  </si>
  <si>
    <t>25/06/2022</t>
  </si>
  <si>
    <t>TIERRA LINDA 701</t>
  </si>
  <si>
    <t>HERRERA</t>
  </si>
  <si>
    <t>LOTE</t>
  </si>
  <si>
    <t>LOTE EN SAN JERONIMO</t>
  </si>
  <si>
    <t>SAN JERONIMO</t>
  </si>
  <si>
    <t>700.000.000</t>
  </si>
  <si>
    <t>SKY 1801</t>
  </si>
  <si>
    <t>EL RETIRO</t>
  </si>
  <si>
    <t>680.000.000</t>
  </si>
  <si>
    <t>VICTOR CASTAÑEDA</t>
  </si>
  <si>
    <t>CRA 47 N° 56 B - 17</t>
  </si>
  <si>
    <t>CRA 57 A N° 23- 25 AP 301</t>
  </si>
  <si>
    <t>SANTIAGO ESCOBAR</t>
  </si>
  <si>
    <t>MONTE SION 1703</t>
  </si>
  <si>
    <t>06/06(2022</t>
  </si>
  <si>
    <t>CURAZAO 740</t>
  </si>
  <si>
    <t>07/06/20200</t>
  </si>
  <si>
    <t>CALLE 24 A N° 60 - 55</t>
  </si>
  <si>
    <t>VICENZA 807</t>
  </si>
  <si>
    <t>FATIMA - COPACABANA</t>
  </si>
  <si>
    <t>LUIS PEREZ</t>
  </si>
  <si>
    <t>VICENZA 1006</t>
  </si>
  <si>
    <t>23/06/2022</t>
  </si>
  <si>
    <t>CRA 14 N° 15 - 299</t>
  </si>
  <si>
    <t>VEREDA JUAN COJO</t>
  </si>
  <si>
    <t>SKY 3005</t>
  </si>
  <si>
    <t>VIVENZA 2014</t>
  </si>
  <si>
    <t>FLORIDA DE NORTEAMERICA 147</t>
  </si>
  <si>
    <t>MADERA SILVESTRE 1603</t>
  </si>
  <si>
    <t>JULIO</t>
  </si>
  <si>
    <t>28/06/2022</t>
  </si>
  <si>
    <t>CRA 66 DD N° 56 A - 15</t>
  </si>
  <si>
    <t>TIERRA LINDA 709</t>
  </si>
  <si>
    <t>TORRES</t>
  </si>
  <si>
    <t>AZALEAS 401</t>
  </si>
  <si>
    <t>29/06/2022</t>
  </si>
  <si>
    <t>CRA 48 N° 46 - 87 302</t>
  </si>
  <si>
    <t>MADERA NATIVA 1109</t>
  </si>
  <si>
    <t xml:space="preserve">MADERA NATIVA 907 </t>
  </si>
  <si>
    <t>NORDICA 1903</t>
  </si>
  <si>
    <t>14/07/2022</t>
  </si>
  <si>
    <t>CURAZAO 1435</t>
  </si>
  <si>
    <t>15/07/2022</t>
  </si>
  <si>
    <t>PLAZUELA DEL NORTE 445</t>
  </si>
  <si>
    <t>JORGE YEPES</t>
  </si>
  <si>
    <t>15/7/2022</t>
  </si>
  <si>
    <t>S</t>
  </si>
  <si>
    <t>CEIBA DEL NORTE 2411</t>
  </si>
  <si>
    <t>13/07/2022</t>
  </si>
  <si>
    <t xml:space="preserve">PUERTO PARAISO 1422 </t>
  </si>
  <si>
    <t>MARIA ESPINOZA</t>
  </si>
  <si>
    <t>URAPANES TRAPICHE</t>
  </si>
  <si>
    <t>GALES 1301</t>
  </si>
  <si>
    <t xml:space="preserve">CRA 38 B 41 - 110 </t>
  </si>
  <si>
    <t>COLINA DE BUCAROS 1715</t>
  </si>
  <si>
    <t xml:space="preserve">BUCAROS </t>
  </si>
  <si>
    <t>STIWARD</t>
  </si>
  <si>
    <t>MADERA NATIVA 1105</t>
  </si>
  <si>
    <t>DURANGO</t>
  </si>
  <si>
    <t>MADERA ESENCIAL 1102</t>
  </si>
  <si>
    <t>18/07/2022</t>
  </si>
  <si>
    <t>FLOR DE AGUA 1628</t>
  </si>
  <si>
    <t>SALDARRIAGA</t>
  </si>
  <si>
    <t>19/07/2022</t>
  </si>
  <si>
    <t>COLINA DE BUCAROS 1919</t>
  </si>
  <si>
    <t>NESTOR</t>
  </si>
  <si>
    <t>FLOR APARTAMENTOS 907</t>
  </si>
  <si>
    <t xml:space="preserve">CALLE 26 N° 58 BB - 63 </t>
  </si>
  <si>
    <t>CALLE 33 N° 52 - 07</t>
  </si>
  <si>
    <t>ALEXANDRA</t>
  </si>
  <si>
    <t>22/07/2022</t>
  </si>
  <si>
    <t>PUERTO PARAISO 1109</t>
  </si>
  <si>
    <t>COLINA DE BUCAROS 2116</t>
  </si>
  <si>
    <t>25/07/2022</t>
  </si>
  <si>
    <t xml:space="preserve">FLOR DE AGUA 1107 </t>
  </si>
  <si>
    <t>PUERTO PARAISO 1010</t>
  </si>
  <si>
    <t>23/07/2022</t>
  </si>
  <si>
    <t>COLINA DE BUCAROS 1507</t>
  </si>
  <si>
    <t>OCEANA 1603</t>
  </si>
  <si>
    <t>PUERTO PARAISO 621</t>
  </si>
  <si>
    <t xml:space="preserve">CLL 27 N°  57 - 32 </t>
  </si>
  <si>
    <t>PLAZUELA DEL NORTE 9845</t>
  </si>
  <si>
    <t>ZULUAGA</t>
  </si>
  <si>
    <t>PLAZUELA DEL NORTE 9822</t>
  </si>
  <si>
    <t>FLOR APARTAMENTOS 1025</t>
  </si>
  <si>
    <t>PUERTO VENTURA 301</t>
  </si>
  <si>
    <t>CRA 57 A N° 23 - 25 AP 301</t>
  </si>
  <si>
    <t xml:space="preserve">CL 31 8B 18 </t>
  </si>
  <si>
    <t>EL PORVENIR</t>
  </si>
  <si>
    <t>ALTOS DE QUITASOL 202</t>
  </si>
  <si>
    <t>PUERTO PARAISO 611</t>
  </si>
  <si>
    <t>TIERRA LINDA 2426</t>
  </si>
  <si>
    <t>MOLINA</t>
  </si>
  <si>
    <t>21/07/2022</t>
  </si>
  <si>
    <t>CRA 26 N° 47 -148 INT 201</t>
  </si>
  <si>
    <t>SAN JUAN (COPACABANA)</t>
  </si>
  <si>
    <t>SAN JUAN CAMPESTRE 528</t>
  </si>
  <si>
    <t>MARIA (COPACABANA)</t>
  </si>
  <si>
    <t>CURAZAO 1627</t>
  </si>
  <si>
    <t>PUERTO VENTURA 1216 ( BRAYAN )</t>
  </si>
  <si>
    <t>MAYERLI</t>
  </si>
  <si>
    <t>CANTARES DE RIACHUELOS 402  ( BRAYAN )</t>
  </si>
  <si>
    <t>YEIFER</t>
  </si>
  <si>
    <t>OCEANA 519</t>
  </si>
  <si>
    <t>FERIA</t>
  </si>
  <si>
    <t>OCEANA 904</t>
  </si>
  <si>
    <t>FLOR DE AGUA 1807 ( BRAYAN)</t>
  </si>
  <si>
    <t>AGOSTO</t>
  </si>
  <si>
    <t>26/07/2022</t>
  </si>
  <si>
    <t>MONTE SION 211</t>
  </si>
  <si>
    <t>CURAZAO 404</t>
  </si>
  <si>
    <t>CERRO CLARO 902</t>
  </si>
  <si>
    <t>BEJARANO</t>
  </si>
  <si>
    <t>29/07/2022</t>
  </si>
  <si>
    <t>UNIDAD CARMEL 217</t>
  </si>
  <si>
    <t>YONI GONZALEZ</t>
  </si>
  <si>
    <t>30/07/2022</t>
  </si>
  <si>
    <t>CURAZAO 2036</t>
  </si>
  <si>
    <t>CL 68 A N° 66 - 17 PRIMER PISO</t>
  </si>
  <si>
    <t>ENSENADA 824</t>
  </si>
  <si>
    <t>ARIAS</t>
  </si>
  <si>
    <t>MONTE SION 1410</t>
  </si>
  <si>
    <t>PUERTO VENTURA 914</t>
  </si>
  <si>
    <t xml:space="preserve">MALLERLY </t>
  </si>
  <si>
    <t>NORDICA 1308</t>
  </si>
  <si>
    <t>JULIAN ALVAREZ</t>
  </si>
  <si>
    <t>PUERTO VENTURA 1715</t>
  </si>
  <si>
    <t>13/08/2022</t>
  </si>
  <si>
    <t>NORDICA 2414</t>
  </si>
  <si>
    <t>DORA</t>
  </si>
  <si>
    <t>CACIQUE NIQUIA CASA 442</t>
  </si>
  <si>
    <t>16/08/2022</t>
  </si>
  <si>
    <t xml:space="preserve">CERRO CLARO 904 </t>
  </si>
  <si>
    <t>28/07/2022</t>
  </si>
  <si>
    <t>GALES 1303</t>
  </si>
  <si>
    <t>MAURICIO GALVIS</t>
  </si>
  <si>
    <t>PLAZUELA DEL NORTE 125</t>
  </si>
  <si>
    <t>PUERTO ALEGRE 1421</t>
  </si>
  <si>
    <t xml:space="preserve">EL POMAR 1209 </t>
  </si>
  <si>
    <t>PUERTO PARAISO 304</t>
  </si>
  <si>
    <t>CLL 24 A N° 57 A - 41 AP 401</t>
  </si>
  <si>
    <t>CLL 24 A N° 57 A - 41 AP 301</t>
  </si>
  <si>
    <t>CLL 24 A N° 57 A - 41 AP 201</t>
  </si>
  <si>
    <t>CLL 24 A N° 57 A - 41 LOCAL 101</t>
  </si>
  <si>
    <t>COLINA DE BUCAROS 1520</t>
  </si>
  <si>
    <t>ESCOBAR</t>
  </si>
  <si>
    <t>VEREDA LA CUCHILLA PARTE ALTA</t>
  </si>
  <si>
    <t>SAN CRISTOBAL</t>
  </si>
  <si>
    <t>MAJAGUA 951</t>
  </si>
  <si>
    <t>18/08/2022</t>
  </si>
  <si>
    <t>MEDITERRANEA 1629</t>
  </si>
  <si>
    <t>ANDRES RODRIGUEZ</t>
  </si>
  <si>
    <t>19/08/2022</t>
  </si>
  <si>
    <t>COLINA DE BUCAROS 806</t>
  </si>
  <si>
    <t>LOBO - MARIO</t>
  </si>
  <si>
    <t>CRA 53 N° 27-09 PRIMER 1</t>
  </si>
  <si>
    <t>24/08/2022</t>
  </si>
  <si>
    <t>CRA 65 52C 29</t>
  </si>
  <si>
    <t>25/08/2022</t>
  </si>
  <si>
    <t xml:space="preserve">RAMOS VELEZ </t>
  </si>
  <si>
    <t>COLINA DE BUCAROS 1420</t>
  </si>
  <si>
    <t>ESCOBAR Y MARIO</t>
  </si>
  <si>
    <t>COLINA DE BUCAROS 723</t>
  </si>
  <si>
    <t xml:space="preserve">ORTIZ </t>
  </si>
  <si>
    <t>PUERTO PARAISO 1215</t>
  </si>
  <si>
    <t>CRA 59 N° 41 - 31 AP 201</t>
  </si>
  <si>
    <t xml:space="preserve">OCEANA 2302 </t>
  </si>
  <si>
    <t>PUERTO ALEGRE 632</t>
  </si>
  <si>
    <t>ALZATE</t>
  </si>
  <si>
    <t>15/08/2022</t>
  </si>
  <si>
    <t>FLOR DE AGUA APTO 1405</t>
  </si>
  <si>
    <t>PUERTO VENTURA APTO 617</t>
  </si>
  <si>
    <t>CALLE 101 BB # 76 C 13 APTO 401</t>
  </si>
  <si>
    <t>PEDREGAL</t>
  </si>
  <si>
    <t>22/08/22</t>
  </si>
  <si>
    <t> MADERA NATIVA APTO 1206</t>
  </si>
  <si>
    <t>FLOR DE AGUA APTO 1832</t>
  </si>
  <si>
    <t>23/08/22</t>
  </si>
  <si>
    <t>FLORIDA DE NORTEAMERICA APTO 503</t>
  </si>
  <si>
    <t>HOLGUIN</t>
  </si>
  <si>
    <t>FLORIDA DE NORTEAMERICA APTO 1004</t>
  </si>
  <si>
    <t>OCEANA 1006</t>
  </si>
  <si>
    <t>LOS ARBOLES 814</t>
  </si>
  <si>
    <t>GARCIA WILLIAN</t>
  </si>
  <si>
    <t>DIANA MILENA LOPEZ</t>
  </si>
  <si>
    <t>OCEANA 2021</t>
  </si>
  <si>
    <t xml:space="preserve">MADERA NATIVA 1509 </t>
  </si>
  <si>
    <t>ENSENADA 624</t>
  </si>
  <si>
    <t>MAJAGUA VITAL 1320</t>
  </si>
  <si>
    <t>ANTONY</t>
  </si>
  <si>
    <t xml:space="preserve">MADERA NATIVA 305 </t>
  </si>
  <si>
    <t>17/08/2022</t>
  </si>
  <si>
    <t>PLAZA NAVARRA 429</t>
  </si>
  <si>
    <t>VEGA</t>
  </si>
  <si>
    <t>MONTE SION 1009</t>
  </si>
  <si>
    <t>MONTE SION 910</t>
  </si>
  <si>
    <t>TRIGALES 2147</t>
  </si>
  <si>
    <t>PLAZA BEYLIN</t>
  </si>
  <si>
    <t>3200000 + IVA</t>
  </si>
  <si>
    <t>20/03/2022</t>
  </si>
  <si>
    <t>CRA 49 N° 49 -24 OFICINA 100</t>
  </si>
  <si>
    <t>PARQUE BELO</t>
  </si>
  <si>
    <t>CRA 49 N° 49 -24 OFICINA 101</t>
  </si>
  <si>
    <t>CRA 49 N° 49 -24 OFICINA 102</t>
  </si>
  <si>
    <t>CRA 49 N° 49 -24 OFICINA 103</t>
  </si>
  <si>
    <t>PUERTO ALEGRE 1212</t>
  </si>
  <si>
    <t>RINCON DEL BOSQUE 1742</t>
  </si>
  <si>
    <t>CAMINO DEL VIENTO 1801</t>
  </si>
  <si>
    <t xml:space="preserve">PORTADA INMOBILIARIA </t>
  </si>
  <si>
    <t>27/07/2022</t>
  </si>
  <si>
    <t xml:space="preserve">CAMINO DEL VIENTO 721 </t>
  </si>
  <si>
    <t>MEDITERRANEA 825  (BRAYAN)</t>
  </si>
  <si>
    <t>OCEANA 1501</t>
  </si>
  <si>
    <t>SEPTIEMBRE</t>
  </si>
  <si>
    <t>MEDITERRANEA APTO 227</t>
  </si>
  <si>
    <t>NORDICA 413</t>
  </si>
  <si>
    <t>NORDICA 603</t>
  </si>
  <si>
    <t>MADERA NATIVA APTO 2305</t>
  </si>
  <si>
    <t>29/08/2022</t>
  </si>
  <si>
    <t>PUERTA MADERA APTO 2067</t>
  </si>
  <si>
    <t xml:space="preserve">PND </t>
  </si>
  <si>
    <t>31/08/2022</t>
  </si>
  <si>
    <t>NORDICA APTO 2005</t>
  </si>
  <si>
    <t>NORDICA APTO 1207</t>
  </si>
  <si>
    <t>LA VIDA ES BELLA APTO 3103</t>
  </si>
  <si>
    <t>AVENIDA 42B # 53-18 CASA 201</t>
  </si>
  <si>
    <t>CARRERA 52 # 32-92 CASA 102</t>
  </si>
  <si>
    <t xml:space="preserve">FLORIDA DE NORTE AMERICA APTO 2035	</t>
  </si>
  <si>
    <t>NORDICA APTO 1305</t>
  </si>
  <si>
    <t>13/09/2022</t>
  </si>
  <si>
    <t>CL 27 # 58-63 CASA 301</t>
  </si>
  <si>
    <t>CERRO AZUL APTO 208</t>
  </si>
  <si>
    <t>NORDICA 814</t>
  </si>
  <si>
    <t>19/09/2022</t>
  </si>
  <si>
    <t>MADERA ESENCIAL APTO 401</t>
  </si>
  <si>
    <t>GODOY</t>
  </si>
  <si>
    <t>NORDICA APTO 2517</t>
  </si>
  <si>
    <t>370.000.000</t>
  </si>
  <si>
    <t>PUERTO PARAISO APTO 2324</t>
  </si>
  <si>
    <t>BOSQUE ALTO APTO 806</t>
  </si>
  <si>
    <t>CALLE 27B 55 07</t>
  </si>
  <si>
    <t>NORDICA 914</t>
  </si>
  <si>
    <t>PUERTO VENTURA APTO 2308</t>
  </si>
  <si>
    <t>COLINA DE BUCAROS APTO 1615</t>
  </si>
  <si>
    <t>TIERRA LINDA APTO 1512</t>
  </si>
  <si>
    <t>JAIVIER</t>
  </si>
  <si>
    <t>MI MUNDO APTO 3004</t>
  </si>
  <si>
    <t>OCEANA APTO 2805</t>
  </si>
  <si>
    <t xml:space="preserve">FERIA </t>
  </si>
  <si>
    <t>14/09/2022</t>
  </si>
  <si>
    <t>COLINA DE BUCAROS APTO 624</t>
  </si>
  <si>
    <t>VARELA</t>
  </si>
  <si>
    <t>15/09/2022</t>
  </si>
  <si>
    <t>LA VIDA ES BELLA APTO 1113</t>
  </si>
  <si>
    <t>PUERTO PARAISO APTO 1013</t>
  </si>
  <si>
    <t>PUERTO PARAISO APTO 307</t>
  </si>
  <si>
    <t>21/09/2022</t>
  </si>
  <si>
    <t>COLINA DE BUCAROS AP 621</t>
  </si>
  <si>
    <t xml:space="preserve">EDIFICIO VENECIA </t>
  </si>
  <si>
    <t>FLOR APARTAMENTOS 1002</t>
  </si>
  <si>
    <t>23/09/2022</t>
  </si>
  <si>
    <t>COLINA DE BUCAROS APTO 621</t>
  </si>
  <si>
    <t>PUERTO PARAISO APTO 806</t>
  </si>
  <si>
    <t>24/09/2022</t>
  </si>
  <si>
    <t>PUERTO VENTURA APTO 2306</t>
  </si>
  <si>
    <t>LOPE</t>
  </si>
  <si>
    <t>PUERTO VENTURA APTO 1516</t>
  </si>
  <si>
    <t xml:space="preserve"> COLINA DE BUCAROS APTO 806</t>
  </si>
  <si>
    <t>230.000.000</t>
  </si>
  <si>
    <t>PUERTO PARAISO APTO 1511</t>
  </si>
  <si>
    <t>$260.000.000</t>
  </si>
  <si>
    <t>CALLE 66E 37 16 PISO 3</t>
  </si>
  <si>
    <t>VILLA HERMOSA</t>
  </si>
  <si>
    <t>130.000.000</t>
  </si>
  <si>
    <t>26/08/2022</t>
  </si>
  <si>
    <t xml:space="preserve">OCEANA 2501 </t>
  </si>
  <si>
    <t xml:space="preserve"> FLOR DE AGUA  1101</t>
  </si>
  <si>
    <t>30/08/2022</t>
  </si>
  <si>
    <t>MADERA NATIVA 2704</t>
  </si>
  <si>
    <t>OCEANA APTO 2106</t>
  </si>
  <si>
    <t>MADERA NATIVA 2003</t>
  </si>
  <si>
    <t>ENSENADA 1230 APTO 1230</t>
  </si>
  <si>
    <t>PUERTO PARAISO APTO 1431</t>
  </si>
  <si>
    <t>SAN MARINO APTO 401</t>
  </si>
  <si>
    <t>FLOR DE AGUA APTO 2203</t>
  </si>
  <si>
    <t>SKY APTO 2702</t>
  </si>
  <si>
    <t xml:space="preserve">FLOR DE AGUA APTO 1129	</t>
  </si>
  <si>
    <t xml:space="preserve">MADERA NATIVA 511 </t>
  </si>
  <si>
    <t>20/09/2022</t>
  </si>
  <si>
    <t xml:space="preserve"> LUNA DEL CAMPO APTO 1512</t>
  </si>
  <si>
    <t>BLANDON</t>
  </si>
  <si>
    <t>MENTHA DE COMFENALCO APTO 1210</t>
  </si>
  <si>
    <t>GUARNE</t>
  </si>
  <si>
    <t>MADERA NATIVA 2102</t>
  </si>
  <si>
    <t xml:space="preserve"> MEDITERRANEA APTO 212</t>
  </si>
  <si>
    <t>COLINA DE BUCAROS APTO 1616</t>
  </si>
  <si>
    <t>DIANA LOPEZ</t>
  </si>
  <si>
    <t xml:space="preserve">CALLE 104 A N° 76 -114 301 </t>
  </si>
  <si>
    <t>AMAZONIKA 1728</t>
  </si>
  <si>
    <t>LEYDI</t>
  </si>
  <si>
    <t>27/08/2022</t>
  </si>
  <si>
    <t>CAMINO DEL VIENTO APTO 602</t>
  </si>
  <si>
    <t>DUBAN</t>
  </si>
  <si>
    <t>ESTACION NIQUIA LOCAL 205</t>
  </si>
  <si>
    <t>CAMINO DEL VIENTO APTO 1801</t>
  </si>
  <si>
    <t>DUBER</t>
  </si>
  <si>
    <t>MADERA SILVESTRE APTO 1111</t>
  </si>
  <si>
    <t xml:space="preserve">FABIAN </t>
  </si>
  <si>
    <t xml:space="preserve">PUERTO ALEGRE APTO 1829	</t>
  </si>
  <si>
    <t>MEDITERRANEA APTO 1820</t>
  </si>
  <si>
    <t>JAIME</t>
  </si>
  <si>
    <t>OCEANA APTO 1503</t>
  </si>
  <si>
    <t>OCEANA APTO 1003</t>
  </si>
  <si>
    <t>MEDITERRANEA APTO 1609</t>
  </si>
  <si>
    <t>CAMINO DEL VIENTO APTO 710</t>
  </si>
  <si>
    <t>MADERA SILVESTRE APTO 2406</t>
  </si>
  <si>
    <t>MEDITERRANEA APTO 315</t>
  </si>
  <si>
    <t>MEDITERRANEA APTO 1010</t>
  </si>
  <si>
    <t>MEDITERRANEA APTO 1418</t>
  </si>
  <si>
    <t>LE MONT</t>
  </si>
  <si>
    <t>LAS PALMAS</t>
  </si>
  <si>
    <t>MEDITERRANEA APTO 1729</t>
  </si>
  <si>
    <t>MEDITERRANEA APTO 1424</t>
  </si>
  <si>
    <t>MEDITERRANEA APTO 1017</t>
  </si>
  <si>
    <t>PUERTO PARAISO APTO 1415</t>
  </si>
  <si>
    <t>PND POR DESCARGAR</t>
  </si>
  <si>
    <t>MEDITERRANEA APTO 2026</t>
  </si>
  <si>
    <t>SEDE BELLO -NOVIEMBRE 2021</t>
  </si>
  <si>
    <t>ASESOR  ARTURO RUIZ</t>
  </si>
  <si>
    <t>POR CONSIGNACION</t>
  </si>
  <si>
    <t>CONSIGNACIONES</t>
  </si>
  <si>
    <t>CONTRATO</t>
  </si>
  <si>
    <t>% PROPIETARIO</t>
  </si>
  <si>
    <t>INMUEBLE</t>
  </si>
  <si>
    <t>CANON</t>
  </si>
  <si>
    <t>%</t>
  </si>
  <si>
    <t xml:space="preserve">comision </t>
  </si>
  <si>
    <t>ASESOR 2</t>
  </si>
  <si>
    <t>EJECUTIVA</t>
  </si>
  <si>
    <t>OBSERVACIONES</t>
  </si>
  <si>
    <t xml:space="preserve"> CANON</t>
  </si>
  <si>
    <t>COMISION</t>
  </si>
  <si>
    <t>20+3</t>
  </si>
  <si>
    <t>CAMINO DEL VIENTO 2307 - 1.300.000</t>
  </si>
  <si>
    <t xml:space="preserve">ENSENADA 1026 $1250.000 </t>
  </si>
  <si>
    <t>CEIBA DEL NORTE 1701 - 1.100.000</t>
  </si>
  <si>
    <t>SEBAS E.</t>
  </si>
  <si>
    <t>CEIBA DEL NORTE 826  - 1.150.000</t>
  </si>
  <si>
    <t xml:space="preserve">FLOR DE AGUA 2629 -  $ 1250000  </t>
  </si>
  <si>
    <t>MATEO</t>
  </si>
  <si>
    <t>PUERTO NUEVO 2008 -  $1.200.000</t>
  </si>
  <si>
    <t>PUERTO AZUL 2108 - 1.700.000</t>
  </si>
  <si>
    <t>MEDITERRANEA 1821 $1.250.000</t>
  </si>
  <si>
    <t>APROBADO/ PENDIENTE</t>
  </si>
  <si>
    <t>MARECHIANO $$1.350.000</t>
  </si>
  <si>
    <t>DEISSTE SE UBICO DIRECTO</t>
  </si>
  <si>
    <t xml:space="preserve">TOTAL ARRENDADO </t>
  </si>
  <si>
    <t xml:space="preserve">      TOTAL ---------------------------------&gt;</t>
  </si>
  <si>
    <t>VALOR A PAGAR TOTAL COMISIONES----------------------</t>
  </si>
  <si>
    <t xml:space="preserve">ASESOR ALEXIS ALVAREZ </t>
  </si>
  <si>
    <t>%PROPIETARIO</t>
  </si>
  <si>
    <t>21+3</t>
  </si>
  <si>
    <t xml:space="preserve">TIERRA LINDA CAMPESTRE 1906 </t>
  </si>
  <si>
    <t>JUAN S.</t>
  </si>
  <si>
    <t>PUERTO NUEVO 813  $ 1.200.000</t>
  </si>
  <si>
    <t>PUERTO VENTURA 1502 $ 1.200.000</t>
  </si>
  <si>
    <t>ALEXIS</t>
  </si>
  <si>
    <t xml:space="preserve">PUERTO PARAISO 1509  $1.100.000 </t>
  </si>
  <si>
    <t>NORDICA 1412 - 1850.000</t>
  </si>
  <si>
    <t>TIERRA LINDA 2106 - $770.000</t>
  </si>
  <si>
    <t>CEIBA DEL NORTE 327 - 1.250.000</t>
  </si>
  <si>
    <t xml:space="preserve">CEIBA DEL NORTE 2104 - 1.100.000 </t>
  </si>
  <si>
    <t>PUERTO PARAISO 2014 - 1.100.000</t>
  </si>
  <si>
    <t>ALTOBELO 816 - $ 1.000.000</t>
  </si>
  <si>
    <t xml:space="preserve">DESISTE </t>
  </si>
  <si>
    <t>NO VOLVIO A CONTESTAR</t>
  </si>
  <si>
    <t>APLAZADO</t>
  </si>
  <si>
    <t xml:space="preserve">MARECHIANO 501 $ 1.350.000 </t>
  </si>
  <si>
    <t>DESISTE</t>
  </si>
  <si>
    <t xml:space="preserve">PUERTO VENTURA 1104 - 1.200.000 </t>
  </si>
  <si>
    <t>SE VA CON OTRA INMOBILIARIA</t>
  </si>
  <si>
    <t>PUERTO VENTURA $ 1.300.000 - 100001616 -18010967 EN ESTUDIO</t>
  </si>
  <si>
    <t xml:space="preserve">      TOTAL ---------------------------------&gt;		</t>
  </si>
  <si>
    <t xml:space="preserve">ASESOR  MATEO ROMERO </t>
  </si>
  <si>
    <t>MADERA NATURAL 901$ 1.100.000</t>
  </si>
  <si>
    <t>VILLA LILIAM CRA 50 27B-151 AP 401$ 600.000</t>
  </si>
  <si>
    <t xml:space="preserve">MADERA SILVESTRE 607 $ 1.200.000 </t>
  </si>
  <si>
    <t>PUERTO NUEVO 1001 - 1.300.000</t>
  </si>
  <si>
    <t>CALLE 51A 54-63 AP 201 SEGUNDO PISO</t>
  </si>
  <si>
    <t>HACIENDA NIQUIA 2308 $ 1.200.000</t>
  </si>
  <si>
    <t xml:space="preserve">CALLE 23A Nº 57A - 30 AP 301 CABAÑAS $ 850.000 </t>
  </si>
  <si>
    <t>MEDITERRANEO 218 -  1.100.000</t>
  </si>
  <si>
    <t>SAN FRANCISCO CASA 075 - $950.000</t>
  </si>
  <si>
    <t>MADERA FINA 2406 - 1.100.000</t>
  </si>
  <si>
    <t>MEDITERRANEA 1329 $ 1.300,000</t>
  </si>
  <si>
    <t>SE QUEDA DONDE ESTA</t>
  </si>
  <si>
    <t>CASA GIRARDOTA  $ 1.000.000</t>
  </si>
  <si>
    <t>NO VUELVE A CONTESTAR</t>
  </si>
  <si>
    <t xml:space="preserve">ASESOR  SEBASTIAN ECHAVARRIA </t>
  </si>
  <si>
    <t xml:space="preserve">CEIBA DEL NORTE 1810 $ 1.350.000  </t>
  </si>
  <si>
    <t>SEBAS E</t>
  </si>
  <si>
    <t>NORDICA 1904 $ 1.050.000</t>
  </si>
  <si>
    <t>PLAZUELA DEL NORTE 9926 900.000</t>
  </si>
  <si>
    <t>JUAN S</t>
  </si>
  <si>
    <t xml:space="preserve"> CEIBA DEL NORTE 2501  $ 1.150.000 </t>
  </si>
  <si>
    <t>NORDICA 1802 - 1.500.000</t>
  </si>
  <si>
    <t>BASIELA 402 - 900.000</t>
  </si>
  <si>
    <t>TIERRA LINDA 908 $ 880.000</t>
  </si>
  <si>
    <t>VENTURA 411 - 1.300.000</t>
  </si>
  <si>
    <t xml:space="preserve">TORRE NAVARRA 205 $ 1.200.000 </t>
  </si>
  <si>
    <t xml:space="preserve">ASESOR  JUAN SEBASTIAN GONZALEZ </t>
  </si>
  <si>
    <t xml:space="preserve">CASA BARRIO NUEVO CALLE 21A # 59-07   </t>
  </si>
  <si>
    <t>ENTREVIENTOS 1102 750.000</t>
  </si>
  <si>
    <t>MONTSERRAT 2203 - 1.000.000</t>
  </si>
  <si>
    <t>LOS ARBOLES 2616 - 1.000.000</t>
  </si>
  <si>
    <t>TRAPICHE CALLE 59AA # 68-07 AP 301  500.000</t>
  </si>
  <si>
    <t>AMAZONIKA 1125- 1.100.000</t>
  </si>
  <si>
    <t>LOS ARBOLES 1302 - 1.300.000</t>
  </si>
  <si>
    <t>EN FIRMAS</t>
  </si>
  <si>
    <t>ENTREVIENTOS 312 - 880.000</t>
  </si>
  <si>
    <t>TOTAL FIRMADO</t>
  </si>
  <si>
    <t>TOTAL APROBADO EN FIRMAS</t>
  </si>
  <si>
    <t>TOTAL EN ESTUDIO</t>
  </si>
  <si>
    <t xml:space="preserve">APROBADO BUSCANDO APTO </t>
  </si>
  <si>
    <t>DESISTIDOS</t>
  </si>
  <si>
    <t xml:space="preserve">NEGADOS </t>
  </si>
  <si>
    <t xml:space="preserve">TOTAL </t>
  </si>
  <si>
    <t>SEDE BELLO -DICIEMBRE 2021</t>
  </si>
  <si>
    <t>MEDITERRANEA 1025 - $1.300.000</t>
  </si>
  <si>
    <t xml:space="preserve">VICTOR </t>
  </si>
  <si>
    <t>LOS COLORES ETAPA 2 APT 501</t>
  </si>
  <si>
    <t>AV 37 # 45 54 -  750.000 CASA LAS VEGAS</t>
  </si>
  <si>
    <t xml:space="preserve">PUERTO PARAISO 909 $1.100.000 </t>
  </si>
  <si>
    <t>FLORIDA DE NORTEAMERICA 1449 $1.550.000</t>
  </si>
  <si>
    <t>CALLE 52A # 54-63 2do PISO BARRIO PEREZ - 750.000</t>
  </si>
  <si>
    <t>PUERTO VENTURA 907 - 1.400.000</t>
  </si>
  <si>
    <t>PUERTO AZUL 1808 $1.600.000</t>
  </si>
  <si>
    <t>BOSQUE ALTO 1405 - 1.400.000</t>
  </si>
  <si>
    <t>PUERTO PARAISO 2114 - 1.200.000</t>
  </si>
  <si>
    <t>PUERTO AZUL 1907 - 1.800.000</t>
  </si>
  <si>
    <t>PUERTO PARAISO 2024 - 1.200.000</t>
  </si>
  <si>
    <t>ENSENADA 1216 - 1.200.000 - Se ubico en otro apto</t>
  </si>
  <si>
    <t>PUERTO PARAISO 511 - 1.050.000</t>
  </si>
  <si>
    <t>PUERTO PARAISO 1614 - 1.200.000</t>
  </si>
  <si>
    <t>DG 43 34 33 INT 201 FONTIDUEÑO - 750.000</t>
  </si>
  <si>
    <t>PUERTO VENTURA 702  - 1.300.000</t>
  </si>
  <si>
    <t xml:space="preserve">PUERTO PARAISO 909 $1.150.000 </t>
  </si>
  <si>
    <t>PUERTO PARAISO 714 $1.150.000</t>
  </si>
  <si>
    <t>PUERTO PARAISO 415 - 1.150.000</t>
  </si>
  <si>
    <t>PUERTO PARAISO 1915 - 1.200.000</t>
  </si>
  <si>
    <t>DG 43 34 33 INT 301 FONTIDUEÑO - 750.000</t>
  </si>
  <si>
    <t>DIAGONAL 43 # 34-29 PISO 1 $850.000</t>
  </si>
  <si>
    <t>PUERTO PARAISO 1512- 1.300.000</t>
  </si>
  <si>
    <t>PUERTO PARAISO 113 $ 900.000</t>
  </si>
  <si>
    <t>CEIBA DEL NORTE 522 - 1.150.000</t>
  </si>
  <si>
    <t>NEGADOS</t>
  </si>
  <si>
    <t>CEIBA DEL NORTE 1512 $1.150.000</t>
  </si>
  <si>
    <t>7yyy</t>
  </si>
  <si>
    <t>MADERA SILVESTRE 2710 - 1.300.000</t>
  </si>
  <si>
    <t>MADERA SILVESTRE 306 - 970.000</t>
  </si>
  <si>
    <t>JUANSE</t>
  </si>
  <si>
    <t>PUERTA MADERA 1040 $1.100.000</t>
  </si>
  <si>
    <t>PUERTO PARAISO 309 $1.100.000</t>
  </si>
  <si>
    <t>MONTSERRAT 2010 - $800.000</t>
  </si>
  <si>
    <t>POR ASEGURADORA</t>
  </si>
  <si>
    <t>OPORTO CAMPESTRE 1003 $1.300.000</t>
  </si>
  <si>
    <t>DESISTE BUSCA EN RIONEGRO</t>
  </si>
  <si>
    <t>CEIBA DEL NORTE 1428 - 1.200.000</t>
  </si>
  <si>
    <t xml:space="preserve">MOLINOS DE PRADO 206 </t>
  </si>
  <si>
    <t xml:space="preserve">LOS ARBOLES 1414 $ 1.000.000 </t>
  </si>
  <si>
    <t>CEIBA DEL NORTE 1004 -1.000.000</t>
  </si>
  <si>
    <t>CEIBA DEL NORTE 1512 $1.200.000</t>
  </si>
  <si>
    <t>NORDICA 611 $1.450.000</t>
  </si>
  <si>
    <t>NORDICA 2517 $1.700.000</t>
  </si>
  <si>
    <t>NORDICA 514 - 1.000.000</t>
  </si>
  <si>
    <t>CEIBA DEL NORTE 2529 - 1.700.000</t>
  </si>
  <si>
    <t>OPORTO CAMPESTRE 1003 - 1.300.000</t>
  </si>
  <si>
    <t>LOS ARBOLES 905- 1.100.000</t>
  </si>
  <si>
    <t>PEND APTO</t>
  </si>
  <si>
    <t xml:space="preserve">MEDITERRANEA 1329 $ 1.300.000 </t>
  </si>
  <si>
    <t>CALLE 42B # 58-23 301 - 750.000</t>
  </si>
  <si>
    <t>CLIENTE DESISTE , SE TRALSADA DE TRABAJO</t>
  </si>
  <si>
    <t>TERCER PISO ALCALA  - 750.000</t>
  </si>
  <si>
    <t>MONTSERRAT 2010 $800.000</t>
  </si>
  <si>
    <t>CURAZAO 2011 $750.000</t>
  </si>
  <si>
    <t>PARQUE ALTO 907 $950.000</t>
  </si>
  <si>
    <t>ARBOLES 2309 - 1.100.000</t>
  </si>
  <si>
    <t>ENTREVIENTOS 312 $840.000</t>
  </si>
  <si>
    <t>VINILO 2203 - 800.000</t>
  </si>
  <si>
    <t xml:space="preserve"> </t>
  </si>
  <si>
    <t>BELLO 2022</t>
  </si>
  <si>
    <t>SEDE BELLO -ENERO 2022</t>
  </si>
  <si>
    <t>ASESOR SENIOR ARTURO RUIZ</t>
  </si>
  <si>
    <t>OCEANA 1302 $1.950.000</t>
  </si>
  <si>
    <t>PUERTO PARAISO 1207 $1.150.000</t>
  </si>
  <si>
    <t>PUERTO NUEVO 208 $1.300.000</t>
  </si>
  <si>
    <t xml:space="preserve">PUERTO PARAISO 910 $1.200.000 </t>
  </si>
  <si>
    <t>OCEANA 2001 CANON 1.650.000</t>
  </si>
  <si>
    <t>MANANTIALES 501 - 1.000.000</t>
  </si>
  <si>
    <t>BOSQUE ALTO 1905 $1.400.000</t>
  </si>
  <si>
    <t>FLOR DE AGUA 1029 $1.350.000</t>
  </si>
  <si>
    <t>APROBADO/DESISTE</t>
  </si>
  <si>
    <t>EDIFICIO MANATIALES 501 $1.000.000</t>
  </si>
  <si>
    <t>CLIENTE SSE UBICA EN OTRO APTO</t>
  </si>
  <si>
    <t>CIUDAD CENTRAL 114 $1.200.000 ARTURO -DIANA</t>
  </si>
  <si>
    <t xml:space="preserve">ASESOR JUNIOR ALEXIS ALVAREZ </t>
  </si>
  <si>
    <t>PUERTO PARAISO 2306 $1.300.000</t>
  </si>
  <si>
    <t>PUERTO PARAISO 1609 - $1.200.000</t>
  </si>
  <si>
    <t xml:space="preserve">PUERTO PARAISO 811 $1.300.000 </t>
  </si>
  <si>
    <t>PUERTO PARAISO 713 $1.050.000</t>
  </si>
  <si>
    <t>PUERTO PARAISO 919 Canon: $1.250.000</t>
  </si>
  <si>
    <t>PUERTO PARAISO 1901 $ 1.250.000</t>
  </si>
  <si>
    <t>AMAZONIKA 1432 $1.100.000</t>
  </si>
  <si>
    <t>PUERTO PARAISO 2305 - $1.300.000</t>
  </si>
  <si>
    <t>PUERTO PARAISO 1820 $1.200.000</t>
  </si>
  <si>
    <t xml:space="preserve">Puerto Paraiso 1522 $1.200.000 </t>
  </si>
  <si>
    <t>PUERTO VENTURA 1311 $1.300.000</t>
  </si>
  <si>
    <t>FLORIDA DE NORTEAMERICA 448 $1.700.000</t>
  </si>
  <si>
    <t>PUERTO PARAISO 513 - 1.200.000</t>
  </si>
  <si>
    <t xml:space="preserve">PUERTO NUEVO 618 CANON 1.400.000 </t>
  </si>
  <si>
    <t>FALTA FIRMA INQ</t>
  </si>
  <si>
    <t>NEGADO</t>
  </si>
  <si>
    <t>CANTARES DE RIACHUELOS 1603 $1.150.000</t>
  </si>
  <si>
    <t>FLOR DE AGUA 927 $1.500.000</t>
  </si>
  <si>
    <t>APROBADO PENDIENTE</t>
  </si>
  <si>
    <t>COLINA DE BUCAROS 606 $1.100.000</t>
  </si>
  <si>
    <t xml:space="preserve">ASESOR JUNIOR MATEO ROMERO </t>
  </si>
  <si>
    <t>PUERTA MADERA 428 $1.000.000</t>
  </si>
  <si>
    <t>PUERTO PARAISO 2024 $1.200.000</t>
  </si>
  <si>
    <t>PUERTO PARAISO 2020 $1.200.000</t>
  </si>
  <si>
    <t>PUERTO PARAISO 1604 $ 1.150.000</t>
  </si>
  <si>
    <t>TIERRA LINDA 2204 -700.000</t>
  </si>
  <si>
    <t>PUERTO PARAISO 1217 $1.250.000</t>
  </si>
  <si>
    <t xml:space="preserve">PUERTO PARAISO 1410 $1.300.000 </t>
  </si>
  <si>
    <t>PUERTO PARAISO 919 Canon: $1.200.000</t>
  </si>
  <si>
    <t>PUERTO VENTURA 403 $1.450.000</t>
  </si>
  <si>
    <t>SANTIAGO COLORES</t>
  </si>
  <si>
    <t>TRIGALES 639 $800.000</t>
  </si>
  <si>
    <t>NIQUIA 302 AVENIDA 43 # 57-39 $800.000 MATEO - DIANA</t>
  </si>
  <si>
    <t>MADERA SILVESTRE 306 - 1.000.000</t>
  </si>
  <si>
    <t xml:space="preserve">MEDITERRANEA 528 $ 1.500.000 </t>
  </si>
  <si>
    <t xml:space="preserve">ASESOR JUNIOR SEBASTIAN ECHAVARRIA </t>
  </si>
  <si>
    <t>NORDICA 2709 $1.700.000</t>
  </si>
  <si>
    <t>CALLE 42B # 58-23 301 $720.000</t>
  </si>
  <si>
    <t>NORDICA 2112 $1.850.000</t>
  </si>
  <si>
    <t>NORDICA 614 $1.000.000</t>
  </si>
  <si>
    <t xml:space="preserve">NORDICA 2503 $1.000.0000 </t>
  </si>
  <si>
    <t>CERRO CLARO 203 - 960.000</t>
  </si>
  <si>
    <t xml:space="preserve">EN FIRMAS </t>
  </si>
  <si>
    <t>TORRE NAVARA 1803 $ 1.100.000</t>
  </si>
  <si>
    <t xml:space="preserve">LOS ARBOLES 1808 $900.000 </t>
  </si>
  <si>
    <t>APROBADO/ DESISTE</t>
  </si>
  <si>
    <t>ED AL CIELO AP 302  $900.000</t>
  </si>
  <si>
    <t xml:space="preserve">ASESOR  JUNIOR JUAN SEBASTIAN GONZALEZ </t>
  </si>
  <si>
    <t>12+2</t>
  </si>
  <si>
    <t>ENTREVIENTOS 309 $900.000</t>
  </si>
  <si>
    <t>ARBOLES 905 $1.100.000</t>
  </si>
  <si>
    <t>CERRO CLARO 2101 $900.000</t>
  </si>
  <si>
    <t xml:space="preserve"> NORDICA 2503 $1.000.000 JUAN SE -DIANA</t>
  </si>
  <si>
    <t>APROBADO</t>
  </si>
  <si>
    <t>ALTOBELO 1711 $850.000</t>
  </si>
  <si>
    <t>LOS ARBOLES 813 $ 1.100.000</t>
  </si>
  <si>
    <t xml:space="preserve">FLORIDA DE NORTEAMERICA 408 $ 1.100.000 EN ESTUDIO </t>
  </si>
  <si>
    <t xml:space="preserve">ASESOR  PORTADA </t>
  </si>
  <si>
    <t>CALLE 36A # 58B-15 PISO 1 PRIMER PISO MOLINARES Canon: $1.350.000</t>
  </si>
  <si>
    <t>PEN D POR UBICAR, DECIDE PARAR EL PROCESO</t>
  </si>
  <si>
    <t>OFICINA 510 CC ESTACION NIQUIA $950.000</t>
  </si>
  <si>
    <t>SEDE BELLO -FEBRERO 2022</t>
  </si>
  <si>
    <t>ASESOR SENIOR  ARTURO RUIZ</t>
  </si>
  <si>
    <t>MEDITERRANEA 930 - 1.500.000</t>
  </si>
  <si>
    <t>BOSQUE ALTO 1807 $1.100.000</t>
  </si>
  <si>
    <t xml:space="preserve">CASA PRIMER PISO CABAÑAS CALLE 26A #58C -59 $1.400.000 </t>
  </si>
  <si>
    <t>ENSENADA 1228 $1.100.000</t>
  </si>
  <si>
    <t>FLOR DE AGUA 825 $1.300.000</t>
  </si>
  <si>
    <t>SIERRA MORENA 821 - $1.100.000</t>
  </si>
  <si>
    <t>PUERTO NUEVO 9914  - 1.450.000</t>
  </si>
  <si>
    <t>CERRO CLARO 2101 - 900.000</t>
  </si>
  <si>
    <t>PUERTO PARAISO 1710 - 1.200.000</t>
  </si>
  <si>
    <t xml:space="preserve">CIUDAD CENTRAL 114 CANON 1.200.000 </t>
  </si>
  <si>
    <t xml:space="preserve">PUERTO PARAISO 1516 $1.200.000 </t>
  </si>
  <si>
    <t>HACIENDA 1610 - 1.450.000</t>
  </si>
  <si>
    <t xml:space="preserve">FLOR DE AGUA 1829 - $1.300.000 </t>
  </si>
  <si>
    <t>PEND # CTO</t>
  </si>
  <si>
    <t>PUERTO ALEGRE 1736 - 1.000.000</t>
  </si>
  <si>
    <t>SUBROGACION FLOR 2430 $1.500.000</t>
  </si>
  <si>
    <t>DESISTE  DICE TENER PROBLEMAS COSN LA MUJER</t>
  </si>
  <si>
    <t>CURAZAO 1120-  $850.000</t>
  </si>
  <si>
    <t>AMAZONIKA 726 $ 1.200.000</t>
  </si>
  <si>
    <t>PIDEN DEUDOR DESISTE</t>
  </si>
  <si>
    <t>MONSERRAT 1206 $800.000</t>
  </si>
  <si>
    <t>CLIENTE SE UBICO DIRECTO</t>
  </si>
  <si>
    <t xml:space="preserve"> PUERTO PARAISO 509 $1.200.000</t>
  </si>
  <si>
    <t>MADERA SILVESTRE 1903 - $1.100.000</t>
  </si>
  <si>
    <t>SANTIAGO</t>
  </si>
  <si>
    <t>ALTOBELO 105 - $1.000.000</t>
  </si>
  <si>
    <t xml:space="preserve">PUERTO PARAISO 2213 $1.200.000 </t>
  </si>
  <si>
    <t>CANTARES DE RIACHUELOS 1602 $900.000</t>
  </si>
  <si>
    <t>PUERTO PARAISO 1118  $1.250.000</t>
  </si>
  <si>
    <t>ALTOBELO 405 - $1.150.000</t>
  </si>
  <si>
    <t>PUERTO PARAISO 1617 - 1.250.00</t>
  </si>
  <si>
    <t>PUERTO PARAISO 814 $1.200.000</t>
  </si>
  <si>
    <t>TIERRA LINDA 2104 - 740.000</t>
  </si>
  <si>
    <t>ceiba 1205 $1.200.000</t>
  </si>
  <si>
    <t>DESISGTE</t>
  </si>
  <si>
    <t>CTOS SIN ENVIAR</t>
  </si>
  <si>
    <t>MADERA SILVESTRE 1903 $1.150.000</t>
  </si>
  <si>
    <t>SE VA DIRECTO</t>
  </si>
  <si>
    <t>PUERTO PARAISO 1820  - 1.200.000</t>
  </si>
  <si>
    <t>SKY 1705 - 1.250.000</t>
  </si>
  <si>
    <t xml:space="preserve">PUERTO PARAISO 1719 - 1.200.000 </t>
  </si>
  <si>
    <t>FLOR DE AGUA 2208 - 1.300.000</t>
  </si>
  <si>
    <t xml:space="preserve">CTOS ENVIADOS  </t>
  </si>
  <si>
    <t>SKY 1305 - 1.350.000</t>
  </si>
  <si>
    <t>SKY 1405 -  1.250.000</t>
  </si>
  <si>
    <t>INQ DICE QUEDARSE SIN TRABAJO</t>
  </si>
  <si>
    <t>NORDICA 1915 - 1.000.000</t>
  </si>
  <si>
    <t>ENTREVIENTOS 805 - 820.000</t>
  </si>
  <si>
    <t>DALLAS 602 - 1.200.000</t>
  </si>
  <si>
    <t>LA VIDA ES BELLA 2115 - $1.200.000</t>
  </si>
  <si>
    <t xml:space="preserve">CALLE 26 # 58C-62 - $1.500.000 </t>
  </si>
  <si>
    <t>SE QUEDA EN LA UNIDAD DONDE ESTABA</t>
  </si>
  <si>
    <t>CEIBA DEL NORTE 1204 $1.200.000</t>
  </si>
  <si>
    <t>SKY 1805 - 1.350.000</t>
  </si>
  <si>
    <t>SE VA DEL PAIS</t>
  </si>
  <si>
    <t>MONTE SION 2005 - $1.000.000</t>
  </si>
  <si>
    <t>CONSIGUE DIRECTO</t>
  </si>
  <si>
    <t xml:space="preserve">HACIENDA NIQUIA 1610  $1.500.000 </t>
  </si>
  <si>
    <t>PUERTO PARAISO 814  $1.200.000</t>
  </si>
  <si>
    <t>DESISTE SE QUEDA CON MAXIBIENES</t>
  </si>
  <si>
    <t>CUARAZAO 1120 - 850.000</t>
  </si>
  <si>
    <t xml:space="preserve">ASESORA JUNIOR MILENA </t>
  </si>
  <si>
    <t>FLOR 2430 - $1.500.000</t>
  </si>
  <si>
    <t>PEND POR RECIBIR APTO A INQ</t>
  </si>
  <si>
    <t>SEDE BELLO -MARZO 2022</t>
  </si>
  <si>
    <t>FLOR 329 - $1.350.000</t>
  </si>
  <si>
    <t>PUERTO PARAISO 1814 $ 1.200.000</t>
  </si>
  <si>
    <t>PUERTO PARAISO 2010 $1.300.000</t>
  </si>
  <si>
    <t>FLOR DE AGUA 2126 - $1.600.000</t>
  </si>
  <si>
    <t xml:space="preserve">MADERA FINA 2501 - $1.350.000 </t>
  </si>
  <si>
    <t>SKY 2305 $1.350.000</t>
  </si>
  <si>
    <t>PUERTO PARAISO 712 $1.300.000</t>
  </si>
  <si>
    <t>PUERTO PARAISO 822  1.200.000</t>
  </si>
  <si>
    <t>LOCAL CALLE 49 # 51-35 $2.200.000</t>
  </si>
  <si>
    <t>FLOR DE AGUA 1831  $.1.550.000</t>
  </si>
  <si>
    <t>PUERTO PARAISO 2308 - 1.300.000</t>
  </si>
  <si>
    <t xml:space="preserve">DAKOTA CASA 107 -  $4.500.000 </t>
  </si>
  <si>
    <t>LOCAL CABAÑAS CALLE 32 # 58-125  $800.000</t>
  </si>
  <si>
    <t>OCEANA 2135 $1.700.000</t>
  </si>
  <si>
    <t>MEDITERRANEA 1622 - 1.400.000</t>
  </si>
  <si>
    <t>COMERCIAL</t>
  </si>
  <si>
    <t>PRIMER PISO CABAÑAS Calle 27 B #58 BB - 89 $1.000.000</t>
  </si>
  <si>
    <t>PEND COMUNICACION PROPIETARIO</t>
  </si>
  <si>
    <t xml:space="preserve">APLAZADO </t>
  </si>
  <si>
    <t xml:space="preserve"> TIERRA LINDA 2206 $850.000</t>
  </si>
  <si>
    <t>APLAZADO, NO VUELVE A CONTESTAR</t>
  </si>
  <si>
    <t>EN ESTUDIO</t>
  </si>
  <si>
    <t>CARRERA 52 55-18 AP 301 - $850.000</t>
  </si>
  <si>
    <t>DESISTE SE QUEDA DONDE ESTAN</t>
  </si>
  <si>
    <t xml:space="preserve">APROBADO </t>
  </si>
  <si>
    <t>CEIBA DEL NORTE 1703 $1.200.000 PEND APTO</t>
  </si>
  <si>
    <t>DESISTE ENCONTRO CON OTRA INMO</t>
  </si>
  <si>
    <t>PUERTO PARAISO 602 $1.300.000</t>
  </si>
  <si>
    <t>BUCAROS 1204 $ 1.100.000</t>
  </si>
  <si>
    <t>NORDICA 1803 - $1.100.000</t>
  </si>
  <si>
    <t>PUERTO PARAISO 1005  $ 1.200.000</t>
  </si>
  <si>
    <t>CLL 117 N° 50 A 136 - $650.000</t>
  </si>
  <si>
    <t>AGUA CLARA 1420  $900.000</t>
  </si>
  <si>
    <t>MIRADOR DE BUCAROS 1405 CANON $ 1.200.000</t>
  </si>
  <si>
    <t>PUERTO PARAISO 504  - 1.200.000</t>
  </si>
  <si>
    <t>MIRADOR DE BUCAROS 1605 CANON $1.050.000</t>
  </si>
  <si>
    <t xml:space="preserve">PUERTO ALEGRE 211 - $1.100.000 </t>
  </si>
  <si>
    <t>MIRADOR DE BUCAROS 1705 $1.000.000</t>
  </si>
  <si>
    <t>PUERTO PARAISO 1610 - 1.200.000</t>
  </si>
  <si>
    <t xml:space="preserve">SKY 1805 $1.250.000 </t>
  </si>
  <si>
    <t>PUERTO PARAISO 1922 $1.200.000</t>
  </si>
  <si>
    <t>PUERTO PARAISO 609 - $ 1.200.000</t>
  </si>
  <si>
    <t>SKY 1905 $1.400.000</t>
  </si>
  <si>
    <t>PUERTO PARAISO 1920 $1.200.000</t>
  </si>
  <si>
    <t>PUERTO PARAISO 1317 - $1.300.000</t>
  </si>
  <si>
    <t>CURAZAO 2133 CANON $820.000</t>
  </si>
  <si>
    <t>DESISTE CLIENTE</t>
  </si>
  <si>
    <t>PUERTA MADERA 2254 $1.450.000</t>
  </si>
  <si>
    <t>DESISTE POR PROBLEMAS JUDICIALES</t>
  </si>
  <si>
    <t>LOS ARBOLES 2508 - 1.000.000</t>
  </si>
  <si>
    <t>DESISTE INQ</t>
  </si>
  <si>
    <t>DESISTEN</t>
  </si>
  <si>
    <t>PUERTA MADERA $1.350      PEND REUBICAR APTO CON HUMEDAD</t>
  </si>
  <si>
    <t>HACIENDA NIQUIA 1610 $1.500.000 PEND POR APTO</t>
  </si>
  <si>
    <t>MAJAGUA 238 $700.000</t>
  </si>
  <si>
    <t>CALLE 26 N° 58 C - 62 $1.500.0000</t>
  </si>
  <si>
    <t>CEIBA DEL NORTE 1205 $1.200.000</t>
  </si>
  <si>
    <t>LA VIDA ES BELLA 1313 - $1.000.000</t>
  </si>
  <si>
    <t>LOS ARBOLES 2508 $1.000.000</t>
  </si>
  <si>
    <t>MILENA</t>
  </si>
  <si>
    <t>ENSENADA 2430 - 1.400.000</t>
  </si>
  <si>
    <t>PEND DEUDOR, NUNCA LO ANEXARON</t>
  </si>
  <si>
    <t>VIVENZA 801 $1.100.000</t>
  </si>
  <si>
    <t>PROBLEMAS DE SALUD</t>
  </si>
  <si>
    <t xml:space="preserve">ASESOR ASESORA JUNIOR MILENA 									</t>
  </si>
  <si>
    <t>PUERTO PARAISO 2301 $ 1.100.0000</t>
  </si>
  <si>
    <t>CURAZAO 406 CANON $ 850.000</t>
  </si>
  <si>
    <t>FLORIDA DE NORTEAMERICA 1250 - $1.400.000</t>
  </si>
  <si>
    <t>TIERRA LINDA 1201 $850.000</t>
  </si>
  <si>
    <t>DESISTE NO SE PUDO TENER COMUNICACION CON PROPIETARIO</t>
  </si>
  <si>
    <t>ASESOR PORTADA</t>
  </si>
  <si>
    <t>SEDE BELLO -ABRIL 2022</t>
  </si>
  <si>
    <t>13+6</t>
  </si>
  <si>
    <t>CALLE 27 B N° 58 BB - 89</t>
  </si>
  <si>
    <t>PUERTO PARAISO 1111 $1.350.000</t>
  </si>
  <si>
    <t>SKY 1102 - 1.400.000</t>
  </si>
  <si>
    <t>ENSENADA 716 - 1300000</t>
  </si>
  <si>
    <t>PUERTO PARAISO 2202 - 1.300.000</t>
  </si>
  <si>
    <t>ENSENADA 1818 - 1.400.000</t>
  </si>
  <si>
    <t xml:space="preserve">PUERTO PARAISO 1007 $1.350.000 </t>
  </si>
  <si>
    <t>ENSENADA 2424 1.050.000</t>
  </si>
  <si>
    <t>ENSENADA 423 $1.250.000</t>
  </si>
  <si>
    <t>ENSENADA 423 CANON $1.200.000</t>
  </si>
  <si>
    <t>PEND</t>
  </si>
  <si>
    <t>PEND POR APTO</t>
  </si>
  <si>
    <t>FLOR DE AGUA 1025 $1.300.000</t>
  </si>
  <si>
    <t>SE UBICO CON OTRA INMO</t>
  </si>
  <si>
    <t>OCEANA 2135 $1.650.000</t>
  </si>
  <si>
    <t>16+3</t>
  </si>
  <si>
    <t>COLINA DE BUCAROS 207 $ 1.100.000</t>
  </si>
  <si>
    <t>CURAZAO 2107 $1.050.000</t>
  </si>
  <si>
    <t>CARRERA 58A 42B-12 SANTA ANA</t>
  </si>
  <si>
    <t>CALLE 51 N° 58 – 31 AP 401 COPACABANA - $1.600.000</t>
  </si>
  <si>
    <t>PUERTO PARAISO 2309 - 1.350.000</t>
  </si>
  <si>
    <t>AVENIDA 43 57-39 AP 302 - 800.000</t>
  </si>
  <si>
    <t>PUERTO PARAISO 1816 - 1.250.000</t>
  </si>
  <si>
    <t>OPORTO CIUDADELA 2517 - $1.500.000</t>
  </si>
  <si>
    <t>PARQUE ALTO 915 - $ 1.000.000</t>
  </si>
  <si>
    <t xml:space="preserve"> PUERTO PARAISO 1514 - $1.300.000 </t>
  </si>
  <si>
    <t>CALLE 28 55-39 4° PISO CABAÑAS CANON $1.050.000</t>
  </si>
  <si>
    <t>PUERTO PARAISO 720 $1.300.000</t>
  </si>
  <si>
    <t>ENSENADA 423 -$1.200.000</t>
  </si>
  <si>
    <t>DIAGONAL 58CC # 27B-97 1°PISO CABAÑAS CANON$1.500.000</t>
  </si>
  <si>
    <t>PEN APTO</t>
  </si>
  <si>
    <t xml:space="preserve">EN ESTUDIO </t>
  </si>
  <si>
    <t>GALES 1603 - 1.400.000</t>
  </si>
  <si>
    <t>DESISTE SE VA A VIVIR CON UN FAMILIAR</t>
  </si>
  <si>
    <t>PUERTO PARAISO 1022 - $1.300.000</t>
  </si>
  <si>
    <t>CURAZAO 2133 $820.000</t>
  </si>
  <si>
    <t>PUERTO PARAISO 1301  - 1.250.000</t>
  </si>
  <si>
    <t>PUERTA MADERA 1256 $1.350.000</t>
  </si>
  <si>
    <t>CEIBA DEL NORTE 1528 - $1.500.000</t>
  </si>
  <si>
    <t>POBLADO NIQUIA 215 - $1.400.000</t>
  </si>
  <si>
    <t>MANCHESTER 1108 - 850.000</t>
  </si>
  <si>
    <t>SE UBICO DIRECTO</t>
  </si>
  <si>
    <t>PEND APTO, no se logra ubicar se le mostraron mas de 5 aptos</t>
  </si>
  <si>
    <t>ENCONTRO CON OTRA INMO</t>
  </si>
  <si>
    <t>PLAZUELA DEL NORTE 9926 $ 950.000</t>
  </si>
  <si>
    <t>NORDICA 1014 $1.150.000</t>
  </si>
  <si>
    <t>CERRO CLARO 209 $1.000.000</t>
  </si>
  <si>
    <t xml:space="preserve">VIVENZA 801 - $1.050.000 - </t>
  </si>
  <si>
    <t>MIRADOR DE BUCAROS 906 $1.200.000</t>
  </si>
  <si>
    <t>MONTESION 1105 $1.050.000</t>
  </si>
  <si>
    <t>MIRADOR DE BUCAROS 1906 $ 1.200.000</t>
  </si>
  <si>
    <t xml:space="preserve"> CERRO CLARO 408 $1.100.000</t>
  </si>
  <si>
    <t>NORDICA 2114 - $1.100.000</t>
  </si>
  <si>
    <t>FLOR DE AGUA 2706 - $1.600.000</t>
  </si>
  <si>
    <t>VILLAS DE COMFENALCO 301  - $850.000</t>
  </si>
  <si>
    <t>CERRO CLAR0 707 - $1.160.000</t>
  </si>
  <si>
    <t>VILLAS DE COMFENALCO 201  - $650.000</t>
  </si>
  <si>
    <t>NORDICA 1304 - $1.000.000</t>
  </si>
  <si>
    <t>TOLEDO CAMPESTRE 2408 CANON $1.200.00</t>
  </si>
  <si>
    <t>SEGUNDA OPC PUERTA MADERA 1256 $1.350.000</t>
  </si>
  <si>
    <t>LA COLINA 501 - 1.000.000</t>
  </si>
  <si>
    <t>SEDE BELLO -MAYO 2022</t>
  </si>
  <si>
    <t>FLOR APARTAMENTOS 306 $1.500.000</t>
  </si>
  <si>
    <t>FLOR DE AGUA 1406 $1.600.000</t>
  </si>
  <si>
    <t>FLOR APARTAMENTOS 2628 $1450.000</t>
  </si>
  <si>
    <t>OCEANA 2732 $2.200.000</t>
  </si>
  <si>
    <t>14+3</t>
  </si>
  <si>
    <t>COLINA DE BUCAROS 1910  $1.200.000</t>
  </si>
  <si>
    <t>PUERTO PARAISO 1510 $1.350.000</t>
  </si>
  <si>
    <t>MONTE SION 1916 $1.000.000</t>
  </si>
  <si>
    <t>PUERTO VENTURA 816 $1.450.000</t>
  </si>
  <si>
    <t xml:space="preserve"> FLOR DE AGUA 1406 $1.600.000 </t>
  </si>
  <si>
    <t>PUERTO PARAISO 119 $1.300.000</t>
  </si>
  <si>
    <t>PUERTA MADERA 1723  $1.050.000</t>
  </si>
  <si>
    <t>COLINA DE BUCAROS 1107 $1.200.000</t>
  </si>
  <si>
    <t>PUERTO PARAISO 1602 $ 1.200.000</t>
  </si>
  <si>
    <t>NORDICA 1610 $1.500.000</t>
  </si>
  <si>
    <t>NO TIENE DEUDOR</t>
  </si>
  <si>
    <t>CARRERA 58BB # 29-20 $1.450.000</t>
  </si>
  <si>
    <t>NECESITA CASA PARA COMERCIO</t>
  </si>
  <si>
    <t>PUERTO PARAISO 1618 $1.350.000</t>
  </si>
  <si>
    <t>PUERTO PARAISO 419 $1.350.000</t>
  </si>
  <si>
    <t>RESERVA DE BUCAROS 2201 $900.000</t>
  </si>
  <si>
    <t>PUERTO PARAISO 417 $1.300.000</t>
  </si>
  <si>
    <t>FLOR APARTAMENTOS 2306 $1.900.000</t>
  </si>
  <si>
    <t>FLOR APARTAMENTOS 2001 $1.450.000</t>
  </si>
  <si>
    <t>CERRO CLARO 1907 $1.000.000</t>
  </si>
  <si>
    <t>PUERTO PARAISO 2315 $1.350.000</t>
  </si>
  <si>
    <t>PUERTO PARAISO 223 $1.100.000</t>
  </si>
  <si>
    <t>FLOR DE AGUA 2306 $1.900.00</t>
  </si>
  <si>
    <t>CLIENTE DESISTIÓ</t>
  </si>
  <si>
    <t xml:space="preserve">FLOR APARTAMENTOS 1727 $ 1.450.000 </t>
  </si>
  <si>
    <t>CEIBA DEL NORTE 1311 $1.200.000</t>
  </si>
  <si>
    <t>NORDICA 1108 $1.500.000</t>
  </si>
  <si>
    <t>CERRO CLARO 1909   $1.000.000</t>
  </si>
  <si>
    <t>MAGENTA 1603 - $1.050.000</t>
  </si>
  <si>
    <t>DESISTE DEL PROCESO</t>
  </si>
  <si>
    <t>DIAGONAL 59 # 47-34 LOCAL COLINA</t>
  </si>
  <si>
    <t>DESISTE DE TOMAR EL LOCAL</t>
  </si>
  <si>
    <t>SEDE BELLO -JUNIO 2022</t>
  </si>
  <si>
    <t>ASESOR SENIOR  ALEXIS ALVAREZ</t>
  </si>
  <si>
    <t>14 + 3</t>
  </si>
  <si>
    <t>PUERTO PARAISO 1803 $1.350.000</t>
  </si>
  <si>
    <t>LAURELES DE TERRANOVA 1092 $1.200.000</t>
  </si>
  <si>
    <t>PARQUE ALTO 907  $1.000.000</t>
  </si>
  <si>
    <t>PUERTO VENTURA 715 $1.650.00</t>
  </si>
  <si>
    <t>PUERTO PARAISO 322 $1.300.000</t>
  </si>
  <si>
    <t>BULEVAR 55 LOCAL 102 $2941177</t>
  </si>
  <si>
    <t>CALLE 64 DF N° 116 C - 107  $850.000 ROBLEDO</t>
  </si>
  <si>
    <t>PUERTO VENTURA 2301 $1.600.000</t>
  </si>
  <si>
    <t xml:space="preserve">FLOR APARTAMENTOS 830 - $1.600.000 </t>
  </si>
  <si>
    <t>CASA ALAMEDA 112 $3.500.000</t>
  </si>
  <si>
    <t>LAURELES DE TERRANOVA $1.200.000</t>
  </si>
  <si>
    <t>ASESOR SENIOR  MATEO ROMERO</t>
  </si>
  <si>
    <t>DIAGONAL 59 -47-15 AP 9901 $670.000</t>
  </si>
  <si>
    <t>CARRERA 58 BB N° 29 - 20 1.500.000</t>
  </si>
  <si>
    <t>CARRERA 59 F N° 38C – 9 $1.230.000</t>
  </si>
  <si>
    <t>JUAN PABLO</t>
  </si>
  <si>
    <t xml:space="preserve">FLOR DE AGUA 830 $1.600.000 </t>
  </si>
  <si>
    <t xml:space="preserve">SKY 2803 $1.450.000 </t>
  </si>
  <si>
    <t>PUERTO PARAISO 523 $1.250.000</t>
  </si>
  <si>
    <t>AVENIDA 36B N° 65 A - 34 AP 301  $750.000</t>
  </si>
  <si>
    <t>ALEJANDRA</t>
  </si>
  <si>
    <t>FLORIDA DE NORTEAMERICA 1512 $1.200.000</t>
  </si>
  <si>
    <t>PND CTO</t>
  </si>
  <si>
    <t xml:space="preserve">PUERTO ALEGRE 1446 $950.000 </t>
  </si>
  <si>
    <t xml:space="preserve">PUERTO PARAISO 2217  $1.300.000 </t>
  </si>
  <si>
    <t>PUERTO ALEGRE 1446 $ 950.000</t>
  </si>
  <si>
    <t>COLINA DE BUCAROS 1908 $1.200.000 SEGUNDA OPCION</t>
  </si>
  <si>
    <t>CL 57 #47 20 AP 302 $1.000.000</t>
  </si>
  <si>
    <t>COLINA DE BUCAROS 1901 $1.100.000</t>
  </si>
  <si>
    <t>ASESOR SENIOR  SEBASTIAN ECHAVARRIA</t>
  </si>
  <si>
    <t>DIAGONAL 59 N° 47 - 15 INT 401 $645.000</t>
  </si>
  <si>
    <t>DIAGONAL 59 N° 47 - 15 INT 9902 $580.000</t>
  </si>
  <si>
    <t>FLOR APARTAMENTOS 831 $1.400.000</t>
  </si>
  <si>
    <t xml:space="preserve">CERRO CLARO 208 $1.300.000 </t>
  </si>
  <si>
    <t>IVON</t>
  </si>
  <si>
    <t>LAURELES DE TERRANOVA 2005 $1.000.000</t>
  </si>
  <si>
    <t>NORDICA 1802 $1.500.000</t>
  </si>
  <si>
    <t>CEIBA DEL NORTE 1512 $1.300.000</t>
  </si>
  <si>
    <t>MADERA ESENCIAL 719 $ 1.200.000</t>
  </si>
  <si>
    <t xml:space="preserve">NORDICA 1115 $1.150.000 </t>
  </si>
  <si>
    <t>CERRO CLARO 2501 $1.100.000</t>
  </si>
  <si>
    <t>CEIBA DEL NORTE 1524 $1.300.000</t>
  </si>
  <si>
    <t>APARTAMENTO QUITASOL $700.000</t>
  </si>
  <si>
    <t xml:space="preserve"> APARTAESTUDIO 401 NIQUIA $ 620.000  SEGUNDA OPCION</t>
  </si>
  <si>
    <t>COLINA DE BUCAROS 1908 $ 1.200.000</t>
  </si>
  <si>
    <t>ASESOR SENIOR  VICTOR CASTAÑEDA ( RENUNCIO 15/06/2022)</t>
  </si>
  <si>
    <t>ASESOR SENIOR SANTIAGO ESCOBAR</t>
  </si>
  <si>
    <t>PND POR UBICAR</t>
  </si>
  <si>
    <t>TORRES DEL BOSQUE 204 $ 1.100.000</t>
  </si>
  <si>
    <t>SEDE BELLO -JULIO 2022</t>
  </si>
  <si>
    <t>FACTURADO</t>
  </si>
  <si>
    <t>ADMON</t>
  </si>
  <si>
    <t>16 + 3</t>
  </si>
  <si>
    <t>COLINA DE BUCAROS 1908 1.200.000</t>
  </si>
  <si>
    <t>OK</t>
  </si>
  <si>
    <t xml:space="preserve">PUERTO PARAISO 2217 $1.350.000	 </t>
  </si>
  <si>
    <t>CAMINO DEL VIENTO 1609 - $1.400.000</t>
  </si>
  <si>
    <t xml:space="preserve">FLOR APARTAMENTOS 303 $1.600.000	</t>
  </si>
  <si>
    <t>FLOR APARTAMENTOS 1628 1.500.000</t>
  </si>
  <si>
    <t xml:space="preserve">PUERTO PARAISO 1010 $1.300.000	 </t>
  </si>
  <si>
    <t>PUERTO AZUL 1005 $1.950.000</t>
  </si>
  <si>
    <t>AUN NO FACTURA</t>
  </si>
  <si>
    <t>PUERTO VENTURA 1216 1.400.000</t>
  </si>
  <si>
    <t>PUERTO VENTURA 508 $1.600.000</t>
  </si>
  <si>
    <t>N/A</t>
  </si>
  <si>
    <t>FLOR APARTAMENTOS 1807 $1.800.000</t>
  </si>
  <si>
    <t>FLOR APARTAMENTOS 2732 1.350.000</t>
  </si>
  <si>
    <t>OCEANA 904 2.100.000</t>
  </si>
  <si>
    <t>LOCAL MANCHESTER 2.610.000</t>
  </si>
  <si>
    <t>PUERTO PARAISO 1422 1.200.000</t>
  </si>
  <si>
    <t>FLOR APARTAMENTOS 2329 $1.350.000</t>
  </si>
  <si>
    <t>TOTAL</t>
  </si>
  <si>
    <t>5+3</t>
  </si>
  <si>
    <t>PUERTO PARAISO 2217 $1.350.000</t>
  </si>
  <si>
    <t xml:space="preserve">CEIBA DEL NORTE 1524 $1.300.000	 </t>
  </si>
  <si>
    <t>PUERTO PARAISO 520 $1.300.000</t>
  </si>
  <si>
    <t>PROPIETARIO OK</t>
  </si>
  <si>
    <t xml:space="preserve">PUERTO PARAISO 621 $1.200.000	 </t>
  </si>
  <si>
    <t>FLOR APARTAMENTOS 303 $1.600.000</t>
  </si>
  <si>
    <t xml:space="preserve">ALEXIS </t>
  </si>
  <si>
    <t>NO FACTURA</t>
  </si>
  <si>
    <t xml:space="preserve">MADERA NATIVA 3110 $1250000	 </t>
  </si>
  <si>
    <t>CERRO CLARO 2501 $ 1.100.000</t>
  </si>
  <si>
    <t>FLOR APARTAMENTOS 2329 - $1.350.000</t>
  </si>
  <si>
    <t xml:space="preserve">OCEANA 1902 $2.300.000 </t>
  </si>
  <si>
    <t>ALEXANDER ARANGO</t>
  </si>
  <si>
    <t>PUERTO AZUL 1005 $1.900.000</t>
  </si>
  <si>
    <t>APTO ESTABA CON ARREGLOS Y ELLA NECESITABA URGN</t>
  </si>
  <si>
    <t>POR UBICACION DESISTIERON</t>
  </si>
  <si>
    <t xml:space="preserve">LOCAL LA COLINA SEGUNDO PISO $1.200.000 </t>
  </si>
  <si>
    <t>MUY PEQUEÑO</t>
  </si>
  <si>
    <t>PROP</t>
  </si>
  <si>
    <t xml:space="preserve">LOCAL MANCHESTER 2.610.000	 </t>
  </si>
  <si>
    <t>MADERA NATIVA 1109 $ 1.150.000</t>
  </si>
  <si>
    <t xml:space="preserve">CERRO CLARO 2501 $ 1.100.000	 </t>
  </si>
  <si>
    <t>ALTOBELO 816 $1.200.000</t>
  </si>
  <si>
    <t>PUERTO PARAISO 508 $1.250.000</t>
  </si>
  <si>
    <t>CL 63 A 65 D 26 AP 201 CASA VILLAS DE COMFENALCO $1.250.000</t>
  </si>
  <si>
    <t>NORDICA 1610 $1.400.000</t>
  </si>
  <si>
    <t>PUERTO PARAISO 621 $1.200.000</t>
  </si>
  <si>
    <t xml:space="preserve">PROP </t>
  </si>
  <si>
    <t>CEIBA DEL NORTE 2411 1.200.000</t>
  </si>
  <si>
    <t>CL 65 65 42 TORRE LA CASONA 1905 $800.000  EMPALME</t>
  </si>
  <si>
    <t>MADERA NATIVA 907 - $1.150.000</t>
  </si>
  <si>
    <t>PLAZUELAS DEL NORTE 445 850.000</t>
  </si>
  <si>
    <t>VIVENZA 2014 1.300.000</t>
  </si>
  <si>
    <t>NORDICA 1903 1.100.000</t>
  </si>
  <si>
    <t>PUERTO PARAISO 1010 $1.300.000</t>
  </si>
  <si>
    <t xml:space="preserve">CERRO CLARO 902 $ 1.150.000 </t>
  </si>
  <si>
    <t>FLORIDA DE NORTEMARICA 2302 $1.400.000</t>
  </si>
  <si>
    <t>DESISTE POR ACABADOS DEL APTO</t>
  </si>
  <si>
    <t>ASESOR SENIOR  SANTIAGO ESCOBAR</t>
  </si>
  <si>
    <t>MADERA NATIVA 3110 $1250000</t>
  </si>
  <si>
    <t>MADERA NATIVA 1103 - $1.000.000</t>
  </si>
  <si>
    <t xml:space="preserve">CURAZAO 740 - $1.100.000 </t>
  </si>
  <si>
    <t>VICENZA 1006 $ 1.250.000</t>
  </si>
  <si>
    <t>MADERA SILVESTRE 406 1.200.000</t>
  </si>
  <si>
    <t>10%%</t>
  </si>
  <si>
    <t>CALLE 52B 64 95 LCL 108 CANTARES DE RIACHUELO 1.400.000</t>
  </si>
  <si>
    <t>SECTOR</t>
  </si>
  <si>
    <t>CAPTACIONES</t>
  </si>
  <si>
    <t>ARRIENDOS ($)</t>
  </si>
  <si>
    <t xml:space="preserve">TOTAL INMUEBLES ARRENDADOS </t>
  </si>
  <si>
    <t>51.860.000</t>
  </si>
  <si>
    <t>OTRAS ZONAS</t>
  </si>
  <si>
    <t>SEDE BELLO -AGOSTO 2022</t>
  </si>
  <si>
    <t>ASESOR  ALEXIS ALVAREZ</t>
  </si>
  <si>
    <t>MADERA SILVESTRE 506 $1.200.000</t>
  </si>
  <si>
    <t>PUERTO PARAISO 304  $1.350.000</t>
  </si>
  <si>
    <t>OCEANA 519 $2.000.000</t>
  </si>
  <si>
    <t>OCEANA 1920 $2.100.000</t>
  </si>
  <si>
    <t>CAMINO DEL VIENTO 721 $1.550.000</t>
  </si>
  <si>
    <t>GALES 1301 1.300.000</t>
  </si>
  <si>
    <t>CALLE 24 A N° 57 A - 41 AP 401 $970.000</t>
  </si>
  <si>
    <t>PUERTO PARAISO 1109 1.350.000</t>
  </si>
  <si>
    <t>CALLE 24 A N° 57 A - 41 AP 301 $970.000</t>
  </si>
  <si>
    <t>CALLE 26 N° 58BB-63 1.400.000</t>
  </si>
  <si>
    <t>CALLE 24 A N° 57 A - 41 AP 201 $970.000</t>
  </si>
  <si>
    <t>PND GRABAC</t>
  </si>
  <si>
    <t>PUERTO PARAISO 2324 $1.400.000</t>
  </si>
  <si>
    <t>COLINA DE BUCAROS AP 2116  $1.300.000</t>
  </si>
  <si>
    <t>MADERA ESENCIAL 1102 $1.250.000</t>
  </si>
  <si>
    <t>LA VIDA ES BELLA 1013  $1.200.000</t>
  </si>
  <si>
    <t>FLOR APARTAMENTOS 1107 $1.750.000</t>
  </si>
  <si>
    <t>CLL 28 N°55-50  $1.500.000</t>
  </si>
  <si>
    <t>Desiste de arrendar</t>
  </si>
  <si>
    <t>Desiste del inmueble/encuentra directo</t>
  </si>
  <si>
    <t>MADERA ESENCIAL 1102 1.250.000</t>
  </si>
  <si>
    <t>negado</t>
  </si>
  <si>
    <t>MADERA NATIVA 1105 1.250.000</t>
  </si>
  <si>
    <t>FLOR 907 1.800.000</t>
  </si>
  <si>
    <t>CARRERA 48 N° 46 - 87 LOCAL  $950.000</t>
  </si>
  <si>
    <t>cliente desiste necesita algo mas grande</t>
  </si>
  <si>
    <t>TOTAL ARRENDADO   --------------------------------------------------&gt;</t>
  </si>
  <si>
    <t>PUERTO VENTURA 617 $1.650.000</t>
  </si>
  <si>
    <t>OCEANA 1501  $1.900.000</t>
  </si>
  <si>
    <t>PUERTO PARAISO 1215 $1.400.000</t>
  </si>
  <si>
    <t>MADERA SILVESTRE 406 $1.200.000</t>
  </si>
  <si>
    <t>PUERTO VENTURA 914 $1.500.000</t>
  </si>
  <si>
    <t>PUERTO VENTURA 1715  $1.650.000</t>
  </si>
  <si>
    <t>CRA 59 N° 41 - 31 AP 201 $950.000</t>
  </si>
  <si>
    <t>PUERTO VENTURA 301 $1.400.000</t>
  </si>
  <si>
    <t>FLOR APARTAMENTOS 1405 $ 1.500.000</t>
  </si>
  <si>
    <t>OCEANA 2025 $1.900.000 CTO 6 MESES</t>
  </si>
  <si>
    <t>ALEJANDRO</t>
  </si>
  <si>
    <t>MEDITERRANEA 1629 $1.650.000</t>
  </si>
  <si>
    <t>CALLE 27 N° 57-32 $1.300.000</t>
  </si>
  <si>
    <t xml:space="preserve">MATEO </t>
  </si>
  <si>
    <t>CAMINO DEL VIENTO 1515 $ 1.350.000</t>
  </si>
  <si>
    <t>MAXIMILIANO</t>
  </si>
  <si>
    <t>MADERA NATIVA 1206 $ 1.200.000</t>
  </si>
  <si>
    <t>PND GRABACION</t>
  </si>
  <si>
    <t>OCEANA 2501 $2000000</t>
  </si>
  <si>
    <t>ESTACION NIQUIA OF 420 $1.300.000</t>
  </si>
  <si>
    <t>PND USO DE SUELO</t>
  </si>
  <si>
    <t>PUERTO PARAISO 2325 $1.400.000</t>
  </si>
  <si>
    <t>Mal comportamiento / no tiene a quien mas presentar</t>
  </si>
  <si>
    <t>No le cabe el nevecon y no se sube del presupuesto</t>
  </si>
  <si>
    <t>ENCONTRO DIRECTO</t>
  </si>
  <si>
    <t>FLORIDA NORTEAMERICA 2302 1.300.000</t>
  </si>
  <si>
    <t>PROPIETARIO</t>
  </si>
  <si>
    <t>NORDICA 2714 $1.100.000 ( ESTE NEGOCIO SE LE PAGO EN JULIO)</t>
  </si>
  <si>
    <t>CACIQUE NIQUIA 442 $ 1.100.000</t>
  </si>
  <si>
    <t>CALLE 68 A N° 66 - 17  VILLAS DE CONFENALCO $1.150.000</t>
  </si>
  <si>
    <t>MONTESION 1104 1.050.000</t>
  </si>
  <si>
    <t>NORDICA 1308 $ 1.500.000</t>
  </si>
  <si>
    <t>MEDITERRANEA 825 $.1.450.000</t>
  </si>
  <si>
    <t>PUERTO PARAISO 814 $1.300.000</t>
  </si>
  <si>
    <t>CURAZAO 2036 $900.000</t>
  </si>
  <si>
    <t>Consigue directo</t>
  </si>
  <si>
    <t xml:space="preserve">LOS ARBOLES 812 $1.400.000 </t>
  </si>
  <si>
    <t>Prop vende inmueble, desiste de arrendar</t>
  </si>
  <si>
    <t>PUERTO PARAISO 2020 $1.400.000</t>
  </si>
  <si>
    <t xml:space="preserve"> Negado, no tiene mas a quien presentar</t>
  </si>
  <si>
    <t xml:space="preserve">ASESOR SENIOR  DIANA MILENA LOPEZ									</t>
  </si>
  <si>
    <t>OCEANA 2021 $2.300.000</t>
  </si>
  <si>
    <t>MADERA SILVESTRE 2710 $1.400.000</t>
  </si>
  <si>
    <t>PLAZA NAVARRA 429 $1.000.000</t>
  </si>
  <si>
    <t>MADERA NATIVA 305 $ 1.200.000</t>
  </si>
  <si>
    <t xml:space="preserve">COLINA DE BUCAROS 1520 $ 1.300.000 </t>
  </si>
  <si>
    <t>Negado</t>
  </si>
  <si>
    <t>CRA 50 N° 27 B - 151 AP 304 500.000</t>
  </si>
  <si>
    <t>SEDE BELLO - SEPTIEMBRE 2022</t>
  </si>
  <si>
    <t>LA VIDA ES BELLA 1313  $1.100.000</t>
  </si>
  <si>
    <t>CARRERA 65 N°52C-29 EL CARMELO $800.000</t>
  </si>
  <si>
    <t>MEDITERRANEA 1917 SUB 1.200.000</t>
  </si>
  <si>
    <t>CALLE 28 N° 55-50 AP 501 $.1500.000</t>
  </si>
  <si>
    <t>PUERTO PARAISO 1013  $ 1.400.000</t>
  </si>
  <si>
    <t>INICIA 30 SEP</t>
  </si>
  <si>
    <r>
      <rPr>
        <b/>
        <sz val="11"/>
        <color rgb="FF000000"/>
        <rFont val="Calibri"/>
      </rPr>
      <t xml:space="preserve">NORDICA 1612 $1.800.000 </t>
    </r>
    <r>
      <rPr>
        <b/>
        <sz val="11"/>
        <color rgb="FF5B9BD5"/>
        <rFont val="Calibri"/>
      </rPr>
      <t>SUBROGACION</t>
    </r>
  </si>
  <si>
    <t>MEDITERRANEA 1418 $ 1.760.000</t>
  </si>
  <si>
    <t>FLORIDA DE NORTEAMERICA 2035 $ 1.300.000</t>
  </si>
  <si>
    <t>PUERTO PARAISO 307 $ 1.300.000</t>
  </si>
  <si>
    <t>INICIA: 30 - PND FIRMA PROP</t>
  </si>
  <si>
    <t>MADERA NATIVA 511  $1.300.000</t>
  </si>
  <si>
    <t>PUERTO PARAISO 806 $1.400.000</t>
  </si>
  <si>
    <t>MADERA ESENCIAL 1519 $1.300.000</t>
  </si>
  <si>
    <t>FLOR 1002 $1.800.000</t>
  </si>
  <si>
    <t>GRABACION</t>
  </si>
  <si>
    <t>PUERTO PARAISO 810 $1.300.000</t>
  </si>
  <si>
    <t xml:space="preserve">MEDITERRANEA 1010 $1.700.000 </t>
  </si>
  <si>
    <t>ESTUDIO</t>
  </si>
  <si>
    <t>BOSQUE ALTO 806 $1.550.000</t>
  </si>
  <si>
    <t>ASESOR  MATEO ROMERO</t>
  </si>
  <si>
    <t xml:space="preserve">ESTACION NIQUIA 420 </t>
  </si>
  <si>
    <t>MADERA NATIVA 2305</t>
  </si>
  <si>
    <t xml:space="preserve">PUERTA MADERA 2067 </t>
  </si>
  <si>
    <t>FLOR APARTAMENTO 2203</t>
  </si>
  <si>
    <t xml:space="preserve">CAMINO DEL VIENTO 1801 </t>
  </si>
  <si>
    <t xml:space="preserve">SKY 2702 </t>
  </si>
  <si>
    <t>INICIA 30</t>
  </si>
  <si>
    <t>FLOR APARTAMENTOS 2532 $1.450.000</t>
  </si>
  <si>
    <t xml:space="preserve">INICIA: 30 - </t>
  </si>
  <si>
    <t>COLINA DE BUCAROS 601 $ 1.250.000</t>
  </si>
  <si>
    <t>INICIA: 28 SEP</t>
  </si>
  <si>
    <t>MEDITERRANEA 609 $1.800.000</t>
  </si>
  <si>
    <t>INICIA 30 SEP / PND DOCUMENTOS</t>
  </si>
  <si>
    <t xml:space="preserve">SAN MARINO 403 </t>
  </si>
  <si>
    <t>NORDICA 1612 $1.800.000 SEGUNDA OPCION</t>
  </si>
  <si>
    <t>LOCAL CABAÑAS $1.800.000</t>
  </si>
  <si>
    <t>OCEANA 1003 $2.800.000</t>
  </si>
  <si>
    <t>ASESOR  SEBASTIAN ECHAVARRIA</t>
  </si>
  <si>
    <t xml:space="preserve">PLAZA NAVARRA 328 </t>
  </si>
  <si>
    <t xml:space="preserve">MAJAGUA VITAL 1518 </t>
  </si>
  <si>
    <t xml:space="preserve">FLOR APARTAMENTOS 1832 </t>
  </si>
  <si>
    <t xml:space="preserve">EL CARMEL 217 </t>
  </si>
  <si>
    <t xml:space="preserve">NORDICA 1207 </t>
  </si>
  <si>
    <r>
      <rPr>
        <b/>
        <sz val="11"/>
        <color rgb="FF000000"/>
        <rFont val="Calibri"/>
      </rPr>
      <t xml:space="preserve">NORDICA 1803 $1.150.000 </t>
    </r>
    <r>
      <rPr>
        <b/>
        <sz val="11"/>
        <color rgb="FFFF0000"/>
        <rFont val="Calibri"/>
      </rPr>
      <t>POR CLIENTE</t>
    </r>
  </si>
  <si>
    <t>SAN FRANCISCO ETAPA 3 CASA 175 SUB</t>
  </si>
  <si>
    <t xml:space="preserve">OCEANA 1503 </t>
  </si>
  <si>
    <t xml:space="preserve">NORDICA 2005 </t>
  </si>
  <si>
    <t>ENSENADA 1230 $ 1.550.000</t>
  </si>
  <si>
    <t xml:space="preserve">INICIA 30 SEP </t>
  </si>
  <si>
    <r>
      <rPr>
        <b/>
        <sz val="11"/>
        <color rgb="FF000000"/>
        <rFont val="Calibri"/>
      </rPr>
      <t xml:space="preserve">NORDICA 1702- </t>
    </r>
    <r>
      <rPr>
        <b/>
        <sz val="11"/>
        <color rgb="FF4472C4"/>
        <rFont val="Calibri"/>
      </rPr>
      <t>SUBROGACION</t>
    </r>
    <r>
      <rPr>
        <b/>
        <sz val="11"/>
        <color rgb="FF000000"/>
        <rFont val="Calibri"/>
      </rPr>
      <t xml:space="preserve"> $1.650.000</t>
    </r>
  </si>
  <si>
    <t>PND RECIBIR</t>
  </si>
  <si>
    <t xml:space="preserve">CANTARES DE RUACUELOS LOCAL 109 </t>
  </si>
  <si>
    <t>MADERA ESENCIAL 401 $1.300.000</t>
  </si>
  <si>
    <t>FLORIDA DE NORTEAMERICA 503 $ 1.300.000</t>
  </si>
  <si>
    <t>INICIA: 23 SEPT - PENDIENTE ASEGURABLE</t>
  </si>
  <si>
    <t>MEDITERRANEA 312 $1.600.000</t>
  </si>
  <si>
    <t>VILLA LILIAM 203 $600.000</t>
  </si>
  <si>
    <t>DESISTIO</t>
  </si>
  <si>
    <t xml:space="preserve">NORDICA 1612 SUB 1.800.000 </t>
  </si>
  <si>
    <t>NORDICA 2005 $1.650.000</t>
  </si>
  <si>
    <t>PND DEUDOR</t>
  </si>
  <si>
    <t>NORDICA 1216 $1.700.000</t>
  </si>
  <si>
    <t>ASESOR  DIANA LOPEZ</t>
  </si>
  <si>
    <t>17+5</t>
  </si>
  <si>
    <t>EDIFICIO RAMOS  CALLE 25B N° 58DD - 79 $1.450.000</t>
  </si>
  <si>
    <t>CALLE 104 A N° 76 -114 301 PEDREGAL</t>
  </si>
  <si>
    <t xml:space="preserve">FLOR APARTAMENTOS 2232 </t>
  </si>
  <si>
    <t>PUERTO ALEGRE 1829 $ 1.250.000</t>
  </si>
  <si>
    <t>MADERA SILVESTRE 2406 $1.300.000</t>
  </si>
  <si>
    <t xml:space="preserve">CERRO AZUL 208 </t>
  </si>
  <si>
    <t>AMAZONIKA 1728 $1.300.000</t>
  </si>
  <si>
    <t>CAMINO DEL VIENTO 710 $1.400.000</t>
  </si>
  <si>
    <t>MEDITERRANEA 726 $1.700.000</t>
  </si>
  <si>
    <t>CTOS ENVIADOS</t>
  </si>
  <si>
    <t>CURAZAO 1128 $950000</t>
  </si>
  <si>
    <t>SIN ENVIAR</t>
  </si>
  <si>
    <t>CEIBA DEL NORTE 1528 $ 1.500.000</t>
  </si>
  <si>
    <t>No hay apto</t>
  </si>
  <si>
    <t>CASA TERCER PISO PEDREGAL SDA OPCION</t>
  </si>
  <si>
    <t>Encontro directo</t>
  </si>
  <si>
    <t>MADERA NATIVA 305 2 OPCION  $ 1.200.000</t>
  </si>
  <si>
    <t>FLOR APARTAMENTOS 2532 $ 1.500.000</t>
  </si>
  <si>
    <t>AMAZONIKA 1125 $1.200.000</t>
  </si>
  <si>
    <t>PND RECIBIR / INICIA 10 SEPT</t>
  </si>
  <si>
    <t>SEDE BELLO - OCTUBRE 2022</t>
  </si>
  <si>
    <t>OCEANA 2106 $2.500.000</t>
  </si>
  <si>
    <t>CABAÑAS $1.300.000</t>
  </si>
  <si>
    <t>FLOR APARTAMENTOS 1406 $1600.000</t>
  </si>
  <si>
    <t>CALLE 28 N° 55-50 AP 501</t>
  </si>
  <si>
    <t>ASESOR SEBASTIAN ECHAVARRIA</t>
  </si>
  <si>
    <r>
      <rPr>
        <b/>
        <sz val="11"/>
        <color rgb="FF000000"/>
        <rFont val="Calibri"/>
      </rPr>
      <t>PUERTO PARAISO 1509</t>
    </r>
    <r>
      <rPr>
        <b/>
        <sz val="11"/>
        <color rgb="FF4472C4"/>
        <rFont val="Calibri"/>
      </rPr>
      <t xml:space="preserve"> EMPALME</t>
    </r>
    <r>
      <rPr>
        <b/>
        <sz val="11"/>
        <color rgb="FF000000"/>
        <rFont val="Calibri"/>
      </rPr>
      <t xml:space="preserve"> $1.250000</t>
    </r>
  </si>
  <si>
    <t>INCIA: 2 SEP - PENDIENTE DOC</t>
  </si>
  <si>
    <t>FLOR APARTAMENTOS 2532 $1.450.000 SDA OPCION</t>
  </si>
  <si>
    <t xml:space="preserve">INFORME LUISA MARIN NOVIEMBRE      2021 </t>
  </si>
  <si>
    <t xml:space="preserve">CONTRATO </t>
  </si>
  <si>
    <t>UNIDAD</t>
  </si>
  <si>
    <t xml:space="preserve">OBSERVACIONES </t>
  </si>
  <si>
    <t xml:space="preserve">CANON </t>
  </si>
  <si>
    <t>FACTURACION</t>
  </si>
  <si>
    <t>CLIENTE PORTERO</t>
  </si>
  <si>
    <t xml:space="preserve">PUERTO VENTURA $ 1.300.000 </t>
  </si>
  <si>
    <t>TOTAL ARRENDADO ----------------------------------------------------------------</t>
  </si>
  <si>
    <t xml:space="preserve">INFORME JOAN MEJIA NOVIEMBRE    2021 </t>
  </si>
  <si>
    <t xml:space="preserve">INFORME  DIANA NOVIEMBRE    2021 </t>
  </si>
  <si>
    <t>CALLE 23A Nº 57A - 30 AP 301 CABAÑAS $ 850.000</t>
  </si>
  <si>
    <t xml:space="preserve">INFORME  FABER MENDEZ NOVIEMBRE    2021 </t>
  </si>
  <si>
    <t xml:space="preserve">SEDE COLORES $11,050,000 NOVIEMBRE </t>
  </si>
  <si>
    <t>VALOR A PAGAR TOTAL COMISIONES-------------------------------&gt;</t>
  </si>
  <si>
    <t xml:space="preserve">FABER MENDEZ </t>
  </si>
  <si>
    <t xml:space="preserve">TOTAL ARRENDADO: $11.050.000 colores </t>
  </si>
  <si>
    <t>TOTAL ARRENDADO: $44,420,000 BELLO</t>
  </si>
  <si>
    <t xml:space="preserve">total COMISIONES </t>
  </si>
  <si>
    <t>INFORME LUISA MARIN DICIEMBRE</t>
  </si>
  <si>
    <t xml:space="preserve">VINILO 2203 - 800.000 </t>
  </si>
  <si>
    <t>PUERTO PARAISO 1512 - 1.300.000</t>
  </si>
  <si>
    <t>CEIBA DEL NORTE 1004 - $1.000.000</t>
  </si>
  <si>
    <t>PUERTO VENTURA 411 - 1.300.000</t>
  </si>
  <si>
    <t>MONTSERRAT 2010 - $800.000 MATEO</t>
  </si>
  <si>
    <t>INFORME JOAN MEJIA DICIEMBRE</t>
  </si>
  <si>
    <t>SÍ</t>
  </si>
  <si>
    <t>CURAZAO 2011 750.000</t>
  </si>
  <si>
    <t>CEIBA DEL NORTE 2529 $1.700.000</t>
  </si>
  <si>
    <t>PUERTO PARAISO 113 $900.000</t>
  </si>
  <si>
    <t xml:space="preserve">ESTUDIO </t>
  </si>
  <si>
    <t>ARRENDO DIRECTO</t>
  </si>
  <si>
    <t>.</t>
  </si>
  <si>
    <t>ENSENADA 1216 $1.200.000</t>
  </si>
  <si>
    <t>CONSIGUIÓ APTO CON OTRA INMOBILIARIA</t>
  </si>
  <si>
    <t>INFORME  DIANA DICIEMBRE</t>
  </si>
  <si>
    <t>CALLE 52A # 54-59 2do PISO BARRIO PEREZ - 750.000</t>
  </si>
  <si>
    <t>ENTREGADO</t>
  </si>
  <si>
    <t>DG 43 34 29  201FONTIDUEÑO - 750.000</t>
  </si>
  <si>
    <t>PENDIENTE PAGO</t>
  </si>
  <si>
    <t>APROBADO/</t>
  </si>
  <si>
    <t xml:space="preserve">PUERTO PARAISO 2024 - $1.200.000 . </t>
  </si>
  <si>
    <t>SE UBICÓ CON OTRA INMOBILIARIA</t>
  </si>
  <si>
    <t>INFORME FABER MENDEZ DICIEMBRE</t>
  </si>
  <si>
    <t>PUERTA MADERA 408 $1.000.000</t>
  </si>
  <si>
    <t xml:space="preserve">ENCUENTRA OTRO INMUEBLE </t>
  </si>
  <si>
    <t>INFORME JOAN MEJIA ENERO</t>
  </si>
  <si>
    <t>PUERTO PARAISO 513 $1.200.000</t>
  </si>
  <si>
    <t>PEND UBICAR , NO CONTESTA INQ NO SE LOGRA REUBICAR</t>
  </si>
  <si>
    <t>DESISTE SOLICITAN PRELIQUIDACION NO LA PRESENTA</t>
  </si>
  <si>
    <t>INFORME  DIANA ENERO</t>
  </si>
  <si>
    <t xml:space="preserve">PEND PAGO </t>
  </si>
  <si>
    <t>PEND ENVIO CTOS</t>
  </si>
  <si>
    <t>INQ NO VOLVIO A CONTESTA</t>
  </si>
  <si>
    <t>NO DAN TRASLADO A INQ</t>
  </si>
  <si>
    <t>SE UBICA EN OTRO APTO</t>
  </si>
  <si>
    <t>INQ SE ENFERMO GRAVE</t>
  </si>
  <si>
    <t>INQUILINO DESISTE</t>
  </si>
  <si>
    <t>INFORME CRISTIAN GALLEGO ENERO</t>
  </si>
  <si>
    <t>x</t>
  </si>
  <si>
    <t>LOS CABOS 630</t>
  </si>
  <si>
    <t>ED BENIDORM 302</t>
  </si>
  <si>
    <t>ALPES PLAZA 1803</t>
  </si>
  <si>
    <t xml:space="preserve">INFORME FABER MENDEZ ENERO </t>
  </si>
  <si>
    <t>PEND FIRMA INQ</t>
  </si>
  <si>
    <t>PEND GRABACION Y PAGO</t>
  </si>
  <si>
    <t>PEND PAGO</t>
  </si>
  <si>
    <t>PEND FIRMA PROP</t>
  </si>
  <si>
    <t>INFORME DIANA ESCUDERO</t>
  </si>
  <si>
    <t xml:space="preserve">CASA PRIMER PISO CABAÑAS CALLE 26A #58C -61 $1.400.000 </t>
  </si>
  <si>
    <t>POR PORTERO</t>
  </si>
  <si>
    <t>PEND FIRMA PROPIETARIO</t>
  </si>
  <si>
    <t>PEND FIRMA INQ . INQ DESISTE SE QUEDA SIN TRABAJO</t>
  </si>
  <si>
    <t>PEND APTO , SE VA DIRECTO</t>
  </si>
  <si>
    <t>SE VA DIRECTO CON OTRO APTO</t>
  </si>
  <si>
    <t>DESISTE SE VA CON OTRA INMO</t>
  </si>
  <si>
    <t>INFORME SENIOR LUISA MARIN</t>
  </si>
  <si>
    <t>JARDIN DE LOS LAURELES 419</t>
  </si>
  <si>
    <t>RODEO VERDE 912 SUBROGACION</t>
  </si>
  <si>
    <t>CAMINO DEL PARQUE 1710</t>
  </si>
  <si>
    <t>EL ALCAZAR 222</t>
  </si>
  <si>
    <t>LAS GRAN ESQUINA 707</t>
  </si>
  <si>
    <t>LOCAL BAHIA BLANCA</t>
  </si>
  <si>
    <t>BALCONES DE LA CONSOLATA 602</t>
  </si>
  <si>
    <t>CARRERA 93 35B-118 SUBROGACION</t>
  </si>
  <si>
    <t>TOTAL COMISIONES -------------------------------------------------------------</t>
  </si>
  <si>
    <t>INFORME JOHANA PEÑA</t>
  </si>
  <si>
    <t>INFORME FABER MENDEZ</t>
  </si>
  <si>
    <t>MARZO</t>
  </si>
  <si>
    <t xml:space="preserve">INFORME ASESOR JUNIOR JOAN MEJIA </t>
  </si>
  <si>
    <t>INFORME ASESORA JUNIOR JOHANA PEÑA</t>
  </si>
  <si>
    <t>LOCAL CABAÑAS CALLE 32 # 58-121  $800.000</t>
  </si>
  <si>
    <t>CEIBA DEL NORTE 1528 - $1.550.000</t>
  </si>
  <si>
    <t xml:space="preserve">DESISTE  </t>
  </si>
  <si>
    <t>SE UBICA DIRECTO</t>
  </si>
  <si>
    <t>SE QUEDA CON OTRA INMOBILIARIA</t>
  </si>
  <si>
    <t>CONSIGUIÓ DIRECTO</t>
  </si>
  <si>
    <t>OPORTO 2517 -  1.500.000</t>
  </si>
  <si>
    <t>FLOR APARTAMENTOS 2628 $1.450.000</t>
  </si>
  <si>
    <t>FLOR DE AGUA 306 $1.500.000</t>
  </si>
  <si>
    <t>PUERTO PARAISO 119 $1.250.000</t>
  </si>
  <si>
    <t>NECESITA CASA PARA USO COMERCIAL</t>
  </si>
  <si>
    <t>INFORME ASESOR JUNIOR LAURA MARIN</t>
  </si>
  <si>
    <t>COLINA DE BUCAROS 1910  $1.200.000*</t>
  </si>
  <si>
    <t>PUERTO VENTURA 816 $1.450.000*</t>
  </si>
  <si>
    <t>MONTE SION 1916 $1.000.000*</t>
  </si>
  <si>
    <t>FLOR DE AGUA 1406*</t>
  </si>
  <si>
    <t>PUERTA MADERA 1723  $1.050.000*</t>
  </si>
  <si>
    <t>PUERTO PARASIO 1602 $1.200.000*</t>
  </si>
  <si>
    <t>CERRO CLARO 1909 $1.000.000</t>
  </si>
  <si>
    <t>COLINA DE BUCAROS 1901 $ 1.100.000</t>
  </si>
  <si>
    <t>PROP LO ARRENDO</t>
  </si>
  <si>
    <t>TOTAL ARRENDADO ---------------------</t>
  </si>
  <si>
    <t>CEIBA DEL NORTE 1311</t>
  </si>
  <si>
    <t>EL SOCIO YA NO QUIERE EL LOCAL</t>
  </si>
  <si>
    <t>INFORME LUISA MARIN</t>
  </si>
  <si>
    <t>PUERTO PARASIO 1602 $1.200.000</t>
  </si>
  <si>
    <t>DIAGONAL 59 N° 47 - 15 INT 401 $645000</t>
  </si>
  <si>
    <t>CARRERA 59 F N° 38C – 9  $1.230.000</t>
  </si>
  <si>
    <t>PARQUE ALTO 907 $1.000.000</t>
  </si>
  <si>
    <t xml:space="preserve">NORDICA 1802 $1.500.000 </t>
  </si>
  <si>
    <t>SKY 2803 $1.400.000</t>
  </si>
  <si>
    <t>PUERTO VENTURA 715 $1.650.000</t>
  </si>
  <si>
    <t>BULEVAR 55 LOCAL 145 $2.941.177</t>
  </si>
  <si>
    <t>FLOR DE AGUA 830 $1.600.000</t>
  </si>
  <si>
    <t>CERRO CLARO 905 $ 1.200.000</t>
  </si>
  <si>
    <t xml:space="preserve">TOTAL FIRMADO </t>
  </si>
  <si>
    <t>DIAGONAL 59 N° 47 - 15 INT 9902* $580.000</t>
  </si>
  <si>
    <t>CASA MOLINARES $1.100.000</t>
  </si>
  <si>
    <t xml:space="preserve">APTO CONGOLO </t>
  </si>
  <si>
    <t>INFORME ASESOR JUNIOR ALEJANDRA CARDONA</t>
  </si>
  <si>
    <t>AVENIDA 36B N° 65 A - 34 AP 301  $650.000</t>
  </si>
  <si>
    <t xml:space="preserve">SKY 2803 $1.400.000 </t>
  </si>
  <si>
    <t>CASA VILLAS DE COMFENALCO $1.250.000</t>
  </si>
  <si>
    <t>TORRE LA CASONA $800.000  EMPALME</t>
  </si>
  <si>
    <t xml:space="preserve">INFORME ASESORA DANIELA BOTERO </t>
  </si>
  <si>
    <t>NORDICA 2714  1.150.000</t>
  </si>
  <si>
    <t>CARRERA 80 N° 53A 11 AP 401</t>
  </si>
  <si>
    <t>NUEVO PORTAL 1702</t>
  </si>
  <si>
    <t>EDIFICIO IBIZA 1305</t>
  </si>
  <si>
    <t xml:space="preserve">NUEVO PORTAL 2003 /CLIENTE PORTERO </t>
  </si>
  <si>
    <t>EL ROSAL 306</t>
  </si>
  <si>
    <t>CEREZOS DE CALASANIA 519</t>
  </si>
  <si>
    <t>SOL CRECIENTE 1807 CLIENTE PORTERO</t>
  </si>
  <si>
    <t>INFORME ASESOR ALEJANDRA CARDONA</t>
  </si>
  <si>
    <t>INFORME ASESOR PORTADA</t>
  </si>
  <si>
    <t xml:space="preserve">MADERA NATIVA 1103 - $1.000.000  </t>
  </si>
  <si>
    <t xml:space="preserve">INFORME ASESOR JUNIOR DANIELA </t>
  </si>
  <si>
    <t>NORDICA 2714 $1.100.000 ( ESE NEGOCIO SE LE PAGO EN JULIO)</t>
  </si>
  <si>
    <t>LUNA DEL CAMPO 218</t>
  </si>
  <si>
    <t>LUNA DEL CAMPO 1801</t>
  </si>
  <si>
    <t>INFORME LUISA MARÍN</t>
  </si>
  <si>
    <t>NORDICA 1612 $1.800.000</t>
  </si>
  <si>
    <t>PUERTA MADERA 2067 $ 1.500.000</t>
  </si>
  <si>
    <t>SKY 2702 $1.500.000</t>
  </si>
  <si>
    <t>NORDICA 1207 $1.450.000</t>
  </si>
  <si>
    <t>OCEANA 1503 $2.400.000</t>
  </si>
  <si>
    <t>CANTARES DE RUACUELOS LOCAL 109 $1.300000</t>
  </si>
  <si>
    <t>INFORME ASESOR JUNIOR DANIELA BOTERO</t>
  </si>
  <si>
    <t>ESTACION NIQUIA 420 $1.300.000</t>
  </si>
  <si>
    <t xml:space="preserve">CAMINO DEL VIENTO 1801 $ 1.400.000 </t>
  </si>
  <si>
    <t>NORDICA 1904 $1.1150.000</t>
  </si>
  <si>
    <t>PLAZA NAVARRA 328 $950.000</t>
  </si>
  <si>
    <t>MAJAGUA VITAL 1518  $900000</t>
  </si>
  <si>
    <t>FLOR APARTAMENTOS 1832 $ 1.550.000</t>
  </si>
  <si>
    <t>EL CARMEL 217 $1.250.000</t>
  </si>
  <si>
    <t>NORDICA 2005 $1.710.000</t>
  </si>
  <si>
    <t>MEDITERRANEA 315 $1.500.000</t>
  </si>
  <si>
    <t>OPERADOR</t>
  </si>
  <si>
    <t>SEDE BELLO</t>
  </si>
  <si>
    <t>TRABAJADOR</t>
  </si>
  <si>
    <t>CLARO </t>
  </si>
  <si>
    <t>DAHIANA HOYOS</t>
  </si>
  <si>
    <t>TIGO </t>
  </si>
  <si>
    <t>JENNIFER TORRES </t>
  </si>
  <si>
    <t xml:space="preserve">JOAN MEJIA </t>
  </si>
  <si>
    <t>SEBASTIAN BUITRAGO </t>
  </si>
  <si>
    <t>ARTURO RUIZ </t>
  </si>
  <si>
    <t xml:space="preserve">LUISA MARIN </t>
  </si>
  <si>
    <t xml:space="preserve">CLARO </t>
  </si>
  <si>
    <t xml:space="preserve">DIANA ESCUDERO </t>
  </si>
  <si>
    <t>TRABAJDOR</t>
  </si>
  <si>
    <t>VALOR</t>
  </si>
  <si>
    <t>FABER MENDEZ</t>
  </si>
  <si>
    <t>LUISA MARIN ($43.300)</t>
  </si>
  <si>
    <t>debo 7 mil</t>
  </si>
  <si>
    <t>JUAN SEBASTIAN  ($43.300)</t>
  </si>
  <si>
    <t>FABER MENDEZ ($40.500)</t>
  </si>
  <si>
    <t>MILENA ACEVEDO  ($43.300)</t>
  </si>
  <si>
    <t>JOHANA PEÑA</t>
  </si>
  <si>
    <t xml:space="preserve">No se le cobra el primer mes a los nuevos, Victor Castañeda, Alejandra Cardona, Santiago Esconar </t>
  </si>
  <si>
    <t>LAURA MARIN</t>
  </si>
  <si>
    <t>ALEJANDRA CARDONA</t>
  </si>
  <si>
    <t>ALEXIS ALVAREZ  (44.100)</t>
  </si>
  <si>
    <t>ESTE MES NO PAGA</t>
  </si>
  <si>
    <t>DANIELA BETANCUR</t>
  </si>
  <si>
    <t xml:space="preserve">CATHERINE DIAZ </t>
  </si>
  <si>
    <t xml:space="preserve">TIGO </t>
  </si>
  <si>
    <t>ENTREGADOS</t>
  </si>
  <si>
    <t xml:space="preserve">ENSENADA 1026 $ 1.250.000 UAR 7330937 CLAVE 9479 ENNTREGADO </t>
  </si>
  <si>
    <t xml:space="preserve">HACIENDA NIQUIA 2308  $ 1.200.000 6856259-32255846  ENTREGADO </t>
  </si>
  <si>
    <t>PUERTO NUEVO 813 6876106- 1020450558 $ 1.200.000 ENTREGADO</t>
  </si>
  <si>
    <t xml:space="preserve">CABAÑAS 301 $ 850.000 - 10003430- 1017255406 ENTREGADO </t>
  </si>
  <si>
    <t xml:space="preserve">MADERA NATURAL 901 $ 1.100.000 - 10004421 - 1152438523 EN FIRMAS </t>
  </si>
  <si>
    <t xml:space="preserve">10001575- 72430625 CEIBA DEL NORTE 1810 $ 1.350.000 ENTREGADO </t>
  </si>
  <si>
    <t xml:space="preserve">6878346 -43611937 MADERA SILVESTRE 607 $ 1.200.000 ENTREGADO </t>
  </si>
  <si>
    <t xml:space="preserve">CEIBA DEL NORTE 2104 $ 1.100.000 10005912- 6755 EN FIRMAS </t>
  </si>
  <si>
    <t xml:space="preserve">CASA BARRIO NUEVO  $ 850.000 APROBADO EN FIRMAS </t>
  </si>
  <si>
    <t xml:space="preserve">TIERRA LINDA 1906 $ 800 .000 100002898- 1037639640 EN FIRMAS </t>
  </si>
  <si>
    <t xml:space="preserve">PUERTO VENTURA 1502 $ 1.200.000 10006013 - 43117781 EN FIRMAS  </t>
  </si>
  <si>
    <t xml:space="preserve">CASA GIRARDOTA 10003998-1.037.596.852 $ 1.000.000 EN FIRMAS </t>
  </si>
  <si>
    <t xml:space="preserve">PUERTO PARAISO 1509 $ 1.100.000 - 10005607 - 5539 EN FIRMAS </t>
  </si>
  <si>
    <t xml:space="preserve">NORDICA 1904 $ 1.050.000 - 10006100- 3885  EN FIRMAS </t>
  </si>
  <si>
    <t xml:space="preserve">LOS ARBOLES 1819 $ 1.100.000 - 10005811- 8373 EN FIRMAS </t>
  </si>
  <si>
    <t>ADMINISTRACIONES Y PORTERIAS</t>
  </si>
  <si>
    <t>*CAMINO DEL VIENTO* ADMINISTRADORA MARIA CEL 3044984178 / PORTERIA 4946603 / CORREO administracion@caminodelviento.com</t>
  </si>
  <si>
    <t>*MONTE SION* ADMINISTRACION CEL 3145149315 CORREO montesionph@gmail.com</t>
  </si>
  <si>
    <t>*MEDITERRANEA* ADMINISTRACION CEL 3195697331 bpraolini210@gmail.com  / conjuntomediterranea@gmail.com</t>
  </si>
  <si>
    <t>*FLOR DE AGUA*(4) 313.56.79 – (4) 580.40.34 florapartamentos@hotmail.com 8 -11 y 11 -3pm / sabados 8 -11</t>
  </si>
  <si>
    <t xml:space="preserve">*MADERA SILVESTRE* DANIEL MESA Cel. 322 510 2602 /ESTIVEN QUIROZ Cel. 312 246 4460 CORREO maderasilvestreph@gmail.com </t>
  </si>
  <si>
    <t>*PUERTO NUEVO* Tel: 6170185 crpuertonuevo@gmail.com</t>
  </si>
  <si>
    <t>*LOS ARBOLES* losarbolesph@gmail.com CEL 3502018573 PORTERIA 3104204138</t>
  </si>
  <si>
    <t>*NORDICA* conjuntonordica@gmail.com CEL 3176594456 PORTERIA 3023155296</t>
  </si>
  <si>
    <t>*puerto NUEVO* Tel: 6170185 crpuertonuevo@gmail.com</t>
  </si>
  <si>
    <t>*CEIBA DEL NORTE* ceibadelnorteph@gmail.com PORTERIA 3663530 - 3185719615PPL/ PEATONAL 4085815 -3185699640 - ADMON 3046487588</t>
  </si>
  <si>
    <t>*PUERTO PARAISO*puertoparaisoph1@gmail.com 3243781206/ 3242288540 es el número de portería</t>
  </si>
  <si>
    <t>Me permito recordarles que deben de enviar por este medio una carta donde se informen  los siguientes datos para autorizar las mudanzas:
- Fecha y hora de la mudanza 
- Nombre y cédula del arrendatario.
- Nombre y cédula de las personas que participaran de la mudanza y donde el arrendatario se hace responsable de cualquier accidente que les ocurra a los colaboradores y debe ser firmada por el arrendatario.
Esta información debe ser enviada con mínimo 3 días de anterioridad, si en el momento de la mudanza se evidencia que esta carta no fue enviada no se permitirá el ingreso .</t>
  </si>
  <si>
    <t>*AMAZONIKA* admonamazonika@gmail.com CEL 3044561713 PORTERIA 4637445 /horarios 8- 12 sabados /semana 8 a 4pm (programan hasta las 2pm)</t>
  </si>
  <si>
    <t>*PARQUE ALTO* parquealtoph@gmail.com tel 4440224 ext 113</t>
  </si>
  <si>
    <t>*BOSQUE ALTO* conjuntobosquealto@gmail.com Admin 3002500273 (Natalia) Portería 3052491223</t>
  </si>
  <si>
    <t>*ENTREVIENTOS* Telefono  3223034 Cel: 3185781225- 3023768834 Entrevientosph1@gmail.com</t>
  </si>
  <si>
    <t>*CERRO CLARO* cerroclaroph@gmail.com tel: 315 7953145 - 318 7146522 - Admon 3154705223  (Gustavo )</t>
  </si>
  <si>
    <t>*OCEANA* conjuntooceana@gmail.com cel 323 4850934 porteria /admon Katherine 3108947160</t>
  </si>
  <si>
    <t>*PUERTO VENTURA* puertoventura.ph@hotmail.com Portería puerto Ventura 4796457 Administración : 3054868792</t>
  </si>
  <si>
    <t>*TRIGALES* 3175102264 Admon urbanizaciontrigalesph@gmail.com</t>
  </si>
  <si>
    <t>*CURAZAO* 3122464460 Admon 6016461 unidadresidencialcurazaoph@gmail.com</t>
  </si>
  <si>
    <t>PORTADA INMOBILIARIA SAS</t>
  </si>
  <si>
    <t>REEMBOLSO CAJA MENOR</t>
  </si>
  <si>
    <t> </t>
  </si>
  <si>
    <t>DEPARTAMENTO ENCARGADO</t>
  </si>
  <si>
    <t xml:space="preserve">SEDE BELLO </t>
  </si>
  <si>
    <t>RESPONSABLE</t>
  </si>
  <si>
    <t xml:space="preserve">DAHIANA HOYOS </t>
  </si>
  <si>
    <t>FECHA: 26  DE FEBRERO DE 2020</t>
  </si>
  <si>
    <t>MONTO CAJA</t>
  </si>
  <si>
    <t>FECHA</t>
  </si>
  <si>
    <t>IDENTIFICACIÓN</t>
  </si>
  <si>
    <t>NOMBRE</t>
  </si>
  <si>
    <t>DETALLE</t>
  </si>
  <si>
    <t xml:space="preserve">20 ENERO </t>
  </si>
  <si>
    <t>8162988-5</t>
  </si>
  <si>
    <t xml:space="preserve">ELECTRICOS Y Y </t>
  </si>
  <si>
    <t xml:space="preserve">COPIA DE LLAVES </t>
  </si>
  <si>
    <t>27 ENERO</t>
  </si>
  <si>
    <t>3522316-3</t>
  </si>
  <si>
    <t xml:space="preserve">ELECTICOS Y FERRETERIA JR </t>
  </si>
  <si>
    <t>3 DE FEBRERO</t>
  </si>
  <si>
    <t>71270077-2</t>
  </si>
  <si>
    <t xml:space="preserve">FERRETERIA JULIAN </t>
  </si>
  <si>
    <t xml:space="preserve">COIPA DE LLAVES </t>
  </si>
  <si>
    <t>9 DE FEBRERO</t>
  </si>
  <si>
    <t>901269880-9</t>
  </si>
  <si>
    <t xml:space="preserve">MASTER KEY LLAVES CON CHIP SAS </t>
  </si>
  <si>
    <t xml:space="preserve">10 DE FEBRERO </t>
  </si>
  <si>
    <t xml:space="preserve">MINIMERCADO LA TIENDA MADERA - CLAUDIA VILLA </t>
  </si>
  <si>
    <t>BOMBILLO</t>
  </si>
  <si>
    <t xml:space="preserve">20 DE FEBRERO </t>
  </si>
  <si>
    <t>MINIMERCADO LA TIENDA MADERA - CLAUDIA VILLA</t>
  </si>
  <si>
    <t>PILAS PARA LOS MOUSE</t>
  </si>
  <si>
    <t xml:space="preserve">23 DE FEBRERO </t>
  </si>
  <si>
    <t>MARIA FERNANDA GIRALDO HINCAPIE CONPLESEG</t>
  </si>
  <si>
    <t>FUMIGACION SEDE</t>
  </si>
  <si>
    <t>TOTAL REINTEGRO</t>
  </si>
  <si>
    <t>SALDO</t>
  </si>
  <si>
    <t>FIRMA RESPONSABLE</t>
  </si>
  <si>
    <t>REVISADO POR</t>
  </si>
  <si>
    <t>FECHA: MARZO  2020</t>
  </si>
  <si>
    <t>1 DE MARZO</t>
  </si>
  <si>
    <t>70720539-1</t>
  </si>
  <si>
    <t>ALFREDO VALENCIA H</t>
  </si>
  <si>
    <t xml:space="preserve">DUPLICADO  LLAVES </t>
  </si>
  <si>
    <t xml:space="preserve">3 DUPLICADOS </t>
  </si>
  <si>
    <t>1128401875-6</t>
  </si>
  <si>
    <t xml:space="preserve">JUAN CAMILO GOMEZ </t>
  </si>
  <si>
    <t xml:space="preserve">LIMPIA JUANTAS </t>
  </si>
  <si>
    <t xml:space="preserve">1 TARRO </t>
  </si>
  <si>
    <t>900658112-6</t>
  </si>
  <si>
    <t xml:space="preserve">ALMACEN Y TALLER FLEXON </t>
  </si>
  <si>
    <t>3 DE MARZO</t>
  </si>
  <si>
    <t>901129833-2</t>
  </si>
  <si>
    <t xml:space="preserve">COMERCIALIZADORA FKD SAS </t>
  </si>
  <si>
    <t>PARQUEADERO</t>
  </si>
  <si>
    <t xml:space="preserve">PILAS PARA EL CONTROL DEL AIRE </t>
  </si>
  <si>
    <t>5 DE MARZO</t>
  </si>
  <si>
    <t>1026650077-7</t>
  </si>
  <si>
    <t xml:space="preserve">FERRETERIA ALTA GAMA </t>
  </si>
  <si>
    <t xml:space="preserve">2 DUPLICADOS </t>
  </si>
  <si>
    <t>8397432-1</t>
  </si>
  <si>
    <t xml:space="preserve">APARQUEMOS -ROGELIO PIEDRAITA </t>
  </si>
  <si>
    <t xml:space="preserve">PARQUEADERO </t>
  </si>
  <si>
    <t>APARQUEMOS -ROGELIO PIEDRAITA</t>
  </si>
  <si>
    <t xml:space="preserve">PARQUEDERO </t>
  </si>
  <si>
    <t>DUPLICADO DE LLAVES</t>
  </si>
  <si>
    <t xml:space="preserve">2 DULICADOS </t>
  </si>
  <si>
    <t xml:space="preserve">18 DE MAYO </t>
  </si>
  <si>
    <t>890941663-1</t>
  </si>
  <si>
    <t xml:space="preserve">DISTRIBUIDORA PASTEUR </t>
  </si>
  <si>
    <t xml:space="preserve">PILAS PARA EL LOS MOUSE </t>
  </si>
  <si>
    <t xml:space="preserve">CAFE - OFICINA </t>
  </si>
  <si>
    <t>FECHA: JUNIO 2021</t>
  </si>
  <si>
    <t xml:space="preserve">1 DUPLICADO </t>
  </si>
  <si>
    <t>5 DE JUNIO</t>
  </si>
  <si>
    <t xml:space="preserve">GABRIEL VALENCIA </t>
  </si>
  <si>
    <t>4 DUPLICADOS</t>
  </si>
  <si>
    <t>10 DE JUNIO</t>
  </si>
  <si>
    <t>1017192428-4</t>
  </si>
  <si>
    <t>VUELTA BANCO AGRARIO - FRANCY</t>
  </si>
  <si>
    <t xml:space="preserve">PILAS PARA EL MOUSE </t>
  </si>
  <si>
    <t xml:space="preserve">30 DE JUNIO </t>
  </si>
  <si>
    <t>1 DE JULIO</t>
  </si>
  <si>
    <t xml:space="preserve">JHON JAIRO ROLDAN VARGAS </t>
  </si>
  <si>
    <t>9770043-2</t>
  </si>
  <si>
    <t xml:space="preserve">ARLES DAVID AGUIRRE PEREZ </t>
  </si>
  <si>
    <t xml:space="preserve">DUPLICADO DE LLAVES </t>
  </si>
  <si>
    <t>15517300-1</t>
  </si>
  <si>
    <t>RODRIGO ALONSO VARGAS MACHADO</t>
  </si>
  <si>
    <t xml:space="preserve">4 DUPLICADOS </t>
  </si>
  <si>
    <t>98.529.299-3</t>
  </si>
  <si>
    <t xml:space="preserve">HELMER OCAMPO </t>
  </si>
  <si>
    <t xml:space="preserve">30 DE JULIO </t>
  </si>
  <si>
    <t>71672110-3</t>
  </si>
  <si>
    <t>JHON JAIRO ABAD SOTO</t>
  </si>
  <si>
    <t>9 DE AGOSTO</t>
  </si>
  <si>
    <t xml:space="preserve">2 DUPLICADO </t>
  </si>
  <si>
    <t>FECHA: DICIEMBRE 2021</t>
  </si>
  <si>
    <t>20/10/2021</t>
  </si>
  <si>
    <t>ANDRES JOVANNY BERRIO PALACIO (FERRO MONINI)</t>
  </si>
  <si>
    <t>3 COPIAS DE LLAVES</t>
  </si>
  <si>
    <t>HELMER DE JESUS OCAMPO RIVERA (EXILLAVES)</t>
  </si>
  <si>
    <t>2 COPIAS DE LLAVES</t>
  </si>
  <si>
    <t>15/09/2021</t>
  </si>
  <si>
    <t>JOHN JAIRO ABAD SOTO (FERRETERIA ABAD)</t>
  </si>
  <si>
    <t>30/08/2021</t>
  </si>
  <si>
    <t>ALFREDO VALENCIA HERNANDEZ ( LA LLAVE)</t>
  </si>
  <si>
    <t>1 COPIA DE LLAVE</t>
  </si>
  <si>
    <t>25/08/2021</t>
  </si>
  <si>
    <t>GABRIEL JAIME VALENCIA TORO ( FERRETERIA JULIAN)</t>
  </si>
  <si>
    <t>LUISA MARIN</t>
  </si>
  <si>
    <t>FECHA: ABRIL 2022</t>
  </si>
  <si>
    <t>SEDE BELLO - ENERO 2021</t>
  </si>
  <si>
    <t>ARRIENDOS ARTURO RUIZ</t>
  </si>
  <si>
    <t>11+4</t>
  </si>
  <si>
    <t>FLOR DE AGUA 1727</t>
  </si>
  <si>
    <t xml:space="preserve">PORTALES DE ALCALA 805 </t>
  </si>
  <si>
    <t>ARRIENDOS JENNIFER TORRES</t>
  </si>
  <si>
    <t>PUERTO VENTURA 2310</t>
  </si>
  <si>
    <t>JENNIFER TORRES</t>
  </si>
  <si>
    <t xml:space="preserve">DESITIDO </t>
  </si>
  <si>
    <t>7+4</t>
  </si>
  <si>
    <t xml:space="preserve">ENTREGADO </t>
  </si>
  <si>
    <t>AGUA CLARA 1525 $ 750.000</t>
  </si>
  <si>
    <t xml:space="preserve">FLOR DE AGUA 2430 $ 1.300 -EN FIRMAS </t>
  </si>
  <si>
    <t xml:space="preserve">JENIFER TORRES </t>
  </si>
  <si>
    <t>ARRIENDOS SEBASTIAN BUITRAGO</t>
  </si>
  <si>
    <t>3+9</t>
  </si>
  <si>
    <t>EJECUTIVO</t>
  </si>
  <si>
    <t>ED MANANTIALES APTO 501- 850.000</t>
  </si>
  <si>
    <t xml:space="preserve">LUIS CORREA </t>
  </si>
  <si>
    <t>BOAVISTA APTO 1601-1000.000</t>
  </si>
  <si>
    <t xml:space="preserve">  TOTAL ---------------------------------&gt;		</t>
  </si>
  <si>
    <t xml:space="preserve">INFORME BELLO ENERO 2021  -CAMILO ALVAREZ						
						</t>
  </si>
  <si>
    <t>OBSERVACION POR QUE CAMBIA EL %</t>
  </si>
  <si>
    <t xml:space="preserve">FACTURADO </t>
  </si>
  <si>
    <t xml:space="preserve">ASESOR </t>
  </si>
  <si>
    <t>PUERTO VENTURA 2310-1150000</t>
  </si>
  <si>
    <t xml:space="preserve">DESISTIDO </t>
  </si>
  <si>
    <t>JENIFER</t>
  </si>
  <si>
    <t>FLOR DE AGUA 1625-1050.000</t>
  </si>
  <si>
    <t>VANESSA</t>
  </si>
  <si>
    <t>FLOR DE AGUA 1727- 1250000</t>
  </si>
  <si>
    <t xml:space="preserve">EL LIBERTADOR -ENTREGADO </t>
  </si>
  <si>
    <t>FLOR DE AGUA 2430 $ 1.300.000</t>
  </si>
  <si>
    <t xml:space="preserve">EN FIRMAS  LIBERTADOR  AUTORIZADO POR DIANA ROJAS -ENTREGADO </t>
  </si>
  <si>
    <t xml:space="preserve">JENIFER </t>
  </si>
  <si>
    <t xml:space="preserve">INFORME LEIDY TORRES ENERO 2021 </t>
  </si>
  <si>
    <t>ç</t>
  </si>
  <si>
    <t xml:space="preserve">INFORME DAHIANA HOYOS  ENERO 2021 </t>
  </si>
  <si>
    <t>SIEMBRA 208 $ 650.000</t>
  </si>
  <si>
    <t>NEGADOS 01232</t>
  </si>
  <si>
    <t xml:space="preserve">INFORME GENERAL DAHIANA HOYOS ENERO 2021 </t>
  </si>
  <si>
    <t>SEDE BELLO - FEBRERO  2021</t>
  </si>
  <si>
    <t xml:space="preserve">TOLEDO CAMPESTRE 1505 $ 880.000-APLAZADOS-DESISTIDO </t>
  </si>
  <si>
    <t>OCEANA 734 ENTREGADO</t>
  </si>
  <si>
    <t xml:space="preserve">CAMILO ALVAREZ </t>
  </si>
  <si>
    <t>MEDITERRANEA 1622  -ENTREGADO</t>
  </si>
  <si>
    <t xml:space="preserve">MEDITERRANEA 1821  </t>
  </si>
  <si>
    <t xml:space="preserve">ALTOBELO 105 $ 950000- ENTREGADO </t>
  </si>
  <si>
    <t xml:space="preserve">FLOR DE AGUA APT 1226 - -ENTREGADO </t>
  </si>
  <si>
    <t>SAN JUAN DE LA CABAÑITA 303 -ENTREGADO</t>
  </si>
  <si>
    <t>FLOR DE AGUA 128  ENTREGADO</t>
  </si>
  <si>
    <t xml:space="preserve">      TOTAL ---------------------------------&gt; TOTAL A PAGAR </t>
  </si>
  <si>
    <t>ASESORA  JENNIFER TORRES</t>
  </si>
  <si>
    <t>16+11</t>
  </si>
  <si>
    <t xml:space="preserve">VILLAS DE CONFENALCO $ 1150000- APROBADO -DESISTIDO </t>
  </si>
  <si>
    <t>FLOR DE AGUA 831</t>
  </si>
  <si>
    <t>FLOR DE AGUA 1132 $ 1.200.000- APROBADO</t>
  </si>
  <si>
    <t xml:space="preserve">APTO PRADO 401 ENTREGADO </t>
  </si>
  <si>
    <t>OCEANA 2133  CDT ENTREGADO</t>
  </si>
  <si>
    <t>TOLEDO CAMPESTRE 1505   ENTREGADO</t>
  </si>
  <si>
    <t xml:space="preserve">SIEMBRA 208 - ENTREGADO </t>
  </si>
  <si>
    <t xml:space="preserve">CARLOS MONSALVE </t>
  </si>
  <si>
    <t xml:space="preserve"> CALLE 25B N° 58DD 81 APT 401 - ENTREGADO </t>
  </si>
  <si>
    <t xml:space="preserve">      TOTAL ---------------------------------&gt;		TOTAL A PAGAR </t>
  </si>
  <si>
    <t>ASESOR SEBASTIAN BUITRAGO</t>
  </si>
  <si>
    <t>9+4</t>
  </si>
  <si>
    <t xml:space="preserve"> FLOR DE AGUA 1626 $ 1.300.000-DESISTIDO </t>
  </si>
  <si>
    <t>MEDITERRANEA 1422 $ 1200000- DESITIDO</t>
  </si>
  <si>
    <t>MEDITERRANEA 1424  ENTREGADO</t>
  </si>
  <si>
    <t>FLOR DE AGUA 831ENTREGADO</t>
  </si>
  <si>
    <t xml:space="preserve">CIUDAD CENTRAL 1122  ENTREGADO </t>
  </si>
  <si>
    <t xml:space="preserve">DALLAS 602 ENTREGADO </t>
  </si>
  <si>
    <t xml:space="preserve">MEDITERRANEA 522  EN ESTUDIO </t>
  </si>
  <si>
    <t xml:space="preserve">ASESOR INTERNO -CAMILO ALVAREZ						
						</t>
  </si>
  <si>
    <t>MEDITERRANEA 1422 $ 1200000</t>
  </si>
  <si>
    <t xml:space="preserve">EN ESTUDIO 7031571 CLAVE 2038- DESISTIERON </t>
  </si>
  <si>
    <t xml:space="preserve">SEBASTIAN </t>
  </si>
  <si>
    <t>MEDITERRANEA 1424 $ 1.200.000</t>
  </si>
  <si>
    <t xml:space="preserve">OCEANA 734 $ 1.500.000 </t>
  </si>
  <si>
    <t xml:space="preserve">TOLEDO CAMPESTRE 1505 $ 880.000 </t>
  </si>
  <si>
    <t xml:space="preserve">OCEANA 2133 $ 1.750.000 CDT </t>
  </si>
  <si>
    <t>FLOR DE AGUA 831 $ 1200000</t>
  </si>
  <si>
    <t xml:space="preserve">SEBASTAN </t>
  </si>
  <si>
    <t xml:space="preserve">NOTA : Esta informacion ya se le paso a adriana para registrar en el informe de camilo en laureles </t>
  </si>
  <si>
    <t xml:space="preserve">INFORME DAHIANA HOYOS  COMO INTERNA  FEBRERO  2021 </t>
  </si>
  <si>
    <t xml:space="preserve">EN ESTUDIO POR PORTADA  B 01265 DH-DESISTIDO </t>
  </si>
  <si>
    <t>FLOR DE AGUA 1132 $ 1.350.000</t>
  </si>
  <si>
    <t xml:space="preserve">DESISTIO </t>
  </si>
  <si>
    <t xml:space="preserve">CIUDAD CENTRAL 1122 $ 1.200.000 </t>
  </si>
  <si>
    <t>ALTOBELO 105 $ 950000</t>
  </si>
  <si>
    <t xml:space="preserve">FLOR DE AGUA 128 $ 1.200.000 </t>
  </si>
  <si>
    <t>TOTAL ARRENDADO -----------------------------------------------------------------------&gt;</t>
  </si>
  <si>
    <t xml:space="preserve">INFORME JOAN   FEBRERO  2021 </t>
  </si>
  <si>
    <t>FLOR DE AGUA 1626 $ 1300000</t>
  </si>
  <si>
    <t xml:space="preserve">DESISTIDO -CONSIGUIO DIRECTO </t>
  </si>
  <si>
    <t>VILLAS DE CONFENALCO $ 1150000</t>
  </si>
  <si>
    <t>DESITIDO - CONSIGUIO DIRECTO Y MAS ECONOMICO</t>
  </si>
  <si>
    <t>ORION 504</t>
  </si>
  <si>
    <t>KIWI 1203</t>
  </si>
  <si>
    <t>FUENTE CLARA 105</t>
  </si>
  <si>
    <t xml:space="preserve">APTO 401 PRADO </t>
  </si>
  <si>
    <t>MEDITERRANEA 1622 $ 1.100.000</t>
  </si>
  <si>
    <t>SIEMBRA 208 $ 600.000</t>
  </si>
  <si>
    <t xml:space="preserve">JENNIFER TORRES </t>
  </si>
  <si>
    <t xml:space="preserve">DALLAS 602 $ 1.100.000 </t>
  </si>
  <si>
    <t xml:space="preserve">FLOR DE AGUA APT 1226 </t>
  </si>
  <si>
    <t>SAN JUAN DE LA CABAÑITA 303 $ 1150000</t>
  </si>
  <si>
    <t xml:space="preserve">CALLE 25B N° 58DD 81 APT 401  </t>
  </si>
  <si>
    <t xml:space="preserve">CONSOLIDADO INFORME GENERAL SEDE BELLO- DAHIANA HOYOS FEBRERO  2021 </t>
  </si>
  <si>
    <t>ASESOR</t>
  </si>
  <si>
    <t xml:space="preserve">SEBATIAN </t>
  </si>
  <si>
    <t>ALTOBELO 105</t>
  </si>
  <si>
    <t>CIUDAD CENTRAL 1122 $ 1.200.000</t>
  </si>
  <si>
    <t>APTO 401 PRADO</t>
  </si>
  <si>
    <t>MEDITERRANEA 522 $ 1.200.000</t>
  </si>
  <si>
    <t>CALLE 25B N° 58DD 81 APT 401</t>
  </si>
  <si>
    <t>TOTAL ARRENDADO SEDE BELLO  ---------------------------------------------------------&gt;</t>
  </si>
  <si>
    <t>TOTAL A PAGAR ------------------------------------------------------------------------------&gt;</t>
  </si>
  <si>
    <t>SEDE BELLO - MARZO   2021</t>
  </si>
  <si>
    <t xml:space="preserve">PLAYA RICA $ 700.000-NEGADO </t>
  </si>
  <si>
    <t xml:space="preserve">CIUDAD CENTRAL 1008 $ 1.150.000 ENTREGADO </t>
  </si>
  <si>
    <t>OCEANA 628 - ENTREGADO</t>
  </si>
  <si>
    <t xml:space="preserve">OCEANA 2627  ENTREGADO </t>
  </si>
  <si>
    <t xml:space="preserve">PUERTO NUEVO 837 ENTREGADO </t>
  </si>
  <si>
    <t xml:space="preserve">OCEANA 836 ENTREGADO </t>
  </si>
  <si>
    <t xml:space="preserve">OCEANA 1028 $ 1.800.000 EN FIRMAS </t>
  </si>
  <si>
    <t xml:space="preserve">      TOTAL A PAGAR ---------------------------------&gt;</t>
  </si>
  <si>
    <t>|</t>
  </si>
  <si>
    <t>20+5</t>
  </si>
  <si>
    <t xml:space="preserve">PUERTO NUEVO 837 $ 1.000.000- DESITIDO </t>
  </si>
  <si>
    <t xml:space="preserve">PUERTO NUEVO 837 </t>
  </si>
  <si>
    <t xml:space="preserve">PEÑA VERDE 429 $ 700.000 ENTREGADO </t>
  </si>
  <si>
    <t xml:space="preserve">AGUA CLARA 1524 $ 950000 ENTREGADO </t>
  </si>
  <si>
    <t xml:space="preserve">MOLINOS DEL SOL 1317 $ 800.000 ENTREGADO </t>
  </si>
  <si>
    <t>ok</t>
  </si>
  <si>
    <t>SEBASTIAN BUITRAGO</t>
  </si>
  <si>
    <t>4+4</t>
  </si>
  <si>
    <t xml:space="preserve">MADERA NATURAL 1902 ENTREGADO </t>
  </si>
  <si>
    <t>AGUA CLARA 1524 $ 950000 ENTREGADO</t>
  </si>
  <si>
    <t xml:space="preserve">OPORTO 3101 $1.350.000- ENTREGADO </t>
  </si>
  <si>
    <t>ALTOBELO 908 $ 960.000 ENTREGADO</t>
  </si>
  <si>
    <t xml:space="preserve">INFORME DAHIANA HOYOS  MARZO INTERNA  2021 </t>
  </si>
  <si>
    <t>PUERTO NUEVO 837 $ 1.000.000</t>
  </si>
  <si>
    <t xml:space="preserve">DESISTIDO - NO TIENEN  A QUIEN MAS PRESENTAR </t>
  </si>
  <si>
    <t>PLAYA RICA $ 700.000</t>
  </si>
  <si>
    <t xml:space="preserve">NEGADO </t>
  </si>
  <si>
    <t xml:space="preserve">PEÑA VERDE 429 $ 700.000 </t>
  </si>
  <si>
    <t xml:space="preserve">MADERA NATURAL 1902 $ 1.000.000 </t>
  </si>
  <si>
    <t>PUERTO NUEVO 837 $ 1.030.000</t>
  </si>
  <si>
    <t>OPORTO 3101 $1.350.000</t>
  </si>
  <si>
    <t>ALTOBELO 908 $ 960.000</t>
  </si>
  <si>
    <t>OCEANA 836 $ 1.250.000</t>
  </si>
  <si>
    <t>OCEANA 1028 $ 1.800.000</t>
  </si>
  <si>
    <t xml:space="preserve">PDTE ENTREGA </t>
  </si>
  <si>
    <t xml:space="preserve">INFORME JOAN   MARZO   2021 </t>
  </si>
  <si>
    <t xml:space="preserve">OCEANA 628 </t>
  </si>
  <si>
    <t>ENTREGADO       LIMITE INDEMNIZACIÓN</t>
  </si>
  <si>
    <t xml:space="preserve">MOLINOS DEL SOL 1317 $ 800.000 </t>
  </si>
  <si>
    <t>CIUDAD CENTRAL 1008 $ 1.150.000</t>
  </si>
  <si>
    <t>AARTURO RUIZ</t>
  </si>
  <si>
    <t xml:space="preserve">CONSOLIDADO INFORME GENERAL SEDE BELLO- DAHIANA HOYOS MARZO   2021 </t>
  </si>
  <si>
    <t>OCEANA 628  $ 1.600.000</t>
  </si>
  <si>
    <t>OCEANA 2627 $ 1500000</t>
  </si>
  <si>
    <t>OPORTO 3101</t>
  </si>
  <si>
    <t xml:space="preserve">ALTOBELO 908 $ 960.000 </t>
  </si>
  <si>
    <t>TOTAL ARRENDADO SEDE BELLO  ------------------------------------&gt;</t>
  </si>
  <si>
    <t>TOTAL A PAGAR ----------------------------------------&gt;</t>
  </si>
  <si>
    <t>SEDE BELLO - ABRIL    2021</t>
  </si>
  <si>
    <t>20+4</t>
  </si>
  <si>
    <t xml:space="preserve">FLOR DE AGUA $ 1.200.000 APROBADO  PDT APTO -DESITIDO CLIENTE NO RESPONDE </t>
  </si>
  <si>
    <t xml:space="preserve">		FRONTERA DE LA PILARICA 401 	</t>
  </si>
  <si>
    <t xml:space="preserve">FLOR DE AGUA $ 1350000 DESISTIDO NO TIENE A QUIEN MAS PRESENTAR </t>
  </si>
  <si>
    <t>APTO BARRIO PEREZ CUARTO PISO $ 750.000</t>
  </si>
  <si>
    <t xml:space="preserve">FLOR DE AGUA 2332  $ 1.200.000 ENTREGADO </t>
  </si>
  <si>
    <t> 11049</t>
  </si>
  <si>
    <t xml:space="preserve">SAN FRANCISCO 3 CASA 175 $ 1.100.000- ENTREGADO </t>
  </si>
  <si>
    <t xml:space="preserve">FLOR DE AGUA 2328 $ 1.200.000 ENTREGADO </t>
  </si>
  <si>
    <t>OCEANA $ 1.600.000 ENTREGADO  APT 2327</t>
  </si>
  <si>
    <t xml:space="preserve">EMPALME CABAÑAS $ 1300000 - APROBADO EN FIRMAS </t>
  </si>
  <si>
    <t xml:space="preserve">AIRES DE NIQUIA 201 $ 600.000 EN FIRMAS </t>
  </si>
  <si>
    <t xml:space="preserve">TORRES DEL BOSQUE 206 $ 950.000  ENTREGADO </t>
  </si>
  <si>
    <t xml:space="preserve">PEÑA VERDE 641 700.000 ESTUDIO - DESITIDO ENCONTRO DIRECTO MAS ECONOMICO </t>
  </si>
  <si>
    <t>10+3</t>
  </si>
  <si>
    <t xml:space="preserve">APARTAESTUDIO PEREZ 301$500.000 ENTREGADO </t>
  </si>
  <si>
    <t xml:space="preserve">APARTAESTUDIO PEREZ 401 $500.000 ENTREGADO </t>
  </si>
  <si>
    <t xml:space="preserve">FLOR DE AGUA 1626 $ 1.300.000 ENTREGADO </t>
  </si>
  <si>
    <t xml:space="preserve">PORTERO ROLDAN </t>
  </si>
  <si>
    <t xml:space="preserve">PEÑA VERDE 636 $ 750000 ENTREGADO </t>
  </si>
  <si>
    <t xml:space="preserve">LOCAL BELLO $ 6500000 ENTREGADO </t>
  </si>
  <si>
    <t>4+1</t>
  </si>
  <si>
    <t xml:space="preserve">APTO BARRIO PEREZ PRIMER  PISO $ 750.000 DESISTIDO </t>
  </si>
  <si>
    <t xml:space="preserve">APTO BARRIO PEREZ CUARTO PISO $ 750.000 ENTREGADO </t>
  </si>
  <si>
    <t xml:space="preserve">INFORME DAHIANA HOYOS  ABRIL   2021 </t>
  </si>
  <si>
    <t>BOAVISTA 710 $ 1150000</t>
  </si>
  <si>
    <t xml:space="preserve">DESISTIO - NO TENIA A QUIEN MAS PRESENTAR COMO DEUDOR </t>
  </si>
  <si>
    <t xml:space="preserve">SAN FRANCISCO 3 CASA 175 $ 1.100.000 </t>
  </si>
  <si>
    <t xml:space="preserve">EMPALME CABAÑAS $ 1300000 </t>
  </si>
  <si>
    <t xml:space="preserve">PDT ENTREGA, PAGO Y  FACTURAR INICIA EL 3 DE MAYO </t>
  </si>
  <si>
    <t xml:space="preserve">AIRES DE NIQUIA 201$ 600.000 </t>
  </si>
  <si>
    <t>PLAZA NAVARRA 328 $ 820.000</t>
  </si>
  <si>
    <t xml:space="preserve">TOTAL A PAGAR </t>
  </si>
  <si>
    <t xml:space="preserve">INFORME JOAN   ABRIL    2021 </t>
  </si>
  <si>
    <t>APTO BARRIO PEREZ PRIMER  PISO $ 800000</t>
  </si>
  <si>
    <t xml:space="preserve">DESISTIDO NEGADOS TODOS </t>
  </si>
  <si>
    <t>FLOR DE AGUA  $ 1.200.000</t>
  </si>
  <si>
    <t xml:space="preserve">APROBADO EN BUSCA DE APTO- DESITIDO </t>
  </si>
  <si>
    <t xml:space="preserve">PEÑA </t>
  </si>
  <si>
    <t>PEÑA VERDE 641 $ 700.000</t>
  </si>
  <si>
    <t xml:space="preserve">EN ESTUDIO- BUSCANDO DEUDOR </t>
  </si>
  <si>
    <t>FLOR DE AGUA $ 1350000 EN ESTUDIO</t>
  </si>
  <si>
    <t xml:space="preserve">DESISTIDO NO TIENE A QUEIN MAS PRESENTAR </t>
  </si>
  <si>
    <t xml:space="preserve">FLOR DE AGUA 2332  $ 1.200.000 </t>
  </si>
  <si>
    <t> 10996</t>
  </si>
  <si>
    <t>APARTAESTUDIO PEREZ 301$500.000</t>
  </si>
  <si>
    <t>JENNIFER</t>
  </si>
  <si>
    <t>APARTAESTUDIO PEREZ 401 $ 500.000</t>
  </si>
  <si>
    <t>APTO BARRIO PEREZ CUARTO   PISO $ 750000</t>
  </si>
  <si>
    <t>FLOR DE AGUA 1626 $ 1.300.000</t>
  </si>
  <si>
    <t>PEÑA VERDE 636 $ 750.000</t>
  </si>
  <si>
    <t>LOCAL BELLO $ 6500000</t>
  </si>
  <si>
    <t>OCEANA $ 1.600.000</t>
  </si>
  <si>
    <t>TORRES DEL BOSQUE 603 $ 950000</t>
  </si>
  <si>
    <t xml:space="preserve">CONSOLIDADO INFORME GENERAL SEDE BELLO- DAHIANA HOYOS ABRIL   2021 </t>
  </si>
  <si>
    <t>APTO BARRIO PEREZ CUARTO PISO $ 750000</t>
  </si>
  <si>
    <t>FACTURAD0</t>
  </si>
  <si>
    <t>SAN FRANCISCO 3 CASA 175 $ 1.100.000-</t>
  </si>
  <si>
    <t>PEÑA VERDE 636 $ 750000</t>
  </si>
  <si>
    <t> 11095</t>
  </si>
  <si>
    <t>OCEANA 2327 $ 1600000</t>
  </si>
  <si>
    <t>TORRES DEL BOSQUE 206  $ 950000</t>
  </si>
  <si>
    <t>EMPALME CABAÑAS $ 1300000 - EN ESTUDIO</t>
  </si>
  <si>
    <t>TO</t>
  </si>
  <si>
    <t>SEDE BELLO - MAYO     2021</t>
  </si>
  <si>
    <t>9+2</t>
  </si>
  <si>
    <t xml:space="preserve">LOS ARBOLES 2622 $1.350.000 -DESISTIDO NEGADOS POR LA ASEGURADORA POR RIESGO MORAL </t>
  </si>
  <si>
    <t xml:space="preserve">MEDITERRANEA 2021 </t>
  </si>
  <si>
    <t xml:space="preserve">BOSQUE ALTO 805 $ 1.250.000 - DESISTIO ENCONTRO DIRECTO </t>
  </si>
  <si>
    <t xml:space="preserve">VILLA SURAMERICANA - 700.000	</t>
  </si>
  <si>
    <t xml:space="preserve">OCEANA 920 $ 1600.000 NEGADO </t>
  </si>
  <si>
    <t xml:space="preserve">MEDITERRANEA 1723 ENTREGADO </t>
  </si>
  <si>
    <t xml:space="preserve">YERMANI CORREA </t>
  </si>
  <si>
    <t xml:space="preserve">LA QUINTA 909 $ 1.100.000 ENTREGADO </t>
  </si>
  <si>
    <t xml:space="preserve">MEDITERRANEA 320 $ 1.200.000 ENTREGADO </t>
  </si>
  <si>
    <t xml:space="preserve">BOSQUE ALTO 805 $ 1300000 - ENTREGADO </t>
  </si>
  <si>
    <t xml:space="preserve">FLOR DE AGUA 2427 $ 1400000 ENTREGADO </t>
  </si>
  <si>
    <t xml:space="preserve">LA QUINTA 1308 $ 1.300.000 ENTREGADO </t>
  </si>
  <si>
    <t>JOAN MEJIA</t>
  </si>
  <si>
    <t>5+2</t>
  </si>
  <si>
    <t xml:space="preserve">PEÑA VERDE 636 $ 850000 DESITIDO  DESISTIDO PARO LA BUSQUEDA POR EL MOMENTO </t>
  </si>
  <si>
    <t xml:space="preserve">MAJAGUA 1713 800.000 ENCONTRO DIRECTO </t>
  </si>
  <si>
    <t xml:space="preserve">LA QUINTA 1506 ENTREGADO </t>
  </si>
  <si>
    <t xml:space="preserve">FLOR DE AGUA 628 ENTREGADO </t>
  </si>
  <si>
    <t xml:space="preserve">FLOR DE AGUA 1732 $ 1.150.000 - ENTREGADO </t>
  </si>
  <si>
    <t xml:space="preserve">MEDITERRANEA 2021  $ 1.100.000 ENTREGADO </t>
  </si>
  <si>
    <t xml:space="preserve">ASESORA  BRAYAN AGUDELO </t>
  </si>
  <si>
    <t xml:space="preserve">PUERTA MADERA 1362 $ 1.100.000 FIRMAS </t>
  </si>
  <si>
    <t xml:space="preserve">NORDICA 2616 $880.000 EN FIRMAS </t>
  </si>
  <si>
    <t xml:space="preserve">ASESOR SEBASTIAN BUITRAGO </t>
  </si>
  <si>
    <t>16+8</t>
  </si>
  <si>
    <t>CALAZANZ CAMPESTRE 424</t>
  </si>
  <si>
    <t xml:space="preserve">ARANGO </t>
  </si>
  <si>
    <t xml:space="preserve">MEDITERRANDEA 320 </t>
  </si>
  <si>
    <t xml:space="preserve">NUEVO PORTAL 301 SUBROGACION </t>
  </si>
  <si>
    <t>ARANGO</t>
  </si>
  <si>
    <t xml:space="preserve">BILBAO 302 </t>
  </si>
  <si>
    <t>CALASANZ AZUL 1707</t>
  </si>
  <si>
    <t xml:space="preserve">EL ROSAL 211 </t>
  </si>
  <si>
    <t>CALASANZ AZUL 606</t>
  </si>
  <si>
    <t>MONIMAR 301</t>
  </si>
  <si>
    <t xml:space="preserve">INFORME DAHIANA HOYOS  MAYO    2021 </t>
  </si>
  <si>
    <t>BOSQUE ALTO 805 $ 1.300.000 - EN ESTUDIO</t>
  </si>
  <si>
    <t xml:space="preserve">DESISTIDO ENCONTRO DIRECTO </t>
  </si>
  <si>
    <t>LA QUINTA 1506 $ 1.400.000</t>
  </si>
  <si>
    <t>FLOR DE AGUA 628 $ 1.050.000</t>
  </si>
  <si>
    <t xml:space="preserve">MEDITERRANEA 1723 </t>
  </si>
  <si>
    <t>LA QUINTA 909 $ 1.100.000</t>
  </si>
  <si>
    <t xml:space="preserve">BOSQUE ALTO 805 $ 1300000 - </t>
  </si>
  <si>
    <t>AIRES DE VALENCIA 707</t>
  </si>
  <si>
    <t xml:space="preserve">FLOR DE AGUA 2427$ 1400.000 </t>
  </si>
  <si>
    <t>PUERTA MADERA 1362 $ 1100000</t>
  </si>
  <si>
    <t xml:space="preserve">PDT ENTREGA 1 DE JUNIO </t>
  </si>
  <si>
    <t>VALOR A PAGAR TOTAL COMISIONES-----------------------&gt;</t>
  </si>
  <si>
    <t xml:space="preserve">INFORME JOAN   MAYO     2021 </t>
  </si>
  <si>
    <t>LOS ARBOLES 2622 $ 1.300.000</t>
  </si>
  <si>
    <t>NEGADOS - NO TIENE MÁS PERSONAS PARA PRESENTAR</t>
  </si>
  <si>
    <t xml:space="preserve">MAJAGUA 1713 $ 800.000 </t>
  </si>
  <si>
    <t>PEÑA VERDE 636 $ 850.000</t>
  </si>
  <si>
    <t xml:space="preserve">DESISTIDO PARO LA BUSQUEDA POR EL MOMENTO </t>
  </si>
  <si>
    <t>OCEANA 920 $1.600.000</t>
  </si>
  <si>
    <t>MEDITERRANEA 2021 $ 1100000</t>
  </si>
  <si>
    <t>LA QUINTA 1308 $ 1.300.000</t>
  </si>
  <si>
    <t>FLOR DE AGUA 1732 $ 1.150.000</t>
  </si>
  <si>
    <t>NORDICA 2616 $880.000</t>
  </si>
  <si>
    <t xml:space="preserve">CONSOLIDADO INFORME GENERAL SEDE BELLO- DAHIANA HOYOS MAYO   2021 </t>
  </si>
  <si>
    <t>LA QUINTA 1506 $ 1.350.000</t>
  </si>
  <si>
    <t>MEDITERRANEA 1723 - $ 1.100.000 EN ESTUDIO</t>
  </si>
  <si>
    <t xml:space="preserve">MEDITERRANEA 320 $ 1.200.000  </t>
  </si>
  <si>
    <t xml:space="preserve">LA QUINTA 909 $ 1.100.000 </t>
  </si>
  <si>
    <t>BOSQUE ALTO 805 $ 1300000</t>
  </si>
  <si>
    <t>VALOR A PAGAR TOTAL COMISIONES----------------------&gt;</t>
  </si>
  <si>
    <t>SEDE BELLO - JUNIO      2021</t>
  </si>
  <si>
    <t xml:space="preserve">CIUDAD CENTRAL 310 $ 1100.000- DESISTIDO </t>
  </si>
  <si>
    <t>CR 55 A 34 36  $ 1200000 ENTREGADO</t>
  </si>
  <si>
    <t xml:space="preserve">CASA CABAÑAS $ 1600.000 DESISTIDO </t>
  </si>
  <si>
    <t>OCEANA 920 $ 1.550.000 - ENTREGADO</t>
  </si>
  <si>
    <t xml:space="preserve">BOSQUE ALTO 1205 $ 1.300.000 ENTREGADO </t>
  </si>
  <si>
    <t>FLOR DE AGUA 1525 $ 1100000 ENTREGADO</t>
  </si>
  <si>
    <t xml:space="preserve">FLOR DE AGUA 2032 $ 1.150.000 ENTREGADO </t>
  </si>
  <si>
    <t> 11479</t>
  </si>
  <si>
    <t>FLOR DE AGUA 1325 $ 1.200.000 ENTREGADO</t>
  </si>
  <si>
    <t xml:space="preserve">PUERTO PARAISO 508 $ 1050000- ENTREGADO </t>
  </si>
  <si>
    <t xml:space="preserve">LOS ARBOLES 2622 $ 1250000 ENTREGADO </t>
  </si>
  <si>
    <t> 11476</t>
  </si>
  <si>
    <t xml:space="preserve">MADERA NATURAL 2207 $ 950.000 ENTREGADO </t>
  </si>
  <si>
    <t xml:space="preserve">JUAN CAMILO URREA </t>
  </si>
  <si>
    <t>CALLE 25 A 58 BB 60 $ 1500000 ENTREGADO</t>
  </si>
  <si>
    <t xml:space="preserve">FLOR DE AGUA 2232 $ 1.200.000 ENTREGADO </t>
  </si>
  <si>
    <t xml:space="preserve">CEIBA DEL NORTE 512 % 1.150.000 - DESISTIDO </t>
  </si>
  <si>
    <t xml:space="preserve">FLOR DE AGUA 1525 $ 1100000 ENTREGADO </t>
  </si>
  <si>
    <t xml:space="preserve">FLOR DE AGUA 2329  $ 1150000 ENTREGADO </t>
  </si>
  <si>
    <t>MADERA SILVESTRE 510 $ 1.000.000 - ENTREGADO</t>
  </si>
  <si>
    <t>PUERTO VENTURA 2010 $ 1.200.000 - ENTREGADO</t>
  </si>
  <si>
    <t xml:space="preserve">CALLE 32 # 52-25$ 1.100.000 ENTREGADO </t>
  </si>
  <si>
    <t>ALTOBELO 1813 $ 960.000 ENTREGADO</t>
  </si>
  <si>
    <t>13+4</t>
  </si>
  <si>
    <t xml:space="preserve">FLOR DE AGUA 1325 $ 1.200.000 ENTREGADO </t>
  </si>
  <si>
    <t xml:space="preserve">PUERTO PARAISO 1701 $ 1.000.000 PDT PAGO Y ENTREGA </t>
  </si>
  <si>
    <t xml:space="preserve">SEBASTIAN BUITRAGO  </t>
  </si>
  <si>
    <t>VALOR A PAGAR TOTAL COMISIONES-------------------</t>
  </si>
  <si>
    <t xml:space="preserve">CEIBA DEL NORTE 914 $ 1.050.000 DESISTIDO </t>
  </si>
  <si>
    <t>BOSQUE ALTO 1207 $ 950.000- DESISTIDO</t>
  </si>
  <si>
    <t xml:space="preserve">NORDICA 1514 $ 1.000.000 -ENTREGADO </t>
  </si>
  <si>
    <t xml:space="preserve">NORDICA 1607 $ 1.150.000 - ENTREGADO </t>
  </si>
  <si>
    <t xml:space="preserve">CEIBA DEL NORTE 914 $ 1.100.000 PDTE ENTREGA Y PAGO </t>
  </si>
  <si>
    <t xml:space="preserve">CEIBA DEL NORTE 924 $ 1150000 ENTREGADO </t>
  </si>
  <si>
    <t xml:space="preserve">ASESOR  SEBASTIAN BUITRAGO </t>
  </si>
  <si>
    <t>CURAZAO 1720   $ 850.000</t>
  </si>
  <si>
    <t>GRAN AVENIDA $ 1.100.000 ENTREGADO</t>
  </si>
  <si>
    <t>CASA BARRIO OBRERO $ 1200000 ENTREGADO</t>
  </si>
  <si>
    <t xml:space="preserve">OCEANA 920 $ 1.550.000 - ENTREGADO </t>
  </si>
  <si>
    <t xml:space="preserve">CEIBA DEL NORTE 924 $ 1150000 EN FIRMAS  </t>
  </si>
  <si>
    <t xml:space="preserve">VILLAS DE COMFENALCO CASA 201 $ 1200000 ENTREGADO </t>
  </si>
  <si>
    <t xml:space="preserve">CEIBA DEL NORTE 914 $ 1.100.000  ENTREGADO  </t>
  </si>
  <si>
    <t>LOS ARBOLES 2622 $ 1.250.000 ENTREGADO</t>
  </si>
  <si>
    <t xml:space="preserve">PUERTO PARAISO 1701 $ 1.000.000 EN FIRMAS </t>
  </si>
  <si>
    <t xml:space="preserve">INFORME DAHIANA HOYOS  JUNIO    2021 </t>
  </si>
  <si>
    <t>CURAZAO 1720  8500.000 EN FIRMAS - LIMITE  12 MESES</t>
  </si>
  <si>
    <t xml:space="preserve">INFORME JOAN   JUNIO     2021 </t>
  </si>
  <si>
    <t>CIUDAD CENTRAL 310 $ 1100.000</t>
  </si>
  <si>
    <t>DESISTIDO - NO TIENE MAS DOCUMENTOS PARA PRESENTAR</t>
  </si>
  <si>
    <t>FLOR DE AGUA 2329 $ 1150000</t>
  </si>
  <si>
    <t>FLOR DE AGUA 1525 $ 1100000</t>
  </si>
  <si>
    <t xml:space="preserve">NORDICA 1514 $ 1.000.000 </t>
  </si>
  <si>
    <t>MADERA SILVESTRE 510 $ 1.000.000</t>
  </si>
  <si>
    <t xml:space="preserve">NORDICA 1607 $ 1.150.000 </t>
  </si>
  <si>
    <t xml:space="preserve">BOSQUE ALTO 1205 $ 1.300.000 </t>
  </si>
  <si>
    <t xml:space="preserve">PUERTO VENTURA 2010 $ 1.200.000 </t>
  </si>
  <si>
    <t xml:space="preserve">OCEANA 920 $ 1.550.000 </t>
  </si>
  <si>
    <t>TOTAL ARRENDADO -----------------------------------------------------------</t>
  </si>
  <si>
    <t xml:space="preserve">INFORME LUISA MARIN JUNIO    2021 </t>
  </si>
  <si>
    <t xml:space="preserve">DESISTIDO - NO TIENE MAS DOCUMENTOS PARA PRESENTAR </t>
  </si>
  <si>
    <t xml:space="preserve">CEIBA DEL NORTE 512 % 1.150.000 </t>
  </si>
  <si>
    <t xml:space="preserve">EN FIRMAS  - 7167568 . CON LIMITE DE INDEMNIZACION A 12 MESES -DESISTIDO </t>
  </si>
  <si>
    <t>CEIBA DEL NORTE 914 $ 1.050.000</t>
  </si>
  <si>
    <t>DESISTIDO</t>
  </si>
  <si>
    <t>BOSQUE ALTO 1207 $ 950.000</t>
  </si>
  <si>
    <t>RESERVA DEL PRADO 512</t>
  </si>
  <si>
    <t>FLORES DEL CAMPO 510</t>
  </si>
  <si>
    <t>RESERVA DEL PRADO 527</t>
  </si>
  <si>
    <t>AQUAVENTO 1611</t>
  </si>
  <si>
    <t>CASA BARRIO OBRERO  $ 1.200.000</t>
  </si>
  <si>
    <t xml:space="preserve">LOS ARBOLES 2622 $ 1.250.000 </t>
  </si>
  <si>
    <t>EN TREGADO-APROBADO CON LIMITE -ENTREGADO</t>
  </si>
  <si>
    <t>PUERTO PARAISO 508 $ 1050000</t>
  </si>
  <si>
    <t> 11452</t>
  </si>
  <si>
    <t xml:space="preserve">FLOR DE AGUA 2032 $ 1.150.000 </t>
  </si>
  <si>
    <t>FLOR DE AGUA 1325 $ 1200000</t>
  </si>
  <si>
    <t>CALLE 32 # 52-25$ 1.100.000</t>
  </si>
  <si>
    <t>VILLAS DE COMFENALCO CASA 201 $ 1200000</t>
  </si>
  <si>
    <t xml:space="preserve">MADERA NATURAL 2207 $ 950.000 </t>
  </si>
  <si>
    <t xml:space="preserve">PDTE PAGO Y ENTREGA </t>
  </si>
  <si>
    <t xml:space="preserve">CEIBA DEL NORTE 914 % 1.100.000 </t>
  </si>
  <si>
    <t>CALLE 25 A 58 BB 60</t>
  </si>
  <si>
    <t>FLOR DE AGUA 2232 $ 1.200.000</t>
  </si>
  <si>
    <t xml:space="preserve">PDT PAGO Y ENTREGA </t>
  </si>
  <si>
    <t>CEIBA DEL NORTE 924 $ 1.150.000</t>
  </si>
  <si>
    <t>ALTOBELO 1803 $ 960.000</t>
  </si>
  <si>
    <t>PUERTO PARAISO 1701 $ 1.000.000</t>
  </si>
  <si>
    <t xml:space="preserve">CONSOLIDADO INFORME GENERAL SEDE BELLO- DAHIANA HOYOS JUNIO   2021 </t>
  </si>
  <si>
    <t>FLOR APARTAMENTOS 1525</t>
  </si>
  <si>
    <t>FLOR APARTAMENTOS 2329</t>
  </si>
  <si>
    <t>CURAZAO 1720  $ 850.000</t>
  </si>
  <si>
    <t xml:space="preserve">CASA OBRERO CARRERA 55 A 34 36 </t>
  </si>
  <si>
    <t> 11431</t>
  </si>
  <si>
    <t>BOSQUE ALTO 1205 $ 1300000</t>
  </si>
  <si>
    <t>PUERTO VENTURA 2010 $ 1.200.000</t>
  </si>
  <si>
    <t xml:space="preserve">JOAN  MEJIA </t>
  </si>
  <si>
    <t>FLOR APARTAMENTOS 1325 $ 1200000</t>
  </si>
  <si>
    <t xml:space="preserve">SOLICITUDES CON LIMITE DE INDEMINIZACION </t>
  </si>
  <si>
    <t>SOLICITUD</t>
  </si>
  <si>
    <t xml:space="preserve">NOMBRE </t>
  </si>
  <si>
    <t xml:space="preserve">DIRECCION </t>
  </si>
  <si>
    <t xml:space="preserve">GOMEZ QUICENO VIVIANA ANDREA </t>
  </si>
  <si>
    <t>DIAGONAL 43 N° 34 E 20 APT 1720</t>
  </si>
  <si>
    <t xml:space="preserve">YEPES VILLEGAS YOERNY ALBERTO </t>
  </si>
  <si>
    <t xml:space="preserve">Avenida 32 diagonal 49 A - 135 Apto 512 </t>
  </si>
  <si>
    <t xml:space="preserve">HINCAPE MORA JULIANA </t>
  </si>
  <si>
    <t>AVENIDA 43 DIAGONAL 51 26 APTO 2622 TORRE 4</t>
  </si>
  <si>
    <t>SEDE BELLO - JULIO      2021</t>
  </si>
  <si>
    <t xml:space="preserve">ENSENADA 2218 $ 1.250.000 DESISTIDO </t>
  </si>
  <si>
    <t>25+4</t>
  </si>
  <si>
    <t xml:space="preserve">CALLE 47 # 47-28 PRIMER PISO PRADO $900.000-DESISTIDO </t>
  </si>
  <si>
    <t>BOSQUE ALTO 901$ 1.400.000 DESISTIDO</t>
  </si>
  <si>
    <t>OCEANA 2133 $ 1.700.000 ENTREGADO</t>
  </si>
  <si>
    <t>NORDICA 1716 $ 900.000 ENTREGADO</t>
  </si>
  <si>
    <t>OCEANA 1536  $ 1.400.000 ENTREGADO</t>
  </si>
  <si>
    <t xml:space="preserve">FLOR APARTAMENTOS 2529- ENTREGADO </t>
  </si>
  <si>
    <t>ENSENADA 1823 $ 950000 ENTREGADO</t>
  </si>
  <si>
    <t xml:space="preserve">FLOR APARTAMENTOS 2732 $ 1.200.000 ENTREGADO </t>
  </si>
  <si>
    <t xml:space="preserve">FLOR DE AGUA 2132 $1.150.000 - ENTREGADO </t>
  </si>
  <si>
    <t>PUERTO PARAISO 2301 $ 1.000.000 ENTREGADO</t>
  </si>
  <si>
    <t xml:space="preserve">PUERTO VENTURA 2204 $ 1.200.000 DESISTIDO </t>
  </si>
  <si>
    <t xml:space="preserve">DCTOS DANNY -$ 1.300.000 DESISTIDO DIRECTO </t>
  </si>
  <si>
    <t xml:space="preserve">PUERTO ALEGRE 1208 $ 900000- ENTREGADO </t>
  </si>
  <si>
    <t xml:space="preserve">PUERTO VENTURA 2201 $ 1.250.000- DESISTIDO DIRECTO </t>
  </si>
  <si>
    <t>FLOR APARTAMENTOS 2529- ENTREGADO $ 1.200.000</t>
  </si>
  <si>
    <t xml:space="preserve">CIUDAD CENTRAL 310 $ 1100.000 ENTREGADO </t>
  </si>
  <si>
    <t xml:space="preserve">CANTARES DE RIACHUELOS 2202 $850.000 ENTREGADO </t>
  </si>
  <si>
    <t xml:space="preserve">CANTARES DE RIACHUELOS 1305 $ 900.000- ENTREGADO </t>
  </si>
  <si>
    <t>ALEXIA ALVAREZ</t>
  </si>
  <si>
    <t xml:space="preserve">RIACHUELOS 1901 $ 1050000 ENTREGADO </t>
  </si>
  <si>
    <t>VINILO 2604 $ 900.000 ENTREGADO</t>
  </si>
  <si>
    <t xml:space="preserve">LOCAL CANTARES DE RIACHUELOS 113 - EN FIRMAS </t>
  </si>
  <si>
    <t xml:space="preserve">TIERRA LINDA 209 $ 700.00- DESITIDO </t>
  </si>
  <si>
    <t>MADERA SILVESTRE  406$ 1000000 ENTREGADO</t>
  </si>
  <si>
    <t xml:space="preserve">FLOR DE AGUA 428 $1.300.000- DESISTIDO </t>
  </si>
  <si>
    <t xml:space="preserve">PUERTO PARAISO 603 $ 1.100.000 ENTREGADO </t>
  </si>
  <si>
    <t xml:space="preserve">CASA PRIMER PISO PRADO $1.000.000- NEGADOS </t>
  </si>
  <si>
    <t xml:space="preserve">PUERTO PARAISO 2301 $ 1.000.000 EN FIRMAS </t>
  </si>
  <si>
    <t xml:space="preserve">CUARTO PISO BARRIO NUEVO $ 800.000-EN ESTUDIO </t>
  </si>
  <si>
    <t xml:space="preserve">MADERA SILVESTRE 1208 $ 1.000.000 ENTREGADO </t>
  </si>
  <si>
    <t xml:space="preserve">PUERTO PARAISO 1101  $ 1.200.000- ENTREGADO </t>
  </si>
  <si>
    <t xml:space="preserve">CAMINO DEL VIENTO 919 $ 1.100.000- ENTREGADO  </t>
  </si>
  <si>
    <t xml:space="preserve">NORDICA 1314 $ 900.000 ENTREGADO </t>
  </si>
  <si>
    <t xml:space="preserve">CAMINO DEL VIENTO 1015 $ 1.100.000- DESITIDO </t>
  </si>
  <si>
    <t>21+4</t>
  </si>
  <si>
    <t xml:space="preserve">OPORTO 1506 $ 1.200.000 DESISTIDO </t>
  </si>
  <si>
    <t xml:space="preserve">PLAZA NAVARRA 529 $ 780000  -DESISTIDO  </t>
  </si>
  <si>
    <t xml:space="preserve">BOSQUE ALTO $ 1.300.000 DESISTIDO </t>
  </si>
  <si>
    <t xml:space="preserve">ALAMEDA  $ 2.300.000 -ENTREGADO </t>
  </si>
  <si>
    <t xml:space="preserve">MADERA SILVESTRE  406$ 1000000 ENTREGADO </t>
  </si>
  <si>
    <t xml:space="preserve">MADERA NATURAL 9903$ 1.000.000 ENTREGADO </t>
  </si>
  <si>
    <t xml:space="preserve">ALCALA 1315 $850.000 EN FIRMAS </t>
  </si>
  <si>
    <t xml:space="preserve">CEIBA DEL NORTE 2423 $ 960.000 ENTREGADO </t>
  </si>
  <si>
    <t>NORDICA 1116 $ 900.000  ENTREGADO</t>
  </si>
  <si>
    <t xml:space="preserve">NORDICA 1612 $ 1.500.000- ENTREGADO </t>
  </si>
  <si>
    <t xml:space="preserve">TERRALUNA 403 $ 700.000 ENTREGADO </t>
  </si>
  <si>
    <t xml:space="preserve">LOS ARBOLES 812 $ 1.250.000 - ENTREGADO </t>
  </si>
  <si>
    <t xml:space="preserve">NORDICA 1801 $ 1550000 DESISTIDO DIRECTO </t>
  </si>
  <si>
    <t>12+5</t>
  </si>
  <si>
    <t xml:space="preserve">PUERTA MADERA 1868 $1.300.000- ENTREGADO </t>
  </si>
  <si>
    <t xml:space="preserve">LOS ARBOLES 812 $ 1.250.000 - EN FIRMAS </t>
  </si>
  <si>
    <t xml:space="preserve">CASA CALLE 114 N° 67A - 42 ENTREGADO </t>
  </si>
  <si>
    <t xml:space="preserve">YESSICA BUITRAGO </t>
  </si>
  <si>
    <t xml:space="preserve">LAURELES DE TERRANOVA 1092 $ 1.150.000 ENTREGADO </t>
  </si>
  <si>
    <t>PUERTO PARAISO 1101  $ 1.200.000- ENTREGADO</t>
  </si>
  <si>
    <t xml:space="preserve">      TOTAL ------------------------&gt;		</t>
  </si>
  <si>
    <t xml:space="preserve">INFORME LUISA MARIN JULIO     2021 </t>
  </si>
  <si>
    <t>CAMINO DEL VIENTO 1015 - $1.100.000</t>
  </si>
  <si>
    <t xml:space="preserve">DESISTIDO NEGARON ARRENDATARIO Y NO TENIA A QUIN PRESENTAR </t>
  </si>
  <si>
    <t>TIERRA LINDA 209 $ 700.00</t>
  </si>
  <si>
    <t>PUERTO VENTURA 2201 $ 1.250.000</t>
  </si>
  <si>
    <t xml:space="preserve">DESISTIDO PRO DESITIO DEL NEGOCIO Y EL CLIENTE ENCONTRO UNO DIRECTO </t>
  </si>
  <si>
    <t>OPORTO 1506 $ 1.200.000</t>
  </si>
  <si>
    <t xml:space="preserve">DESITIDO  CLIENTE NO RESPONDE </t>
  </si>
  <si>
    <t xml:space="preserve">PLAZA NAVARRA 529 $ 780000  </t>
  </si>
  <si>
    <t xml:space="preserve">DESISTIDO CLIENTE CON PROBLEMAS FAMILIARES </t>
  </si>
  <si>
    <t>CALLE 47 # 47-28 PRIMER PISO PRADO $900.000</t>
  </si>
  <si>
    <t xml:space="preserve">DESISTIDO INMUEBLE CON HUMEDAD, CLIENTE ENCONTRO DIRECTO </t>
  </si>
  <si>
    <t>DCTOS DANNY $ 1300000</t>
  </si>
  <si>
    <t xml:space="preserve">DESISTIDO PIDIERON NUEVO DEUDOR, CLIENTE ENCONTRO DIRECTO </t>
  </si>
  <si>
    <t>BOSQUE ALTO 901 - 1.400.000</t>
  </si>
  <si>
    <t xml:space="preserve">DESISTIDO CLIENTE NO RESPONDE </t>
  </si>
  <si>
    <t xml:space="preserve">OCEANA 2133 </t>
  </si>
  <si>
    <t xml:space="preserve">CLIENTE POR  PORTERO  -ENTREGADO </t>
  </si>
  <si>
    <t xml:space="preserve">MADERA SILVESTRE 1208 </t>
  </si>
  <si>
    <t xml:space="preserve">OCEANA 1536 </t>
  </si>
  <si>
    <t xml:space="preserve">ENTREGADO  </t>
  </si>
  <si>
    <t xml:space="preserve">CANTARES DE RIACHUELOS 2202 </t>
  </si>
  <si>
    <t>SANTIAGO ALVAREZ</t>
  </si>
  <si>
    <t xml:space="preserve">MADERA SILVESTRE 406  </t>
  </si>
  <si>
    <t xml:space="preserve">PUERTO PARAISO 1101  </t>
  </si>
  <si>
    <t xml:space="preserve">MADERA NATURAL 9903 </t>
  </si>
  <si>
    <t>FLOR APARTAMENTOS 2529</t>
  </si>
  <si>
    <t xml:space="preserve">ALAMEDA </t>
  </si>
  <si>
    <t xml:space="preserve">ALCALA 1315 </t>
  </si>
  <si>
    <t xml:space="preserve">CEIBA DEL NORTE 2423 				</t>
  </si>
  <si>
    <t xml:space="preserve">ENSENADA 1823 </t>
  </si>
  <si>
    <t xml:space="preserve">CIUDAD CENTRAL 310 </t>
  </si>
  <si>
    <t xml:space="preserve">CAMINO DEL VIENTO 919 </t>
  </si>
  <si>
    <t xml:space="preserve">FLOR APARTAMENTOS 2732 </t>
  </si>
  <si>
    <t xml:space="preserve">PUERTO PARAISO 603  </t>
  </si>
  <si>
    <t xml:space="preserve">RIACHUELOS 1901 </t>
  </si>
  <si>
    <t xml:space="preserve">NORDICA 1612 </t>
  </si>
  <si>
    <t>PUERTO PARAISO 2301 - 1.000.000 - 6 MESES</t>
  </si>
  <si>
    <t>LOCAL CANTARES DE RIACHUELOS 113 $ 1200000</t>
  </si>
  <si>
    <t xml:space="preserve">INFORME JOAN MEJIA  JULIO-2021 </t>
  </si>
  <si>
    <t xml:space="preserve">DESISTIDO-DIRECTO </t>
  </si>
  <si>
    <t xml:space="preserve">PUERTO VENTURA 2204 $ 1.200.000 </t>
  </si>
  <si>
    <t>BOSQUE ALTO $1.300.000</t>
  </si>
  <si>
    <t>DISISTIDO , SE UBICARON CON OTRA INMOBILIARIA</t>
  </si>
  <si>
    <t>ENSENADA 2218 $1.250.000 - CLIENTE DE PORTERO</t>
  </si>
  <si>
    <t xml:space="preserve">NEGADO DESISTIDO </t>
  </si>
  <si>
    <t>CASA PRIMER PISO PRADO $1.000.000</t>
  </si>
  <si>
    <t xml:space="preserve">DESISTIDO- NEGADOS </t>
  </si>
  <si>
    <t>FLOR DE AGUA 428 $1.300.000</t>
  </si>
  <si>
    <t xml:space="preserve">DESISTIDO- NO TIENE A QUIEN MAS PARA PRESENTAR </t>
  </si>
  <si>
    <t>CUARTO PISO BARRIO NUEVO $ 800.000</t>
  </si>
  <si>
    <t xml:space="preserve">DESITIDO- NEGADOS </t>
  </si>
  <si>
    <t>PUERTA MADERA 1868 $1.300.000</t>
  </si>
  <si>
    <t xml:space="preserve">ENTREGADO PDT PAGO </t>
  </si>
  <si>
    <t xml:space="preserve">CASA CALLE 114 N° 67A - 42 $ 900.000 </t>
  </si>
  <si>
    <t>FLOR DE AGUA 2132 $1.150.000</t>
  </si>
  <si>
    <t>VINILO 2604 $ 900.000</t>
  </si>
  <si>
    <t>ENTREGADO  6 MESES</t>
  </si>
  <si>
    <t xml:space="preserve">TERRALUNA 403 $ 700.000  </t>
  </si>
  <si>
    <t xml:space="preserve">SEBATIAN ECHAVARRIA </t>
  </si>
  <si>
    <t>LAURELES DE TERRANOVA 1092 $ 1.150.000</t>
  </si>
  <si>
    <t>LOS ARBOLES 812 $1.250.000</t>
  </si>
  <si>
    <t xml:space="preserve">CONSOLIDADO INFORME GENERAL SEDE BELLO- DAHIANA HOYOS JULIO   2021 </t>
  </si>
  <si>
    <t xml:space="preserve">OCEANA 2133 $ 1.700.000 </t>
  </si>
  <si>
    <t xml:space="preserve">CLIENTE DE PORTERO SE PAGA PERO NO INGRESA A LA META </t>
  </si>
  <si>
    <t xml:space="preserve">NORDICA 1716 $ 900.000 </t>
  </si>
  <si>
    <t>PUERTO ALEGRE 1208 $ 900000</t>
  </si>
  <si>
    <t>MADERA SILVESTRE 1208 $ 1.000.000</t>
  </si>
  <si>
    <t>CANTARES DE RIACHUELOS 2202 $850.000</t>
  </si>
  <si>
    <t>OCEANA 1536 -   $ 1.400.000</t>
  </si>
  <si>
    <t xml:space="preserve">MADERA SILVESTRE 406 $ 1000000 </t>
  </si>
  <si>
    <t xml:space="preserve">MADERA NATURAL 9903$ 1.000.000 </t>
  </si>
  <si>
    <t xml:space="preserve">FLOR APARTAMENTOS 2529 $ 1.200.000 </t>
  </si>
  <si>
    <t>PUERTO PARAISO 1101  $ 1.200.000</t>
  </si>
  <si>
    <t>MATERO ROMERO</t>
  </si>
  <si>
    <t>ALAMEDA DEL NORTE 115  $ 2.300.000 -</t>
  </si>
  <si>
    <t>ENSENADA 1823 $ 950000</t>
  </si>
  <si>
    <t>ALCALA 1315 $850.000</t>
  </si>
  <si>
    <t>CANTARES DE RIACHUELOS 1305 $ 900.000</t>
  </si>
  <si>
    <t xml:space="preserve">CEIBA DEL NORTE 2423 $ 960.000					</t>
  </si>
  <si>
    <t xml:space="preserve">CIUDAD CENTRAL 310 $ 1100.000 </t>
  </si>
  <si>
    <t>NORDICA 1116 $ 900.000</t>
  </si>
  <si>
    <t xml:space="preserve">CAMINO DEL VIENTO 919 $ 1.100.000 </t>
  </si>
  <si>
    <t xml:space="preserve">ENTREGADO  CONTRATO A 6 MESES </t>
  </si>
  <si>
    <t xml:space="preserve">FLOR APARTAMENTOS 2732 $ 1.200.000 </t>
  </si>
  <si>
    <t xml:space="preserve">PUERTO PARAISO 603  1.100.000 </t>
  </si>
  <si>
    <t xml:space="preserve">RIACHUELOS 1901 $ 1050000 </t>
  </si>
  <si>
    <t>NORDICA 1612 $ 1.500.000</t>
  </si>
  <si>
    <t xml:space="preserve">NORDICA 1314 $ 900.000 </t>
  </si>
  <si>
    <t xml:space="preserve">ENTREGADO 6 MESES </t>
  </si>
  <si>
    <t>MIRA GUERRA YOLIMA SIRLEY</t>
  </si>
  <si>
    <t xml:space="preserve">CR 43 # 36 D -25 APTO 1904 terra linda </t>
  </si>
  <si>
    <t>SEBASTIAN ECHAVARRIA</t>
  </si>
  <si>
    <t>1.700.000</t>
  </si>
  <si>
    <t>BARRIENTOS VASQUEZ KELLY YOJANA</t>
  </si>
  <si>
    <t>CALLE 39 N° 52 - 95 AP 2133 - OCEANA+</t>
  </si>
  <si>
    <t>SEDE BELLO - AGOSTO       2021</t>
  </si>
  <si>
    <t xml:space="preserve">DESISTIDO -BOSQUE ALTO $1.300.000-DESITIDO RENOVO DONDE ESTABA </t>
  </si>
  <si>
    <t xml:space="preserve">FLOR DE AGUA 625 -ENTREGADO </t>
  </si>
  <si>
    <t xml:space="preserve">CASA - CALLE 52A # 54-61  $ 800.000 ENTREGADO </t>
  </si>
  <si>
    <t xml:space="preserve">EMPORIUM 602 $ 880.000 ENTREGADO </t>
  </si>
  <si>
    <t xml:space="preserve">OCEANA 2524 $ 1.800.000 APROBADO CON CDT  ENTREGADO </t>
  </si>
  <si>
    <t>FLOR APARTAMENTOS 1425 $ 1.250.000 ENTREGADO</t>
  </si>
  <si>
    <t xml:space="preserve">BOSQUE ALTO 2301  $ 1.600.000 ENTREGADO </t>
  </si>
  <si>
    <t xml:space="preserve">PUERTO PARAISO 1606 $ 1.050.000  DESISTIDO PROPIETARIA NO QUISO FIRMAR Y EL ARRENDATARIO SE UBICO EN OTRO INMUEBLE </t>
  </si>
  <si>
    <t xml:space="preserve">OCEANA $ 1.850.000 - NEGADOS AMBOS </t>
  </si>
  <si>
    <t>ALTOBELO 1515 $ 1050000  ENNTREGADO</t>
  </si>
  <si>
    <t xml:space="preserve">FLOR 2429 $ 1.300.000 NEGADOS AMBOS </t>
  </si>
  <si>
    <t xml:space="preserve">PUERTO VENTURA 2204 $ 1.900.000 DESISTIDO NO TIENE A QUIEN PRESENTAR </t>
  </si>
  <si>
    <t xml:space="preserve">RESERVA DE BUCAROS 401 $ 850.000 DESITIDO LE SALIO UN VIAJE DE TRABAJO </t>
  </si>
  <si>
    <t xml:space="preserve">PUERTO VENTURA 2204 $ 1.200.000 ENTREGADO </t>
  </si>
  <si>
    <t xml:space="preserve">FLOR 625 $ 1.150.000 ENTREGADO </t>
  </si>
  <si>
    <t xml:space="preserve">PUERTO PARAISO 2011 $ 1.100.000 ENTREGADO </t>
  </si>
  <si>
    <t xml:space="preserve">PUERTO NUEVO 1934 $ 1050000 ENTREGADO </t>
  </si>
  <si>
    <t xml:space="preserve">LOCAL CANTARES DE RIACHUELOS 109  $ 1.300.000 </t>
  </si>
  <si>
    <t xml:space="preserve">PUERTA MADERA 1548 $ 1.100.000 DESISTIO-CONSIGUIO DIRECTO </t>
  </si>
  <si>
    <t xml:space="preserve">MADERA SILVESTRE 506 $ 1,100,000 DESISTIDO SE QUEDO CON EL INMJUEBLE DE UN FAMLIAR </t>
  </si>
  <si>
    <t xml:space="preserve">CERRO CLARO 2303 $ 900.000 DESISTIO DEMORA EN LA ASEGURADORA </t>
  </si>
  <si>
    <t xml:space="preserve">CAMINO DEL VIENTO 1818 $ 1200000  CLIENTE PIDIO TRASLADO </t>
  </si>
  <si>
    <t>ENSENADA 2218 $ 1200.000 ENTREGADO</t>
  </si>
  <si>
    <t>TIERRA LINDA 2506 $ 850.000 ENTREGADO</t>
  </si>
  <si>
    <t xml:space="preserve">ALTOBELO 1515 $ 1050000  ENNTREGADO </t>
  </si>
  <si>
    <t xml:space="preserve">CUARTO PISO BARRIO NUEVO $ 800.000 ENTREGADO </t>
  </si>
  <si>
    <t xml:space="preserve">JIOAN MEJIA </t>
  </si>
  <si>
    <t>MADERA SILVESTRE 506 $ 1,000,000 ENTREGADO</t>
  </si>
  <si>
    <t xml:space="preserve">FLOR DE AGUA 925 $ 1.150.000 ENTREGADO </t>
  </si>
  <si>
    <t xml:space="preserve">CAMINO DEL VIENTO 1118 $ 1.200.000 ENTREGADO </t>
  </si>
  <si>
    <t xml:space="preserve">CEIBA DEL NORTE 1013 $ 1.300.000 NEGADOS </t>
  </si>
  <si>
    <t>20+8</t>
  </si>
  <si>
    <t xml:space="preserve">CEIBA DEL NORTE 1918 $ 1.200.000 DESISTIO </t>
  </si>
  <si>
    <t xml:space="preserve">CAMINO DEL VIENTO 1015 - $1.100.000 DESITIO - PROBLEMA FAMILIAR </t>
  </si>
  <si>
    <t xml:space="preserve">NORDICA 1801 $ 1.400.000 ENTREGADO </t>
  </si>
  <si>
    <t>DESITIDO BOSQUE ALTO ( ALEJANDRA) BUSCANDO APTO $1.300.000</t>
  </si>
  <si>
    <t xml:space="preserve">CEIBA DEL NORTE 2005 $ 1.000.000 ENTREGADO </t>
  </si>
  <si>
    <t xml:space="preserve">NORDICA 1801 $ 1.400.000 DESISTIO EL DEUDOR NO LE QUISO FIRMAR </t>
  </si>
  <si>
    <t xml:space="preserve">TIERRA LINDA 1904 $700.000 NEGADO </t>
  </si>
  <si>
    <t xml:space="preserve">CEIBA DEL NORTE 1704 $ 900.000 DESISTIDO -NO  VA APRESENTAR EL DOCUMENTO SOLICITADO POR LA ASEGURADORA APORTE EPS </t>
  </si>
  <si>
    <t xml:space="preserve">CEIBA DEL NORTE 1818 $ 1.000.000  LIMITE 12 MESES - ENTREGADO </t>
  </si>
  <si>
    <t xml:space="preserve">FLOR APARTAMENTOS 1425 $ 1.250.000 ENTREGADO </t>
  </si>
  <si>
    <t xml:space="preserve">ARTURO RUZ </t>
  </si>
  <si>
    <t xml:space="preserve">TIERRA LINDA CAMPESTRE 1904 $ 650.000-  CON LIMITE 12 MESES - ENTREGADO </t>
  </si>
  <si>
    <t xml:space="preserve">SEBASTOAN ECHAVARRIA </t>
  </si>
  <si>
    <t xml:space="preserve">NORDICA 1702 $ 1.500.000 ENTREGADO </t>
  </si>
  <si>
    <t xml:space="preserve">OPORTO 1506  $ 1.100.000 INICIA EL 1 DE SEP </t>
  </si>
  <si>
    <t>14+2</t>
  </si>
  <si>
    <t xml:space="preserve">CURAZAO 1128 $ 850.000 ENTREGADO </t>
  </si>
  <si>
    <t xml:space="preserve">JUAN SEBAS GONZALEZ </t>
  </si>
  <si>
    <t xml:space="preserve">LOS ARBOLES 1520 $ 1050000 INICIA EL 1 DE SEP </t>
  </si>
  <si>
    <t xml:space="preserve">NORDICA 1801  $ 1.400.000  ENTREGADO </t>
  </si>
  <si>
    <t xml:space="preserve">JOAN EJIA </t>
  </si>
  <si>
    <t xml:space="preserve">LOS ARBOLES  1304  $ 920.000 ENTREGADO </t>
  </si>
  <si>
    <t xml:space="preserve">LOS ARBOLES 1920 $ 1.050.000 ENTREGADO </t>
  </si>
  <si>
    <t>CEIBA DEL NORTE 2005 $ 1.000.000 ENTREGADOS</t>
  </si>
  <si>
    <t xml:space="preserve">LOS ARBOLES APT 2620  $ 1.050.000 ENTREGADOS </t>
  </si>
  <si>
    <t xml:space="preserve">INFORME LUISA MARIN AGOSTO      2021 </t>
  </si>
  <si>
    <t xml:space="preserve">PUERTA MADERA 1548 $ 1.100.000 EN ESTUDIO </t>
  </si>
  <si>
    <t xml:space="preserve">DESITIDO -CONSIGUO DIRECTO </t>
  </si>
  <si>
    <t xml:space="preserve">CEIBA DEL NORTE 1704 $ 900.000 </t>
  </si>
  <si>
    <t xml:space="preserve">DESISTIDO- NO VA A PRESNETAR EL DOCUMENTO FALTANTE QUE SOLICITA LA ASEGURADORA </t>
  </si>
  <si>
    <t>CAMINO DEL VIENTO 1818 $ 1200000</t>
  </si>
  <si>
    <t xml:space="preserve">DESISTIDO- CLIENTE PIDIO TRASLADO </t>
  </si>
  <si>
    <t>MADERA SILVESTRE 506 $ 1,100,000</t>
  </si>
  <si>
    <t xml:space="preserve">DESISTIDO SE QUEDO CON EL INMJUEBLE DE UN FAMLIAR </t>
  </si>
  <si>
    <t xml:space="preserve">DESISTIDO PROBLEMA FAMILIAR </t>
  </si>
  <si>
    <t xml:space="preserve">CEIBA DEL NORTE 1918 $ 1,200,000 EN ESTUDIO </t>
  </si>
  <si>
    <t>CERRO CLARO 2303 $ 900.000</t>
  </si>
  <si>
    <t xml:space="preserve">RESERVA DE BUCAROS 401 $ 850.000 </t>
  </si>
  <si>
    <t xml:space="preserve">DESISTIDO -LE SALIO UN VIAJE DE TRABAJO A BOGOTA </t>
  </si>
  <si>
    <t>BOSQUE ALTO ( ALEJANDRA) $1.300.000</t>
  </si>
  <si>
    <t xml:space="preserve">DESISTIDO-SE TRATO DE UBICAR PERO LA PROOUETARIA SOLO TRABAJABA CON ESA INMOBILIARIA </t>
  </si>
  <si>
    <t xml:space="preserve">OCEANA 2524 $ 1.800.000 </t>
  </si>
  <si>
    <t xml:space="preserve">CASA - CALLE 52A # 54-61  </t>
  </si>
  <si>
    <t xml:space="preserve">FLOR 625 </t>
  </si>
  <si>
    <t xml:space="preserve">ALEXIS ALVEREZ </t>
  </si>
  <si>
    <t xml:space="preserve">TIERRA LINDA 2506 </t>
  </si>
  <si>
    <t xml:space="preserve">PUERTO PARAISO 2011 </t>
  </si>
  <si>
    <t xml:space="preserve">NORDICA 1702 $ 1.500.000 </t>
  </si>
  <si>
    <t xml:space="preserve">PUERTO NUEVO 1934 $ 1050000   </t>
  </si>
  <si>
    <t xml:space="preserve">ALEXIS ALEVAREZ </t>
  </si>
  <si>
    <t>LOS ARBOLES 1520 $ 1050000</t>
  </si>
  <si>
    <t>OPORTO 1506  $ 1.100.000   INICIA 1 SEP</t>
  </si>
  <si>
    <t xml:space="preserve">LOS ARBOLES 1304 $ 920.000   </t>
  </si>
  <si>
    <t>ENTREGAGO</t>
  </si>
  <si>
    <t xml:space="preserve">FLOR DE AGUA 925 $ 1.150.000 </t>
  </si>
  <si>
    <t>LOS ARBOLES 1920 $ 1.050.000</t>
  </si>
  <si>
    <t>CEIBA DEL NORTE 2005 $ 1000000</t>
  </si>
  <si>
    <t>LOS ARBOLES  2620  APTO $ 1.050.000</t>
  </si>
  <si>
    <t xml:space="preserve">INFORME JOAN MEJIA  AGOSTO     2021 </t>
  </si>
  <si>
    <t xml:space="preserve">NEGADOS AMBOS </t>
  </si>
  <si>
    <t>PUERTO PARAISO 1606 $ 1.050.000</t>
  </si>
  <si>
    <t xml:space="preserve">DESITIDO -PRO NO QUISO FIRMAR -CLIENTE SE UBICO EN OTRO INMUEBLE </t>
  </si>
  <si>
    <t>FLOR 2429 $ 1.300.000 EN ESTUDIO</t>
  </si>
  <si>
    <t xml:space="preserve">OCEANA $ 1.850.000 </t>
  </si>
  <si>
    <t xml:space="preserve">DESISTIDO- NEGADOS AMBAS PERSONAS </t>
  </si>
  <si>
    <t xml:space="preserve">DESISTIDO -RENOVO DONDE ESTABA </t>
  </si>
  <si>
    <t xml:space="preserve">PUERTO VENTURA 2204 $ 1.900.000 EN ESTUDIO </t>
  </si>
  <si>
    <t xml:space="preserve">DESISTIDO NO TIENE A QUIEN MAS PRESENTAR </t>
  </si>
  <si>
    <t xml:space="preserve">NORDICA 1801  $ 1.400.000 </t>
  </si>
  <si>
    <t xml:space="preserve">DESISTIDO EL DEUDOR NO LE QUISO FIRMAR </t>
  </si>
  <si>
    <t>TIERRA LINDA 1904 $700.000</t>
  </si>
  <si>
    <t>CEIBA DEL NORTE 1818 $ 1.000.000</t>
  </si>
  <si>
    <t xml:space="preserve">FLOR APARTAMENTOS 1425 $ 1.250.000 </t>
  </si>
  <si>
    <t xml:space="preserve">FACTUTRADO </t>
  </si>
  <si>
    <t>TIERRA LINDA CAMPESTRE 1904 $ 650.000</t>
  </si>
  <si>
    <t xml:space="preserve">EMPORIUOM 602 $ 880.000 </t>
  </si>
  <si>
    <t xml:space="preserve">FACTIRADO </t>
  </si>
  <si>
    <t xml:space="preserve">ENSENADA 2218 $ 1200.000 </t>
  </si>
  <si>
    <t> 11822</t>
  </si>
  <si>
    <t xml:space="preserve">BOSQUE ALTO 2301  $1.600.000  </t>
  </si>
  <si>
    <t>ALTOBELO 1515 $ 1050000</t>
  </si>
  <si>
    <t>CALLE 23 A # 59 A – 23 APTO 401 $ 800.000</t>
  </si>
  <si>
    <t>CURAZAO 1128 $ 850.000</t>
  </si>
  <si>
    <t>MADERA SILVESTRE 506 $ 1,000,000</t>
  </si>
  <si>
    <t xml:space="preserve">NORDICA 1801 $ 1.400.000 </t>
  </si>
  <si>
    <t xml:space="preserve">JUAN  GONZALEZ </t>
  </si>
  <si>
    <t xml:space="preserve">CAMINO DEL VIENTO 1118 $ 1.200.000 </t>
  </si>
  <si>
    <t xml:space="preserve">INFORME GENERAL   AGOSTO     2021 </t>
  </si>
  <si>
    <t>CASA - CALLE 52A # 54-61 $ 800.000</t>
  </si>
  <si>
    <t xml:space="preserve">FLOR 625 $ 1.150.000 </t>
  </si>
  <si>
    <t>TIERRA LINDA 2506 $ 850.000</t>
  </si>
  <si>
    <t xml:space="preserve">PUERTO PARAISO 2011 $ 1.100.000 </t>
  </si>
  <si>
    <t>CALLE 23 A # 59 A – 23 APTO 401</t>
  </si>
  <si>
    <t xml:space="preserve">LOS ARBOLES 1304 $ 920.000  </t>
  </si>
  <si>
    <t xml:space="preserve">CAMINO DEL VIENTO 1128 $ 1.200.000 </t>
  </si>
  <si>
    <t>CEIBA DEL NORTE 1818 - VALLEJO PEREZ WILLSON</t>
  </si>
  <si>
    <t>AVENIDA 32 DIAGONAL 49 A – 135 APTO 1818</t>
  </si>
  <si>
    <t>TIERRA LINDA CAMPESTRE 1904 - MIRA GUERRA YOLIMA</t>
  </si>
  <si>
    <t>CARRERA 43 # 36D – 25 APTO 1904</t>
  </si>
  <si>
    <t>PUERTO VENTURA 2204 - MURILLO MOSQUERA JULIANA</t>
  </si>
  <si>
    <r>
      <t>CARRERA 57 # 38 –</t>
    </r>
    <r>
      <rPr>
        <b/>
        <sz val="14"/>
        <color rgb="FF000000"/>
        <rFont val="Calibri Light"/>
        <family val="2"/>
        <charset val="1"/>
      </rPr>
      <t xml:space="preserve"> 220 APTO 2204</t>
    </r>
  </si>
  <si>
    <t>CANTARES DE RIACHUELOS LOCAL 109 - RIOS GARCIA INDIARA</t>
  </si>
  <si>
    <t>CARRERA  65 N° 52 - 120 LOCAL 109</t>
  </si>
  <si>
    <t>NORDICA 1702 - BARRETO PINZON LINA MARIA</t>
  </si>
  <si>
    <t>AVENIDA 33 DIAGONAL N° 51 – 101 AP 1702</t>
  </si>
  <si>
    <t>1.150.000</t>
  </si>
  <si>
    <t xml:space="preserve">FLOR APARTAMENTOS 625 - JOSE MANUEL GALLEGO PALACIO </t>
  </si>
  <si>
    <t>CARRERA 53 A N° 45 – 84 AP 625</t>
  </si>
  <si>
    <t>FLORIDA DE NORTEAMERICA 1250 - ZAPATA TOBÓN OSCAR ALEJANDRO</t>
  </si>
  <si>
    <t>AVENIDA 26 # 52 - 200 AP 1250</t>
  </si>
  <si>
    <t>JUAN SEBASTIAN</t>
  </si>
  <si>
    <t>1.050.000</t>
  </si>
  <si>
    <t>TRIANA VASQUEZ RUDDY ALEXANDRA</t>
  </si>
  <si>
    <t>CR 57 38 290 AP 1934</t>
  </si>
  <si>
    <t>OSPINA SANCHEZ CARLOS ANDRES</t>
  </si>
  <si>
    <t>AV 42 B DIAGONAL 51 111 AP 1304</t>
  </si>
  <si>
    <t>SEDE BELLO - SEPTIEMBRE 2021</t>
  </si>
  <si>
    <t xml:space="preserve">22+6 </t>
  </si>
  <si>
    <t xml:space="preserve">LOCAL BARRIO SUAREZ $ 2.200.000  EN ESTUDIO DIGITAL -43819816
Sol #6855535 PDT ENCONTRAR LOCAL </t>
  </si>
  <si>
    <t xml:space="preserve">PUERTO PARAISO 810 $ 1.100.000 ENTREGADO </t>
  </si>
  <si>
    <t xml:space="preserve">FLOR DE AGUA 2527 $ 1.400.000   CC 43661578  # SOLICITUD 6855423- CLIENTE DESISTIO NO SE LE DIO UN NEGOCIO QUE TENIA PARA PODER TOMAR EL INMUEBLE </t>
  </si>
  <si>
    <t xml:space="preserve">PUERTO PARAISO 903 $ 1.100.000 ENTREGADO </t>
  </si>
  <si>
    <t xml:space="preserve">CAMINO DEL VIENTO 1620 $ 1.100.000 DESITIO- PRO SE QUITO DEL NEGOCIO Y EL CLIENTE NECESTABA URGENTE </t>
  </si>
  <si>
    <t xml:space="preserve">OCEANA 2019 $ 1400000 ENTREGADO 8% </t>
  </si>
  <si>
    <t xml:space="preserve">OCEANA $ 1.700.000 DESISTIO - NO SE LE ENCONTRO APTO </t>
  </si>
  <si>
    <t>HACIENDA NIQUA 708 $ 1.350.000 ENTREGADO 8%</t>
  </si>
  <si>
    <t xml:space="preserve">ALTOBELO 2404 $ 1.000.000 DESITIO DIRECTO </t>
  </si>
  <si>
    <t>OCEANA 2027 ENTREGADO  $ 1.730.000  6850789-6081</t>
  </si>
  <si>
    <t xml:space="preserve">CALLE 24 # 55-95 402 CABAÑAS $ 1.150.000 ENTREGADO </t>
  </si>
  <si>
    <t>CAMINO DEL VIENTO 2402 $ 1.100.000 ENTREGADO</t>
  </si>
  <si>
    <t xml:space="preserve">PUERTO PARAISO 905  $ 1.000.000  ENTREGADO </t>
  </si>
  <si>
    <t xml:space="preserve">FLOR 1825 $ 1.300.000 ENTREGADO </t>
  </si>
  <si>
    <t xml:space="preserve">FLOR 2527 $ 1.450.000   6853421 - 1035865129 -DESITIO NO NOS PUDIMOS CONSEGUIR EL APTO </t>
  </si>
  <si>
    <t xml:space="preserve">LA CASONA 1905 $ 750.000 DESISTIDO </t>
  </si>
  <si>
    <t xml:space="preserve">PUERTO PARAISO 710 $ 1.100.000 DESITIDO NO TIENE A QUIEN MAS PRESENTAR </t>
  </si>
  <si>
    <t>PUERTO PARAISO 1508 $ 1.150.000 NEGADO</t>
  </si>
  <si>
    <t xml:space="preserve">CIUDAD CENTRAL 101 $ 1.250.000 NEGADO  6852023 -6619 DIGITAL </t>
  </si>
  <si>
    <t>SANTA ISABEL 3220 $ 1.500.000 ENTREGADO</t>
  </si>
  <si>
    <t xml:space="preserve">PUERTO AZUL  2008 $ 1.600.000 ENTREGADO </t>
  </si>
  <si>
    <t xml:space="preserve">FLOR DE AGUA  2131 $ 1.400.000 ENTREGADO </t>
  </si>
  <si>
    <t xml:space="preserve">LOCAL 108 CANTARES DE RIACHUELOS $ 1400000 ENTREGADO </t>
  </si>
  <si>
    <t xml:space="preserve">PUERTO VENTURA 212  $ 1.250.000 ENTREGADO </t>
  </si>
  <si>
    <t xml:space="preserve">PUERTO PARAISO 2115  $ 1.200.000   ENTREGADO </t>
  </si>
  <si>
    <t xml:space="preserve">MADERA NATURAL 1902 $ 1.000.000 EN ESTUDIO DIGITAL 6852811-1000305846 - PDT ANEXAR DEUDOR </t>
  </si>
  <si>
    <t xml:space="preserve">FLOR DE AGUA PDT APTO 1431 $ 1.300.000 DESITIDO </t>
  </si>
  <si>
    <t xml:space="preserve">TIERRA LINDA 2506 $ 850.000 DESISTIO </t>
  </si>
  <si>
    <t xml:space="preserve">LUISA MEJIA </t>
  </si>
  <si>
    <t xml:space="preserve">CEIBA DEL NORTE 1704 $ 900.000  ENTREGADO </t>
  </si>
  <si>
    <t xml:space="preserve">MADERA SILVESTRE 1412 $ 1.100.000 ENTREGADO </t>
  </si>
  <si>
    <t xml:space="preserve">APTO NIQUIA CAMACOL $ 700.000 ENTREGADO </t>
  </si>
  <si>
    <t>TORRES DE LA MACARENA 102</t>
  </si>
  <si>
    <t xml:space="preserve">OCEANA 2019 $ 1400000 ENTREGADO </t>
  </si>
  <si>
    <t>LA CASONA 1905 $ 750.000 ENTREGADO</t>
  </si>
  <si>
    <t xml:space="preserve">FLOR 732  $ 1.200.000  ENTREGADO </t>
  </si>
  <si>
    <t>FLOR 2632 $ 1.250.000- ENTREGADO</t>
  </si>
  <si>
    <t xml:space="preserve">CALLE 69 N° 51 D – 15- EN FIRMAS </t>
  </si>
  <si>
    <t xml:space="preserve"> NORDICA  1207 EN ESTUDIO UAR 7305627-1,020,490,578 NEGADOS 					</t>
  </si>
  <si>
    <t>CEIBA DEL NORTE 1704 $ 900.000 ENTREGADO</t>
  </si>
  <si>
    <t xml:space="preserve">NORDICA 1207 $ 1.250.000 CLIENTE DESISTIO DEL ESTUDIO </t>
  </si>
  <si>
    <t xml:space="preserve">CURAZAO 1606 $ 800.000  6851603-6889 DESISTIDO </t>
  </si>
  <si>
    <t xml:space="preserve">CEIBA DEL NORTE  1000000DESISTIDO SE FUE A VIVIR CON LOS PAPAS </t>
  </si>
  <si>
    <t xml:space="preserve">NORDICA 1213 $ 900.000 DESISTIO LE SALIO UN VIAJE </t>
  </si>
  <si>
    <t xml:space="preserve">CAMINO DEL VIENTO 1015 $ 1050000DESISTIO  NINGUNA DE LAS DOS PERSONAS QUIERE SER ARRENDATARIO </t>
  </si>
  <si>
    <t xml:space="preserve">HACIENDA NIQUA 708 $ 1.350.000 ENTREGADO </t>
  </si>
  <si>
    <t xml:space="preserve">ARTURO RIUIZ </t>
  </si>
  <si>
    <t xml:space="preserve">MONTESION 1105 $ 900.000 ENTREGADO </t>
  </si>
  <si>
    <t xml:space="preserve">MADERA NATURAL 1902 $ 1.000.000 ENTREGADO   </t>
  </si>
  <si>
    <t>OCEANA 2027   $ 1.730.000  ENTREGADO</t>
  </si>
  <si>
    <t xml:space="preserve">NORDICA 1213 $ 900.000- ENTREGADO </t>
  </si>
  <si>
    <t xml:space="preserve">NORDICA 1207 $ 1.250.000  ENTREGADO </t>
  </si>
  <si>
    <t xml:space="preserve">NORDICA 1715 $ 1.000.000 ENTREGADO </t>
  </si>
  <si>
    <t xml:space="preserve">ARBOLES 1905 $ 950.000 EN ESTUDIO DIGITAL  6855561-1036667703 EN FIRMAS </t>
  </si>
  <si>
    <t xml:space="preserve">LOS ARBOLES 6858494-70542674 $ 900.000 -NEGADO </t>
  </si>
  <si>
    <t xml:space="preserve">ARBOLES 1905 $ 950.000 EN FIRMAS </t>
  </si>
  <si>
    <t xml:space="preserve">CURAZAO  $ 900.000 6852790 - 1077870099 DESITIO NO QUISO TERMINAR EL PROCESO CON LA ASEGURADORA PORQUE CONSIGIO DIRECTO </t>
  </si>
  <si>
    <t xml:space="preserve">CEIBA DEL NORTE 730 $ 1.300.000  NEGADOS AMBOS </t>
  </si>
  <si>
    <t xml:space="preserve">FLORIDA DE NORTEAMERICA 1250 $ 1.200.000  ENTREGADO </t>
  </si>
  <si>
    <t xml:space="preserve">ALONSO LOPEZ </t>
  </si>
  <si>
    <t xml:space="preserve">LOS ARBOLES 2018 $ 1.150.000 ENTREGADO </t>
  </si>
  <si>
    <t xml:space="preserve">LOS ARBOLES 1508 $ 870.000 ENTREGADO </t>
  </si>
  <si>
    <t xml:space="preserve">PUERTO ALEGRE 1801 $ 1.000.000 ENTREGADO </t>
  </si>
  <si>
    <t xml:space="preserve">LOS ARBOLES 813 $ 1.050.000 ENTREGADO </t>
  </si>
  <si>
    <t xml:space="preserve">INFORME LUISA MARIN SEPTIEMBRE      2021 </t>
  </si>
  <si>
    <t>LOCAL BARRIO SUAREZ $ 2.200.000 -43819816
Sol #6855535</t>
  </si>
  <si>
    <t xml:space="preserve">DESISTIO, PARO EL PROCESO DE BUSCAR LOCLA </t>
  </si>
  <si>
    <t>MADERA NATURAL 1902 $ 1.000.000 EN ESTUDIO DIGITAL 6852811-1000305846</t>
  </si>
  <si>
    <t xml:space="preserve">EN ESTUDIO DIGITAL </t>
  </si>
  <si>
    <t xml:space="preserve">FLOR DE AGUA 2527 $ 1.400.000   CC 43661578  # </t>
  </si>
  <si>
    <t xml:space="preserve">SOLICITUD 6855423- CLIENTE DESISTIO NO SE LE DIO UN NEGOCIO QUE TENIA PARA PODER TOMAR EL INMUEBLE </t>
  </si>
  <si>
    <t>CURAZAO 1506 $ 800.000 EN ESTUDIO DIGITAL 6851603-6889</t>
  </si>
  <si>
    <t xml:space="preserve">FLOR 2527 $ 1.450.000 EN ESTUDIO DIGITAL 6853421 - 1035865129 </t>
  </si>
  <si>
    <t xml:space="preserve">DESITIO NO SE LE ´PUDO CONSEGUIR EL APTO </t>
  </si>
  <si>
    <t xml:space="preserve">OCEANA $ 1.700.000 </t>
  </si>
  <si>
    <t xml:space="preserve">DESISTIO ENCONTRO OTRO APTO </t>
  </si>
  <si>
    <t xml:space="preserve">CURAZAO PDT APTO EN ESTUDIO $ 900.000 6852790 - 1077870099 </t>
  </si>
  <si>
    <t xml:space="preserve">DESITIO NO QUISO TERMINAR EL PROCESO CON LA ASEGURADORA PORQUE CONSIGIO DIRECTO </t>
  </si>
  <si>
    <t xml:space="preserve">ALTOBELO 2404 $ 1.000.000  </t>
  </si>
  <si>
    <t xml:space="preserve">DESISTIDO ARRENDO DIRECTO </t>
  </si>
  <si>
    <t xml:space="preserve">DESITIO </t>
  </si>
  <si>
    <t xml:space="preserve">LA CASONA 1905 $ 750.000 EN ESTUDIO </t>
  </si>
  <si>
    <t xml:space="preserve">FLOR DE AGUA 1431  $ 1.300.000 </t>
  </si>
  <si>
    <t xml:space="preserve">DESITIO ENCONTRO DIRECTO </t>
  </si>
  <si>
    <t>NORDICA 1715 $ 1.000.000</t>
  </si>
  <si>
    <t xml:space="preserve">NEGADO AMBOS </t>
  </si>
  <si>
    <t xml:space="preserve">NORDICA 1213 $ 900.000 </t>
  </si>
  <si>
    <t xml:space="preserve">DESISTIO LE SALIO UN VIAJE </t>
  </si>
  <si>
    <t xml:space="preserve">LOS ARBOLES 1508 $ 870.000 </t>
  </si>
  <si>
    <t xml:space="preserve">ENTREGAGO- DATO DE PORTERO SE PAGA AL 2% </t>
  </si>
  <si>
    <t xml:space="preserve">SANTA ISABEL 3220 $ 1.500.000 </t>
  </si>
  <si>
    <t xml:space="preserve">PUERTO ALEGRE 1801 $ 1.000.000 </t>
  </si>
  <si>
    <t>CALLE 24 # 55-95 402 CABAÑAS $ 1.150.000</t>
  </si>
  <si>
    <t xml:space="preserve">CAMINO DEL VIENTO 2402 $ 1.100.000 </t>
  </si>
  <si>
    <t xml:space="preserve">MADERA SILVESTRE 1412 $ 1.100.000  7292720-7703 </t>
  </si>
  <si>
    <t xml:space="preserve">MONTESION 1105 $ 900.000 6851589-3841  </t>
  </si>
  <si>
    <t>FLOR DE AGUA 2131$ 1.400.000</t>
  </si>
  <si>
    <t>OCEANA 2027 $ 1.730.000   6850789-6081</t>
  </si>
  <si>
    <t>LA CASONA 1905 $ 730.000 6854364-1234990042</t>
  </si>
  <si>
    <t>FLOR 732 $ 1.200.000 6853874 - 1065580321</t>
  </si>
  <si>
    <t>LOCAL 108 CANTARES DE RIACHUELOS $ 1400000 INICIA 18 SEPT</t>
  </si>
  <si>
    <t>PUERTO VENTURA 212  $ 1.250.000  6854147 -1020426830</t>
  </si>
  <si>
    <t xml:space="preserve">FLOR 2632 $ 1.250.000-  6854499- 1017249818  </t>
  </si>
  <si>
    <t>LOS ARBOLES 813 $ 1.050.00-  6854017-44001734</t>
  </si>
  <si>
    <t xml:space="preserve">NORDICA 1207 $ 1.250.000-  6857752-1047401406 </t>
  </si>
  <si>
    <t>PND PAGO</t>
  </si>
  <si>
    <t xml:space="preserve">NORDICA 1715 $ 1.000.000 - 6853486-0530 </t>
  </si>
  <si>
    <t>CALLE 69 N° 51 D – 15</t>
  </si>
  <si>
    <t xml:space="preserve">INFORME JOAN MEJIA SEPTIEMBRE   2021 </t>
  </si>
  <si>
    <t xml:space="preserve">LOS ARBOLES 6858494-70542674 $ 900.000 </t>
  </si>
  <si>
    <t xml:space="preserve">EN ESTUDIO NEGADO </t>
  </si>
  <si>
    <t xml:space="preserve"> NORDICA  1207 EN ESTUDIO UAR 7305627-1,020,490,578</t>
  </si>
  <si>
    <t xml:space="preserve">NORDICA 1207 $ 1.250.000 EN ESTUDIO UAR </t>
  </si>
  <si>
    <t xml:space="preserve">EN ESTUDIO UAR-CLIENTE DESISTIO DEL ESTUDIO </t>
  </si>
  <si>
    <t>CAMINO DEL VIENTO 1620 $ 1.100.000</t>
  </si>
  <si>
    <t xml:space="preserve">DESISTIDO PRO DESITIO DE ARRENDAT Y EL CLIENTE NECESTA URGE NTE EL APTO </t>
  </si>
  <si>
    <t xml:space="preserve">CEIBA DEL NORTE 730 $ 1.300.000 </t>
  </si>
  <si>
    <t xml:space="preserve">PUERTO PARAISO 710 $ 1.100.000 </t>
  </si>
  <si>
    <t xml:space="preserve">DESITIDO NO TIENE A QUIEN MAS PRESENTAR </t>
  </si>
  <si>
    <t>CEIBA DEL NORTE PDT $ 1.000.000</t>
  </si>
  <si>
    <t xml:space="preserve">DESISTIDO SE FUE A VIVIR CON LOS PAPAS </t>
  </si>
  <si>
    <t xml:space="preserve">PUERTO PARAISO 1508 $ 1.150.000 </t>
  </si>
  <si>
    <t>CIUDAD CENTRAL 101 $ 1.250.000 EN ESTUDIO 6852023 -6619 DIGITAL</t>
  </si>
  <si>
    <t>CAMINO DEL VIENTO 1015 $ 1.050.000  EN ESTUDIO 7299908-71,221,809</t>
  </si>
  <si>
    <t xml:space="preserve"> NINGUNA DE LAS DOS PERSONAS QUIERE SER ARRENDATARIO </t>
  </si>
  <si>
    <t>FLORIDA DE NORTEAMERICA 1250 $ 1.200.000</t>
  </si>
  <si>
    <t xml:space="preserve">PUERTO PARAISO 903 $ 1.100.000 </t>
  </si>
  <si>
    <t xml:space="preserve">LOS ARBOLES 2018 $ 1.150.000 </t>
  </si>
  <si>
    <t>HACIENDA NIQUA 708 $ 1.350.000</t>
  </si>
  <si>
    <t xml:space="preserve">APTO NIQUIA CAMACOL $ 700.000 </t>
  </si>
  <si>
    <t xml:space="preserve">OCEANA 2019 $ 1400000 </t>
  </si>
  <si>
    <t xml:space="preserve">MATE ROMERO </t>
  </si>
  <si>
    <t>MADERA  NATURAL 1902$ 1.000.000 -  7292789- 8566</t>
  </si>
  <si>
    <t>NORDICA 1213 $ 900.000- 7299738 -2199</t>
  </si>
  <si>
    <t xml:space="preserve">PUERTO AZUL 2008 $ 1.600.000 </t>
  </si>
  <si>
    <t>PUERTO PARAISO 905  $ 1.000.000 EN ESTUDIO DIGITAL - 6855458- 1036617337</t>
  </si>
  <si>
    <t xml:space="preserve">PUERTO PARAISO 810 $ 1.100.000 </t>
  </si>
  <si>
    <t xml:space="preserve">FLOR 1825 $ 1.300.000 EN FIRMAS  UAR 7299958-1,214,715,744 </t>
  </si>
  <si>
    <t>PUERTO PARAISO 2115  $ 1.200.000  6852774- 1216722675 DIGITAL</t>
  </si>
  <si>
    <t xml:space="preserve">PDT PAGO </t>
  </si>
  <si>
    <t xml:space="preserve">ARBOLES 1905 $ 950.000 EN ESTUDIO DIGITAL  6855561-1036667703 </t>
  </si>
  <si>
    <t xml:space="preserve">INFORME GENERAL   SEPTIEMBRE     2021 </t>
  </si>
  <si>
    <t xml:space="preserve">PUERTO PARAISO 903 $ 1.100.000 EN ESTUDIO </t>
  </si>
  <si>
    <t>PUERTO ALEGRE 1801 $ 1.000.000 EN FIRMAS</t>
  </si>
  <si>
    <t>CALLE 27 A N° 50 A – 42 AP 402</t>
  </si>
  <si>
    <t xml:space="preserve">MADERA SILVESTRE 1412 $ 1.100.000 EN ESTUDIO 7292720-7703 </t>
  </si>
  <si>
    <t xml:space="preserve">PUERTO PARAISO 905  $ 1.000.000 </t>
  </si>
  <si>
    <t xml:space="preserve">PUERTO VENTURA 212  $ 1.250.000  6854147 -1020426830- EN FIRMAS </t>
  </si>
  <si>
    <t xml:space="preserve">FLOR 2632 $ 1.250.000-  6854499- 1017249818  EN FIRMAS </t>
  </si>
  <si>
    <t>LOS ARBOLES 813 $ 1.050.000 EN FIRMAS  6854017-44001734</t>
  </si>
  <si>
    <t xml:space="preserve">NORDICA 1207 $ 1.250.000  ESTUDIO DIGITAL 6857752-1047401406 LIMITE A 12 MESES </t>
  </si>
  <si>
    <t>BRICEÑO PARDO RICHARD OSWALDO</t>
  </si>
  <si>
    <t>DG 55 32 64 CA 3222</t>
  </si>
  <si>
    <t>ARROYAVE CASTANO JUAN FERNANDO</t>
  </si>
  <si>
    <t>AV 42 B 51 51 AP 1508</t>
  </si>
  <si>
    <t>RESTREPO ZAPATA MARIA ALEXANDRA</t>
  </si>
  <si>
    <t>AV 33 DIAGONAL 51 - 101 AP 1213</t>
  </si>
  <si>
    <t>HINCAPIE ZULUAGA MARIA OTILIA</t>
  </si>
  <si>
    <t>CALLE 38 55 - 221 AP 2008</t>
  </si>
  <si>
    <t>SEDE BELLO - OCTUBRE  2021</t>
  </si>
  <si>
    <t xml:space="preserve">6877980- 71392524 $ 1.100.000 ENSENADA 2324 DESISTIDO CLIENTE NO CONTESTA </t>
  </si>
  <si>
    <t xml:space="preserve">PUERTO PARAISO 1305 $1.000.000 6859367-  1,214,718,672 ENTREGADO </t>
  </si>
  <si>
    <t xml:space="preserve">ALTOBELLO 908 $ 970.000 6871154- 43678007  EN FIRMAS </t>
  </si>
  <si>
    <t xml:space="preserve">MEDITERRANEA 1917 $ 1.100.000 6878040 -1020446396 ENTREGADO 					</t>
  </si>
  <si>
    <t xml:space="preserve">PUERTO AZUL 2902 $ 1.800.000  7325968-3654 DESITIDO NO SE VA A CAMBIAR DE CIUDAD </t>
  </si>
  <si>
    <t xml:space="preserve">6878049 -  1048212189 $ 1.300.000 Florida Norte américa 408 ENTREGADO  </t>
  </si>
  <si>
    <t xml:space="preserve">FLOR 928 $ 1.200.000 EN ESTUDIO EN ESTUDIO DIGITAL 6859586- 98,576,517-DESISTIDO </t>
  </si>
  <si>
    <t xml:space="preserve"> ENSENADA 2324 $ 1.100.000 </t>
  </si>
  <si>
    <t xml:space="preserve">PUERTO AZUL BUSCANDO APTO $ 1.800.000  EN ESTUDIO DIGITAL 6855429-  1,020,425,120 DESITIDO ENCONTRO DIRECTO </t>
  </si>
  <si>
    <t xml:space="preserve">MADERA SILVESTRE 1706 $ 1.000.000 EN ESTUDIO DIGITAL 92555824
Sol. #6857707 DESISTIDO CONSIGUIO DIRECTO EN OTRA ZONA </t>
  </si>
  <si>
    <t xml:space="preserve">ENSENADA 1820 $ 1.100.000 EN ESTUDIO DIGITAL 6853989-1,152,716,759-DESISTIDO CLIENTE NO VOLVIO A RESPONDER </t>
  </si>
  <si>
    <t xml:space="preserve">MARECHIANO 202 $ 1150000 ENTREGADO </t>
  </si>
  <si>
    <t xml:space="preserve">CAMINO DEL VIENTO  1722 $ 1.200.000 ENTREGADO </t>
  </si>
  <si>
    <t xml:space="preserve">ENSENADA 1919 $ 1.200.000 C.C # 1035438845-SOL #6866498 ENTREGADO </t>
  </si>
  <si>
    <t xml:space="preserve">ENSENDA 1918 $ 1150000 REUBICACION 6053870-0077 ENTREGADO </t>
  </si>
  <si>
    <t xml:space="preserve">MEDITERRANEA 830  $ 1.400.000 6879570- 71,973,959 ENTREGADO </t>
  </si>
  <si>
    <t xml:space="preserve">PUERTO NUEVO 336 $ 1.250.000 EN ESTUDIO DIGITAL 6853711-70695459- DESISTIDO NO TIENE A QUIEN PRESENTAR </t>
  </si>
  <si>
    <t xml:space="preserve">CEIBA 1314 $ 1.100.000 6861143-1017218650 ENTREGADO </t>
  </si>
  <si>
    <t xml:space="preserve">PUERTO AZUL PDT APTO $ 1600000- 6857337 CC 39358348 ESTUDIO DIGITAL 23 DE SEP -DESISTIDO - NO TIENEN DEUDOR </t>
  </si>
  <si>
    <t xml:space="preserve">PUERTO PARAISO 504 $ 1.200.000 ENTREGADO </t>
  </si>
  <si>
    <t xml:space="preserve">PUERTO PARAISO PISO ALTO 6855995-1214740463 $ 1.100.000DESISTIDO NO TIENE A QUIEN PRESENTAR </t>
  </si>
  <si>
    <t xml:space="preserve">PUERTO NUEVO 708 $ 1.200.000  6855995-1214740463 ENTREGADO </t>
  </si>
  <si>
    <t xml:space="preserve">6877975 -1214718283 $ 1.000.000 PUERTO PARAISO 102 DESISTIDO RENOVO DONDE ESTABA </t>
  </si>
  <si>
    <t xml:space="preserve">MADERA SILVESTRE 1706 $ 1.050.000 E D 6859521-1020396374 ENTREGADO </t>
  </si>
  <si>
    <t xml:space="preserve">CASA CABAÑAS $ 1.000.000 7331882 -1,005,838,510 NEGADO </t>
  </si>
  <si>
    <t xml:space="preserve">MADERA SILVESTRE 1302 $ 1.100.000 - 10002509-1507  EN FIRMAS </t>
  </si>
  <si>
    <t xml:space="preserve">APTO CABAÑAS $ 900.000 7329652  - 50,998,564 NEGADO </t>
  </si>
  <si>
    <t xml:space="preserve">FLOR 928 $ 1200000 6859269 -8402922- CONSIGUIO DIRECTO </t>
  </si>
  <si>
    <t>MEDITERRANEA PDT APTO 6856402- 1128275175 DESITIDO PROBLEMA PERSONAL $ 1.200.000</t>
  </si>
  <si>
    <t xml:space="preserve">FLOR 928 $ 1.200.000 EN ESTUDIO UAR PDT RADICADO 7202661 -1,001,234,329 PDT DEUDOR -DESITIO SALIO DEL PAIS </t>
  </si>
  <si>
    <t xml:space="preserve">MEDITERRANEA 718 $ 1,300.000 ESTUDIO DIGITAL 6857771 1094918279- </t>
  </si>
  <si>
    <t xml:space="preserve">PUERTA MADERA 1828 -6858668 -98766347 $ 1.000.000 ENTREGADO </t>
  </si>
  <si>
    <t xml:space="preserve">PUERTO PÁRAISO 701  $ 1000000 ESTUDIO UAR 7316650-80,143,446 ENTREGADO </t>
  </si>
  <si>
    <t xml:space="preserve">ARTURO RIUZ </t>
  </si>
  <si>
    <t xml:space="preserve">POBLADO NIQUIA 2328 $ 900.000 CAMBIO DE INMUEBLE 7318308- 1,216,715,326 ENTREGADO </t>
  </si>
  <si>
    <t> 12351</t>
  </si>
  <si>
    <t xml:space="preserve">CAMINO DEL VIENTO 1416 $ 1200000 10000712 -1035853446 EN FIRMAS LIMITE 12 MESES </t>
  </si>
  <si>
    <t xml:space="preserve">ALTOBELO 908 $ 970.000 10002704-1128473115 EN FIRMAS </t>
  </si>
  <si>
    <t xml:space="preserve">100001524-1152197592 PUERTO PARAISO $ 1100000 DESITIO </t>
  </si>
  <si>
    <t xml:space="preserve">Torre navarra 205 $ 1.200.000 - 100002220-1001249648 NEGADO </t>
  </si>
  <si>
    <t xml:space="preserve">MONTE SION 1608 $ 950.000 7324896-1035915876 ENTREGADO </t>
  </si>
  <si>
    <t xml:space="preserve">MADERA NATURAL 901 $ 1.100.000 10000278- 1020469687 NEGADO </t>
  </si>
  <si>
    <t xml:space="preserve">NORDICA 811 $ 1.350.000  6873093 7819 $ 1.300.000 EN FIRMAS </t>
  </si>
  <si>
    <t xml:space="preserve">6878134 -1080365393 MADERA SILVESTRE 1007 $ 1.100.000 -6878117- 55173866 PDT ANEXAR DEUDOR Y APTO </t>
  </si>
  <si>
    <t xml:space="preserve">NORDICA 811  $ 1.350.000 ESTUDIO DIGITAL 6863320- 1020438786 hablar propietario - tatiana 3023768834 DESITIO CLIENTE SALIO DE VIAJE </t>
  </si>
  <si>
    <t xml:space="preserve">6869226- 1002944210  MEDITERRANEA 1329 $ 1.400.000   PDT ANEXAR DEUDOR </t>
  </si>
  <si>
    <t xml:space="preserve">6869230 1002944210 $ 1.350.000 MEDITERRANEA 719 PDT ANEXAR DEUDOR </t>
  </si>
  <si>
    <t xml:space="preserve">CASA SANTA ANA 6879012-1128274909 $ 750.000 DESISTIO DIRECTO MAS ECONOMICO  </t>
  </si>
  <si>
    <t xml:space="preserve">NORDICA 815 $ 1000000 6872060 2016DEIDTO NO CONSIGUO DEUDOR  </t>
  </si>
  <si>
    <t xml:space="preserve">MADERA SILVESTRE 1007 $ 1.100.000 6875484- 11225693 NEGADO </t>
  </si>
  <si>
    <t>PUERTO PARAISO 1402 $ 1.050.000 DESITIO PROBLEMA FAMILIAR</t>
  </si>
  <si>
    <t xml:space="preserve">PUERTO AZUL 2902 $ 1.880.000 ESTUDIO DIGITAL 6859184 - 1,128,268,761 DESISTIDO NO TIENE A QUIEN MAS PRESENTAR COMO DEUDOR </t>
  </si>
  <si>
    <t xml:space="preserve">NORDICA PDT APTO $ 1.250.000 -6858466  -7839 DESITIO ENCONTRO DIRECTO Y EN OTRO SECTOR </t>
  </si>
  <si>
    <t xml:space="preserve">ALCALA 614 $ 950.000 EN ESTUDIO UAR 7299774- 1035856809- DESISTIDO NO TIENE A QUIEN MAS PRESENTAR </t>
  </si>
  <si>
    <t xml:space="preserve">PUERTO PARAISO 1305 $ 1.000.000 6857777
6550  DESISTIO ENCONTRO OTRO APTO </t>
  </si>
  <si>
    <t>CURAZAO 2039 $ 950.000 EN ESTUDIO UAR - pdte anexar carta de cambio de roles -EN ESTUDIO UAR 7299733-1979</t>
  </si>
  <si>
    <t xml:space="preserve">NORDICA 1404 $ 900.000 EN ESTUDIO DIGITAL 6855400- 1045107567 DESISTIDO NO CONSIGUIO DEUDOR </t>
  </si>
  <si>
    <t xml:space="preserve"> NORDICA 811 $ 1.350.000 6861152-1038385140 DESISTIDO  NO SE PUDO UBICAR </t>
  </si>
  <si>
    <t xml:space="preserve">MONTESION 2206 $ 1.000.000 6851648- 1003 ENTREGADO </t>
  </si>
  <si>
    <t xml:space="preserve">NORDICA 1214 $ 930000 ESTUDIO DIGITAL 6858394- 71592093 ENTREGADO </t>
  </si>
  <si>
    <t xml:space="preserve">TORRE DEL BOSQUE 908 $ 900.000 ENTREGADO 6859089-1,091,665,638 </t>
  </si>
  <si>
    <t xml:space="preserve">6878099 -21351720 NORDICA 815 $ 980.000 ENTREGADO </t>
  </si>
  <si>
    <t xml:space="preserve">MONTE SION 805 $ 950000 6879568 - 1035866326  ENTREGADO </t>
  </si>
  <si>
    <t xml:space="preserve">MADERA SILVESTRE 1302 $ 1.100.000 - 10002509-1507  ENTREGADO </t>
  </si>
  <si>
    <t xml:space="preserve">LOS ARBOLES 1414 $ 1.000.000  7241755-  1,035,879,999 DESITIDO </t>
  </si>
  <si>
    <t xml:space="preserve">ENTREVIENTOS $ 850.000  2101 6860975 - 1070972308  APROBADO PDT QUE SE DECIDA - DESISTIDO NO CONTESTA </t>
  </si>
  <si>
    <t xml:space="preserve">LOS ARBOLES 1810 $ 1.300.000 EN ESTUDIO DIGITAL 7315533- 8613 DESITIO NO TIENE DEUDORES </t>
  </si>
  <si>
    <t xml:space="preserve">PUERTO PARAISO6858523- 43451766 $ 1.150.000 NO TIENE DEUDORES </t>
  </si>
  <si>
    <t xml:space="preserve">LOS ARBOLES 1810 $ 1200000 - 6859209- 79728336 -NEGADO </t>
  </si>
  <si>
    <t xml:space="preserve">CEIBA 504  $ 950.000 ENTREGADO </t>
  </si>
  <si>
    <t xml:space="preserve">CURAZAO 2039 $ 900.000 6854560- 7918563 ENTREGADO </t>
  </si>
  <si>
    <t xml:space="preserve">LOS ARBOLES 1516  $ 1.050.000 6862757- 1053001853 ENTREGADO </t>
  </si>
  <si>
    <t xml:space="preserve">6866543- 1017201125 CERRO AZUL 1407  $ 900000 ENTREGADO </t>
  </si>
  <si>
    <t xml:space="preserve">joan MEJIA </t>
  </si>
  <si>
    <t>6863478-21950308 CURAZAO 1130 -LIMITE 12 MESES ENTREGADO  $ 850000</t>
  </si>
  <si>
    <t xml:space="preserve">6869269- 15325240 LOS ARBOLES 1810  $ 1300000 ENTREGADO </t>
  </si>
  <si>
    <t xml:space="preserve">INFORME LUISA MARIN OCTUBRE     2021 </t>
  </si>
  <si>
    <t xml:space="preserve">6877975 -1214718283 $ 1.000.000 PUERTO PARAISO 102 </t>
  </si>
  <si>
    <t xml:space="preserve">DESISTIO RENOVO DONDE ESTABA </t>
  </si>
  <si>
    <t xml:space="preserve">100001524-1152197592 PUERTO PARAISO $ 1100000  </t>
  </si>
  <si>
    <t>Torre navarra 205 $ 1.200.000 - 100002220-1001249648</t>
  </si>
  <si>
    <t xml:space="preserve">CASA CABAÑAS $ 1.000.000 7331882 -1,005,838,510 EN ESTUDIO </t>
  </si>
  <si>
    <t xml:space="preserve">MADERA NATURAL 901 $ 1.100.000 10000278- 1020469687 </t>
  </si>
  <si>
    <t xml:space="preserve">DESISTUDO </t>
  </si>
  <si>
    <t>PUERTO NUEVO 336 $ 1.250.000 EN ESTUDIO DIGITAL 6853711-70695459-</t>
  </si>
  <si>
    <t xml:space="preserve">DESITIDO NO TIENE A QUIEN MAS PARA PRESENTAR COMO DEUDOR </t>
  </si>
  <si>
    <t xml:space="preserve">CURAZAO 2039 $ 950.000 EN ESTUDIO UAR </t>
  </si>
  <si>
    <t xml:space="preserve">DESISTIDO NO TIENE A QUIEWN MAS PARA PRESENTAR </t>
  </si>
  <si>
    <t xml:space="preserve">ENSENADA 1820 $ 1.100.000 </t>
  </si>
  <si>
    <t xml:space="preserve">EN ESTUDIO DIGITAL 6853989-1,152,716,759-DESISTIDO CLIENTE NO VOLVIO A RESPONDER </t>
  </si>
  <si>
    <t xml:space="preserve">ALCALA 614 $ 950.000 EN ESTUDIO UAR PDT ANEXAR DEUDOR </t>
  </si>
  <si>
    <t>PUERTO PARAISO 1305 $ 1.000.000 6857777
6550</t>
  </si>
  <si>
    <t xml:space="preserve">DESITIDO-AL CLIENTE LO TRASLADARON </t>
  </si>
  <si>
    <t xml:space="preserve">SEBASTIAB ECHAVARRIA </t>
  </si>
  <si>
    <t>MEDITERRANEA 718 $ 1,300.000 -6857771 1094918279-</t>
  </si>
  <si>
    <t xml:space="preserve">MONTESION 2206 $ 1.000.000 6851648- 1003  </t>
  </si>
  <si>
    <t xml:space="preserve">CURAZAO 2039 $ 900.000 -6854560- 7918563 </t>
  </si>
  <si>
    <t>FLORIDA DE NORTEAMERICA  408 6878049 -1048212189 $ 1.300.000</t>
  </si>
  <si>
    <t>ENSENDA 1918 $ 1150000 7329650-0077</t>
  </si>
  <si>
    <t>MEDITERRANEA 830 $ 1.300.000 6879570- 71,973,959</t>
  </si>
  <si>
    <t xml:space="preserve">MADERA SILVESTRE 1302 $ 1.100.000 - 10002509-1507 </t>
  </si>
  <si>
    <t>ALTOBELO 908 $ 970.000 10002704-1128473115</t>
  </si>
  <si>
    <t xml:space="preserve">INFORME JOAN MEJIA OCTUBRE    2021 </t>
  </si>
  <si>
    <t xml:space="preserve">LOS ARBOELS 1414 $ 1.000.000 7241755-  1,035,879,999 APROBADO PDT APTO  DESITIDO </t>
  </si>
  <si>
    <t xml:space="preserve">ALTOBELLO 908 $ 970.000 6871154- 43678007  </t>
  </si>
  <si>
    <t xml:space="preserve">6877980- 71392524 $ 1.100.000 ENSENADA 2324 </t>
  </si>
  <si>
    <t xml:space="preserve">DESITIO CLIENTE NO CONTESTA </t>
  </si>
  <si>
    <t xml:space="preserve">PUERTO AZUL 2902 $ 1.800.000  7325968-3654 EN FIRMAS 				</t>
  </si>
  <si>
    <t xml:space="preserve">DESISTIDO NO SE VA A TRASLADAR DE CIUDAD </t>
  </si>
  <si>
    <t xml:space="preserve">ARTURI RUIZ </t>
  </si>
  <si>
    <t xml:space="preserve">NORDICA 811 $ 1.350.000 ESTUDIO DIGITAL 6863320- 1020438786 </t>
  </si>
  <si>
    <t xml:space="preserve">DESISTIO SALIO DE VIAJE </t>
  </si>
  <si>
    <t xml:space="preserve">6869226- 1002944210  MEDITERRANEA 1329 $ 1.400.000   </t>
  </si>
  <si>
    <t>6869230 1002944210 $ 1.350.000 MEDITERRANEA 719</t>
  </si>
  <si>
    <t xml:space="preserve">MADERA SILVESTRE 1007 $ 1.100.000 6875484- 11225693 </t>
  </si>
  <si>
    <t xml:space="preserve">EN ESTUDIO-NEGADO </t>
  </si>
  <si>
    <t xml:space="preserve">FLOR 928 $ 1.200.000 EN ESTUDIO </t>
  </si>
  <si>
    <t xml:space="preserve">EN ESTUDIO DIGITAL 6859586- 98,576,517 LIMITE 12 MESES PDT DECIDIRSE POR APTO </t>
  </si>
  <si>
    <t xml:space="preserve">ENTREVIENTOS $ 850.000  2101 6860975 - 1070972308  APROBADO PDT QUE SE DECIDA </t>
  </si>
  <si>
    <t xml:space="preserve">DESISTIDO CLIENTE NO CONTESTA </t>
  </si>
  <si>
    <t xml:space="preserve">LOS ARBOLES 1810 $ 1.300.000 </t>
  </si>
  <si>
    <t xml:space="preserve">ESTUDIO DIGITAL 7315533- 8613 DESISTIDO NO TIENE DEUDORES </t>
  </si>
  <si>
    <t xml:space="preserve">PUERTO PARAISO 1402 $ 1.050.000 </t>
  </si>
  <si>
    <t>PUERTO AZUL BUSCANDO APTO $ 1.800.000  EN ESTUDIO DIGITAL 6855429-  1,020,425,120</t>
  </si>
  <si>
    <t xml:space="preserve">DESITIDO ENCONTRO DIRECTO </t>
  </si>
  <si>
    <t xml:space="preserve">NORDICA 811 $ 1.350.000 6861152-1038385140 </t>
  </si>
  <si>
    <t xml:space="preserve"> desistido </t>
  </si>
  <si>
    <t>FLOR 928 $ 1200000 6859269 -8402922</t>
  </si>
  <si>
    <t xml:space="preserve">PUERTO AZUL 2902 $ 1.880.000 ESTUDIO DIGITAL </t>
  </si>
  <si>
    <t xml:space="preserve">6859184 - 1,128,268,761 NO TIENE  DEUDOR </t>
  </si>
  <si>
    <t xml:space="preserve">PUERTO PARAISO6858523- 43451766 $ 1.150.000 ESTUDIO DIGITAL </t>
  </si>
  <si>
    <t xml:space="preserve">DESITUDO NO CONTESTA </t>
  </si>
  <si>
    <t>MEDITERRANEA PDT APTO 6856402- 1128275175  $ 1.200.000</t>
  </si>
  <si>
    <t>DESITIDO PROBLEMA PERSONAL</t>
  </si>
  <si>
    <t xml:space="preserve">EN ESTUDIO UAR </t>
  </si>
  <si>
    <t xml:space="preserve">NORDICA PDT APTO $ 1.250.000 -6858466  -7839 </t>
  </si>
  <si>
    <t xml:space="preserve">DESITIDO ENCONTRO DIRECTO Y EN OTRO SECTOR </t>
  </si>
  <si>
    <t xml:space="preserve">PUERO AZUL PDT APTO $ 1600000- 6857337 CC 39358348 ESTUDIO DIGITAL 23 DE SEP </t>
  </si>
  <si>
    <t xml:space="preserve">NORDICA 1404 $ 900.000  </t>
  </si>
  <si>
    <t xml:space="preserve">MADERA SILVESTRE 1706 $ 1.000.000 </t>
  </si>
  <si>
    <t xml:space="preserve"> EN ESTUDIO DIGITAL 92555824
Sol. #6857707 DESISTIDO CONSIGUIO DIRECTO EN OTRA ZONA</t>
  </si>
  <si>
    <t xml:space="preserve">CEIBA 504  $ 950.000 </t>
  </si>
  <si>
    <t>NORDICA 1214 $ 930000 -6858394- 71592093</t>
  </si>
  <si>
    <t>PUERTA MADERA 1828 -6858668 -98766347 $ 1.000.000</t>
  </si>
  <si>
    <t xml:space="preserve">NORDICA 1813 $ 1.000.000 -7310845-43300053 </t>
  </si>
  <si>
    <t xml:space="preserve">TORRE DEL BOSQUE 908 $ 900.000 - 6859089-1,091,665,638 </t>
  </si>
  <si>
    <t xml:space="preserve">CAMINO DEL VIENTO  1722 $ 1.200.000 1,128,454,295- 7315531 </t>
  </si>
  <si>
    <t>MARECHIANO $ 1150000 6859181- 71717707</t>
  </si>
  <si>
    <t xml:space="preserve">MADERA SILVESTRE 1706 $ 1.050.000 E D 6859521-1020396374 </t>
  </si>
  <si>
    <t>PUERTO PARAISO 1305 $1.000.000 6859367-  1,214,718,672</t>
  </si>
  <si>
    <t xml:space="preserve">PUERTO PARAISO 701 $ 1000000  7316650-80,143,446 </t>
  </si>
  <si>
    <t>PUERTO PARAISO 504 15263985-6863429  1,200.000</t>
  </si>
  <si>
    <t xml:space="preserve">LOS ARBOLES 1516 $ 1.050.000 6862757- 1053001853  </t>
  </si>
  <si>
    <t>6866543- 1017201125 CERRO AZUL 1407 $ 900.000</t>
  </si>
  <si>
    <t>ENSENADA 1919 $ 1.200.000 C.C # 1035438845-SOL #6866498 LIMITE YA SE ENVIO</t>
  </si>
  <si>
    <t>1O%</t>
  </si>
  <si>
    <t>POBLADO NIQUIA 2328 $ 900.000  7318308- 1,216,715,326</t>
  </si>
  <si>
    <t>CEIBA 1314 $ 1.100.000 6861143-1017218650</t>
  </si>
  <si>
    <t>PUERTO NUEVO 708 $ 1.200.000 6855995-1214740463</t>
  </si>
  <si>
    <t>6878099 -21351720 NORDICA 815 $ 980.000</t>
  </si>
  <si>
    <t>6863478-21950308 CURAZAO 1130 -LIMITE 12 MESES $ 850000</t>
  </si>
  <si>
    <t>NORDICA 811 $ 1.350.000 6873093 7819 $ 1.300.000 EN FIRMAS</t>
  </si>
  <si>
    <t xml:space="preserve">EN FIRMAS INICIA 29 DE OCTUBRE </t>
  </si>
  <si>
    <t>6869269- 15325240 LOS ARBOLES 1810 $ 1300000</t>
  </si>
  <si>
    <t xml:space="preserve">EN FIRMAS INICIA 2 DE NOVIEMBRE </t>
  </si>
  <si>
    <t xml:space="preserve">INFORME  DIANA OCTUBRE    2021 </t>
  </si>
  <si>
    <t xml:space="preserve">CASA SANTA ANA 6879012-1128274909 $ 750.000 PDT ANEXAR DEUDOR </t>
  </si>
  <si>
    <t xml:space="preserve">APTO CABAÑAS $ 900.000 7329652  - 50,998,564 </t>
  </si>
  <si>
    <t xml:space="preserve">MONTE SION 1608 $ 950.000 7324896-1035915876 </t>
  </si>
  <si>
    <t xml:space="preserve">6878040- 1020446396 MEDITERRANEA 1917 $ 1.100.000 </t>
  </si>
  <si>
    <t xml:space="preserve">MONTE SION 805 $ 950000 6879568 - 1035866326  </t>
  </si>
  <si>
    <t xml:space="preserve">CAMINO DEL VIENTO 1416 $ 1200000 10000712 -1035853446 </t>
  </si>
  <si>
    <t xml:space="preserve">PDTE DE GRABACION Y PAGO </t>
  </si>
  <si>
    <t xml:space="preserve">INFORME GENERAL   OCTUBRE     2021 </t>
  </si>
  <si>
    <t xml:space="preserve">MEDITERRANEA 718 $ 1,300.000 ESTUDIO DIGITAL 6857771 1094918279- PDT DEUDOR </t>
  </si>
  <si>
    <t xml:space="preserve">MONTESION 2206 $ 1.000.000 6851648- 1003 EN FIRMAS </t>
  </si>
  <si>
    <t>NORDICA 1214 $ 930000 ESTUDIO DIGITAL 6858394- 71592093</t>
  </si>
  <si>
    <t xml:space="preserve">NORDICA 1813 $ 1.000.000 -7310845-43300053 EN FIRMAS </t>
  </si>
  <si>
    <t xml:space="preserve">TORRE DEL BOSQUE 908 $ 900.000 EN FIRMAS DIGITAL 6859089-1,091,665,638 </t>
  </si>
  <si>
    <t xml:space="preserve">CAMINO DEL VIENTO  1722 $ 1.200.000 RADICADO UAR 1,128,454,295- 7315531 </t>
  </si>
  <si>
    <t>MARECHIANO $ 1150000 ESTUDIO DIGITAL 6859181- 71717707</t>
  </si>
  <si>
    <t xml:space="preserve">MADERA SILVESTRE 1706 $ 1.050.000 E D 6859521-1020396374 EN FIRMAS </t>
  </si>
  <si>
    <t xml:space="preserve">CURAZAO 2039 $ 900.000 EN ESTUDIO DIGITAL 6854560- 7918563 </t>
  </si>
  <si>
    <t xml:space="preserve">PUERTO PARAISO 701 $ 1000000ESTUDIO UAR 7316650-80,143,446 </t>
  </si>
  <si>
    <t xml:space="preserve">MONTE SION 1608 $ 950.000 7324896-1035915876 EN FIRMAS </t>
  </si>
  <si>
    <t xml:space="preserve">LOS ARBOLES 1516 $ 1.050.000 6862757- 1053001853 EN ESTUDIO DIGITAL </t>
  </si>
  <si>
    <t xml:space="preserve"> MEDITERRANEA 1917 $ 1.100.000 6878040- 1020446396</t>
  </si>
  <si>
    <t>PUERTO NUEVO 708 $ 1.200.000 $ 1.300.000  6855995-1214740463</t>
  </si>
  <si>
    <t>&lt;</t>
  </si>
  <si>
    <t xml:space="preserve">6878049 -1048212189 $ 1.300.000 Florida Norte américa 408 </t>
  </si>
  <si>
    <t>ENSENDA 1918 $ 1150000 REUBICACION 7329650-0077</t>
  </si>
  <si>
    <t>MEDITERRANEA 830 $ 1.300.000 EN ESTUDIO 6879570- 71,973,959</t>
  </si>
  <si>
    <t xml:space="preserve">MONTE SION 805 $ 950000 6879568 - 1035866326 PDT ANEXAR DEUDOR </t>
  </si>
  <si>
    <t xml:space="preserve">PDT GRABACION Y PAGO </t>
  </si>
  <si>
    <t>CARRERA 59 # 27B-510 AP 1416</t>
  </si>
  <si>
    <t>DIANA ESCUDERO</t>
  </si>
  <si>
    <t>CARDENAS GIRALDO OSCAR FERNANDO</t>
  </si>
  <si>
    <t>AVENIDA 31 DIAGONAL 66 - 29 AP 1407</t>
  </si>
  <si>
    <t>JOAN MEJÍA</t>
  </si>
  <si>
    <t>LONDOÑO GALLEGO PATRICIA ELENA</t>
  </si>
  <si>
    <t>DIAGONAL 43 AVENIDA 34E - 20 AP 1130</t>
  </si>
  <si>
    <t>DURANGO USUGA SANTIAGO</t>
  </si>
  <si>
    <t>CARRERA 59 # 27B - 540 AP 1919</t>
  </si>
  <si>
    <t xml:space="preserve">FLOR 2629  $ 1250000 - 6880084- 70,110,277 EN FIRMAS </t>
  </si>
  <si>
    <t xml:space="preserve">PUERTO AZUL 2204 -  10002506- 98589663 $ 1.600.000 APROBADO PDT APTO </t>
  </si>
  <si>
    <t xml:space="preserve">6868545- 43917293 $ 850.000 ATHENAS  APROBADO PDT APTO </t>
  </si>
  <si>
    <t xml:space="preserve"> PUERTO NUEVO 501 10000707-1017174076 $ 1.200.000  APROBADO PDT APTO </t>
  </si>
  <si>
    <t xml:space="preserve">ENSENADA  1822 10001372 c.c 21242795 $ 1.250.000 APROBADO PDT APTO </t>
  </si>
  <si>
    <t xml:space="preserve">MARECHIANO $$1.350.000  10003970-1034321045 -  APROBADO PDT APTO </t>
  </si>
  <si>
    <t xml:space="preserve">PUERTO VENTURA $ 1.300.000 - 100001616 -18010967  DESITIO ENCONTRO DIRECTO </t>
  </si>
  <si>
    <t xml:space="preserve">PUERTO VENTURA $ 1.200.000 - 10005577- 98487496 APROBADO PDT APTO </t>
  </si>
  <si>
    <t xml:space="preserve">MARECHIANO 501 $ 1.350.000 10006290- 1020445361 EN ESTUDIO </t>
  </si>
  <si>
    <t xml:space="preserve">VILLA LILIAM $ 600.000 10006798-1037652040 EN FIRMAS </t>
  </si>
  <si>
    <t xml:space="preserve">MEDITERRANEA $ 1.500.000 - 10005747- 7188- APROBADO PDT APTO </t>
  </si>
  <si>
    <t xml:space="preserve">LUISA MRIN </t>
  </si>
  <si>
    <t xml:space="preserve">MEDITERRANEA 1329 $ 1.300,000 - 10006330-2073 APRBADO PDT APTO </t>
  </si>
  <si>
    <t xml:space="preserve">MADERA FINA 2406  $1.100.000 -  ESTUDIO </t>
  </si>
  <si>
    <t xml:space="preserve">OPORTO CAMPESTRE 1003 $1.300.000 ESTUDIO </t>
  </si>
  <si>
    <t xml:space="preserve">PUERTO AZUL 2902 $ 1.880.000 ESTUDIO DIGITAL 10004695-3117 1NEGADO </t>
  </si>
  <si>
    <t xml:space="preserve">TIERRA LINDA 908 $ 880.0000 - 10004852 - 9268 DESISTIDO ENCONTRO DIRECTO </t>
  </si>
  <si>
    <t xml:space="preserve">TORRE NAVARRA 205 $ 1.200.000 DESISTIDO PRO SE QUITO DEL NEGOCIO Y NO LE GUSTO NINGUNO DE LOS QUE SE LE OFRECION 10003277- 0600 </t>
  </si>
  <si>
    <t>MEDITERRANEA 1329 $ 1.300,000 - 10002174-1020545215  APROBADO EN FIRMAS</t>
  </si>
  <si>
    <t xml:space="preserve">PLAZUELA DEL NORTE 9926 $900,000 ESTUDIO </t>
  </si>
  <si>
    <t xml:space="preserve"> CEIBA 2501  $ 1.100.000 - 10005869- 2346 EN FIRMAS </t>
  </si>
  <si>
    <t xml:space="preserve">LOS ARBOLES 813 $ 1.100.000 EN ESTUDIO 6851898 -7953 PDT DEUDOR </t>
  </si>
  <si>
    <t xml:space="preserve">10000241 clave 9187FLORIDA DE NORTEAMERICA 408 $ 1.100.000 EN ESTUDIO </t>
  </si>
  <si>
    <t xml:space="preserve">LOS ARBOLES 1405 $1.100.000  10000389-98710911 PDT ANEXAR DEUDOR </t>
  </si>
  <si>
    <t xml:space="preserve">LOS ARBOLES 2512 $ 1.300.000 - 10007548- 43677490 EN ESTUDIO PTE DEUDOR </t>
  </si>
  <si>
    <t xml:space="preserve">ALTOBELO 816 $1.000.000 EN ESTUDIO </t>
  </si>
  <si>
    <t xml:space="preserve">MONTSERRAT 2203 $1.000.000 EN FIRMAS </t>
  </si>
  <si>
    <t xml:space="preserve">PUERTO AZUL 2902 $ 1.880.000 ESTUDIO DIGITAL 6859184 - 1,128,268,761 EN ESTUDIO </t>
  </si>
  <si>
    <t xml:space="preserve">10001575- 72430625 CEIBA DEL NORTE 1810 $ 1.350.000  </t>
  </si>
  <si>
    <t xml:space="preserve">6878346 -43611937 MADERA SILVESTRE 607 $ 1.200.000 </t>
  </si>
  <si>
    <t>NORDICA 1904 $ 1.050.000 -10006100-3885</t>
  </si>
  <si>
    <t>TIERRA LINDA CAMPESTRE 1906 - 10002898 - 1037639640</t>
  </si>
  <si>
    <t xml:space="preserve">PUERTO VENTURA 1502 $ 1.200.000 -10006013 - 7781 </t>
  </si>
  <si>
    <t xml:space="preserve">PLAZUELA DEL NORTE 9926 </t>
  </si>
  <si>
    <t>MADERA NATURAL 901 - 10004421 - 1,152,438,523 $ 1.100.000</t>
  </si>
  <si>
    <t xml:space="preserve">CAMINO DEL VIENTO 2307 </t>
  </si>
  <si>
    <t xml:space="preserve">NORDICA 1412 - 1.850.000 </t>
  </si>
  <si>
    <t>ENTREGADO - PEND PAGO</t>
  </si>
  <si>
    <t xml:space="preserve">CEIBA DEL NORTE 1701 - </t>
  </si>
  <si>
    <t xml:space="preserve">PENDIENTE DEL PAGO </t>
  </si>
  <si>
    <t xml:space="preserve">PUERTO VENTURA 411 - </t>
  </si>
  <si>
    <t xml:space="preserve">MADERA FINA </t>
  </si>
  <si>
    <t>CASA GIRARDOTA 10003998-1.037.596.852 $ 1.000.000</t>
  </si>
  <si>
    <t xml:space="preserve">FIRMAS </t>
  </si>
  <si>
    <t>MEDITERRANEA 528 $ 1.500.000 -10005747 - 1,128,267,188</t>
  </si>
  <si>
    <t>APROBADA PENDIENTE POR APTO</t>
  </si>
  <si>
    <t xml:space="preserve"> PUERTO NUEVO 501 10000707-1017174076 $ 1.200.000  EN ESTUDIO </t>
  </si>
  <si>
    <t xml:space="preserve">10000241-1037609187 FLORIDA DE NORTEAMERICA 408 $ 1.100.000 EN ESTUDIO </t>
  </si>
  <si>
    <t>APLAZADA POR VALIDACION TELEFONICA / NO QUIERE CONTINUAR PROCESO HASTA ENCONTRAR INMUEBLE</t>
  </si>
  <si>
    <t>LOS ARBOLES 1405 $1.100.000 10000389-98710911 PDT ANEXAR DEUDOR</t>
  </si>
  <si>
    <t xml:space="preserve">EN ESTUDIO PDT ANEXAR DEUDOR </t>
  </si>
  <si>
    <t xml:space="preserve">JUAN AEBASTIAN </t>
  </si>
  <si>
    <t>LOS ARBOLES 2512 $ 1.300.000 - 10007548- 43677490</t>
  </si>
  <si>
    <t>EN ESTUDIO YA SE INGRESO EL DEUDOR</t>
  </si>
  <si>
    <t>TIERRA LINDA 908 $ 880.0000 - 10004852 - PND DEUDOR</t>
  </si>
  <si>
    <t xml:space="preserve">ENCONTRO DIRECTO DEMORA LA VALIDACIÓN </t>
  </si>
  <si>
    <t xml:space="preserve">HACIENDA NIQUIA 2308 $ 1.200.000 6856259-32255846   </t>
  </si>
  <si>
    <t xml:space="preserve">YA SE ENTREGO </t>
  </si>
  <si>
    <t xml:space="preserve">PUERTO NUEVO 813 6876106- 1020450558 $ 1.200.000 EN FIRMAS </t>
  </si>
  <si>
    <t xml:space="preserve">,MATEO ROMERO </t>
  </si>
  <si>
    <t>ENSENADA 1026 $1250.000 UAR 7330937 CLAVE 9479</t>
  </si>
  <si>
    <t>CEIBA DEL NORTE 2104 - 1.100.000 10005912 - 1020466755</t>
  </si>
  <si>
    <t>ALTOBELO 816 - $ 1.000.000 - 10008170  - 0301</t>
  </si>
  <si>
    <t>YA SE ENTREGÓ</t>
  </si>
  <si>
    <t>VILLA LILIAM $ 600.000 10006798-1037652040 EN ESTUDIO</t>
  </si>
  <si>
    <t>YA SE ENTREGO PDTE PAGO</t>
  </si>
  <si>
    <t>PUERTO AZUL 2204 10002506- 98589663 $ 1.600.000</t>
  </si>
  <si>
    <t xml:space="preserve">APROBADO PDT APTO </t>
  </si>
  <si>
    <t xml:space="preserve">6868545- 43917293 $ 850.000 ATHENAS </t>
  </si>
  <si>
    <t xml:space="preserve">MEDITERRANEA 1329 $ 1.300,000 - 10006330-2073 </t>
  </si>
  <si>
    <t xml:space="preserve">LOS ARBOLES 813 $ 1.100.000 EN ESTUDIO 6851898 -7953 </t>
  </si>
  <si>
    <t xml:space="preserve"> PDT ANEXAR DEUDOR - NO LO ANEXA HASTA ENCONTRAT AP BAJO</t>
  </si>
  <si>
    <t xml:space="preserve">MARECHIANO 501 $ 1.350.000 10006290- 1020445361  EN ESTUDIO </t>
  </si>
  <si>
    <t xml:space="preserve">MONTSERRAT 2203 $ 1.000.000 10007721 - </t>
  </si>
  <si>
    <t>APROBADO PEND ARREGLEN HUMEDAD</t>
  </si>
  <si>
    <t>OPORTO CAMPESTRE 1003 - 10007013 - 0404</t>
  </si>
  <si>
    <t>APROBADO PEND VER APTO</t>
  </si>
  <si>
    <t>PUERTO NUEVO 1001  - 10009837 - 9154</t>
  </si>
  <si>
    <t xml:space="preserve">CABAÑAS 301 $ 850.000 - 10003430- 1017255406 </t>
  </si>
  <si>
    <t xml:space="preserve">PDT  PAGO </t>
  </si>
  <si>
    <t xml:space="preserve">FLOR 2629  $ 1250000 - 6880084- 70,110,277 APROBADO PDT APTO </t>
  </si>
  <si>
    <t xml:space="preserve">MEDITERRANEA 1329 $ 1.300.000 - 10002174-1020545215 </t>
  </si>
  <si>
    <t xml:space="preserve">EN FIRMAS- POR COLOCACION </t>
  </si>
  <si>
    <t>LOS ARBOLES 1819 - $1.100.000 - 10005811 - 1039458373</t>
  </si>
  <si>
    <t xml:space="preserve"> CEIBA 2501  $ 1.100.000 - 10005869- 2346 </t>
  </si>
  <si>
    <t>PUERTO PARAISO 1509  $1.100.000 - 10005607 - 1106775539</t>
  </si>
  <si>
    <t xml:space="preserve">EN ESTUDIO - PND DEUDOR </t>
  </si>
  <si>
    <t>PUERTO VENTURA 1104 - 1.200.000 - 10005577 - 98487496</t>
  </si>
  <si>
    <t xml:space="preserve">INFORME GENERAL   NOVIEMBRE      2021 </t>
  </si>
  <si>
    <t>3.400.000</t>
  </si>
  <si>
    <t>11.530.000</t>
  </si>
  <si>
    <t>DOCUMENTO EQUIVALENTE A LA FACTURA</t>
  </si>
  <si>
    <t>B – 001</t>
  </si>
  <si>
    <t>NIT. 900.336.513.-4</t>
  </si>
  <si>
    <t>No.</t>
  </si>
  <si>
    <t>CR 80 AA 36 - 57   TEL 448 77 71</t>
  </si>
  <si>
    <t>NOMBRE DEL VENDEDOR DE BIENES Y SERVICIOS</t>
  </si>
  <si>
    <t xml:space="preserve">WILSON ANDRES PULGARIN </t>
  </si>
  <si>
    <t>C.C/NIT.</t>
  </si>
  <si>
    <t>8162988_5</t>
  </si>
  <si>
    <t>DÍA</t>
  </si>
  <si>
    <t>MES</t>
  </si>
  <si>
    <t>AÑO</t>
  </si>
  <si>
    <t>DIRECCIÓN</t>
  </si>
  <si>
    <t>TELÉFONO</t>
  </si>
  <si>
    <t>CIUDAD</t>
  </si>
  <si>
    <t xml:space="preserve">CALLE 54 N° 50- 38 </t>
  </si>
  <si>
    <t>5576154 -3117614278</t>
  </si>
  <si>
    <t>CANTIDAD</t>
  </si>
  <si>
    <t>CONCEPTO</t>
  </si>
  <si>
    <t>VALOR TOTAL</t>
  </si>
  <si>
    <t xml:space="preserve">                                                     -</t>
  </si>
  <si>
    <t>SUBTOTAL</t>
  </si>
  <si>
    <t xml:space="preserve">RET.FUENTE </t>
  </si>
  <si>
    <t>0,00%</t>
  </si>
  <si>
    <t xml:space="preserve">                                       -</t>
  </si>
  <si>
    <t>FIRMA: ____________________________________</t>
  </si>
  <si>
    <t>TOTAL A PAGAR</t>
  </si>
  <si>
    <t xml:space="preserve">DECRETO REGLAMENTARIO No. 522 DE MARZO 7 DE 2003                                                                                                                                                                                                                                                      ART. 3 Documento equivalente a la factura en adquisiciones efectuadas por responsables del régimen común a personas naturales no comerciantes o inscritas en el régimen simplificado.(Este documento debe ser expedido por el adquiriente con destino al proveedor).                         </t>
  </si>
  <si>
    <t>B – 002</t>
  </si>
  <si>
    <t>ELECTRICOS Y FERRETERIA JR</t>
  </si>
  <si>
    <t xml:space="preserve">DIAGONAL 55 N° 42-76 </t>
  </si>
  <si>
    <t>B – 003</t>
  </si>
  <si>
    <t xml:space="preserve">CALLE 55 N° 54-51 </t>
  </si>
  <si>
    <t>B – 004</t>
  </si>
  <si>
    <t xml:space="preserve">CLAUDIA VILLA </t>
  </si>
  <si>
    <t>CALLE 26B N° 49-104 LOCAL 114</t>
  </si>
  <si>
    <t xml:space="preserve">BOMBILLO </t>
  </si>
  <si>
    <t>B – 005</t>
  </si>
  <si>
    <t>B – 006</t>
  </si>
  <si>
    <t xml:space="preserve">MARIA FERNANDA GIRALDO HINCAPIE </t>
  </si>
  <si>
    <t>CALLE 47 N° 30-39</t>
  </si>
  <si>
    <t xml:space="preserve">CONTROL DE PLAGAS </t>
  </si>
  <si>
    <t>B – 007</t>
  </si>
  <si>
    <t xml:space="preserve">ALFREDO VALENCIA </t>
  </si>
  <si>
    <t xml:space="preserve">PLAZOLETA ESTACION MADERA </t>
  </si>
  <si>
    <t>B – 008</t>
  </si>
  <si>
    <t>CARRERA 73 N° 93-113</t>
  </si>
  <si>
    <t>3207184915 - 3053459345</t>
  </si>
  <si>
    <t xml:space="preserve">LIMPIA JUNTAS </t>
  </si>
  <si>
    <t>B – 009</t>
  </si>
  <si>
    <t xml:space="preserve">PILAS CONTROL AIRE </t>
  </si>
  <si>
    <t xml:space="preserve">B – 010 </t>
  </si>
  <si>
    <t>1036650077-7</t>
  </si>
  <si>
    <t xml:space="preserve">DIAGONAL 55 N° 33-55 </t>
  </si>
  <si>
    <t>B – 011</t>
  </si>
  <si>
    <t xml:space="preserve">ROGELIO PIEDRAHITA </t>
  </si>
  <si>
    <t xml:space="preserve">CALLE 52 N° 50-20 </t>
  </si>
  <si>
    <t xml:space="preserve">PARQUEDERO DE MOTO </t>
  </si>
  <si>
    <t>B – 012</t>
  </si>
  <si>
    <t>B – 013</t>
  </si>
  <si>
    <t>B – 014</t>
  </si>
  <si>
    <t xml:space="preserve">CAFE - OFICINA BELLO </t>
  </si>
  <si>
    <t>B – 015</t>
  </si>
  <si>
    <t>PLAZOLETA ESTACION MADERA LOCAL 110</t>
  </si>
  <si>
    <t>DUPLICADO LLAVES</t>
  </si>
  <si>
    <t>B – 016</t>
  </si>
  <si>
    <t>CALLE 35 N° 54-51</t>
  </si>
  <si>
    <t>B – 017</t>
  </si>
  <si>
    <t>PARQUEADERO ANTAÑO</t>
  </si>
  <si>
    <t>CALLE 50 N° 52-17</t>
  </si>
  <si>
    <t>B – 018</t>
  </si>
  <si>
    <t>PILAS MOUSE</t>
  </si>
  <si>
    <t>B – 019</t>
  </si>
  <si>
    <t>B – 020</t>
  </si>
  <si>
    <t>CALLE 44 N° 82-27</t>
  </si>
  <si>
    <t>B – 021</t>
  </si>
  <si>
    <t>ARLES DAVID AGUIRRE PEREZ</t>
  </si>
  <si>
    <t xml:space="preserve">CALLE 38 N° 52A 08 </t>
  </si>
  <si>
    <t>B – 022</t>
  </si>
  <si>
    <t xml:space="preserve">RODRIGO ALONSO VARGAS MACHADO </t>
  </si>
  <si>
    <t xml:space="preserve">CALLE 52 N° 48-69 SIMON BOLIVAR </t>
  </si>
  <si>
    <t>B – 023</t>
  </si>
  <si>
    <t xml:space="preserve">HELMER OCAMPO R </t>
  </si>
  <si>
    <t xml:space="preserve">AVENIDA 40 N° 55-98 </t>
  </si>
  <si>
    <t>B – 024</t>
  </si>
  <si>
    <t>B – 025</t>
  </si>
  <si>
    <t>AVENIDA 33 N° 57-36</t>
  </si>
  <si>
    <t>B – 026</t>
  </si>
  <si>
    <t>B – 027</t>
  </si>
  <si>
    <t xml:space="preserve">B – 028 </t>
  </si>
  <si>
    <t>B – 029</t>
  </si>
  <si>
    <t>ANDRES JOVANNY BERRIO PALACIO</t>
  </si>
  <si>
    <t>CRA 57A 24-05 CABAÑITAS</t>
  </si>
  <si>
    <t>4649412 - 3209984690</t>
  </si>
  <si>
    <t>B – 030</t>
  </si>
  <si>
    <t>HELMER DE JESUS OCAMPO RIVERA</t>
  </si>
  <si>
    <t>AVENIDA 40 55-98 LOCAL 130</t>
  </si>
  <si>
    <t>4821578 - 3127717676</t>
  </si>
  <si>
    <t>B – 031</t>
  </si>
  <si>
    <t>B – 032</t>
  </si>
  <si>
    <t>B – 033</t>
  </si>
  <si>
    <t xml:space="preserve">JOHN JAIRO ABAD SOTO </t>
  </si>
  <si>
    <t>AVENIDA 33 57 36</t>
  </si>
  <si>
    <t>MOLDE 1090 H FLEXON</t>
  </si>
  <si>
    <t>MOLDE CABEZA DE COLORES 1000 DERECHO FELXON</t>
  </si>
  <si>
    <t>B – 034</t>
  </si>
  <si>
    <t>MOLDE CABEZA DE COLORES 1000R IZQUIERDO FELXON</t>
  </si>
  <si>
    <t>B – 035</t>
  </si>
  <si>
    <t>B – 036</t>
  </si>
  <si>
    <t>ALFREDO VALENCIA HERNANDEZ</t>
  </si>
  <si>
    <t>ESTACION MADERA PLAZOLETA AUTOPISTA NORTE</t>
  </si>
  <si>
    <t>4641136 - 3128435966 LOCAL 110</t>
  </si>
  <si>
    <t>COPIA DE LLAVE</t>
  </si>
  <si>
    <t>B – 037</t>
  </si>
  <si>
    <t>B – 038</t>
  </si>
  <si>
    <t>B – 039</t>
  </si>
  <si>
    <t xml:space="preserve">GABRIEL JAIME VALENCIA TORO </t>
  </si>
  <si>
    <t>CALLE 35 54-51</t>
  </si>
  <si>
    <t>B – 040</t>
  </si>
  <si>
    <t>B – 041</t>
  </si>
  <si>
    <t>B – 042</t>
  </si>
  <si>
    <t>B – 043</t>
  </si>
  <si>
    <t>B – 044</t>
  </si>
  <si>
    <t>B – 045</t>
  </si>
  <si>
    <t>B – 046</t>
  </si>
  <si>
    <t>B – 047</t>
  </si>
  <si>
    <t>B – 048</t>
  </si>
  <si>
    <t>B – 049</t>
  </si>
  <si>
    <t>B – 050</t>
  </si>
  <si>
    <t>B – 051</t>
  </si>
  <si>
    <t>B – 052</t>
  </si>
  <si>
    <t>B – 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</si>
</sst>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$&quot;#,##0_);[Red]\(&quot;$&quot;#,##0\)"/>
    <numFmt numFmtId="165" formatCode="_(&quot;$&quot;* #,##0.00_);_(&quot;$&quot;* \(#,##0.00\);_(&quot;$&quot;* &quot;-&quot;??_);_(@_)"/>
    <numFmt numFmtId="166" formatCode="mmmm\ yyyy"/>
    <numFmt numFmtId="167" formatCode="[$ $]#,##0"/>
    <numFmt numFmtId="168" formatCode="&quot;$&quot;#,##0"/>
    <numFmt numFmtId="169" formatCode="_-[$$-240A]\ * #,##0.00_-;\-[$$-240A]\ * #,##0.00_-;_-[$$-240A]\ * &quot;-&quot;??_-;_-@_-"/>
    <numFmt numFmtId="170" formatCode="_([$$-409]* #,##0.00_);_([$$-409]* \(#,##0.00\);_([$$-409]* &quot;-&quot;??_);_(@_)"/>
    <numFmt numFmtId="171" formatCode="_([$$-409]* #,##0_);_([$$-409]* \(#,##0\);_([$$-409]* &quot;-&quot;??_);_(@_)"/>
    <numFmt numFmtId="172" formatCode="_(* #,##0_);_(* \(#,##0\);_(* &quot;-&quot;??_);_(@_)"/>
    <numFmt numFmtId="173" formatCode="_-[$$-240A]\ * #,##0_-;\-[$$-240A]\ * #,##0_-;_-[$$-240A]\ * &quot;-&quot;??_-;_-@_-"/>
    <numFmt numFmtId="174" formatCode="0.0%"/>
    <numFmt numFmtId="175" formatCode="_(&quot;$&quot;* #,##0_);_(&quot;$&quot;* \(#,##0\);_(&quot;$&quot;* &quot;-&quot;??_);_(@_)"/>
    <numFmt numFmtId="176" formatCode="_([$$-409]* #,##0.0_);_([$$-409]* \(#,##0.0\);_([$$-409]* &quot;-&quot;??_);_(@_)"/>
  </numFmts>
  <fonts count="159" x14ac:knownFonts="1">
    <font>
      <sz val="11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36"/>
      <name val="Arial"/>
      <family val="2"/>
    </font>
    <font>
      <sz val="11"/>
      <color rgb="FF000000"/>
      <name val="Calibri"/>
      <family val="2"/>
      <scheme val="minor"/>
    </font>
    <font>
      <b/>
      <sz val="20"/>
      <color rgb="FF000000"/>
      <name val="Arial"/>
      <family val="2"/>
    </font>
    <font>
      <b/>
      <sz val="28"/>
      <name val="Arial"/>
      <family val="2"/>
    </font>
    <font>
      <b/>
      <sz val="18"/>
      <color theme="1"/>
      <name val="Arial"/>
      <family val="2"/>
    </font>
    <font>
      <b/>
      <sz val="14"/>
      <color rgb="FF000000"/>
      <name val="Calibri"/>
      <family val="2"/>
    </font>
    <font>
      <sz val="16"/>
      <color theme="1"/>
      <name val="Arial"/>
    </font>
    <font>
      <b/>
      <sz val="14"/>
      <color theme="1"/>
      <name val="Arial"/>
    </font>
    <font>
      <b/>
      <sz val="10"/>
      <color rgb="FF000000"/>
      <name val="Arial"/>
      <charset val="1"/>
    </font>
    <font>
      <sz val="11"/>
      <color rgb="FF000000"/>
      <name val="Calibri"/>
      <charset val="1"/>
    </font>
    <font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rial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Arial"/>
    </font>
    <font>
      <b/>
      <sz val="12"/>
      <name val="Arial"/>
      <family val="2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sz val="11"/>
      <name val="Arial"/>
      <charset val="1"/>
    </font>
    <font>
      <b/>
      <sz val="11"/>
      <color rgb="FFFFFFFF"/>
      <name val="Calibri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Calibri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color rgb="FF008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5"/>
      <color rgb="FF008000"/>
      <name val="Arial"/>
      <family val="2"/>
      <charset val="1"/>
    </font>
    <font>
      <sz val="8"/>
      <name val="Arial"/>
      <family val="2"/>
      <charset val="1"/>
    </font>
    <font>
      <b/>
      <sz val="14"/>
      <name val="Arial"/>
      <family val="2"/>
      <charset val="1"/>
    </font>
    <font>
      <sz val="6"/>
      <name val="Arial"/>
      <family val="2"/>
      <charset val="1"/>
    </font>
    <font>
      <b/>
      <sz val="8"/>
      <name val="Arial"/>
      <family val="2"/>
      <charset val="1"/>
    </font>
    <font>
      <b/>
      <sz val="7"/>
      <name val="Arial"/>
      <family val="2"/>
      <charset val="1"/>
    </font>
    <font>
      <sz val="9"/>
      <name val="Arial"/>
      <family val="2"/>
      <charset val="1"/>
    </font>
    <font>
      <b/>
      <sz val="6"/>
      <name val="Arial"/>
      <family val="2"/>
      <charset val="1"/>
    </font>
    <font>
      <b/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201F1E"/>
      <name val="Arial"/>
    </font>
    <font>
      <sz val="10"/>
      <color rgb="FF201F1E"/>
      <name val="Arial"/>
    </font>
    <font>
      <b/>
      <sz val="14"/>
      <color rgb="FF000000"/>
      <name val="Arial"/>
    </font>
    <font>
      <sz val="11"/>
      <color rgb="FF201F1E"/>
      <name val="Calibri"/>
      <family val="2"/>
      <charset val="1"/>
    </font>
    <font>
      <b/>
      <sz val="12"/>
      <color theme="1"/>
      <name val="Arial"/>
    </font>
    <font>
      <b/>
      <sz val="12"/>
      <name val="Arial"/>
    </font>
    <font>
      <b/>
      <sz val="12"/>
      <color rgb="FF000000"/>
      <name val="Arial"/>
    </font>
    <font>
      <b/>
      <sz val="11"/>
      <color theme="1"/>
      <name val="Arial"/>
    </font>
    <font>
      <b/>
      <sz val="28"/>
      <color rgb="FF000000"/>
      <name val="Arial"/>
    </font>
    <font>
      <b/>
      <sz val="36"/>
      <name val="Arial"/>
    </font>
    <font>
      <b/>
      <sz val="16"/>
      <color rgb="FF000000"/>
      <name val="Arial"/>
    </font>
    <font>
      <sz val="12"/>
      <color theme="1"/>
      <name val="Arial"/>
    </font>
    <font>
      <sz val="9"/>
      <color theme="1"/>
      <name val="Arial"/>
    </font>
    <font>
      <b/>
      <sz val="10"/>
      <color rgb="FFFF0000"/>
      <name val="Arial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0"/>
      <color rgb="FFFF0000"/>
      <name val="Arial"/>
    </font>
    <font>
      <sz val="11"/>
      <color rgb="FF000000"/>
      <name val="Arial"/>
      <charset val="1"/>
    </font>
    <font>
      <b/>
      <sz val="12"/>
      <color rgb="FFFF0000"/>
      <name val="Arial"/>
    </font>
    <font>
      <sz val="11"/>
      <color rgb="FF000000"/>
      <name val="Arial"/>
    </font>
    <font>
      <sz val="11"/>
      <color rgb="FF323130"/>
      <name val="Segoe UI"/>
      <family val="2"/>
      <charset val="1"/>
    </font>
    <font>
      <sz val="20"/>
      <color theme="1"/>
      <name val="Arial"/>
    </font>
    <font>
      <sz val="12"/>
      <color rgb="FF000000"/>
      <name val="Calibri"/>
      <charset val="1"/>
    </font>
    <font>
      <sz val="14"/>
      <color theme="1"/>
      <name val="Calibri"/>
      <family val="2"/>
      <scheme val="minor"/>
    </font>
    <font>
      <sz val="11"/>
      <color rgb="FF000000"/>
      <name val="Calibri"/>
    </font>
    <font>
      <sz val="10"/>
      <name val="Calibri"/>
    </font>
    <font>
      <sz val="11"/>
      <color theme="1"/>
      <name val="Calibri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FFFFFF"/>
      <name val="Arial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201F1E"/>
      <name val="Calibri"/>
      <family val="2"/>
      <charset val="1"/>
    </font>
    <font>
      <b/>
      <sz val="11"/>
      <color rgb="FF201F1E"/>
      <name val="Calibri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Arial"/>
      <charset val="1"/>
    </font>
    <font>
      <sz val="11"/>
      <color rgb="FF201F1E"/>
      <name val="Arial"/>
      <charset val="1"/>
    </font>
    <font>
      <b/>
      <sz val="14"/>
      <color rgb="FF000000"/>
      <name val="Calibri Light"/>
      <family val="2"/>
      <charset val="1"/>
    </font>
    <font>
      <sz val="11"/>
      <name val="Comic Sans MS"/>
    </font>
    <font>
      <sz val="11"/>
      <color rgb="FF1E1E1E"/>
      <name val="Arial"/>
    </font>
    <font>
      <sz val="11"/>
      <color rgb="FF201F1E"/>
      <name val="Segoe UI"/>
      <charset val="1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b/>
      <sz val="14"/>
      <color theme="1"/>
      <name val="Calibri"/>
    </font>
    <font>
      <sz val="11"/>
      <color rgb="FFFF0000"/>
      <name val="Calibri"/>
    </font>
    <font>
      <strike/>
      <sz val="11"/>
      <color theme="1"/>
      <name val="Calibri"/>
      <family val="2"/>
      <scheme val="minor"/>
    </font>
    <font>
      <b/>
      <sz val="12"/>
      <color rgb="FF000000"/>
      <name val="Arial"/>
      <charset val="1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201F1E"/>
      <name val="Segoe UI"/>
      <charset val="1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Arial"/>
    </font>
    <font>
      <sz val="20"/>
      <color theme="1"/>
      <name val="Arial Black"/>
    </font>
    <font>
      <b/>
      <sz val="10"/>
      <color rgb="FF323130"/>
      <name val="Arial"/>
    </font>
    <font>
      <b/>
      <sz val="48"/>
      <color rgb="FF000000"/>
      <name val="Calibri"/>
      <family val="2"/>
    </font>
    <font>
      <b/>
      <sz val="36"/>
      <color rgb="FF000000"/>
      <name val="Arial"/>
    </font>
    <font>
      <b/>
      <sz val="26"/>
      <color rgb="FF000000"/>
      <name val="Arial"/>
    </font>
    <font>
      <b/>
      <sz val="11"/>
      <color rgb="FF000000"/>
      <name val="Calibri"/>
    </font>
    <font>
      <b/>
      <sz val="10"/>
      <color rgb="FF000000"/>
      <name val="Calibri"/>
      <family val="2"/>
      <charset val="1"/>
    </font>
    <font>
      <b/>
      <sz val="10"/>
      <color rgb="FF201F1E"/>
      <name val="Calibri"/>
      <family val="2"/>
      <charset val="1"/>
    </font>
    <font>
      <b/>
      <sz val="14"/>
      <color rgb="FFFF0000"/>
      <name val="Calibri"/>
      <family val="2"/>
      <scheme val="minor"/>
    </font>
    <font>
      <b/>
      <sz val="28"/>
      <color rgb="FF000000"/>
      <name val="Arial Black"/>
    </font>
    <font>
      <b/>
      <sz val="28"/>
      <color rgb="FF000000"/>
      <name val="Calibri"/>
      <family val="2"/>
    </font>
    <font>
      <b/>
      <sz val="11"/>
      <color rgb="FF201F1E"/>
      <name val="Segoe UI"/>
      <charset val="1"/>
    </font>
    <font>
      <b/>
      <sz val="11"/>
      <color rgb="FF444444"/>
      <name val="Calibri"/>
      <charset val="1"/>
    </font>
    <font>
      <sz val="10"/>
      <color rgb="FFFF0000"/>
      <name val="Arial"/>
      <charset val="1"/>
    </font>
    <font>
      <b/>
      <sz val="36"/>
      <color rgb="FF000000"/>
      <name val="Calibri"/>
    </font>
    <font>
      <b/>
      <sz val="10"/>
      <color rgb="FFFF0000"/>
      <name val="Arial"/>
      <family val="2"/>
    </font>
    <font>
      <b/>
      <sz val="24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strike/>
      <sz val="11"/>
      <color rgb="FF000000"/>
      <name val="Calibri"/>
    </font>
    <font>
      <sz val="9"/>
      <name val="Arial"/>
    </font>
    <font>
      <b/>
      <sz val="20"/>
      <color rgb="FF000000"/>
      <name val="Arial"/>
    </font>
    <font>
      <b/>
      <sz val="28"/>
      <color rgb="FF000000"/>
      <name val="Calibri"/>
    </font>
    <font>
      <sz val="11"/>
      <color rgb="FF444444"/>
      <name val="Calibri"/>
      <family val="2"/>
      <charset val="1"/>
    </font>
    <font>
      <b/>
      <sz val="11"/>
      <color rgb="FFFF0000"/>
      <name val="Calibri"/>
    </font>
    <font>
      <sz val="11"/>
      <color rgb="FF444444"/>
      <name val="Calibri"/>
      <charset val="1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b/>
      <sz val="12"/>
      <color rgb="FF000000"/>
      <name val="Calibri"/>
    </font>
    <font>
      <b/>
      <sz val="11"/>
      <color rgb="FF000000"/>
      <name val="Arial"/>
      <charset val="1"/>
    </font>
    <font>
      <b/>
      <sz val="10"/>
      <name val="Arial"/>
      <charset val="1"/>
    </font>
    <font>
      <sz val="14"/>
      <name val="Arial"/>
      <charset val="1"/>
    </font>
    <font>
      <sz val="12"/>
      <name val="Arial"/>
      <charset val="1"/>
    </font>
    <font>
      <b/>
      <sz val="34"/>
      <color theme="1"/>
      <name val="Calibri"/>
      <family val="2"/>
      <scheme val="minor"/>
    </font>
    <font>
      <b/>
      <sz val="9"/>
      <color rgb="FF444444"/>
      <name val="Calibri"/>
      <family val="2"/>
      <charset val="1"/>
    </font>
    <font>
      <b/>
      <sz val="9"/>
      <name val="Arial"/>
    </font>
    <font>
      <b/>
      <sz val="11"/>
      <color theme="1"/>
      <name val="Calibri"/>
    </font>
    <font>
      <b/>
      <sz val="11"/>
      <color rgb="FF4472C4"/>
      <name val="Calibri"/>
    </font>
    <font>
      <b/>
      <sz val="11"/>
      <color rgb="FF5B9BD5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DDD9C4"/>
        <bgColor rgb="FFDDD9C4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00B0F0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92D050"/>
      </patternFill>
    </fill>
    <fill>
      <patternFill patternType="solid">
        <fgColor rgb="FF92D050"/>
        <bgColor rgb="FFF3F3F3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14F9F"/>
        <bgColor indexed="64"/>
      </patternFill>
    </fill>
    <fill>
      <patternFill patternType="solid">
        <fgColor rgb="FF3AEB0E"/>
        <bgColor indexed="64"/>
      </patternFill>
    </fill>
    <fill>
      <patternFill patternType="solid">
        <fgColor rgb="FFEB660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FFFFFF"/>
        <bgColor rgb="FFFFF4F4"/>
      </patternFill>
    </fill>
    <fill>
      <patternFill patternType="solid">
        <fgColor rgb="FFB4C6E7"/>
        <bgColor indexed="64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4" fillId="0" borderId="0" applyNumberFormat="0" applyFill="0" applyBorder="0" applyAlignment="0" applyProtection="0"/>
  </cellStyleXfs>
  <cellXfs count="39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7" fontId="3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8" fillId="6" borderId="6" xfId="0" applyFont="1" applyFill="1" applyBorder="1" applyAlignment="1">
      <alignment wrapText="1"/>
    </xf>
    <xf numFmtId="0" fontId="5" fillId="6" borderId="6" xfId="0" applyFont="1" applyFill="1" applyBorder="1"/>
    <xf numFmtId="0" fontId="0" fillId="0" borderId="8" xfId="0" applyBorder="1"/>
    <xf numFmtId="0" fontId="0" fillId="0" borderId="1" xfId="0" applyBorder="1"/>
    <xf numFmtId="0" fontId="5" fillId="7" borderId="1" xfId="0" applyFont="1" applyFill="1" applyBorder="1" applyAlignment="1">
      <alignment horizontal="center"/>
    </xf>
    <xf numFmtId="167" fontId="5" fillId="7" borderId="1" xfId="0" applyNumberFormat="1" applyFont="1" applyFill="1" applyBorder="1" applyAlignment="1">
      <alignment horizontal="right"/>
    </xf>
    <xf numFmtId="3" fontId="5" fillId="7" borderId="1" xfId="0" applyNumberFormat="1" applyFont="1" applyFill="1" applyBorder="1" applyAlignment="1">
      <alignment horizontal="center"/>
    </xf>
    <xf numFmtId="168" fontId="5" fillId="7" borderId="1" xfId="0" applyNumberFormat="1" applyFont="1" applyFill="1" applyBorder="1" applyAlignment="1">
      <alignment horizontal="right"/>
    </xf>
    <xf numFmtId="168" fontId="13" fillId="8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67" fontId="5" fillId="0" borderId="0" xfId="0" applyNumberFormat="1" applyFont="1"/>
    <xf numFmtId="3" fontId="5" fillId="0" borderId="0" xfId="0" applyNumberFormat="1" applyFont="1"/>
    <xf numFmtId="0" fontId="5" fillId="6" borderId="3" xfId="0" applyFont="1" applyFill="1" applyBorder="1"/>
    <xf numFmtId="167" fontId="0" fillId="0" borderId="1" xfId="0" applyNumberFormat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167" fontId="3" fillId="5" borderId="6" xfId="0" applyNumberFormat="1" applyFont="1" applyFill="1" applyBorder="1" applyAlignment="1">
      <alignment horizontal="center"/>
    </xf>
    <xf numFmtId="3" fontId="3" fillId="5" borderId="11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5" fillId="6" borderId="1" xfId="0" applyFont="1" applyFill="1" applyBorder="1"/>
    <xf numFmtId="0" fontId="5" fillId="9" borderId="5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167" fontId="5" fillId="9" borderId="1" xfId="0" applyNumberFormat="1" applyFont="1" applyFill="1" applyBorder="1" applyAlignment="1">
      <alignment horizontal="right"/>
    </xf>
    <xf numFmtId="0" fontId="5" fillId="9" borderId="3" xfId="0" applyFont="1" applyFill="1" applyBorder="1"/>
    <xf numFmtId="167" fontId="3" fillId="5" borderId="9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167" fontId="9" fillId="6" borderId="1" xfId="0" applyNumberFormat="1" applyFont="1" applyFill="1" applyBorder="1"/>
    <xf numFmtId="9" fontId="4" fillId="6" borderId="8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 wrapText="1"/>
    </xf>
    <xf numFmtId="3" fontId="5" fillId="9" borderId="1" xfId="0" applyNumberFormat="1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68" fontId="9" fillId="6" borderId="3" xfId="0" applyNumberFormat="1" applyFont="1" applyFill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0" fillId="6" borderId="8" xfId="0" applyFill="1" applyBorder="1"/>
    <xf numFmtId="3" fontId="5" fillId="9" borderId="3" xfId="0" applyNumberFormat="1" applyFont="1" applyFill="1" applyBorder="1" applyAlignment="1">
      <alignment horizontal="center"/>
    </xf>
    <xf numFmtId="0" fontId="4" fillId="0" borderId="1" xfId="0" applyFont="1" applyBorder="1"/>
    <xf numFmtId="167" fontId="7" fillId="0" borderId="1" xfId="0" applyNumberFormat="1" applyFont="1" applyBorder="1"/>
    <xf numFmtId="168" fontId="0" fillId="6" borderId="1" xfId="0" applyNumberFormat="1" applyFill="1" applyBorder="1" applyAlignment="1">
      <alignment horizontal="center"/>
    </xf>
    <xf numFmtId="9" fontId="4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4" fillId="6" borderId="7" xfId="0" applyNumberFormat="1" applyFont="1" applyFill="1" applyBorder="1" applyAlignment="1">
      <alignment horizontal="center"/>
    </xf>
    <xf numFmtId="168" fontId="9" fillId="6" borderId="3" xfId="0" applyNumberFormat="1" applyFont="1" applyFill="1" applyBorder="1" applyAlignment="1">
      <alignment horizontal="center"/>
    </xf>
    <xf numFmtId="168" fontId="9" fillId="6" borderId="1" xfId="0" applyNumberFormat="1" applyFont="1" applyFill="1" applyBorder="1" applyAlignment="1">
      <alignment horizontal="right"/>
    </xf>
    <xf numFmtId="0" fontId="6" fillId="6" borderId="6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9" fontId="0" fillId="6" borderId="13" xfId="0" applyNumberForma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15" fillId="6" borderId="1" xfId="0" applyFont="1" applyFill="1" applyBorder="1"/>
    <xf numFmtId="168" fontId="9" fillId="6" borderId="5" xfId="0" applyNumberFormat="1" applyFont="1" applyFill="1" applyBorder="1" applyAlignment="1">
      <alignment horizontal="right"/>
    </xf>
    <xf numFmtId="167" fontId="9" fillId="6" borderId="6" xfId="0" applyNumberFormat="1" applyFont="1" applyFill="1" applyBorder="1"/>
    <xf numFmtId="3" fontId="9" fillId="6" borderId="1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9" fontId="4" fillId="14" borderId="8" xfId="0" applyNumberFormat="1" applyFont="1" applyFill="1" applyBorder="1" applyAlignment="1">
      <alignment horizontal="center"/>
    </xf>
    <xf numFmtId="0" fontId="0" fillId="14" borderId="1" xfId="0" applyFill="1" applyBorder="1"/>
    <xf numFmtId="167" fontId="9" fillId="14" borderId="1" xfId="0" applyNumberFormat="1" applyFont="1" applyFill="1" applyBorder="1"/>
    <xf numFmtId="9" fontId="4" fillId="14" borderId="3" xfId="0" applyNumberFormat="1" applyFont="1" applyFill="1" applyBorder="1" applyAlignment="1">
      <alignment horizontal="center"/>
    </xf>
    <xf numFmtId="168" fontId="9" fillId="14" borderId="5" xfId="0" applyNumberFormat="1" applyFont="1" applyFill="1" applyBorder="1" applyAlignment="1">
      <alignment horizontal="right"/>
    </xf>
    <xf numFmtId="0" fontId="9" fillId="14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left" wrapText="1"/>
    </xf>
    <xf numFmtId="0" fontId="9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9" fontId="4" fillId="14" borderId="6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9" fontId="4" fillId="14" borderId="12" xfId="0" applyNumberFormat="1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9" fontId="4" fillId="14" borderId="1" xfId="0" applyNumberFormat="1" applyFont="1" applyFill="1" applyBorder="1" applyAlignment="1">
      <alignment horizontal="center"/>
    </xf>
    <xf numFmtId="0" fontId="5" fillId="14" borderId="1" xfId="0" applyFont="1" applyFill="1" applyBorder="1"/>
    <xf numFmtId="9" fontId="0" fillId="14" borderId="3" xfId="0" applyNumberForma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9" fontId="4" fillId="14" borderId="5" xfId="0" applyNumberFormat="1" applyFont="1" applyFill="1" applyBorder="1" applyAlignment="1">
      <alignment horizontal="center"/>
    </xf>
    <xf numFmtId="0" fontId="0" fillId="14" borderId="7" xfId="0" applyFill="1" applyBorder="1"/>
    <xf numFmtId="0" fontId="0" fillId="14" borderId="5" xfId="0" applyFill="1" applyBorder="1"/>
    <xf numFmtId="168" fontId="9" fillId="14" borderId="3" xfId="0" applyNumberFormat="1" applyFont="1" applyFill="1" applyBorder="1" applyAlignment="1">
      <alignment horizontal="right"/>
    </xf>
    <xf numFmtId="0" fontId="5" fillId="6" borderId="8" xfId="0" applyFont="1" applyFill="1" applyBorder="1" applyAlignment="1">
      <alignment horizontal="center"/>
    </xf>
    <xf numFmtId="167" fontId="0" fillId="14" borderId="7" xfId="0" applyNumberFormat="1" applyFill="1" applyBorder="1"/>
    <xf numFmtId="0" fontId="4" fillId="0" borderId="0" xfId="0" applyFont="1"/>
    <xf numFmtId="167" fontId="7" fillId="0" borderId="0" xfId="0" applyNumberFormat="1" applyFont="1"/>
    <xf numFmtId="167" fontId="6" fillId="6" borderId="0" xfId="0" applyNumberFormat="1" applyFont="1" applyFill="1" applyAlignment="1">
      <alignment horizontal="right"/>
    </xf>
    <xf numFmtId="167" fontId="6" fillId="6" borderId="1" xfId="0" applyNumberFormat="1" applyFont="1" applyFill="1" applyBorder="1" applyAlignment="1">
      <alignment horizontal="right"/>
    </xf>
    <xf numFmtId="0" fontId="20" fillId="6" borderId="1" xfId="0" applyFont="1" applyFill="1" applyBorder="1" applyAlignment="1">
      <alignment horizontal="center" vertical="center"/>
    </xf>
    <xf numFmtId="9" fontId="0" fillId="0" borderId="1" xfId="0" applyNumberFormat="1" applyBorder="1"/>
    <xf numFmtId="167" fontId="21" fillId="6" borderId="1" xfId="0" applyNumberFormat="1" applyFont="1" applyFill="1" applyBorder="1" applyAlignment="1">
      <alignment horizontal="right"/>
    </xf>
    <xf numFmtId="9" fontId="4" fillId="16" borderId="3" xfId="0" applyNumberFormat="1" applyFont="1" applyFill="1" applyBorder="1" applyAlignment="1">
      <alignment horizontal="center"/>
    </xf>
    <xf numFmtId="0" fontId="0" fillId="16" borderId="1" xfId="0" applyFill="1" applyBorder="1"/>
    <xf numFmtId="167" fontId="9" fillId="16" borderId="5" xfId="0" applyNumberFormat="1" applyFont="1" applyFill="1" applyBorder="1"/>
    <xf numFmtId="9" fontId="11" fillId="16" borderId="7" xfId="0" applyNumberFormat="1" applyFont="1" applyFill="1" applyBorder="1" applyAlignment="1">
      <alignment horizontal="center"/>
    </xf>
    <xf numFmtId="167" fontId="0" fillId="16" borderId="7" xfId="0" applyNumberFormat="1" applyFill="1" applyBorder="1"/>
    <xf numFmtId="0" fontId="6" fillId="16" borderId="9" xfId="0" applyFont="1" applyFill="1" applyBorder="1" applyAlignment="1">
      <alignment horizontal="center"/>
    </xf>
    <xf numFmtId="9" fontId="9" fillId="16" borderId="1" xfId="0" applyNumberFormat="1" applyFont="1" applyFill="1" applyBorder="1" applyAlignment="1">
      <alignment horizontal="center"/>
    </xf>
    <xf numFmtId="167" fontId="9" fillId="16" borderId="1" xfId="0" applyNumberFormat="1" applyFont="1" applyFill="1" applyBorder="1"/>
    <xf numFmtId="168" fontId="9" fillId="16" borderId="3" xfId="0" applyNumberFormat="1" applyFont="1" applyFill="1" applyBorder="1" applyAlignment="1">
      <alignment horizontal="center"/>
    </xf>
    <xf numFmtId="0" fontId="9" fillId="16" borderId="5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1" xfId="0" applyFont="1" applyFill="1" applyBorder="1"/>
    <xf numFmtId="0" fontId="6" fillId="16" borderId="5" xfId="0" applyFont="1" applyFill="1" applyBorder="1" applyAlignment="1">
      <alignment horizontal="center"/>
    </xf>
    <xf numFmtId="0" fontId="0" fillId="16" borderId="9" xfId="0" applyFill="1" applyBorder="1"/>
    <xf numFmtId="167" fontId="9" fillId="16" borderId="9" xfId="0" applyNumberFormat="1" applyFont="1" applyFill="1" applyBorder="1"/>
    <xf numFmtId="9" fontId="0" fillId="16" borderId="15" xfId="0" applyNumberFormat="1" applyFill="1" applyBorder="1" applyAlignment="1">
      <alignment horizontal="center"/>
    </xf>
    <xf numFmtId="168" fontId="0" fillId="16" borderId="9" xfId="0" applyNumberFormat="1" applyFill="1" applyBorder="1" applyAlignment="1">
      <alignment horizontal="center"/>
    </xf>
    <xf numFmtId="9" fontId="9" fillId="14" borderId="3" xfId="0" applyNumberFormat="1" applyFont="1" applyFill="1" applyBorder="1" applyAlignment="1">
      <alignment horizontal="center"/>
    </xf>
    <xf numFmtId="168" fontId="9" fillId="14" borderId="1" xfId="0" applyNumberFormat="1" applyFont="1" applyFill="1" applyBorder="1" applyAlignment="1">
      <alignment horizontal="right"/>
    </xf>
    <xf numFmtId="0" fontId="9" fillId="6" borderId="6" xfId="0" applyFont="1" applyFill="1" applyBorder="1" applyAlignment="1">
      <alignment horizontal="center"/>
    </xf>
    <xf numFmtId="0" fontId="0" fillId="0" borderId="6" xfId="0" applyBorder="1"/>
    <xf numFmtId="0" fontId="3" fillId="6" borderId="8" xfId="0" applyFont="1" applyFill="1" applyBorder="1" applyAlignment="1">
      <alignment horizontal="center"/>
    </xf>
    <xf numFmtId="9" fontId="0" fillId="14" borderId="1" xfId="0" applyNumberFormat="1" applyFill="1" applyBorder="1"/>
    <xf numFmtId="0" fontId="0" fillId="14" borderId="8" xfId="0" applyFill="1" applyBorder="1"/>
    <xf numFmtId="0" fontId="6" fillId="14" borderId="1" xfId="0" applyFont="1" applyFill="1" applyBorder="1" applyAlignment="1">
      <alignment horizontal="center"/>
    </xf>
    <xf numFmtId="9" fontId="9" fillId="14" borderId="1" xfId="0" applyNumberFormat="1" applyFont="1" applyFill="1" applyBorder="1" applyAlignment="1">
      <alignment horizontal="center"/>
    </xf>
    <xf numFmtId="9" fontId="0" fillId="14" borderId="1" xfId="0" applyNumberFormat="1" applyFill="1" applyBorder="1" applyAlignment="1">
      <alignment horizontal="center"/>
    </xf>
    <xf numFmtId="168" fontId="9" fillId="14" borderId="3" xfId="0" applyNumberFormat="1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4" fillId="16" borderId="1" xfId="0" applyFont="1" applyFill="1" applyBorder="1"/>
    <xf numFmtId="9" fontId="4" fillId="16" borderId="6" xfId="0" applyNumberFormat="1" applyFont="1" applyFill="1" applyBorder="1" applyAlignment="1">
      <alignment horizontal="center"/>
    </xf>
    <xf numFmtId="9" fontId="0" fillId="16" borderId="1" xfId="0" applyNumberFormat="1" applyFill="1" applyBorder="1"/>
    <xf numFmtId="167" fontId="6" fillId="16" borderId="1" xfId="0" applyNumberFormat="1" applyFont="1" applyFill="1" applyBorder="1" applyAlignment="1">
      <alignment horizontal="right"/>
    </xf>
    <xf numFmtId="0" fontId="4" fillId="14" borderId="12" xfId="0" applyFont="1" applyFill="1" applyBorder="1" applyAlignment="1">
      <alignment horizontal="center"/>
    </xf>
    <xf numFmtId="0" fontId="15" fillId="14" borderId="1" xfId="0" applyFont="1" applyFill="1" applyBorder="1"/>
    <xf numFmtId="0" fontId="15" fillId="14" borderId="5" xfId="0" applyFont="1" applyFill="1" applyBorder="1"/>
    <xf numFmtId="167" fontId="4" fillId="14" borderId="5" xfId="0" applyNumberFormat="1" applyFont="1" applyFill="1" applyBorder="1"/>
    <xf numFmtId="0" fontId="22" fillId="14" borderId="0" xfId="0" applyFont="1" applyFill="1" applyAlignment="1">
      <alignment wrapText="1"/>
    </xf>
    <xf numFmtId="0" fontId="24" fillId="0" borderId="0" xfId="0" applyFont="1" applyAlignment="1">
      <alignment horizontal="center" vertical="center"/>
    </xf>
    <xf numFmtId="0" fontId="0" fillId="0" borderId="16" xfId="0" applyBorder="1"/>
    <xf numFmtId="3" fontId="0" fillId="0" borderId="16" xfId="0" applyNumberFormat="1" applyBorder="1"/>
    <xf numFmtId="0" fontId="27" fillId="14" borderId="16" xfId="0" applyFont="1" applyFill="1" applyBorder="1"/>
    <xf numFmtId="0" fontId="0" fillId="18" borderId="16" xfId="0" applyFill="1" applyBorder="1"/>
    <xf numFmtId="0" fontId="0" fillId="18" borderId="0" xfId="0" applyFill="1"/>
    <xf numFmtId="0" fontId="20" fillId="14" borderId="0" xfId="0" applyFont="1" applyFill="1"/>
    <xf numFmtId="0" fontId="0" fillId="18" borderId="17" xfId="0" applyFill="1" applyBorder="1"/>
    <xf numFmtId="0" fontId="0" fillId="18" borderId="1" xfId="0" applyFill="1" applyBorder="1"/>
    <xf numFmtId="3" fontId="0" fillId="18" borderId="0" xfId="0" applyNumberFormat="1" applyFill="1"/>
    <xf numFmtId="0" fontId="27" fillId="14" borderId="0" xfId="0" applyFont="1" applyFill="1"/>
    <xf numFmtId="0" fontId="0" fillId="0" borderId="17" xfId="0" applyBorder="1"/>
    <xf numFmtId="0" fontId="0" fillId="0" borderId="19" xfId="0" applyBorder="1"/>
    <xf numFmtId="168" fontId="0" fillId="18" borderId="16" xfId="0" applyNumberFormat="1" applyFill="1" applyBorder="1"/>
    <xf numFmtId="0" fontId="0" fillId="0" borderId="16" xfId="0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0" fillId="18" borderId="16" xfId="0" applyFill="1" applyBorder="1" applyAlignment="1">
      <alignment horizontal="left"/>
    </xf>
    <xf numFmtId="3" fontId="0" fillId="18" borderId="16" xfId="0" applyNumberFormat="1" applyFill="1" applyBorder="1" applyAlignment="1">
      <alignment horizontal="left"/>
    </xf>
    <xf numFmtId="0" fontId="0" fillId="18" borderId="17" xfId="0" applyFill="1" applyBorder="1" applyAlignment="1">
      <alignment horizontal="left"/>
    </xf>
    <xf numFmtId="3" fontId="0" fillId="18" borderId="17" xfId="0" applyNumberFormat="1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3" fontId="0" fillId="18" borderId="1" xfId="0" applyNumberFormat="1" applyFill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9" xfId="0" applyBorder="1" applyAlignment="1">
      <alignment horizontal="left"/>
    </xf>
    <xf numFmtId="168" fontId="0" fillId="18" borderId="16" xfId="0" applyNumberFormat="1" applyFill="1" applyBorder="1" applyAlignment="1">
      <alignment horizontal="left"/>
    </xf>
    <xf numFmtId="0" fontId="0" fillId="20" borderId="0" xfId="0" applyFill="1"/>
    <xf numFmtId="0" fontId="4" fillId="6" borderId="7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3" fontId="3" fillId="5" borderId="9" xfId="0" applyNumberFormat="1" applyFont="1" applyFill="1" applyBorder="1" applyAlignment="1">
      <alignment horizontal="center"/>
    </xf>
    <xf numFmtId="168" fontId="4" fillId="6" borderId="1" xfId="0" applyNumberFormat="1" applyFont="1" applyFill="1" applyBorder="1"/>
    <xf numFmtId="9" fontId="0" fillId="6" borderId="6" xfId="0" applyNumberForma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0" fillId="0" borderId="5" xfId="0" applyBorder="1"/>
    <xf numFmtId="167" fontId="7" fillId="0" borderId="5" xfId="0" applyNumberFormat="1" applyFont="1" applyBorder="1"/>
    <xf numFmtId="0" fontId="0" fillId="0" borderId="7" xfId="0" applyBorder="1"/>
    <xf numFmtId="9" fontId="4" fillId="6" borderId="2" xfId="0" applyNumberFormat="1" applyFont="1" applyFill="1" applyBorder="1" applyAlignment="1">
      <alignment horizontal="center"/>
    </xf>
    <xf numFmtId="0" fontId="5" fillId="16" borderId="9" xfId="0" applyFont="1" applyFill="1" applyBorder="1"/>
    <xf numFmtId="0" fontId="9" fillId="6" borderId="9" xfId="0" applyFont="1" applyFill="1" applyBorder="1" applyAlignment="1">
      <alignment horizontal="center"/>
    </xf>
    <xf numFmtId="9" fontId="9" fillId="6" borderId="8" xfId="0" applyNumberFormat="1" applyFont="1" applyFill="1" applyBorder="1" applyAlignment="1">
      <alignment horizontal="center"/>
    </xf>
    <xf numFmtId="168" fontId="4" fillId="14" borderId="11" xfId="0" applyNumberFormat="1" applyFont="1" applyFill="1" applyBorder="1"/>
    <xf numFmtId="167" fontId="5" fillId="9" borderId="5" xfId="0" applyNumberFormat="1" applyFont="1" applyFill="1" applyBorder="1" applyAlignment="1">
      <alignment horizontal="right"/>
    </xf>
    <xf numFmtId="0" fontId="29" fillId="14" borderId="1" xfId="0" applyFont="1" applyFill="1" applyBorder="1"/>
    <xf numFmtId="167" fontId="4" fillId="14" borderId="1" xfId="0" applyNumberFormat="1" applyFont="1" applyFill="1" applyBorder="1"/>
    <xf numFmtId="0" fontId="15" fillId="14" borderId="7" xfId="0" applyFont="1" applyFill="1" applyBorder="1"/>
    <xf numFmtId="168" fontId="4" fillId="14" borderId="3" xfId="0" applyNumberFormat="1" applyFont="1" applyFill="1" applyBorder="1" applyAlignment="1">
      <alignment horizontal="right"/>
    </xf>
    <xf numFmtId="0" fontId="11" fillId="14" borderId="5" xfId="0" applyFont="1" applyFill="1" applyBorder="1" applyAlignment="1">
      <alignment horizontal="center"/>
    </xf>
    <xf numFmtId="9" fontId="15" fillId="14" borderId="1" xfId="0" applyNumberFormat="1" applyFont="1" applyFill="1" applyBorder="1"/>
    <xf numFmtId="167" fontId="11" fillId="14" borderId="1" xfId="0" applyNumberFormat="1" applyFont="1" applyFill="1" applyBorder="1" applyAlignment="1">
      <alignment horizontal="right"/>
    </xf>
    <xf numFmtId="167" fontId="21" fillId="8" borderId="1" xfId="0" applyNumberFormat="1" applyFont="1" applyFill="1" applyBorder="1" applyAlignment="1">
      <alignment horizontal="right"/>
    </xf>
    <xf numFmtId="167" fontId="21" fillId="8" borderId="7" xfId="0" applyNumberFormat="1" applyFont="1" applyFill="1" applyBorder="1" applyAlignment="1">
      <alignment horizontal="right"/>
    </xf>
    <xf numFmtId="167" fontId="30" fillId="8" borderId="1" xfId="0" applyNumberFormat="1" applyFont="1" applyFill="1" applyBorder="1"/>
    <xf numFmtId="168" fontId="31" fillId="8" borderId="3" xfId="0" applyNumberFormat="1" applyFont="1" applyFill="1" applyBorder="1" applyAlignment="1">
      <alignment horizontal="center"/>
    </xf>
    <xf numFmtId="0" fontId="13" fillId="6" borderId="0" xfId="0" applyFont="1" applyFill="1"/>
    <xf numFmtId="9" fontId="0" fillId="14" borderId="8" xfId="0" applyNumberFormat="1" applyFill="1" applyBorder="1"/>
    <xf numFmtId="0" fontId="32" fillId="8" borderId="8" xfId="0" applyFont="1" applyFill="1" applyBorder="1"/>
    <xf numFmtId="9" fontId="0" fillId="14" borderId="8" xfId="0" applyNumberFormat="1" applyFill="1" applyBorder="1" applyAlignment="1">
      <alignment horizontal="center"/>
    </xf>
    <xf numFmtId="168" fontId="0" fillId="14" borderId="1" xfId="0" applyNumberFormat="1" applyFill="1" applyBorder="1" applyAlignment="1">
      <alignment horizontal="center"/>
    </xf>
    <xf numFmtId="0" fontId="6" fillId="14" borderId="9" xfId="0" applyFont="1" applyFill="1" applyBorder="1" applyAlignment="1">
      <alignment horizontal="center"/>
    </xf>
    <xf numFmtId="9" fontId="9" fillId="14" borderId="12" xfId="0" applyNumberFormat="1" applyFont="1" applyFill="1" applyBorder="1" applyAlignment="1">
      <alignment horizontal="center"/>
    </xf>
    <xf numFmtId="168" fontId="4" fillId="14" borderId="1" xfId="0" applyNumberFormat="1" applyFont="1" applyFill="1" applyBorder="1"/>
    <xf numFmtId="9" fontId="0" fillId="14" borderId="6" xfId="0" applyNumberFormat="1" applyFill="1" applyBorder="1" applyAlignment="1">
      <alignment horizontal="center"/>
    </xf>
    <xf numFmtId="0" fontId="0" fillId="18" borderId="18" xfId="0" applyFill="1" applyBorder="1"/>
    <xf numFmtId="0" fontId="0" fillId="6" borderId="1" xfId="0" applyFill="1" applyBorder="1" applyAlignment="1">
      <alignment horizontal="left"/>
    </xf>
    <xf numFmtId="9" fontId="0" fillId="6" borderId="2" xfId="0" applyNumberFormat="1" applyFill="1" applyBorder="1" applyAlignment="1">
      <alignment horizontal="center"/>
    </xf>
    <xf numFmtId="168" fontId="0" fillId="6" borderId="5" xfId="0" applyNumberForma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6" borderId="13" xfId="0" applyFont="1" applyFill="1" applyBorder="1" applyAlignment="1">
      <alignment wrapText="1"/>
    </xf>
    <xf numFmtId="0" fontId="5" fillId="7" borderId="8" xfId="0" applyFont="1" applyFill="1" applyBorder="1"/>
    <xf numFmtId="0" fontId="0" fillId="6" borderId="2" xfId="0" applyFill="1" applyBorder="1"/>
    <xf numFmtId="0" fontId="4" fillId="14" borderId="14" xfId="0" applyFont="1" applyFill="1" applyBorder="1" applyAlignment="1">
      <alignment horizontal="center"/>
    </xf>
    <xf numFmtId="167" fontId="33" fillId="6" borderId="1" xfId="0" applyNumberFormat="1" applyFont="1" applyFill="1" applyBorder="1"/>
    <xf numFmtId="0" fontId="0" fillId="14" borderId="6" xfId="0" applyFill="1" applyBorder="1"/>
    <xf numFmtId="167" fontId="9" fillId="14" borderId="9" xfId="0" applyNumberFormat="1" applyFont="1" applyFill="1" applyBorder="1"/>
    <xf numFmtId="0" fontId="38" fillId="24" borderId="16" xfId="0" applyFont="1" applyFill="1" applyBorder="1" applyAlignment="1">
      <alignment wrapText="1"/>
    </xf>
    <xf numFmtId="0" fontId="39" fillId="0" borderId="31" xfId="0" applyFont="1" applyBorder="1" applyAlignment="1">
      <alignment wrapText="1"/>
    </xf>
    <xf numFmtId="0" fontId="39" fillId="24" borderId="31" xfId="0" applyFont="1" applyFill="1" applyBorder="1" applyAlignment="1">
      <alignment wrapText="1"/>
    </xf>
    <xf numFmtId="0" fontId="38" fillId="24" borderId="31" xfId="0" applyFont="1" applyFill="1" applyBorder="1" applyAlignment="1">
      <alignment wrapText="1"/>
    </xf>
    <xf numFmtId="0" fontId="38" fillId="24" borderId="19" xfId="0" applyFont="1" applyFill="1" applyBorder="1" applyAlignment="1">
      <alignment wrapText="1"/>
    </xf>
    <xf numFmtId="0" fontId="39" fillId="0" borderId="28" xfId="0" applyFont="1" applyBorder="1" applyAlignment="1">
      <alignment wrapText="1"/>
    </xf>
    <xf numFmtId="0" fontId="39" fillId="24" borderId="28" xfId="0" applyFont="1" applyFill="1" applyBorder="1" applyAlignment="1">
      <alignment wrapText="1"/>
    </xf>
    <xf numFmtId="0" fontId="38" fillId="24" borderId="28" xfId="0" applyFont="1" applyFill="1" applyBorder="1" applyAlignment="1">
      <alignment wrapText="1"/>
    </xf>
    <xf numFmtId="0" fontId="36" fillId="0" borderId="25" xfId="0" applyFont="1" applyBorder="1" applyAlignment="1">
      <alignment wrapText="1"/>
    </xf>
    <xf numFmtId="0" fontId="23" fillId="0" borderId="27" xfId="0" applyFont="1" applyBorder="1" applyAlignment="1">
      <alignment wrapText="1"/>
    </xf>
    <xf numFmtId="0" fontId="36" fillId="0" borderId="23" xfId="0" applyFont="1" applyBorder="1" applyAlignment="1">
      <alignment wrapText="1"/>
    </xf>
    <xf numFmtId="0" fontId="36" fillId="0" borderId="0" xfId="0" applyFont="1" applyAlignment="1">
      <alignment wrapText="1"/>
    </xf>
    <xf numFmtId="0" fontId="36" fillId="0" borderId="24" xfId="0" applyFont="1" applyBorder="1" applyAlignment="1">
      <alignment wrapText="1"/>
    </xf>
    <xf numFmtId="0" fontId="37" fillId="23" borderId="29" xfId="0" applyFont="1" applyFill="1" applyBorder="1" applyAlignment="1">
      <alignment wrapText="1"/>
    </xf>
    <xf numFmtId="0" fontId="37" fillId="23" borderId="30" xfId="0" applyFont="1" applyFill="1" applyBorder="1" applyAlignment="1">
      <alignment wrapText="1"/>
    </xf>
    <xf numFmtId="0" fontId="37" fillId="23" borderId="24" xfId="0" applyFont="1" applyFill="1" applyBorder="1" applyAlignment="1">
      <alignment wrapText="1"/>
    </xf>
    <xf numFmtId="0" fontId="36" fillId="0" borderId="32" xfId="0" applyFont="1" applyBorder="1" applyAlignment="1">
      <alignment wrapText="1"/>
    </xf>
    <xf numFmtId="0" fontId="36" fillId="0" borderId="33" xfId="0" applyFont="1" applyBorder="1" applyAlignment="1">
      <alignment wrapText="1"/>
    </xf>
    <xf numFmtId="0" fontId="36" fillId="0" borderId="34" xfId="0" applyFont="1" applyBorder="1" applyAlignment="1">
      <alignment wrapText="1"/>
    </xf>
    <xf numFmtId="0" fontId="44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43" fillId="0" borderId="26" xfId="0" applyFont="1" applyBorder="1" applyAlignment="1">
      <alignment wrapText="1"/>
    </xf>
    <xf numFmtId="0" fontId="50" fillId="0" borderId="0" xfId="0" applyFont="1" applyAlignment="1">
      <alignment wrapText="1"/>
    </xf>
    <xf numFmtId="0" fontId="52" fillId="0" borderId="26" xfId="0" applyFont="1" applyBorder="1" applyAlignment="1">
      <alignment wrapText="1"/>
    </xf>
    <xf numFmtId="0" fontId="50" fillId="0" borderId="26" xfId="0" applyFont="1" applyBorder="1" applyAlignment="1">
      <alignment wrapText="1"/>
    </xf>
    <xf numFmtId="0" fontId="53" fillId="0" borderId="19" xfId="0" applyFont="1" applyBorder="1" applyAlignment="1">
      <alignment wrapText="1"/>
    </xf>
    <xf numFmtId="0" fontId="47" fillId="0" borderId="28" xfId="0" applyFont="1" applyBorder="1" applyAlignment="1">
      <alignment wrapText="1"/>
    </xf>
    <xf numFmtId="0" fontId="50" fillId="0" borderId="6" xfId="0" applyFont="1" applyBorder="1" applyAlignment="1">
      <alignment wrapText="1"/>
    </xf>
    <xf numFmtId="0" fontId="50" fillId="0" borderId="13" xfId="0" applyFont="1" applyBorder="1" applyAlignment="1">
      <alignment wrapText="1"/>
    </xf>
    <xf numFmtId="0" fontId="50" fillId="6" borderId="8" xfId="0" applyFont="1" applyFill="1" applyBorder="1" applyAlignment="1">
      <alignment wrapText="1"/>
    </xf>
    <xf numFmtId="0" fontId="0" fillId="6" borderId="13" xfId="0" applyFill="1" applyBorder="1"/>
    <xf numFmtId="0" fontId="0" fillId="6" borderId="6" xfId="0" applyFill="1" applyBorder="1"/>
    <xf numFmtId="0" fontId="50" fillId="6" borderId="13" xfId="0" applyFont="1" applyFill="1" applyBorder="1" applyAlignment="1">
      <alignment wrapText="1"/>
    </xf>
    <xf numFmtId="0" fontId="42" fillId="0" borderId="12" xfId="0" applyFont="1" applyBorder="1" applyAlignment="1">
      <alignment wrapText="1"/>
    </xf>
    <xf numFmtId="0" fontId="42" fillId="0" borderId="15" xfId="0" applyFont="1" applyBorder="1" applyAlignment="1">
      <alignment wrapText="1"/>
    </xf>
    <xf numFmtId="0" fontId="43" fillId="0" borderId="14" xfId="0" applyFont="1" applyBorder="1" applyAlignment="1">
      <alignment wrapText="1"/>
    </xf>
    <xf numFmtId="0" fontId="42" fillId="0" borderId="10" xfId="0" applyFont="1" applyBorder="1" applyAlignment="1">
      <alignment wrapText="1"/>
    </xf>
    <xf numFmtId="0" fontId="43" fillId="0" borderId="11" xfId="0" applyFont="1" applyBorder="1" applyAlignment="1">
      <alignment wrapText="1"/>
    </xf>
    <xf numFmtId="0" fontId="43" fillId="0" borderId="45" xfId="0" applyFont="1" applyBorder="1" applyAlignment="1">
      <alignment wrapText="1"/>
    </xf>
    <xf numFmtId="0" fontId="47" fillId="0" borderId="11" xfId="0" applyFont="1" applyBorder="1" applyAlignment="1">
      <alignment wrapText="1"/>
    </xf>
    <xf numFmtId="0" fontId="52" fillId="0" borderId="48" xfId="0" applyFont="1" applyBorder="1" applyAlignment="1">
      <alignment wrapText="1"/>
    </xf>
    <xf numFmtId="0" fontId="0" fillId="0" borderId="11" xfId="0" applyBorder="1" applyAlignment="1">
      <alignment wrapText="1"/>
    </xf>
    <xf numFmtId="0" fontId="50" fillId="0" borderId="51" xfId="0" applyFont="1" applyBorder="1" applyAlignment="1">
      <alignment wrapText="1"/>
    </xf>
    <xf numFmtId="0" fontId="42" fillId="6" borderId="30" xfId="0" applyFont="1" applyFill="1" applyBorder="1" applyAlignment="1">
      <alignment wrapText="1"/>
    </xf>
    <xf numFmtId="0" fontId="42" fillId="6" borderId="11" xfId="0" applyFont="1" applyFill="1" applyBorder="1" applyAlignment="1">
      <alignment wrapText="1"/>
    </xf>
    <xf numFmtId="0" fontId="51" fillId="6" borderId="0" xfId="0" applyFont="1" applyFill="1" applyAlignment="1">
      <alignment wrapText="1"/>
    </xf>
    <xf numFmtId="0" fontId="51" fillId="6" borderId="36" xfId="0" applyFont="1" applyFill="1" applyBorder="1" applyAlignment="1">
      <alignment wrapText="1"/>
    </xf>
    <xf numFmtId="0" fontId="50" fillId="6" borderId="36" xfId="0" applyFont="1" applyFill="1" applyBorder="1" applyAlignment="1">
      <alignment wrapText="1"/>
    </xf>
    <xf numFmtId="0" fontId="50" fillId="6" borderId="47" xfId="0" applyFont="1" applyFill="1" applyBorder="1" applyAlignment="1">
      <alignment wrapText="1"/>
    </xf>
    <xf numFmtId="0" fontId="50" fillId="6" borderId="48" xfId="0" applyFont="1" applyFill="1" applyBorder="1" applyAlignment="1">
      <alignment wrapText="1"/>
    </xf>
    <xf numFmtId="0" fontId="52" fillId="6" borderId="48" xfId="0" applyFont="1" applyFill="1" applyBorder="1" applyAlignment="1">
      <alignment wrapText="1"/>
    </xf>
    <xf numFmtId="0" fontId="52" fillId="6" borderId="26" xfId="0" applyFont="1" applyFill="1" applyBorder="1" applyAlignment="1">
      <alignment wrapText="1"/>
    </xf>
    <xf numFmtId="0" fontId="6" fillId="0" borderId="1" xfId="0" applyFont="1" applyBorder="1"/>
    <xf numFmtId="0" fontId="20" fillId="6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54" fillId="0" borderId="0" xfId="0" applyFont="1"/>
    <xf numFmtId="0" fontId="41" fillId="16" borderId="0" xfId="0" applyFont="1" applyFill="1" applyAlignment="1">
      <alignment wrapText="1"/>
    </xf>
    <xf numFmtId="0" fontId="4" fillId="0" borderId="9" xfId="0" applyFont="1" applyBorder="1"/>
    <xf numFmtId="0" fontId="0" fillId="0" borderId="16" xfId="0" applyBorder="1" applyAlignment="1">
      <alignment horizontal="right"/>
    </xf>
    <xf numFmtId="167" fontId="54" fillId="14" borderId="1" xfId="0" applyNumberFormat="1" applyFont="1" applyFill="1" applyBorder="1"/>
    <xf numFmtId="9" fontId="54" fillId="14" borderId="1" xfId="0" applyNumberFormat="1" applyFont="1" applyFill="1" applyBorder="1" applyAlignment="1">
      <alignment horizontal="center"/>
    </xf>
    <xf numFmtId="167" fontId="54" fillId="16" borderId="1" xfId="0" applyNumberFormat="1" applyFont="1" applyFill="1" applyBorder="1"/>
    <xf numFmtId="167" fontId="59" fillId="14" borderId="1" xfId="0" applyNumberFormat="1" applyFont="1" applyFill="1" applyBorder="1"/>
    <xf numFmtId="0" fontId="54" fillId="0" borderId="1" xfId="0" applyFont="1" applyBorder="1"/>
    <xf numFmtId="0" fontId="58" fillId="0" borderId="1" xfId="0" applyFont="1" applyBorder="1"/>
    <xf numFmtId="167" fontId="59" fillId="0" borderId="1" xfId="0" applyNumberFormat="1" applyFont="1" applyBorder="1"/>
    <xf numFmtId="0" fontId="60" fillId="16" borderId="9" xfId="0" applyFont="1" applyFill="1" applyBorder="1" applyAlignment="1">
      <alignment wrapText="1"/>
    </xf>
    <xf numFmtId="9" fontId="59" fillId="14" borderId="1" xfId="0" applyNumberFormat="1" applyFont="1" applyFill="1" applyBorder="1" applyAlignment="1">
      <alignment horizontal="center"/>
    </xf>
    <xf numFmtId="0" fontId="60" fillId="14" borderId="1" xfId="0" applyFont="1" applyFill="1" applyBorder="1" applyAlignment="1">
      <alignment wrapText="1"/>
    </xf>
    <xf numFmtId="0" fontId="59" fillId="14" borderId="1" xfId="0" applyFont="1" applyFill="1" applyBorder="1"/>
    <xf numFmtId="0" fontId="59" fillId="14" borderId="5" xfId="0" applyFont="1" applyFill="1" applyBorder="1"/>
    <xf numFmtId="9" fontId="59" fillId="14" borderId="1" xfId="0" applyNumberFormat="1" applyFont="1" applyFill="1" applyBorder="1"/>
    <xf numFmtId="0" fontId="59" fillId="14" borderId="9" xfId="0" applyFont="1" applyFill="1" applyBorder="1"/>
    <xf numFmtId="0" fontId="59" fillId="0" borderId="1" xfId="0" applyFont="1" applyBorder="1"/>
    <xf numFmtId="0" fontId="57" fillId="6" borderId="6" xfId="0" applyFont="1" applyFill="1" applyBorder="1" applyAlignment="1">
      <alignment wrapText="1"/>
    </xf>
    <xf numFmtId="0" fontId="56" fillId="6" borderId="1" xfId="0" applyFont="1" applyFill="1" applyBorder="1" applyAlignment="1">
      <alignment horizontal="center"/>
    </xf>
    <xf numFmtId="0" fontId="57" fillId="6" borderId="6" xfId="0" applyFont="1" applyFill="1" applyBorder="1"/>
    <xf numFmtId="0" fontId="60" fillId="5" borderId="6" xfId="0" applyFont="1" applyFill="1" applyBorder="1" applyAlignment="1">
      <alignment horizontal="center"/>
    </xf>
    <xf numFmtId="0" fontId="60" fillId="5" borderId="3" xfId="0" applyFont="1" applyFill="1" applyBorder="1" applyAlignment="1">
      <alignment horizontal="center"/>
    </xf>
    <xf numFmtId="0" fontId="60" fillId="5" borderId="2" xfId="0" applyFont="1" applyFill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59" fillId="6" borderId="7" xfId="0" applyFont="1" applyFill="1" applyBorder="1"/>
    <xf numFmtId="9" fontId="59" fillId="6" borderId="8" xfId="0" applyNumberFormat="1" applyFont="1" applyFill="1" applyBorder="1" applyAlignment="1">
      <alignment horizontal="center"/>
    </xf>
    <xf numFmtId="168" fontId="59" fillId="6" borderId="1" xfId="0" applyNumberFormat="1" applyFont="1" applyFill="1" applyBorder="1" applyAlignment="1">
      <alignment horizontal="center"/>
    </xf>
    <xf numFmtId="0" fontId="59" fillId="6" borderId="1" xfId="0" applyFont="1" applyFill="1" applyBorder="1"/>
    <xf numFmtId="0" fontId="60" fillId="16" borderId="9" xfId="0" applyFont="1" applyFill="1" applyBorder="1" applyAlignment="1">
      <alignment horizontal="center"/>
    </xf>
    <xf numFmtId="9" fontId="60" fillId="16" borderId="9" xfId="0" applyNumberFormat="1" applyFont="1" applyFill="1" applyBorder="1" applyAlignment="1">
      <alignment horizontal="center"/>
    </xf>
    <xf numFmtId="167" fontId="60" fillId="16" borderId="9" xfId="0" applyNumberFormat="1" applyFont="1" applyFill="1" applyBorder="1"/>
    <xf numFmtId="167" fontId="60" fillId="16" borderId="1" xfId="0" applyNumberFormat="1" applyFont="1" applyFill="1" applyBorder="1"/>
    <xf numFmtId="0" fontId="60" fillId="5" borderId="1" xfId="0" applyFont="1" applyFill="1" applyBorder="1" applyAlignment="1">
      <alignment horizontal="center"/>
    </xf>
    <xf numFmtId="9" fontId="60" fillId="14" borderId="5" xfId="0" applyNumberFormat="1" applyFont="1" applyFill="1" applyBorder="1" applyAlignment="1">
      <alignment horizontal="center"/>
    </xf>
    <xf numFmtId="167" fontId="60" fillId="14" borderId="1" xfId="0" applyNumberFormat="1" applyFont="1" applyFill="1" applyBorder="1"/>
    <xf numFmtId="0" fontId="59" fillId="14" borderId="1" xfId="0" applyFont="1" applyFill="1" applyBorder="1" applyAlignment="1">
      <alignment horizontal="center"/>
    </xf>
    <xf numFmtId="0" fontId="59" fillId="6" borderId="1" xfId="0" applyFont="1" applyFill="1" applyBorder="1" applyAlignment="1">
      <alignment horizontal="center"/>
    </xf>
    <xf numFmtId="0" fontId="60" fillId="6" borderId="6" xfId="0" applyFont="1" applyFill="1" applyBorder="1" applyAlignment="1">
      <alignment horizontal="center"/>
    </xf>
    <xf numFmtId="168" fontId="57" fillId="6" borderId="3" xfId="0" applyNumberFormat="1" applyFont="1" applyFill="1" applyBorder="1" applyAlignment="1">
      <alignment horizontal="right"/>
    </xf>
    <xf numFmtId="9" fontId="60" fillId="14" borderId="1" xfId="0" applyNumberFormat="1" applyFont="1" applyFill="1" applyBorder="1" applyAlignment="1">
      <alignment horizontal="center"/>
    </xf>
    <xf numFmtId="0" fontId="57" fillId="14" borderId="6" xfId="0" applyFont="1" applyFill="1" applyBorder="1"/>
    <xf numFmtId="167" fontId="60" fillId="14" borderId="9" xfId="0" applyNumberFormat="1" applyFont="1" applyFill="1" applyBorder="1"/>
    <xf numFmtId="9" fontId="59" fillId="14" borderId="9" xfId="0" applyNumberFormat="1" applyFont="1" applyFill="1" applyBorder="1" applyAlignment="1">
      <alignment horizontal="center"/>
    </xf>
    <xf numFmtId="0" fontId="59" fillId="14" borderId="9" xfId="0" applyFont="1" applyFill="1" applyBorder="1" applyAlignment="1">
      <alignment horizontal="center"/>
    </xf>
    <xf numFmtId="0" fontId="59" fillId="6" borderId="9" xfId="0" applyFont="1" applyFill="1" applyBorder="1" applyAlignment="1">
      <alignment horizontal="center"/>
    </xf>
    <xf numFmtId="0" fontId="57" fillId="6" borderId="1" xfId="0" applyFont="1" applyFill="1" applyBorder="1" applyAlignment="1">
      <alignment horizontal="center"/>
    </xf>
    <xf numFmtId="167" fontId="57" fillId="6" borderId="1" xfId="0" applyNumberFormat="1" applyFont="1" applyFill="1" applyBorder="1"/>
    <xf numFmtId="0" fontId="59" fillId="6" borderId="8" xfId="0" applyFont="1" applyFill="1" applyBorder="1"/>
    <xf numFmtId="167" fontId="60" fillId="6" borderId="1" xfId="0" applyNumberFormat="1" applyFont="1" applyFill="1" applyBorder="1"/>
    <xf numFmtId="9" fontId="59" fillId="6" borderId="1" xfId="0" applyNumberFormat="1" applyFont="1" applyFill="1" applyBorder="1" applyAlignment="1">
      <alignment horizontal="center"/>
    </xf>
    <xf numFmtId="167" fontId="59" fillId="6" borderId="1" xfId="0" applyNumberFormat="1" applyFont="1" applyFill="1" applyBorder="1"/>
    <xf numFmtId="9" fontId="60" fillId="14" borderId="6" xfId="0" applyNumberFormat="1" applyFont="1" applyFill="1" applyBorder="1" applyAlignment="1">
      <alignment horizontal="center"/>
    </xf>
    <xf numFmtId="167" fontId="57" fillId="6" borderId="3" xfId="0" applyNumberFormat="1" applyFont="1" applyFill="1" applyBorder="1"/>
    <xf numFmtId="0" fontId="59" fillId="6" borderId="2" xfId="0" applyFont="1" applyFill="1" applyBorder="1"/>
    <xf numFmtId="0" fontId="59" fillId="6" borderId="7" xfId="0" applyFont="1" applyFill="1" applyBorder="1" applyAlignment="1">
      <alignment horizontal="center"/>
    </xf>
    <xf numFmtId="9" fontId="57" fillId="6" borderId="1" xfId="0" applyNumberFormat="1" applyFont="1" applyFill="1" applyBorder="1" applyAlignment="1">
      <alignment horizontal="center"/>
    </xf>
    <xf numFmtId="168" fontId="60" fillId="6" borderId="3" xfId="0" applyNumberFormat="1" applyFont="1" applyFill="1" applyBorder="1"/>
    <xf numFmtId="0" fontId="59" fillId="16" borderId="3" xfId="0" applyFont="1" applyFill="1" applyBorder="1" applyAlignment="1">
      <alignment horizontal="center"/>
    </xf>
    <xf numFmtId="0" fontId="57" fillId="16" borderId="3" xfId="0" applyFont="1" applyFill="1" applyBorder="1" applyAlignment="1">
      <alignment horizontal="center"/>
    </xf>
    <xf numFmtId="0" fontId="59" fillId="14" borderId="3" xfId="0" applyFont="1" applyFill="1" applyBorder="1" applyAlignment="1">
      <alignment horizontal="center"/>
    </xf>
    <xf numFmtId="0" fontId="57" fillId="14" borderId="3" xfId="0" applyFont="1" applyFill="1" applyBorder="1" applyAlignment="1">
      <alignment horizontal="center"/>
    </xf>
    <xf numFmtId="0" fontId="57" fillId="20" borderId="1" xfId="0" applyFont="1" applyFill="1" applyBorder="1"/>
    <xf numFmtId="9" fontId="56" fillId="14" borderId="1" xfId="0" applyNumberFormat="1" applyFont="1" applyFill="1" applyBorder="1" applyAlignment="1">
      <alignment horizontal="center"/>
    </xf>
    <xf numFmtId="0" fontId="57" fillId="20" borderId="9" xfId="0" applyFont="1" applyFill="1" applyBorder="1"/>
    <xf numFmtId="0" fontId="57" fillId="6" borderId="1" xfId="0" applyFont="1" applyFill="1" applyBorder="1"/>
    <xf numFmtId="0" fontId="57" fillId="14" borderId="1" xfId="0" applyFont="1" applyFill="1" applyBorder="1"/>
    <xf numFmtId="0" fontId="57" fillId="14" borderId="5" xfId="0" applyFont="1" applyFill="1" applyBorder="1" applyAlignment="1">
      <alignment horizontal="center"/>
    </xf>
    <xf numFmtId="0" fontId="57" fillId="14" borderId="1" xfId="0" applyFont="1" applyFill="1" applyBorder="1" applyAlignment="1">
      <alignment horizontal="center"/>
    </xf>
    <xf numFmtId="0" fontId="57" fillId="20" borderId="1" xfId="0" applyFont="1" applyFill="1" applyBorder="1" applyAlignment="1">
      <alignment horizontal="left" wrapText="1"/>
    </xf>
    <xf numFmtId="0" fontId="54" fillId="14" borderId="1" xfId="0" applyFont="1" applyFill="1" applyBorder="1" applyAlignment="1">
      <alignment horizontal="left"/>
    </xf>
    <xf numFmtId="0" fontId="57" fillId="6" borderId="1" xfId="0" applyFont="1" applyFill="1" applyBorder="1" applyAlignment="1">
      <alignment horizontal="left" wrapText="1"/>
    </xf>
    <xf numFmtId="0" fontId="57" fillId="9" borderId="1" xfId="0" applyFont="1" applyFill="1" applyBorder="1"/>
    <xf numFmtId="0" fontId="60" fillId="16" borderId="12" xfId="0" applyFont="1" applyFill="1" applyBorder="1" applyAlignment="1">
      <alignment horizontal="center"/>
    </xf>
    <xf numFmtId="9" fontId="59" fillId="16" borderId="1" xfId="0" applyNumberFormat="1" applyFont="1" applyFill="1" applyBorder="1" applyAlignment="1">
      <alignment horizontal="center"/>
    </xf>
    <xf numFmtId="0" fontId="60" fillId="5" borderId="11" xfId="0" applyFont="1" applyFill="1" applyBorder="1" applyAlignment="1">
      <alignment horizontal="center"/>
    </xf>
    <xf numFmtId="0" fontId="60" fillId="5" borderId="0" xfId="0" applyFont="1" applyFill="1" applyAlignment="1">
      <alignment horizontal="center"/>
    </xf>
    <xf numFmtId="0" fontId="59" fillId="0" borderId="9" xfId="0" applyFont="1" applyBorder="1" applyAlignment="1">
      <alignment horizontal="center"/>
    </xf>
    <xf numFmtId="0" fontId="60" fillId="16" borderId="1" xfId="0" applyFont="1" applyFill="1" applyBorder="1" applyAlignment="1">
      <alignment wrapText="1"/>
    </xf>
    <xf numFmtId="0" fontId="60" fillId="14" borderId="5" xfId="0" applyFont="1" applyFill="1" applyBorder="1"/>
    <xf numFmtId="0" fontId="60" fillId="14" borderId="1" xfId="0" applyFont="1" applyFill="1" applyBorder="1"/>
    <xf numFmtId="9" fontId="59" fillId="6" borderId="13" xfId="0" applyNumberFormat="1" applyFont="1" applyFill="1" applyBorder="1" applyAlignment="1">
      <alignment horizontal="center"/>
    </xf>
    <xf numFmtId="0" fontId="59" fillId="6" borderId="9" xfId="0" applyFont="1" applyFill="1" applyBorder="1"/>
    <xf numFmtId="0" fontId="60" fillId="5" borderId="9" xfId="0" applyFont="1" applyFill="1" applyBorder="1" applyAlignment="1">
      <alignment horizontal="center"/>
    </xf>
    <xf numFmtId="167" fontId="60" fillId="5" borderId="9" xfId="0" applyNumberFormat="1" applyFont="1" applyFill="1" applyBorder="1" applyAlignment="1">
      <alignment horizontal="center"/>
    </xf>
    <xf numFmtId="0" fontId="60" fillId="16" borderId="1" xfId="0" applyFont="1" applyFill="1" applyBorder="1" applyAlignment="1">
      <alignment horizontal="center"/>
    </xf>
    <xf numFmtId="167" fontId="60" fillId="16" borderId="1" xfId="0" applyNumberFormat="1" applyFont="1" applyFill="1" applyBorder="1" applyAlignment="1">
      <alignment horizontal="center"/>
    </xf>
    <xf numFmtId="0" fontId="60" fillId="16" borderId="1" xfId="0" applyFont="1" applyFill="1" applyBorder="1"/>
    <xf numFmtId="0" fontId="59" fillId="16" borderId="1" xfId="0" applyFont="1" applyFill="1" applyBorder="1"/>
    <xf numFmtId="0" fontId="59" fillId="20" borderId="1" xfId="0" applyFont="1" applyFill="1" applyBorder="1"/>
    <xf numFmtId="0" fontId="59" fillId="20" borderId="1" xfId="0" applyFont="1" applyFill="1" applyBorder="1" applyAlignment="1">
      <alignment horizontal="center"/>
    </xf>
    <xf numFmtId="0" fontId="54" fillId="16" borderId="1" xfId="0" applyFont="1" applyFill="1" applyBorder="1" applyAlignment="1">
      <alignment horizontal="center"/>
    </xf>
    <xf numFmtId="9" fontId="57" fillId="16" borderId="8" xfId="0" applyNumberFormat="1" applyFont="1" applyFill="1" applyBorder="1" applyAlignment="1">
      <alignment horizontal="center"/>
    </xf>
    <xf numFmtId="168" fontId="60" fillId="16" borderId="3" xfId="0" applyNumberFormat="1" applyFont="1" applyFill="1" applyBorder="1"/>
    <xf numFmtId="168" fontId="57" fillId="16" borderId="3" xfId="0" applyNumberFormat="1" applyFont="1" applyFill="1" applyBorder="1" applyAlignment="1">
      <alignment horizontal="center"/>
    </xf>
    <xf numFmtId="9" fontId="57" fillId="14" borderId="8" xfId="0" applyNumberFormat="1" applyFont="1" applyFill="1" applyBorder="1" applyAlignment="1">
      <alignment horizontal="center"/>
    </xf>
    <xf numFmtId="168" fontId="60" fillId="14" borderId="3" xfId="0" applyNumberFormat="1" applyFont="1" applyFill="1" applyBorder="1"/>
    <xf numFmtId="168" fontId="57" fillId="14" borderId="3" xfId="0" applyNumberFormat="1" applyFont="1" applyFill="1" applyBorder="1" applyAlignment="1">
      <alignment horizontal="center"/>
    </xf>
    <xf numFmtId="167" fontId="57" fillId="14" borderId="6" xfId="0" applyNumberFormat="1" applyFont="1" applyFill="1" applyBorder="1"/>
    <xf numFmtId="9" fontId="60" fillId="14" borderId="3" xfId="0" applyNumberFormat="1" applyFont="1" applyFill="1" applyBorder="1" applyAlignment="1">
      <alignment horizontal="center"/>
    </xf>
    <xf numFmtId="9" fontId="57" fillId="14" borderId="1" xfId="0" applyNumberFormat="1" applyFont="1" applyFill="1" applyBorder="1" applyAlignment="1">
      <alignment horizontal="center"/>
    </xf>
    <xf numFmtId="0" fontId="59" fillId="6" borderId="6" xfId="0" applyFont="1" applyFill="1" applyBorder="1" applyAlignment="1">
      <alignment horizontal="center"/>
    </xf>
    <xf numFmtId="168" fontId="57" fillId="6" borderId="1" xfId="0" applyNumberFormat="1" applyFont="1" applyFill="1" applyBorder="1" applyAlignment="1">
      <alignment horizontal="right"/>
    </xf>
    <xf numFmtId="0" fontId="57" fillId="20" borderId="1" xfId="0" applyFont="1" applyFill="1" applyBorder="1" applyAlignment="1">
      <alignment horizontal="center"/>
    </xf>
    <xf numFmtId="167" fontId="57" fillId="20" borderId="1" xfId="0" applyNumberFormat="1" applyFont="1" applyFill="1" applyBorder="1"/>
    <xf numFmtId="167" fontId="57" fillId="14" borderId="1" xfId="0" applyNumberFormat="1" applyFont="1" applyFill="1" applyBorder="1"/>
    <xf numFmtId="9" fontId="60" fillId="6" borderId="1" xfId="0" applyNumberFormat="1" applyFont="1" applyFill="1" applyBorder="1" applyAlignment="1">
      <alignment horizontal="center"/>
    </xf>
    <xf numFmtId="0" fontId="57" fillId="6" borderId="0" xfId="0" applyFont="1" applyFill="1"/>
    <xf numFmtId="0" fontId="59" fillId="6" borderId="0" xfId="0" applyFont="1" applyFill="1"/>
    <xf numFmtId="0" fontId="59" fillId="6" borderId="0" xfId="0" applyFont="1" applyFill="1" applyAlignment="1">
      <alignment horizontal="center"/>
    </xf>
    <xf numFmtId="167" fontId="59" fillId="6" borderId="0" xfId="0" applyNumberFormat="1" applyFont="1" applyFill="1" applyAlignment="1">
      <alignment horizontal="center"/>
    </xf>
    <xf numFmtId="0" fontId="57" fillId="6" borderId="0" xfId="0" applyFont="1" applyFill="1" applyAlignment="1">
      <alignment horizontal="center"/>
    </xf>
    <xf numFmtId="167" fontId="57" fillId="6" borderId="0" xfId="0" applyNumberFormat="1" applyFont="1" applyFill="1" applyAlignment="1">
      <alignment horizontal="right"/>
    </xf>
    <xf numFmtId="3" fontId="57" fillId="6" borderId="0" xfId="0" applyNumberFormat="1" applyFont="1" applyFill="1" applyAlignment="1">
      <alignment horizontal="center"/>
    </xf>
    <xf numFmtId="167" fontId="57" fillId="6" borderId="0" xfId="0" applyNumberFormat="1" applyFont="1" applyFill="1"/>
    <xf numFmtId="0" fontId="60" fillId="16" borderId="1" xfId="0" applyFont="1" applyFill="1" applyBorder="1" applyAlignment="1">
      <alignment horizontal="left"/>
    </xf>
    <xf numFmtId="3" fontId="60" fillId="16" borderId="1" xfId="0" applyNumberFormat="1" applyFont="1" applyFill="1" applyBorder="1" applyAlignment="1">
      <alignment horizontal="center"/>
    </xf>
    <xf numFmtId="167" fontId="59" fillId="16" borderId="1" xfId="0" applyNumberFormat="1" applyFont="1" applyFill="1" applyBorder="1"/>
    <xf numFmtId="168" fontId="57" fillId="14" borderId="1" xfId="0" applyNumberFormat="1" applyFont="1" applyFill="1" applyBorder="1" applyAlignment="1">
      <alignment horizontal="right"/>
    </xf>
    <xf numFmtId="9" fontId="60" fillId="20" borderId="1" xfId="0" applyNumberFormat="1" applyFont="1" applyFill="1" applyBorder="1" applyAlignment="1">
      <alignment horizontal="center"/>
    </xf>
    <xf numFmtId="167" fontId="59" fillId="6" borderId="1" xfId="0" applyNumberFormat="1" applyFont="1" applyFill="1" applyBorder="1" applyAlignment="1">
      <alignment horizontal="center"/>
    </xf>
    <xf numFmtId="3" fontId="60" fillId="5" borderId="9" xfId="0" applyNumberFormat="1" applyFont="1" applyFill="1" applyBorder="1" applyAlignment="1">
      <alignment horizontal="center"/>
    </xf>
    <xf numFmtId="3" fontId="56" fillId="6" borderId="1" xfId="0" applyNumberFormat="1" applyFont="1" applyFill="1" applyBorder="1" applyAlignment="1">
      <alignment horizontal="center"/>
    </xf>
    <xf numFmtId="9" fontId="54" fillId="16" borderId="1" xfId="0" applyNumberFormat="1" applyFont="1" applyFill="1" applyBorder="1" applyAlignment="1">
      <alignment horizontal="center"/>
    </xf>
    <xf numFmtId="168" fontId="56" fillId="14" borderId="1" xfId="0" applyNumberFormat="1" applyFont="1" applyFill="1" applyBorder="1" applyAlignment="1">
      <alignment horizontal="right"/>
    </xf>
    <xf numFmtId="9" fontId="54" fillId="20" borderId="1" xfId="0" applyNumberFormat="1" applyFont="1" applyFill="1" applyBorder="1" applyAlignment="1">
      <alignment horizontal="center"/>
    </xf>
    <xf numFmtId="0" fontId="60" fillId="20" borderId="1" xfId="0" applyFont="1" applyFill="1" applyBorder="1"/>
    <xf numFmtId="0" fontId="61" fillId="14" borderId="1" xfId="0" applyFont="1" applyFill="1" applyBorder="1" applyAlignment="1">
      <alignment horizontal="left" wrapText="1"/>
    </xf>
    <xf numFmtId="0" fontId="55" fillId="14" borderId="1" xfId="0" applyFont="1" applyFill="1" applyBorder="1" applyAlignment="1">
      <alignment horizontal="left"/>
    </xf>
    <xf numFmtId="0" fontId="54" fillId="20" borderId="1" xfId="0" applyFont="1" applyFill="1" applyBorder="1" applyAlignment="1">
      <alignment horizontal="center"/>
    </xf>
    <xf numFmtId="167" fontId="54" fillId="20" borderId="1" xfId="0" applyNumberFormat="1" applyFont="1" applyFill="1" applyBorder="1"/>
    <xf numFmtId="9" fontId="59" fillId="20" borderId="1" xfId="0" applyNumberFormat="1" applyFont="1" applyFill="1" applyBorder="1" applyAlignment="1">
      <alignment horizontal="center"/>
    </xf>
    <xf numFmtId="167" fontId="59" fillId="20" borderId="1" xfId="0" applyNumberFormat="1" applyFont="1" applyFill="1" applyBorder="1"/>
    <xf numFmtId="167" fontId="55" fillId="20" borderId="1" xfId="0" applyNumberFormat="1" applyFont="1" applyFill="1" applyBorder="1" applyAlignment="1">
      <alignment horizontal="right"/>
    </xf>
    <xf numFmtId="0" fontId="9" fillId="6" borderId="14" xfId="0" applyFont="1" applyFill="1" applyBorder="1" applyAlignment="1">
      <alignment horizontal="center"/>
    </xf>
    <xf numFmtId="3" fontId="9" fillId="6" borderId="9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 vertical="center"/>
    </xf>
    <xf numFmtId="9" fontId="60" fillId="16" borderId="1" xfId="0" applyNumberFormat="1" applyFont="1" applyFill="1" applyBorder="1" applyAlignment="1">
      <alignment horizontal="center"/>
    </xf>
    <xf numFmtId="167" fontId="57" fillId="16" borderId="1" xfId="0" applyNumberFormat="1" applyFont="1" applyFill="1" applyBorder="1"/>
    <xf numFmtId="9" fontId="59" fillId="16" borderId="1" xfId="0" applyNumberFormat="1" applyFont="1" applyFill="1" applyBorder="1"/>
    <xf numFmtId="167" fontId="59" fillId="16" borderId="1" xfId="0" applyNumberFormat="1" applyFont="1" applyFill="1" applyBorder="1" applyAlignment="1">
      <alignment horizontal="right"/>
    </xf>
    <xf numFmtId="167" fontId="59" fillId="14" borderId="1" xfId="0" applyNumberFormat="1" applyFont="1" applyFill="1" applyBorder="1" applyAlignment="1">
      <alignment horizontal="right"/>
    </xf>
    <xf numFmtId="167" fontId="59" fillId="6" borderId="1" xfId="0" applyNumberFormat="1" applyFont="1" applyFill="1" applyBorder="1" applyAlignment="1">
      <alignment horizontal="right"/>
    </xf>
    <xf numFmtId="0" fontId="60" fillId="0" borderId="1" xfId="0" applyFont="1" applyBorder="1" applyAlignment="1">
      <alignment wrapText="1"/>
    </xf>
    <xf numFmtId="0" fontId="57" fillId="16" borderId="1" xfId="0" applyFont="1" applyFill="1" applyBorder="1" applyAlignment="1">
      <alignment horizontal="left"/>
    </xf>
    <xf numFmtId="0" fontId="59" fillId="16" borderId="1" xfId="0" applyFont="1" applyFill="1" applyBorder="1" applyAlignment="1">
      <alignment horizontal="left"/>
    </xf>
    <xf numFmtId="3" fontId="57" fillId="16" borderId="1" xfId="0" applyNumberFormat="1" applyFont="1" applyFill="1" applyBorder="1" applyAlignment="1">
      <alignment horizontal="left"/>
    </xf>
    <xf numFmtId="0" fontId="59" fillId="14" borderId="8" xfId="0" applyFont="1" applyFill="1" applyBorder="1"/>
    <xf numFmtId="0" fontId="60" fillId="14" borderId="0" xfId="0" applyFont="1" applyFill="1" applyAlignment="1">
      <alignment wrapText="1"/>
    </xf>
    <xf numFmtId="9" fontId="59" fillId="14" borderId="6" xfId="0" applyNumberFormat="1" applyFont="1" applyFill="1" applyBorder="1" applyAlignment="1">
      <alignment horizontal="center"/>
    </xf>
    <xf numFmtId="0" fontId="60" fillId="14" borderId="9" xfId="0" applyFont="1" applyFill="1" applyBorder="1"/>
    <xf numFmtId="9" fontId="59" fillId="14" borderId="8" xfId="0" applyNumberFormat="1" applyFont="1" applyFill="1" applyBorder="1" applyAlignment="1">
      <alignment horizontal="center"/>
    </xf>
    <xf numFmtId="9" fontId="59" fillId="14" borderId="12" xfId="0" applyNumberFormat="1" applyFont="1" applyFill="1" applyBorder="1" applyAlignment="1">
      <alignment horizontal="center"/>
    </xf>
    <xf numFmtId="0" fontId="60" fillId="14" borderId="4" xfId="0" applyFont="1" applyFill="1" applyBorder="1" applyAlignment="1">
      <alignment wrapText="1"/>
    </xf>
    <xf numFmtId="9" fontId="60" fillId="14" borderId="8" xfId="0" applyNumberFormat="1" applyFont="1" applyFill="1" applyBorder="1" applyAlignment="1">
      <alignment horizontal="center"/>
    </xf>
    <xf numFmtId="167" fontId="60" fillId="14" borderId="3" xfId="0" applyNumberFormat="1" applyFont="1" applyFill="1" applyBorder="1"/>
    <xf numFmtId="0" fontId="60" fillId="14" borderId="1" xfId="0" applyFont="1" applyFill="1" applyBorder="1" applyAlignment="1">
      <alignment horizontal="right"/>
    </xf>
    <xf numFmtId="9" fontId="60" fillId="14" borderId="2" xfId="0" applyNumberFormat="1" applyFont="1" applyFill="1" applyBorder="1" applyAlignment="1">
      <alignment horizontal="center"/>
    </xf>
    <xf numFmtId="0" fontId="59" fillId="0" borderId="5" xfId="0" applyFont="1" applyBorder="1" applyAlignment="1">
      <alignment horizontal="center"/>
    </xf>
    <xf numFmtId="0" fontId="59" fillId="0" borderId="4" xfId="0" applyFont="1" applyBorder="1"/>
    <xf numFmtId="167" fontId="57" fillId="0" borderId="4" xfId="0" applyNumberFormat="1" applyFont="1" applyBorder="1"/>
    <xf numFmtId="9" fontId="59" fillId="0" borderId="0" xfId="0" applyNumberFormat="1" applyFont="1" applyAlignment="1">
      <alignment horizontal="center"/>
    </xf>
    <xf numFmtId="168" fontId="59" fillId="0" borderId="4" xfId="0" applyNumberFormat="1" applyFont="1" applyBorder="1" applyAlignment="1">
      <alignment horizontal="center"/>
    </xf>
    <xf numFmtId="0" fontId="60" fillId="0" borderId="3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0" fillId="0" borderId="2" xfId="0" applyFont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41" fillId="14" borderId="1" xfId="0" applyFont="1" applyFill="1" applyBorder="1" applyAlignment="1">
      <alignment wrapText="1"/>
    </xf>
    <xf numFmtId="0" fontId="60" fillId="14" borderId="6" xfId="0" applyFont="1" applyFill="1" applyBorder="1" applyAlignment="1">
      <alignment horizontal="center"/>
    </xf>
    <xf numFmtId="0" fontId="60" fillId="14" borderId="1" xfId="0" applyFont="1" applyFill="1" applyBorder="1" applyAlignment="1">
      <alignment horizontal="center"/>
    </xf>
    <xf numFmtId="0" fontId="58" fillId="0" borderId="9" xfId="0" applyFont="1" applyBorder="1"/>
    <xf numFmtId="9" fontId="60" fillId="14" borderId="14" xfId="0" applyNumberFormat="1" applyFont="1" applyFill="1" applyBorder="1" applyAlignment="1">
      <alignment horizontal="center"/>
    </xf>
    <xf numFmtId="0" fontId="57" fillId="9" borderId="14" xfId="0" applyFont="1" applyFill="1" applyBorder="1" applyAlignment="1">
      <alignment horizontal="center"/>
    </xf>
    <xf numFmtId="0" fontId="57" fillId="9" borderId="9" xfId="0" applyFont="1" applyFill="1" applyBorder="1" applyAlignment="1">
      <alignment horizontal="center"/>
    </xf>
    <xf numFmtId="0" fontId="59" fillId="0" borderId="9" xfId="0" applyFont="1" applyBorder="1"/>
    <xf numFmtId="167" fontId="59" fillId="0" borderId="9" xfId="0" applyNumberFormat="1" applyFont="1" applyBorder="1" applyAlignment="1">
      <alignment horizontal="center"/>
    </xf>
    <xf numFmtId="0" fontId="59" fillId="0" borderId="2" xfId="0" applyFont="1" applyBorder="1"/>
    <xf numFmtId="0" fontId="65" fillId="0" borderId="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0" fontId="57" fillId="7" borderId="9" xfId="0" applyFont="1" applyFill="1" applyBorder="1" applyAlignment="1">
      <alignment horizontal="center"/>
    </xf>
    <xf numFmtId="0" fontId="57" fillId="7" borderId="4" xfId="0" applyFont="1" applyFill="1" applyBorder="1" applyAlignment="1">
      <alignment horizontal="center"/>
    </xf>
    <xf numFmtId="167" fontId="57" fillId="7" borderId="9" xfId="0" applyNumberFormat="1" applyFont="1" applyFill="1" applyBorder="1" applyAlignment="1">
      <alignment horizontal="right"/>
    </xf>
    <xf numFmtId="3" fontId="57" fillId="7" borderId="9" xfId="0" applyNumberFormat="1" applyFont="1" applyFill="1" applyBorder="1" applyAlignment="1">
      <alignment horizontal="center"/>
    </xf>
    <xf numFmtId="168" fontId="57" fillId="7" borderId="9" xfId="0" applyNumberFormat="1" applyFont="1" applyFill="1" applyBorder="1" applyAlignment="1">
      <alignment horizontal="right"/>
    </xf>
    <xf numFmtId="0" fontId="57" fillId="7" borderId="9" xfId="0" applyFont="1" applyFill="1" applyBorder="1"/>
    <xf numFmtId="0" fontId="57" fillId="0" borderId="4" xfId="0" applyFont="1" applyBorder="1" applyAlignment="1">
      <alignment horizontal="center"/>
    </xf>
    <xf numFmtId="167" fontId="33" fillId="14" borderId="1" xfId="0" applyNumberFormat="1" applyFont="1" applyFill="1" applyBorder="1"/>
    <xf numFmtId="0" fontId="57" fillId="0" borderId="9" xfId="0" applyFont="1" applyBorder="1" applyAlignment="1">
      <alignment horizontal="center"/>
    </xf>
    <xf numFmtId="0" fontId="59" fillId="0" borderId="12" xfId="0" applyFont="1" applyBorder="1"/>
    <xf numFmtId="0" fontId="65" fillId="6" borderId="9" xfId="0" applyFont="1" applyFill="1" applyBorder="1"/>
    <xf numFmtId="0" fontId="59" fillId="0" borderId="14" xfId="0" applyFont="1" applyBorder="1" applyAlignment="1">
      <alignment horizontal="center"/>
    </xf>
    <xf numFmtId="0" fontId="57" fillId="0" borderId="15" xfId="0" applyFont="1" applyBorder="1" applyAlignment="1">
      <alignment horizontal="center"/>
    </xf>
    <xf numFmtId="0" fontId="57" fillId="0" borderId="15" xfId="0" applyFont="1" applyBorder="1"/>
    <xf numFmtId="167" fontId="57" fillId="0" borderId="15" xfId="0" applyNumberFormat="1" applyFont="1" applyBorder="1"/>
    <xf numFmtId="3" fontId="57" fillId="0" borderId="15" xfId="0" applyNumberFormat="1" applyFont="1" applyBorder="1"/>
    <xf numFmtId="0" fontId="59" fillId="0" borderId="15" xfId="0" applyFont="1" applyBorder="1"/>
    <xf numFmtId="0" fontId="65" fillId="0" borderId="15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57" fillId="0" borderId="2" xfId="0" applyFont="1" applyBorder="1"/>
    <xf numFmtId="167" fontId="57" fillId="0" borderId="2" xfId="0" applyNumberFormat="1" applyFont="1" applyBorder="1"/>
    <xf numFmtId="3" fontId="57" fillId="0" borderId="2" xfId="0" applyNumberFormat="1" applyFont="1" applyBorder="1"/>
    <xf numFmtId="0" fontId="59" fillId="0" borderId="3" xfId="0" applyFont="1" applyBorder="1" applyAlignment="1">
      <alignment horizontal="center"/>
    </xf>
    <xf numFmtId="0" fontId="57" fillId="0" borderId="12" xfId="0" applyFont="1" applyBorder="1" applyAlignment="1">
      <alignment horizontal="right"/>
    </xf>
    <xf numFmtId="3" fontId="57" fillId="9" borderId="14" xfId="0" applyNumberFormat="1" applyFont="1" applyFill="1" applyBorder="1" applyAlignment="1">
      <alignment horizontal="center"/>
    </xf>
    <xf numFmtId="167" fontId="57" fillId="9" borderId="9" xfId="0" applyNumberFormat="1" applyFont="1" applyFill="1" applyBorder="1"/>
    <xf numFmtId="3" fontId="57" fillId="9" borderId="9" xfId="0" applyNumberFormat="1" applyFont="1" applyFill="1" applyBorder="1" applyAlignment="1">
      <alignment horizontal="right"/>
    </xf>
    <xf numFmtId="3" fontId="57" fillId="6" borderId="1" xfId="0" applyNumberFormat="1" applyFont="1" applyFill="1" applyBorder="1" applyAlignment="1">
      <alignment horizontal="center"/>
    </xf>
    <xf numFmtId="0" fontId="60" fillId="5" borderId="14" xfId="0" applyFont="1" applyFill="1" applyBorder="1" applyAlignment="1">
      <alignment horizontal="center"/>
    </xf>
    <xf numFmtId="0" fontId="60" fillId="16" borderId="6" xfId="0" applyFont="1" applyFill="1" applyBorder="1" applyAlignment="1">
      <alignment horizontal="center"/>
    </xf>
    <xf numFmtId="0" fontId="57" fillId="6" borderId="6" xfId="0" applyFont="1" applyFill="1" applyBorder="1" applyAlignment="1">
      <alignment horizontal="center"/>
    </xf>
    <xf numFmtId="167" fontId="57" fillId="9" borderId="1" xfId="0" applyNumberFormat="1" applyFont="1" applyFill="1" applyBorder="1" applyAlignment="1">
      <alignment horizontal="right"/>
    </xf>
    <xf numFmtId="0" fontId="59" fillId="6" borderId="15" xfId="0" applyFont="1" applyFill="1" applyBorder="1"/>
    <xf numFmtId="0" fontId="59" fillId="0" borderId="14" xfId="0" applyFont="1" applyBorder="1"/>
    <xf numFmtId="168" fontId="57" fillId="14" borderId="11" xfId="0" applyNumberFormat="1" applyFont="1" applyFill="1" applyBorder="1" applyAlignment="1">
      <alignment horizontal="center"/>
    </xf>
    <xf numFmtId="0" fontId="59" fillId="14" borderId="11" xfId="0" applyFont="1" applyFill="1" applyBorder="1" applyAlignment="1">
      <alignment horizontal="center"/>
    </xf>
    <xf numFmtId="0" fontId="57" fillId="14" borderId="11" xfId="0" applyFont="1" applyFill="1" applyBorder="1" applyAlignment="1">
      <alignment horizontal="center"/>
    </xf>
    <xf numFmtId="3" fontId="57" fillId="0" borderId="4" xfId="0" applyNumberFormat="1" applyFont="1" applyBorder="1"/>
    <xf numFmtId="0" fontId="57" fillId="0" borderId="4" xfId="0" applyFont="1" applyBorder="1"/>
    <xf numFmtId="0" fontId="66" fillId="14" borderId="1" xfId="0" applyFont="1" applyFill="1" applyBorder="1" applyAlignment="1">
      <alignment horizontal="left"/>
    </xf>
    <xf numFmtId="167" fontId="66" fillId="14" borderId="1" xfId="0" applyNumberFormat="1" applyFont="1" applyFill="1" applyBorder="1" applyAlignment="1">
      <alignment horizontal="left"/>
    </xf>
    <xf numFmtId="167" fontId="59" fillId="0" borderId="9" xfId="0" applyNumberFormat="1" applyFont="1" applyBorder="1"/>
    <xf numFmtId="167" fontId="59" fillId="6" borderId="9" xfId="0" applyNumberFormat="1" applyFont="1" applyFill="1" applyBorder="1" applyAlignment="1">
      <alignment horizontal="right"/>
    </xf>
    <xf numFmtId="167" fontId="65" fillId="0" borderId="1" xfId="0" applyNumberFormat="1" applyFont="1" applyBorder="1"/>
    <xf numFmtId="9" fontId="59" fillId="0" borderId="9" xfId="0" applyNumberFormat="1" applyFont="1" applyBorder="1" applyAlignment="1">
      <alignment horizontal="center"/>
    </xf>
    <xf numFmtId="167" fontId="0" fillId="0" borderId="9" xfId="0" applyNumberFormat="1" applyBorder="1"/>
    <xf numFmtId="0" fontId="0" fillId="0" borderId="12" xfId="0" applyBorder="1"/>
    <xf numFmtId="0" fontId="0" fillId="6" borderId="12" xfId="0" applyFill="1" applyBorder="1"/>
    <xf numFmtId="167" fontId="59" fillId="14" borderId="8" xfId="0" applyNumberFormat="1" applyFont="1" applyFill="1" applyBorder="1"/>
    <xf numFmtId="167" fontId="0" fillId="0" borderId="12" xfId="0" applyNumberFormat="1" applyBorder="1"/>
    <xf numFmtId="167" fontId="68" fillId="0" borderId="1" xfId="0" applyNumberFormat="1" applyFont="1" applyBorder="1"/>
    <xf numFmtId="0" fontId="59" fillId="14" borderId="6" xfId="0" applyFont="1" applyFill="1" applyBorder="1"/>
    <xf numFmtId="9" fontId="57" fillId="14" borderId="12" xfId="0" applyNumberFormat="1" applyFont="1" applyFill="1" applyBorder="1" applyAlignment="1">
      <alignment horizontal="center"/>
    </xf>
    <xf numFmtId="168" fontId="60" fillId="14" borderId="1" xfId="0" applyNumberFormat="1" applyFont="1" applyFill="1" applyBorder="1"/>
    <xf numFmtId="168" fontId="57" fillId="14" borderId="1" xfId="0" applyNumberFormat="1" applyFont="1" applyFill="1" applyBorder="1" applyAlignment="1">
      <alignment horizontal="center"/>
    </xf>
    <xf numFmtId="0" fontId="59" fillId="14" borderId="6" xfId="0" applyFont="1" applyFill="1" applyBorder="1" applyAlignment="1">
      <alignment horizontal="center"/>
    </xf>
    <xf numFmtId="0" fontId="59" fillId="6" borderId="12" xfId="0" applyFont="1" applyFill="1" applyBorder="1"/>
    <xf numFmtId="0" fontId="59" fillId="6" borderId="12" xfId="0" applyFont="1" applyFill="1" applyBorder="1" applyAlignment="1">
      <alignment horizontal="center"/>
    </xf>
    <xf numFmtId="9" fontId="57" fillId="6" borderId="15" xfId="0" applyNumberFormat="1" applyFont="1" applyFill="1" applyBorder="1" applyAlignment="1">
      <alignment horizontal="center"/>
    </xf>
    <xf numFmtId="0" fontId="0" fillId="6" borderId="0" xfId="0" applyFill="1"/>
    <xf numFmtId="168" fontId="60" fillId="6" borderId="1" xfId="0" applyNumberFormat="1" applyFont="1" applyFill="1" applyBorder="1"/>
    <xf numFmtId="168" fontId="57" fillId="6" borderId="1" xfId="0" applyNumberFormat="1" applyFont="1" applyFill="1" applyBorder="1" applyAlignment="1">
      <alignment horizontal="center"/>
    </xf>
    <xf numFmtId="0" fontId="57" fillId="9" borderId="1" xfId="0" applyFont="1" applyFill="1" applyBorder="1" applyAlignment="1">
      <alignment horizontal="center"/>
    </xf>
    <xf numFmtId="0" fontId="57" fillId="9" borderId="15" xfId="0" applyFont="1" applyFill="1" applyBorder="1" applyAlignment="1">
      <alignment horizontal="center"/>
    </xf>
    <xf numFmtId="168" fontId="60" fillId="14" borderId="9" xfId="0" applyNumberFormat="1" applyFont="1" applyFill="1" applyBorder="1"/>
    <xf numFmtId="168" fontId="57" fillId="14" borderId="9" xfId="0" applyNumberFormat="1" applyFont="1" applyFill="1" applyBorder="1" applyAlignment="1">
      <alignment horizontal="center"/>
    </xf>
    <xf numFmtId="167" fontId="66" fillId="14" borderId="4" xfId="0" applyNumberFormat="1" applyFont="1" applyFill="1" applyBorder="1"/>
    <xf numFmtId="167" fontId="60" fillId="14" borderId="1" xfId="0" applyNumberFormat="1" applyFont="1" applyFill="1" applyBorder="1" applyAlignment="1">
      <alignment horizontal="right"/>
    </xf>
    <xf numFmtId="9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1" xfId="0" applyBorder="1"/>
    <xf numFmtId="9" fontId="0" fillId="14" borderId="10" xfId="0" applyNumberFormat="1" applyFill="1" applyBorder="1" applyAlignment="1">
      <alignment horizontal="center"/>
    </xf>
    <xf numFmtId="0" fontId="23" fillId="14" borderId="4" xfId="0" applyFont="1" applyFill="1" applyBorder="1" applyAlignment="1">
      <alignment wrapText="1"/>
    </xf>
    <xf numFmtId="9" fontId="0" fillId="14" borderId="9" xfId="0" applyNumberFormat="1" applyFill="1" applyBorder="1" applyAlignment="1">
      <alignment horizontal="center"/>
    </xf>
    <xf numFmtId="0" fontId="41" fillId="14" borderId="9" xfId="0" applyFont="1" applyFill="1" applyBorder="1" applyAlignment="1">
      <alignment wrapText="1"/>
    </xf>
    <xf numFmtId="0" fontId="41" fillId="0" borderId="8" xfId="0" applyFont="1" applyBorder="1" applyAlignment="1">
      <alignment wrapText="1"/>
    </xf>
    <xf numFmtId="9" fontId="59" fillId="6" borderId="9" xfId="0" applyNumberFormat="1" applyFont="1" applyFill="1" applyBorder="1" applyAlignment="1">
      <alignment horizontal="center"/>
    </xf>
    <xf numFmtId="0" fontId="57" fillId="6" borderId="3" xfId="0" applyFont="1" applyFill="1" applyBorder="1" applyAlignment="1">
      <alignment horizontal="center"/>
    </xf>
    <xf numFmtId="0" fontId="60" fillId="6" borderId="2" xfId="0" applyFont="1" applyFill="1" applyBorder="1" applyAlignment="1">
      <alignment horizontal="center"/>
    </xf>
    <xf numFmtId="0" fontId="59" fillId="6" borderId="5" xfId="0" applyFont="1" applyFill="1" applyBorder="1"/>
    <xf numFmtId="0" fontId="57" fillId="6" borderId="5" xfId="0" applyFont="1" applyFill="1" applyBorder="1" applyAlignment="1">
      <alignment horizontal="center"/>
    </xf>
    <xf numFmtId="0" fontId="59" fillId="6" borderId="5" xfId="0" applyFont="1" applyFill="1" applyBorder="1" applyAlignment="1">
      <alignment horizontal="center"/>
    </xf>
    <xf numFmtId="168" fontId="59" fillId="6" borderId="4" xfId="0" applyNumberFormat="1" applyFont="1" applyFill="1" applyBorder="1" applyAlignment="1">
      <alignment horizontal="center"/>
    </xf>
    <xf numFmtId="167" fontId="60" fillId="5" borderId="1" xfId="0" applyNumberFormat="1" applyFont="1" applyFill="1" applyBorder="1" applyAlignment="1">
      <alignment horizontal="center"/>
    </xf>
    <xf numFmtId="3" fontId="60" fillId="5" borderId="1" xfId="0" applyNumberFormat="1" applyFont="1" applyFill="1" applyBorder="1" applyAlignment="1">
      <alignment horizontal="center"/>
    </xf>
    <xf numFmtId="0" fontId="57" fillId="0" borderId="1" xfId="0" applyFont="1" applyBorder="1" applyAlignment="1">
      <alignment horizontal="right"/>
    </xf>
    <xf numFmtId="3" fontId="57" fillId="9" borderId="1" xfId="0" applyNumberFormat="1" applyFont="1" applyFill="1" applyBorder="1" applyAlignment="1">
      <alignment horizontal="center"/>
    </xf>
    <xf numFmtId="167" fontId="57" fillId="9" borderId="1" xfId="0" applyNumberFormat="1" applyFont="1" applyFill="1" applyBorder="1"/>
    <xf numFmtId="3" fontId="57" fillId="9" borderId="1" xfId="0" applyNumberFormat="1" applyFont="1" applyFill="1" applyBorder="1" applyAlignment="1">
      <alignment horizontal="right"/>
    </xf>
    <xf numFmtId="167" fontId="57" fillId="6" borderId="1" xfId="0" applyNumberFormat="1" applyFont="1" applyFill="1" applyBorder="1" applyAlignment="1">
      <alignment horizontal="right"/>
    </xf>
    <xf numFmtId="0" fontId="59" fillId="0" borderId="4" xfId="0" applyFont="1" applyBorder="1" applyAlignment="1">
      <alignment horizontal="center"/>
    </xf>
    <xf numFmtId="167" fontId="59" fillId="6" borderId="8" xfId="0" applyNumberFormat="1" applyFont="1" applyFill="1" applyBorder="1"/>
    <xf numFmtId="9" fontId="59" fillId="6" borderId="10" xfId="0" applyNumberFormat="1" applyFont="1" applyFill="1" applyBorder="1" applyAlignment="1">
      <alignment horizontal="center"/>
    </xf>
    <xf numFmtId="9" fontId="0" fillId="6" borderId="8" xfId="0" applyNumberFormat="1" applyFill="1" applyBorder="1" applyAlignment="1">
      <alignment horizontal="center"/>
    </xf>
    <xf numFmtId="0" fontId="72" fillId="6" borderId="13" xfId="0" applyFont="1" applyFill="1" applyBorder="1"/>
    <xf numFmtId="0" fontId="59" fillId="6" borderId="13" xfId="0" applyFont="1" applyFill="1" applyBorder="1"/>
    <xf numFmtId="0" fontId="73" fillId="6" borderId="13" xfId="0" applyFont="1" applyFill="1" applyBorder="1"/>
    <xf numFmtId="0" fontId="0" fillId="18" borderId="16" xfId="0" applyFill="1" applyBorder="1" applyAlignment="1">
      <alignment horizontal="center"/>
    </xf>
    <xf numFmtId="0" fontId="0" fillId="0" borderId="18" xfId="0" applyBorder="1" applyAlignment="1">
      <alignment horizontal="center"/>
    </xf>
    <xf numFmtId="168" fontId="55" fillId="8" borderId="4" xfId="0" applyNumberFormat="1" applyFont="1" applyFill="1" applyBorder="1" applyAlignment="1">
      <alignment horizontal="center"/>
    </xf>
    <xf numFmtId="167" fontId="6" fillId="8" borderId="0" xfId="0" applyNumberFormat="1" applyFont="1" applyFill="1"/>
    <xf numFmtId="9" fontId="74" fillId="14" borderId="1" xfId="0" applyNumberFormat="1" applyFont="1" applyFill="1" applyBorder="1" applyAlignment="1">
      <alignment horizontal="center"/>
    </xf>
    <xf numFmtId="167" fontId="65" fillId="8" borderId="1" xfId="0" applyNumberFormat="1" applyFont="1" applyFill="1" applyBorder="1"/>
    <xf numFmtId="9" fontId="59" fillId="14" borderId="10" xfId="0" applyNumberFormat="1" applyFont="1" applyFill="1" applyBorder="1" applyAlignment="1">
      <alignment horizontal="center"/>
    </xf>
    <xf numFmtId="9" fontId="74" fillId="14" borderId="8" xfId="0" applyNumberFormat="1" applyFont="1" applyFill="1" applyBorder="1" applyAlignment="1">
      <alignment horizontal="center"/>
    </xf>
    <xf numFmtId="9" fontId="74" fillId="14" borderId="6" xfId="0" applyNumberFormat="1" applyFont="1" applyFill="1" applyBorder="1" applyAlignment="1">
      <alignment horizontal="center"/>
    </xf>
    <xf numFmtId="0" fontId="6" fillId="8" borderId="0" xfId="0" applyFont="1" applyFill="1"/>
    <xf numFmtId="167" fontId="68" fillId="0" borderId="9" xfId="0" applyNumberFormat="1" applyFont="1" applyBorder="1"/>
    <xf numFmtId="167" fontId="13" fillId="8" borderId="1" xfId="0" applyNumberFormat="1" applyFont="1" applyFill="1" applyBorder="1"/>
    <xf numFmtId="0" fontId="54" fillId="14" borderId="5" xfId="0" applyFont="1" applyFill="1" applyBorder="1" applyAlignment="1">
      <alignment horizontal="center"/>
    </xf>
    <xf numFmtId="0" fontId="54" fillId="14" borderId="9" xfId="0" applyFont="1" applyFill="1" applyBorder="1" applyAlignment="1">
      <alignment horizontal="center"/>
    </xf>
    <xf numFmtId="0" fontId="55" fillId="14" borderId="1" xfId="0" applyFont="1" applyFill="1" applyBorder="1" applyAlignment="1">
      <alignment horizontal="center"/>
    </xf>
    <xf numFmtId="0" fontId="55" fillId="14" borderId="7" xfId="0" applyFont="1" applyFill="1" applyBorder="1" applyAlignment="1">
      <alignment horizontal="center"/>
    </xf>
    <xf numFmtId="0" fontId="55" fillId="14" borderId="9" xfId="0" applyFont="1" applyFill="1" applyBorder="1" applyAlignment="1">
      <alignment horizontal="center"/>
    </xf>
    <xf numFmtId="0" fontId="22" fillId="14" borderId="0" xfId="0" applyFont="1" applyFill="1" applyAlignment="1">
      <alignment horizontal="center" wrapText="1"/>
    </xf>
    <xf numFmtId="0" fontId="55" fillId="14" borderId="6" xfId="0" applyFont="1" applyFill="1" applyBorder="1" applyAlignment="1">
      <alignment horizontal="left"/>
    </xf>
    <xf numFmtId="0" fontId="54" fillId="14" borderId="6" xfId="0" applyFont="1" applyFill="1" applyBorder="1" applyAlignment="1">
      <alignment horizontal="left" wrapText="1"/>
    </xf>
    <xf numFmtId="0" fontId="54" fillId="14" borderId="6" xfId="0" applyFont="1" applyFill="1" applyBorder="1" applyAlignment="1">
      <alignment horizontal="left"/>
    </xf>
    <xf numFmtId="0" fontId="56" fillId="9" borderId="6" xfId="0" applyFont="1" applyFill="1" applyBorder="1" applyAlignment="1">
      <alignment horizontal="center"/>
    </xf>
    <xf numFmtId="164" fontId="60" fillId="14" borderId="1" xfId="0" applyNumberFormat="1" applyFont="1" applyFill="1" applyBorder="1"/>
    <xf numFmtId="3" fontId="56" fillId="8" borderId="9" xfId="0" applyNumberFormat="1" applyFont="1" applyFill="1" applyBorder="1" applyAlignment="1">
      <alignment horizontal="right"/>
    </xf>
    <xf numFmtId="167" fontId="55" fillId="8" borderId="9" xfId="0" applyNumberFormat="1" applyFont="1" applyFill="1" applyBorder="1" applyAlignment="1">
      <alignment horizontal="center"/>
    </xf>
    <xf numFmtId="168" fontId="57" fillId="6" borderId="9" xfId="0" applyNumberFormat="1" applyFont="1" applyFill="1" applyBorder="1" applyAlignment="1">
      <alignment horizontal="right"/>
    </xf>
    <xf numFmtId="9" fontId="59" fillId="0" borderId="9" xfId="0" applyNumberFormat="1" applyFont="1" applyBorder="1"/>
    <xf numFmtId="167" fontId="59" fillId="14" borderId="8" xfId="0" applyNumberFormat="1" applyFont="1" applyFill="1" applyBorder="1" applyAlignment="1">
      <alignment horizontal="right"/>
    </xf>
    <xf numFmtId="167" fontId="59" fillId="6" borderId="8" xfId="0" applyNumberFormat="1" applyFont="1" applyFill="1" applyBorder="1" applyAlignment="1">
      <alignment horizontal="right"/>
    </xf>
    <xf numFmtId="167" fontId="59" fillId="6" borderId="15" xfId="0" applyNumberFormat="1" applyFont="1" applyFill="1" applyBorder="1" applyAlignment="1">
      <alignment horizontal="right"/>
    </xf>
    <xf numFmtId="0" fontId="59" fillId="8" borderId="8" xfId="0" applyFont="1" applyFill="1" applyBorder="1"/>
    <xf numFmtId="0" fontId="38" fillId="6" borderId="1" xfId="0" applyFont="1" applyFill="1" applyBorder="1" applyAlignment="1">
      <alignment wrapText="1"/>
    </xf>
    <xf numFmtId="0" fontId="66" fillId="18" borderId="1" xfId="0" applyFont="1" applyFill="1" applyBorder="1" applyAlignment="1">
      <alignment wrapText="1"/>
    </xf>
    <xf numFmtId="0" fontId="75" fillId="6" borderId="1" xfId="0" applyFont="1" applyFill="1" applyBorder="1" applyAlignment="1">
      <alignment wrapText="1"/>
    </xf>
    <xf numFmtId="0" fontId="39" fillId="6" borderId="1" xfId="0" applyFont="1" applyFill="1" applyBorder="1" applyAlignment="1">
      <alignment wrapText="1"/>
    </xf>
    <xf numFmtId="170" fontId="39" fillId="6" borderId="1" xfId="0" applyNumberFormat="1" applyFont="1" applyFill="1" applyBorder="1" applyAlignment="1">
      <alignment wrapText="1"/>
    </xf>
    <xf numFmtId="170" fontId="76" fillId="6" borderId="1" xfId="0" applyNumberFormat="1" applyFont="1" applyFill="1" applyBorder="1" applyAlignment="1">
      <alignment wrapText="1"/>
    </xf>
    <xf numFmtId="0" fontId="23" fillId="18" borderId="0" xfId="0" applyFont="1" applyFill="1" applyAlignment="1">
      <alignment wrapText="1"/>
    </xf>
    <xf numFmtId="0" fontId="60" fillId="14" borderId="1" xfId="0" applyFont="1" applyFill="1" applyBorder="1" applyAlignment="1">
      <alignment horizontal="left"/>
    </xf>
    <xf numFmtId="0" fontId="57" fillId="14" borderId="1" xfId="0" applyFont="1" applyFill="1" applyBorder="1" applyAlignment="1">
      <alignment horizontal="left"/>
    </xf>
    <xf numFmtId="3" fontId="57" fillId="14" borderId="1" xfId="0" applyNumberFormat="1" applyFont="1" applyFill="1" applyBorder="1" applyAlignment="1">
      <alignment horizontal="left"/>
    </xf>
    <xf numFmtId="0" fontId="59" fillId="14" borderId="1" xfId="0" applyFont="1" applyFill="1" applyBorder="1" applyAlignment="1">
      <alignment horizontal="left"/>
    </xf>
    <xf numFmtId="167" fontId="60" fillId="14" borderId="14" xfId="0" applyNumberFormat="1" applyFont="1" applyFill="1" applyBorder="1"/>
    <xf numFmtId="9" fontId="60" fillId="14" borderId="9" xfId="0" applyNumberFormat="1" applyFont="1" applyFill="1" applyBorder="1" applyAlignment="1">
      <alignment horizontal="center"/>
    </xf>
    <xf numFmtId="0" fontId="60" fillId="14" borderId="9" xfId="0" applyFont="1" applyFill="1" applyBorder="1" applyAlignment="1">
      <alignment horizontal="center"/>
    </xf>
    <xf numFmtId="0" fontId="60" fillId="14" borderId="12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20" fillId="14" borderId="1" xfId="0" applyFont="1" applyFill="1" applyBorder="1"/>
    <xf numFmtId="0" fontId="0" fillId="18" borderId="17" xfId="0" applyFill="1" applyBorder="1" applyAlignment="1">
      <alignment horizontal="center"/>
    </xf>
    <xf numFmtId="0" fontId="0" fillId="18" borderId="40" xfId="0" applyFill="1" applyBorder="1"/>
    <xf numFmtId="9" fontId="60" fillId="16" borderId="1" xfId="0" applyNumberFormat="1" applyFont="1" applyFill="1" applyBorder="1"/>
    <xf numFmtId="167" fontId="60" fillId="16" borderId="1" xfId="0" applyNumberFormat="1" applyFont="1" applyFill="1" applyBorder="1" applyAlignment="1">
      <alignment horizontal="right"/>
    </xf>
    <xf numFmtId="0" fontId="0" fillId="14" borderId="0" xfId="0" applyFill="1"/>
    <xf numFmtId="3" fontId="60" fillId="14" borderId="1" xfId="0" applyNumberFormat="1" applyFont="1" applyFill="1" applyBorder="1" applyAlignment="1">
      <alignment horizontal="center"/>
    </xf>
    <xf numFmtId="167" fontId="0" fillId="0" borderId="0" xfId="0" applyNumberFormat="1"/>
    <xf numFmtId="0" fontId="62" fillId="14" borderId="0" xfId="0" applyFont="1" applyFill="1" applyAlignment="1">
      <alignment horizontal="center" wrapText="1"/>
    </xf>
    <xf numFmtId="3" fontId="5" fillId="26" borderId="3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center"/>
    </xf>
    <xf numFmtId="168" fontId="57" fillId="16" borderId="1" xfId="0" applyNumberFormat="1" applyFont="1" applyFill="1" applyBorder="1" applyAlignment="1">
      <alignment horizontal="right"/>
    </xf>
    <xf numFmtId="167" fontId="60" fillId="14" borderId="6" xfId="0" applyNumberFormat="1" applyFont="1" applyFill="1" applyBorder="1"/>
    <xf numFmtId="0" fontId="57" fillId="6" borderId="1" xfId="0" applyFont="1" applyFill="1" applyBorder="1" applyAlignment="1">
      <alignment wrapText="1"/>
    </xf>
    <xf numFmtId="0" fontId="57" fillId="6" borderId="3" xfId="0" applyFont="1" applyFill="1" applyBorder="1" applyAlignment="1">
      <alignment wrapText="1"/>
    </xf>
    <xf numFmtId="9" fontId="59" fillId="6" borderId="7" xfId="0" applyNumberFormat="1" applyFont="1" applyFill="1" applyBorder="1" applyAlignment="1">
      <alignment horizontal="center"/>
    </xf>
    <xf numFmtId="168" fontId="59" fillId="6" borderId="5" xfId="0" applyNumberFormat="1" applyFont="1" applyFill="1" applyBorder="1" applyAlignment="1">
      <alignment horizontal="center"/>
    </xf>
    <xf numFmtId="167" fontId="59" fillId="14" borderId="1" xfId="0" applyNumberFormat="1" applyFont="1" applyFill="1" applyBorder="1" applyAlignment="1">
      <alignment horizontal="left"/>
    </xf>
    <xf numFmtId="9" fontId="60" fillId="6" borderId="9" xfId="0" applyNumberFormat="1" applyFont="1" applyFill="1" applyBorder="1" applyAlignment="1">
      <alignment horizontal="center"/>
    </xf>
    <xf numFmtId="0" fontId="60" fillId="0" borderId="9" xfId="0" applyFont="1" applyBorder="1" applyAlignment="1">
      <alignment wrapText="1"/>
    </xf>
    <xf numFmtId="0" fontId="41" fillId="14" borderId="0" xfId="0" applyFont="1" applyFill="1" applyAlignment="1">
      <alignment wrapText="1"/>
    </xf>
    <xf numFmtId="167" fontId="59" fillId="14" borderId="1" xfId="0" applyNumberFormat="1" applyFont="1" applyFill="1" applyBorder="1" applyAlignment="1">
      <alignment horizontal="left" vertical="center"/>
    </xf>
    <xf numFmtId="0" fontId="60" fillId="14" borderId="1" xfId="0" applyFont="1" applyFill="1" applyBorder="1" applyAlignment="1">
      <alignment horizontal="center" wrapText="1"/>
    </xf>
    <xf numFmtId="0" fontId="59" fillId="14" borderId="5" xfId="0" applyFont="1" applyFill="1" applyBorder="1" applyAlignment="1">
      <alignment horizontal="center"/>
    </xf>
    <xf numFmtId="168" fontId="60" fillId="14" borderId="1" xfId="0" applyNumberFormat="1" applyFont="1" applyFill="1" applyBorder="1" applyAlignment="1">
      <alignment horizontal="right"/>
    </xf>
    <xf numFmtId="0" fontId="59" fillId="16" borderId="5" xfId="0" applyFont="1" applyFill="1" applyBorder="1" applyAlignment="1">
      <alignment horizontal="center"/>
    </xf>
    <xf numFmtId="9" fontId="60" fillId="16" borderId="3" xfId="0" applyNumberFormat="1" applyFont="1" applyFill="1" applyBorder="1" applyAlignment="1">
      <alignment horizontal="center"/>
    </xf>
    <xf numFmtId="0" fontId="60" fillId="16" borderId="5" xfId="0" applyFont="1" applyFill="1" applyBorder="1"/>
    <xf numFmtId="9" fontId="60" fillId="16" borderId="5" xfId="0" applyNumberFormat="1" applyFont="1" applyFill="1" applyBorder="1" applyAlignment="1">
      <alignment horizontal="center"/>
    </xf>
    <xf numFmtId="167" fontId="57" fillId="14" borderId="1" xfId="0" applyNumberFormat="1" applyFont="1" applyFill="1" applyBorder="1" applyAlignment="1">
      <alignment horizontal="right"/>
    </xf>
    <xf numFmtId="0" fontId="58" fillId="14" borderId="1" xfId="0" applyFont="1" applyFill="1" applyBorder="1"/>
    <xf numFmtId="0" fontId="58" fillId="14" borderId="1" xfId="0" applyFont="1" applyFill="1" applyBorder="1" applyAlignment="1">
      <alignment horizontal="center"/>
    </xf>
    <xf numFmtId="9" fontId="58" fillId="14" borderId="1" xfId="0" applyNumberFormat="1" applyFont="1" applyFill="1" applyBorder="1" applyAlignment="1">
      <alignment horizontal="center"/>
    </xf>
    <xf numFmtId="0" fontId="60" fillId="14" borderId="9" xfId="0" applyFont="1" applyFill="1" applyBorder="1" applyAlignment="1">
      <alignment wrapText="1"/>
    </xf>
    <xf numFmtId="0" fontId="59" fillId="6" borderId="10" xfId="0" applyFont="1" applyFill="1" applyBorder="1" applyAlignment="1">
      <alignment horizontal="center"/>
    </xf>
    <xf numFmtId="9" fontId="57" fillId="6" borderId="4" xfId="0" applyNumberFormat="1" applyFont="1" applyFill="1" applyBorder="1" applyAlignment="1">
      <alignment horizontal="center"/>
    </xf>
    <xf numFmtId="167" fontId="60" fillId="6" borderId="9" xfId="0" applyNumberFormat="1" applyFont="1" applyFill="1" applyBorder="1"/>
    <xf numFmtId="167" fontId="59" fillId="6" borderId="9" xfId="0" applyNumberFormat="1" applyFont="1" applyFill="1" applyBorder="1"/>
    <xf numFmtId="0" fontId="57" fillId="6" borderId="14" xfId="0" applyFont="1" applyFill="1" applyBorder="1"/>
    <xf numFmtId="0" fontId="59" fillId="6" borderId="4" xfId="0" applyFont="1" applyFill="1" applyBorder="1" applyAlignment="1">
      <alignment horizontal="center"/>
    </xf>
    <xf numFmtId="0" fontId="59" fillId="6" borderId="10" xfId="0" applyFont="1" applyFill="1" applyBorder="1"/>
    <xf numFmtId="168" fontId="60" fillId="6" borderId="0" xfId="0" applyNumberFormat="1" applyFont="1" applyFill="1"/>
    <xf numFmtId="0" fontId="57" fillId="7" borderId="1" xfId="0" applyFont="1" applyFill="1" applyBorder="1" applyAlignment="1">
      <alignment horizontal="center"/>
    </xf>
    <xf numFmtId="0" fontId="57" fillId="7" borderId="12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6" borderId="16" xfId="0" applyFill="1" applyBorder="1" applyAlignment="1">
      <alignment horizontal="left"/>
    </xf>
    <xf numFmtId="0" fontId="0" fillId="6" borderId="16" xfId="0" applyFill="1" applyBorder="1"/>
    <xf numFmtId="9" fontId="59" fillId="6" borderId="2" xfId="0" applyNumberFormat="1" applyFont="1" applyFill="1" applyBorder="1" applyAlignment="1">
      <alignment horizontal="center"/>
    </xf>
    <xf numFmtId="0" fontId="58" fillId="6" borderId="1" xfId="0" applyFont="1" applyFill="1" applyBorder="1"/>
    <xf numFmtId="9" fontId="58" fillId="14" borderId="1" xfId="0" applyNumberFormat="1" applyFont="1" applyFill="1" applyBorder="1" applyAlignment="1">
      <alignment horizontal="center" vertical="center"/>
    </xf>
    <xf numFmtId="0" fontId="60" fillId="6" borderId="3" xfId="0" applyFont="1" applyFill="1" applyBorder="1" applyAlignment="1">
      <alignment horizontal="center"/>
    </xf>
    <xf numFmtId="0" fontId="57" fillId="14" borderId="1" xfId="0" applyFont="1" applyFill="1" applyBorder="1" applyAlignment="1">
      <alignment horizontal="right"/>
    </xf>
    <xf numFmtId="168" fontId="57" fillId="14" borderId="1" xfId="0" applyNumberFormat="1" applyFont="1" applyFill="1" applyBorder="1" applyAlignment="1">
      <alignment horizontal="left"/>
    </xf>
    <xf numFmtId="9" fontId="77" fillId="14" borderId="1" xfId="0" applyNumberFormat="1" applyFont="1" applyFill="1" applyBorder="1" applyAlignment="1">
      <alignment horizontal="center"/>
    </xf>
    <xf numFmtId="9" fontId="58" fillId="14" borderId="9" xfId="0" applyNumberFormat="1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center"/>
    </xf>
    <xf numFmtId="0" fontId="54" fillId="14" borderId="0" xfId="0" applyFont="1" applyFill="1" applyAlignment="1">
      <alignment horizontal="center" wrapText="1"/>
    </xf>
    <xf numFmtId="0" fontId="54" fillId="14" borderId="1" xfId="0" applyFont="1" applyFill="1" applyBorder="1" applyAlignment="1">
      <alignment horizontal="center"/>
    </xf>
    <xf numFmtId="0" fontId="68" fillId="14" borderId="1" xfId="0" applyFont="1" applyFill="1" applyBorder="1" applyAlignment="1">
      <alignment horizontal="center"/>
    </xf>
    <xf numFmtId="0" fontId="68" fillId="14" borderId="9" xfId="0" applyFont="1" applyFill="1" applyBorder="1" applyAlignment="1">
      <alignment horizontal="center"/>
    </xf>
    <xf numFmtId="167" fontId="33" fillId="8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7" fontId="66" fillId="6" borderId="4" xfId="0" applyNumberFormat="1" applyFont="1" applyFill="1" applyBorder="1"/>
    <xf numFmtId="167" fontId="59" fillId="0" borderId="14" xfId="0" applyNumberFormat="1" applyFont="1" applyBorder="1" applyAlignment="1">
      <alignment horizontal="center"/>
    </xf>
    <xf numFmtId="167" fontId="65" fillId="11" borderId="14" xfId="0" applyNumberFormat="1" applyFont="1" applyFill="1" applyBorder="1" applyAlignment="1">
      <alignment horizontal="center"/>
    </xf>
    <xf numFmtId="168" fontId="59" fillId="6" borderId="11" xfId="0" applyNumberFormat="1" applyFont="1" applyFill="1" applyBorder="1" applyAlignment="1">
      <alignment horizontal="center"/>
    </xf>
    <xf numFmtId="0" fontId="59" fillId="6" borderId="14" xfId="0" applyFont="1" applyFill="1" applyBorder="1" applyAlignment="1">
      <alignment horizontal="center"/>
    </xf>
    <xf numFmtId="0" fontId="60" fillId="14" borderId="14" xfId="0" applyFont="1" applyFill="1" applyBorder="1" applyAlignment="1">
      <alignment horizontal="center"/>
    </xf>
    <xf numFmtId="0" fontId="6" fillId="11" borderId="0" xfId="0" applyFont="1" applyFill="1"/>
    <xf numFmtId="171" fontId="6" fillId="8" borderId="1" xfId="0" applyNumberFormat="1" applyFont="1" applyFill="1" applyBorder="1"/>
    <xf numFmtId="167" fontId="55" fillId="8" borderId="8" xfId="0" applyNumberFormat="1" applyFont="1" applyFill="1" applyBorder="1" applyAlignment="1">
      <alignment horizontal="center"/>
    </xf>
    <xf numFmtId="167" fontId="59" fillId="6" borderId="4" xfId="0" applyNumberFormat="1" applyFont="1" applyFill="1" applyBorder="1" applyAlignment="1">
      <alignment horizontal="center"/>
    </xf>
    <xf numFmtId="171" fontId="59" fillId="14" borderId="1" xfId="0" applyNumberFormat="1" applyFont="1" applyFill="1" applyBorder="1" applyAlignment="1">
      <alignment horizontal="center"/>
    </xf>
    <xf numFmtId="171" fontId="60" fillId="14" borderId="1" xfId="0" applyNumberFormat="1" applyFont="1" applyFill="1" applyBorder="1" applyAlignment="1">
      <alignment horizontal="center"/>
    </xf>
    <xf numFmtId="0" fontId="6" fillId="8" borderId="1" xfId="0" applyFont="1" applyFill="1" applyBorder="1"/>
    <xf numFmtId="167" fontId="21" fillId="8" borderId="1" xfId="0" applyNumberFormat="1" applyFont="1" applyFill="1" applyBorder="1"/>
    <xf numFmtId="0" fontId="13" fillId="8" borderId="1" xfId="0" applyFont="1" applyFill="1" applyBorder="1"/>
    <xf numFmtId="167" fontId="68" fillId="8" borderId="1" xfId="0" applyNumberFormat="1" applyFont="1" applyFill="1" applyBorder="1"/>
    <xf numFmtId="0" fontId="64" fillId="14" borderId="0" xfId="0" applyFont="1" applyFill="1" applyAlignment="1">
      <alignment horizontal="center" wrapText="1"/>
    </xf>
    <xf numFmtId="0" fontId="64" fillId="14" borderId="1" xfId="0" applyFont="1" applyFill="1" applyBorder="1" applyAlignment="1">
      <alignment horizontal="center" wrapText="1"/>
    </xf>
    <xf numFmtId="9" fontId="57" fillId="14" borderId="9" xfId="0" applyNumberFormat="1" applyFont="1" applyFill="1" applyBorder="1" applyAlignment="1">
      <alignment horizontal="center"/>
    </xf>
    <xf numFmtId="167" fontId="60" fillId="14" borderId="5" xfId="0" applyNumberFormat="1" applyFont="1" applyFill="1" applyBorder="1"/>
    <xf numFmtId="9" fontId="59" fillId="14" borderId="5" xfId="0" applyNumberFormat="1" applyFont="1" applyFill="1" applyBorder="1" applyAlignment="1">
      <alignment horizontal="center"/>
    </xf>
    <xf numFmtId="167" fontId="59" fillId="14" borderId="5" xfId="0" applyNumberFormat="1" applyFont="1" applyFill="1" applyBorder="1"/>
    <xf numFmtId="9" fontId="0" fillId="6" borderId="1" xfId="0" applyNumberFormat="1" applyFill="1" applyBorder="1" applyAlignment="1">
      <alignment horizontal="center"/>
    </xf>
    <xf numFmtId="0" fontId="23" fillId="6" borderId="1" xfId="0" applyFont="1" applyFill="1" applyBorder="1" applyAlignment="1">
      <alignment wrapText="1"/>
    </xf>
    <xf numFmtId="0" fontId="57" fillId="16" borderId="1" xfId="0" applyFont="1" applyFill="1" applyBorder="1"/>
    <xf numFmtId="0" fontId="57" fillId="16" borderId="1" xfId="0" applyFont="1" applyFill="1" applyBorder="1" applyAlignment="1">
      <alignment horizontal="center"/>
    </xf>
    <xf numFmtId="167" fontId="60" fillId="6" borderId="14" xfId="0" applyNumberFormat="1" applyFont="1" applyFill="1" applyBorder="1"/>
    <xf numFmtId="0" fontId="57" fillId="7" borderId="10" xfId="0" applyFont="1" applyFill="1" applyBorder="1" applyAlignment="1">
      <alignment horizontal="center"/>
    </xf>
    <xf numFmtId="0" fontId="57" fillId="7" borderId="5" xfId="0" applyFont="1" applyFill="1" applyBorder="1" applyAlignment="1">
      <alignment horizontal="center"/>
    </xf>
    <xf numFmtId="167" fontId="59" fillId="14" borderId="9" xfId="0" applyNumberFormat="1" applyFont="1" applyFill="1" applyBorder="1"/>
    <xf numFmtId="0" fontId="57" fillId="9" borderId="4" xfId="0" applyFont="1" applyFill="1" applyBorder="1" applyAlignment="1">
      <alignment horizontal="center"/>
    </xf>
    <xf numFmtId="0" fontId="57" fillId="9" borderId="0" xfId="0" applyFont="1" applyFill="1" applyAlignment="1">
      <alignment horizontal="center"/>
    </xf>
    <xf numFmtId="0" fontId="59" fillId="14" borderId="15" xfId="0" applyFont="1" applyFill="1" applyBorder="1"/>
    <xf numFmtId="0" fontId="59" fillId="16" borderId="9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23" fillId="14" borderId="1" xfId="0" applyFont="1" applyFill="1" applyBorder="1" applyAlignment="1">
      <alignment wrapText="1"/>
    </xf>
    <xf numFmtId="9" fontId="57" fillId="14" borderId="6" xfId="0" applyNumberFormat="1" applyFont="1" applyFill="1" applyBorder="1" applyAlignment="1">
      <alignment horizontal="center"/>
    </xf>
    <xf numFmtId="9" fontId="59" fillId="14" borderId="14" xfId="0" applyNumberFormat="1" applyFont="1" applyFill="1" applyBorder="1" applyAlignment="1">
      <alignment horizontal="center"/>
    </xf>
    <xf numFmtId="168" fontId="57" fillId="14" borderId="9" xfId="0" applyNumberFormat="1" applyFont="1" applyFill="1" applyBorder="1" applyAlignment="1">
      <alignment horizontal="right"/>
    </xf>
    <xf numFmtId="0" fontId="20" fillId="6" borderId="12" xfId="0" applyFont="1" applyFill="1" applyBorder="1" applyAlignment="1">
      <alignment horizontal="center" vertical="center"/>
    </xf>
    <xf numFmtId="0" fontId="23" fillId="14" borderId="5" xfId="0" applyFont="1" applyFill="1" applyBorder="1" applyAlignment="1">
      <alignment wrapText="1"/>
    </xf>
    <xf numFmtId="0" fontId="41" fillId="14" borderId="1" xfId="0" applyFont="1" applyFill="1" applyBorder="1" applyAlignment="1">
      <alignment horizontal="center" wrapText="1"/>
    </xf>
    <xf numFmtId="0" fontId="38" fillId="24" borderId="28" xfId="0" applyFont="1" applyFill="1" applyBorder="1" applyAlignment="1">
      <alignment horizontal="left" wrapText="1"/>
    </xf>
    <xf numFmtId="0" fontId="41" fillId="16" borderId="1" xfId="0" applyFont="1" applyFill="1" applyBorder="1" applyAlignment="1">
      <alignment horizontal="center" wrapText="1"/>
    </xf>
    <xf numFmtId="9" fontId="57" fillId="16" borderId="1" xfId="0" applyNumberFormat="1" applyFont="1" applyFill="1" applyBorder="1" applyAlignment="1">
      <alignment horizontal="center"/>
    </xf>
    <xf numFmtId="168" fontId="60" fillId="16" borderId="9" xfId="0" applyNumberFormat="1" applyFont="1" applyFill="1" applyBorder="1"/>
    <xf numFmtId="9" fontId="59" fillId="16" borderId="9" xfId="0" applyNumberFormat="1" applyFont="1" applyFill="1" applyBorder="1" applyAlignment="1">
      <alignment horizontal="center"/>
    </xf>
    <xf numFmtId="168" fontId="57" fillId="16" borderId="9" xfId="0" applyNumberFormat="1" applyFont="1" applyFill="1" applyBorder="1" applyAlignment="1">
      <alignment horizontal="center"/>
    </xf>
    <xf numFmtId="0" fontId="59" fillId="16" borderId="6" xfId="0" applyFont="1" applyFill="1" applyBorder="1" applyAlignment="1">
      <alignment horizontal="center"/>
    </xf>
    <xf numFmtId="9" fontId="57" fillId="6" borderId="6" xfId="0" applyNumberFormat="1" applyFont="1" applyFill="1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9" xfId="0" applyBorder="1" applyAlignment="1">
      <alignment horizontal="right"/>
    </xf>
    <xf numFmtId="0" fontId="59" fillId="6" borderId="3" xfId="0" applyFont="1" applyFill="1" applyBorder="1" applyAlignment="1">
      <alignment horizontal="center"/>
    </xf>
    <xf numFmtId="0" fontId="60" fillId="14" borderId="9" xfId="0" applyFont="1" applyFill="1" applyBorder="1" applyAlignment="1">
      <alignment horizontal="center" wrapText="1"/>
    </xf>
    <xf numFmtId="0" fontId="57" fillId="6" borderId="11" xfId="0" applyFont="1" applyFill="1" applyBorder="1"/>
    <xf numFmtId="9" fontId="57" fillId="14" borderId="14" xfId="0" applyNumberFormat="1" applyFont="1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41" fillId="6" borderId="1" xfId="0" applyFont="1" applyFill="1" applyBorder="1" applyAlignment="1">
      <alignment wrapText="1"/>
    </xf>
    <xf numFmtId="9" fontId="0" fillId="0" borderId="5" xfId="0" applyNumberFormat="1" applyBorder="1" applyAlignment="1">
      <alignment horizontal="center"/>
    </xf>
    <xf numFmtId="0" fontId="41" fillId="0" borderId="7" xfId="0" applyFont="1" applyBorder="1" applyAlignment="1">
      <alignment wrapText="1"/>
    </xf>
    <xf numFmtId="167" fontId="60" fillId="16" borderId="5" xfId="0" applyNumberFormat="1" applyFont="1" applyFill="1" applyBorder="1"/>
    <xf numFmtId="9" fontId="59" fillId="16" borderId="5" xfId="0" applyNumberFormat="1" applyFont="1" applyFill="1" applyBorder="1" applyAlignment="1">
      <alignment horizontal="center"/>
    </xf>
    <xf numFmtId="167" fontId="59" fillId="16" borderId="5" xfId="0" applyNumberFormat="1" applyFont="1" applyFill="1" applyBorder="1"/>
    <xf numFmtId="0" fontId="0" fillId="6" borderId="8" xfId="0" applyFill="1" applyBorder="1" applyAlignment="1">
      <alignment horizontal="center"/>
    </xf>
    <xf numFmtId="9" fontId="57" fillId="14" borderId="3" xfId="0" applyNumberFormat="1" applyFont="1" applyFill="1" applyBorder="1" applyAlignment="1">
      <alignment horizontal="center"/>
    </xf>
    <xf numFmtId="167" fontId="60" fillId="14" borderId="11" xfId="0" applyNumberFormat="1" applyFont="1" applyFill="1" applyBorder="1"/>
    <xf numFmtId="9" fontId="59" fillId="14" borderId="4" xfId="0" applyNumberFormat="1" applyFont="1" applyFill="1" applyBorder="1" applyAlignment="1">
      <alignment horizontal="center"/>
    </xf>
    <xf numFmtId="0" fontId="59" fillId="14" borderId="4" xfId="0" applyFont="1" applyFill="1" applyBorder="1" applyAlignment="1">
      <alignment horizontal="center"/>
    </xf>
    <xf numFmtId="0" fontId="59" fillId="14" borderId="12" xfId="0" applyFont="1" applyFill="1" applyBorder="1" applyAlignment="1">
      <alignment horizontal="center"/>
    </xf>
    <xf numFmtId="0" fontId="60" fillId="14" borderId="4" xfId="0" applyFont="1" applyFill="1" applyBorder="1" applyAlignment="1">
      <alignment horizontal="center"/>
    </xf>
    <xf numFmtId="0" fontId="41" fillId="16" borderId="1" xfId="0" applyFont="1" applyFill="1" applyBorder="1" applyAlignment="1">
      <alignment wrapText="1"/>
    </xf>
    <xf numFmtId="9" fontId="59" fillId="16" borderId="12" xfId="0" applyNumberFormat="1" applyFont="1" applyFill="1" applyBorder="1" applyAlignment="1">
      <alignment horizontal="center"/>
    </xf>
    <xf numFmtId="9" fontId="59" fillId="16" borderId="15" xfId="0" applyNumberFormat="1" applyFont="1" applyFill="1" applyBorder="1" applyAlignment="1">
      <alignment horizontal="center"/>
    </xf>
    <xf numFmtId="0" fontId="23" fillId="14" borderId="9" xfId="0" applyFont="1" applyFill="1" applyBorder="1" applyAlignment="1">
      <alignment wrapText="1"/>
    </xf>
    <xf numFmtId="0" fontId="60" fillId="14" borderId="5" xfId="0" applyFont="1" applyFill="1" applyBorder="1" applyAlignment="1">
      <alignment horizontal="center"/>
    </xf>
    <xf numFmtId="0" fontId="38" fillId="24" borderId="1" xfId="0" applyFont="1" applyFill="1" applyBorder="1" applyAlignment="1">
      <alignment wrapText="1"/>
    </xf>
    <xf numFmtId="0" fontId="78" fillId="0" borderId="1" xfId="0" applyFont="1" applyBorder="1" applyAlignment="1">
      <alignment wrapText="1"/>
    </xf>
    <xf numFmtId="0" fontId="39" fillId="24" borderId="1" xfId="0" applyFont="1" applyFill="1" applyBorder="1" applyAlignment="1">
      <alignment wrapText="1"/>
    </xf>
    <xf numFmtId="0" fontId="38" fillId="24" borderId="55" xfId="0" applyFont="1" applyFill="1" applyBorder="1" applyAlignment="1">
      <alignment wrapText="1"/>
    </xf>
    <xf numFmtId="0" fontId="38" fillId="24" borderId="30" xfId="0" applyFont="1" applyFill="1" applyBorder="1" applyAlignment="1">
      <alignment wrapText="1"/>
    </xf>
    <xf numFmtId="0" fontId="39" fillId="24" borderId="30" xfId="0" applyFont="1" applyFill="1" applyBorder="1" applyAlignment="1">
      <alignment wrapText="1"/>
    </xf>
    <xf numFmtId="167" fontId="60" fillId="6" borderId="1" xfId="0" applyNumberFormat="1" applyFont="1" applyFill="1" applyBorder="1" applyAlignment="1">
      <alignment horizontal="right"/>
    </xf>
    <xf numFmtId="0" fontId="41" fillId="6" borderId="0" xfId="0" applyFont="1" applyFill="1" applyAlignment="1">
      <alignment wrapText="1"/>
    </xf>
    <xf numFmtId="9" fontId="0" fillId="6" borderId="5" xfId="0" applyNumberFormat="1" applyFill="1" applyBorder="1" applyAlignment="1">
      <alignment horizontal="center"/>
    </xf>
    <xf numFmtId="0" fontId="41" fillId="6" borderId="7" xfId="0" applyFont="1" applyFill="1" applyBorder="1" applyAlignment="1">
      <alignment wrapText="1"/>
    </xf>
    <xf numFmtId="0" fontId="0" fillId="6" borderId="14" xfId="0" applyFill="1" applyBorder="1"/>
    <xf numFmtId="0" fontId="57" fillId="6" borderId="7" xfId="0" applyFont="1" applyFill="1" applyBorder="1" applyAlignment="1">
      <alignment horizontal="center"/>
    </xf>
    <xf numFmtId="167" fontId="57" fillId="14" borderId="9" xfId="0" applyNumberFormat="1" applyFont="1" applyFill="1" applyBorder="1"/>
    <xf numFmtId="168" fontId="59" fillId="14" borderId="1" xfId="0" applyNumberFormat="1" applyFont="1" applyFill="1" applyBorder="1" applyAlignment="1">
      <alignment horizontal="center"/>
    </xf>
    <xf numFmtId="0" fontId="57" fillId="14" borderId="7" xfId="0" applyFont="1" applyFill="1" applyBorder="1" applyAlignment="1">
      <alignment horizontal="center"/>
    </xf>
    <xf numFmtId="9" fontId="59" fillId="14" borderId="2" xfId="0" applyNumberFormat="1" applyFont="1" applyFill="1" applyBorder="1" applyAlignment="1">
      <alignment horizontal="center"/>
    </xf>
    <xf numFmtId="168" fontId="59" fillId="14" borderId="5" xfId="0" applyNumberFormat="1" applyFont="1" applyFill="1" applyBorder="1" applyAlignment="1">
      <alignment horizontal="center"/>
    </xf>
    <xf numFmtId="0" fontId="59" fillId="14" borderId="0" xfId="0" applyFont="1" applyFill="1" applyAlignment="1">
      <alignment horizontal="center"/>
    </xf>
    <xf numFmtId="0" fontId="59" fillId="14" borderId="13" xfId="0" applyFont="1" applyFill="1" applyBorder="1" applyAlignment="1">
      <alignment horizontal="center"/>
    </xf>
    <xf numFmtId="0" fontId="59" fillId="14" borderId="2" xfId="0" applyFont="1" applyFill="1" applyBorder="1" applyAlignment="1">
      <alignment horizontal="center"/>
    </xf>
    <xf numFmtId="0" fontId="57" fillId="14" borderId="14" xfId="0" applyFont="1" applyFill="1" applyBorder="1"/>
    <xf numFmtId="0" fontId="57" fillId="16" borderId="9" xfId="0" applyFont="1" applyFill="1" applyBorder="1" applyAlignment="1">
      <alignment horizontal="center"/>
    </xf>
    <xf numFmtId="168" fontId="6" fillId="8" borderId="0" xfId="0" applyNumberFormat="1" applyFont="1" applyFill="1"/>
    <xf numFmtId="167" fontId="56" fillId="8" borderId="1" xfId="0" applyNumberFormat="1" applyFont="1" applyFill="1" applyBorder="1" applyAlignment="1">
      <alignment horizontal="right"/>
    </xf>
    <xf numFmtId="0" fontId="79" fillId="6" borderId="1" xfId="0" applyFont="1" applyFill="1" applyBorder="1" applyAlignment="1">
      <alignment horizontal="left"/>
    </xf>
    <xf numFmtId="167" fontId="79" fillId="6" borderId="1" xfId="0" applyNumberFormat="1" applyFont="1" applyFill="1" applyBorder="1" applyAlignment="1">
      <alignment horizontal="left"/>
    </xf>
    <xf numFmtId="167" fontId="55" fillId="11" borderId="1" xfId="0" applyNumberFormat="1" applyFont="1" applyFill="1" applyBorder="1" applyAlignment="1">
      <alignment horizontal="center"/>
    </xf>
    <xf numFmtId="9" fontId="6" fillId="14" borderId="1" xfId="0" applyNumberFormat="1" applyFont="1" applyFill="1" applyBorder="1" applyAlignment="1">
      <alignment horizontal="center"/>
    </xf>
    <xf numFmtId="9" fontId="54" fillId="14" borderId="12" xfId="0" applyNumberFormat="1" applyFont="1" applyFill="1" applyBorder="1" applyAlignment="1">
      <alignment horizontal="center"/>
    </xf>
    <xf numFmtId="9" fontId="6" fillId="14" borderId="8" xfId="0" applyNumberFormat="1" applyFont="1" applyFill="1" applyBorder="1" applyAlignment="1">
      <alignment horizontal="center"/>
    </xf>
    <xf numFmtId="9" fontId="60" fillId="6" borderId="15" xfId="0" applyNumberFormat="1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168" fontId="0" fillId="6" borderId="16" xfId="0" applyNumberFormat="1" applyFill="1" applyBorder="1"/>
    <xf numFmtId="0" fontId="27" fillId="6" borderId="16" xfId="0" applyFont="1" applyFill="1" applyBorder="1"/>
    <xf numFmtId="9" fontId="59" fillId="6" borderId="5" xfId="0" applyNumberFormat="1" applyFont="1" applyFill="1" applyBorder="1" applyAlignment="1">
      <alignment horizontal="center"/>
    </xf>
    <xf numFmtId="168" fontId="57" fillId="6" borderId="5" xfId="0" applyNumberFormat="1" applyFont="1" applyFill="1" applyBorder="1" applyAlignment="1">
      <alignment horizontal="center"/>
    </xf>
    <xf numFmtId="0" fontId="57" fillId="6" borderId="5" xfId="0" applyFont="1" applyFill="1" applyBorder="1"/>
    <xf numFmtId="9" fontId="60" fillId="14" borderId="15" xfId="0" applyNumberFormat="1" applyFont="1" applyFill="1" applyBorder="1" applyAlignment="1">
      <alignment horizontal="center"/>
    </xf>
    <xf numFmtId="0" fontId="59" fillId="14" borderId="14" xfId="0" applyFont="1" applyFill="1" applyBorder="1"/>
    <xf numFmtId="9" fontId="60" fillId="16" borderId="15" xfId="0" applyNumberFormat="1" applyFont="1" applyFill="1" applyBorder="1" applyAlignment="1">
      <alignment horizontal="center"/>
    </xf>
    <xf numFmtId="0" fontId="3" fillId="16" borderId="9" xfId="0" applyFont="1" applyFill="1" applyBorder="1" applyAlignment="1">
      <alignment horizontal="center"/>
    </xf>
    <xf numFmtId="0" fontId="3" fillId="16" borderId="14" xfId="0" applyFont="1" applyFill="1" applyBorder="1" applyAlignment="1">
      <alignment horizontal="center"/>
    </xf>
    <xf numFmtId="0" fontId="60" fillId="16" borderId="9" xfId="0" applyFont="1" applyFill="1" applyBorder="1" applyAlignment="1">
      <alignment horizontal="left" wrapText="1"/>
    </xf>
    <xf numFmtId="167" fontId="3" fillId="16" borderId="14" xfId="0" applyNumberFormat="1" applyFont="1" applyFill="1" applyBorder="1" applyAlignment="1">
      <alignment horizontal="center"/>
    </xf>
    <xf numFmtId="3" fontId="3" fillId="16" borderId="9" xfId="0" applyNumberFormat="1" applyFont="1" applyFill="1" applyBorder="1" applyAlignment="1">
      <alignment horizontal="center"/>
    </xf>
    <xf numFmtId="0" fontId="60" fillId="16" borderId="9" xfId="0" applyFont="1" applyFill="1" applyBorder="1" applyAlignment="1">
      <alignment horizontal="left"/>
    </xf>
    <xf numFmtId="0" fontId="60" fillId="16" borderId="14" xfId="0" applyFont="1" applyFill="1" applyBorder="1" applyAlignment="1">
      <alignment horizontal="left"/>
    </xf>
    <xf numFmtId="0" fontId="20" fillId="16" borderId="12" xfId="0" applyFont="1" applyFill="1" applyBorder="1" applyAlignment="1">
      <alignment horizontal="center" vertical="center"/>
    </xf>
    <xf numFmtId="0" fontId="57" fillId="16" borderId="15" xfId="0" applyFont="1" applyFill="1" applyBorder="1" applyAlignment="1">
      <alignment horizontal="left"/>
    </xf>
    <xf numFmtId="0" fontId="57" fillId="16" borderId="9" xfId="0" applyFont="1" applyFill="1" applyBorder="1" applyAlignment="1">
      <alignment horizontal="left"/>
    </xf>
    <xf numFmtId="3" fontId="57" fillId="16" borderId="9" xfId="0" applyNumberFormat="1" applyFont="1" applyFill="1" applyBorder="1" applyAlignment="1">
      <alignment horizontal="left"/>
    </xf>
    <xf numFmtId="0" fontId="80" fillId="16" borderId="14" xfId="0" applyFont="1" applyFill="1" applyBorder="1" applyAlignment="1">
      <alignment horizontal="center"/>
    </xf>
    <xf numFmtId="0" fontId="57" fillId="16" borderId="12" xfId="0" applyFont="1" applyFill="1" applyBorder="1" applyAlignment="1">
      <alignment horizontal="center"/>
    </xf>
    <xf numFmtId="167" fontId="68" fillId="6" borderId="1" xfId="0" applyNumberFormat="1" applyFont="1" applyFill="1" applyBorder="1" applyAlignment="1">
      <alignment horizontal="right"/>
    </xf>
    <xf numFmtId="9" fontId="60" fillId="6" borderId="0" xfId="0" applyNumberFormat="1" applyFont="1" applyFill="1" applyAlignment="1">
      <alignment horizontal="center"/>
    </xf>
    <xf numFmtId="0" fontId="60" fillId="0" borderId="5" xfId="0" applyFont="1" applyBorder="1" applyAlignment="1">
      <alignment wrapText="1"/>
    </xf>
    <xf numFmtId="9" fontId="59" fillId="0" borderId="4" xfId="0" applyNumberFormat="1" applyFont="1" applyBorder="1"/>
    <xf numFmtId="0" fontId="3" fillId="16" borderId="15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57" fillId="6" borderId="15" xfId="0" applyFont="1" applyFill="1" applyBorder="1"/>
    <xf numFmtId="0" fontId="57" fillId="7" borderId="12" xfId="0" applyFont="1" applyFill="1" applyBorder="1"/>
    <xf numFmtId="0" fontId="0" fillId="0" borderId="5" xfId="0" applyBorder="1" applyAlignment="1">
      <alignment horizontal="center"/>
    </xf>
    <xf numFmtId="9" fontId="57" fillId="14" borderId="15" xfId="0" applyNumberFormat="1" applyFont="1" applyFill="1" applyBorder="1" applyAlignment="1">
      <alignment horizontal="center"/>
    </xf>
    <xf numFmtId="0" fontId="57" fillId="14" borderId="9" xfId="0" applyFont="1" applyFill="1" applyBorder="1" applyAlignment="1">
      <alignment horizontal="left"/>
    </xf>
    <xf numFmtId="0" fontId="60" fillId="14" borderId="14" xfId="0" applyFont="1" applyFill="1" applyBorder="1" applyAlignment="1">
      <alignment horizontal="left"/>
    </xf>
    <xf numFmtId="3" fontId="57" fillId="14" borderId="9" xfId="0" applyNumberFormat="1" applyFont="1" applyFill="1" applyBorder="1" applyAlignment="1">
      <alignment horizontal="right"/>
    </xf>
    <xf numFmtId="0" fontId="39" fillId="0" borderId="1" xfId="0" applyFont="1" applyBorder="1" applyAlignment="1">
      <alignment wrapText="1"/>
    </xf>
    <xf numFmtId="0" fontId="38" fillId="24" borderId="38" xfId="0" applyFont="1" applyFill="1" applyBorder="1" applyAlignment="1">
      <alignment wrapText="1"/>
    </xf>
    <xf numFmtId="0" fontId="38" fillId="24" borderId="9" xfId="0" applyFont="1" applyFill="1" applyBorder="1" applyAlignment="1">
      <alignment wrapText="1"/>
    </xf>
    <xf numFmtId="0" fontId="39" fillId="24" borderId="9" xfId="0" applyFont="1" applyFill="1" applyBorder="1" applyAlignment="1">
      <alignment wrapText="1"/>
    </xf>
    <xf numFmtId="0" fontId="39" fillId="0" borderId="30" xfId="0" applyFont="1" applyBorder="1" applyAlignment="1">
      <alignment wrapText="1"/>
    </xf>
    <xf numFmtId="167" fontId="3" fillId="5" borderId="14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67" fontId="3" fillId="16" borderId="1" xfId="0" applyNumberFormat="1" applyFont="1" applyFill="1" applyBorder="1" applyAlignment="1">
      <alignment horizontal="center"/>
    </xf>
    <xf numFmtId="3" fontId="3" fillId="16" borderId="1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16" borderId="6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41" fillId="6" borderId="2" xfId="0" applyFont="1" applyFill="1" applyBorder="1" applyAlignment="1">
      <alignment horizontal="center" wrapText="1"/>
    </xf>
    <xf numFmtId="0" fontId="59" fillId="6" borderId="13" xfId="0" applyFont="1" applyFill="1" applyBorder="1" applyAlignment="1">
      <alignment horizontal="center"/>
    </xf>
    <xf numFmtId="0" fontId="57" fillId="9" borderId="11" xfId="0" applyFont="1" applyFill="1" applyBorder="1" applyAlignment="1">
      <alignment horizontal="center"/>
    </xf>
    <xf numFmtId="0" fontId="57" fillId="0" borderId="14" xfId="0" applyFont="1" applyBorder="1" applyAlignment="1">
      <alignment horizontal="center"/>
    </xf>
    <xf numFmtId="0" fontId="57" fillId="0" borderId="10" xfId="0" applyFont="1" applyBorder="1"/>
    <xf numFmtId="0" fontId="41" fillId="14" borderId="2" xfId="0" applyFont="1" applyFill="1" applyBorder="1" applyAlignment="1">
      <alignment horizontal="center" wrapText="1"/>
    </xf>
    <xf numFmtId="9" fontId="57" fillId="14" borderId="5" xfId="0" applyNumberFormat="1" applyFont="1" applyFill="1" applyBorder="1" applyAlignment="1">
      <alignment horizontal="center"/>
    </xf>
    <xf numFmtId="9" fontId="0" fillId="14" borderId="13" xfId="0" applyNumberFormat="1" applyFill="1" applyBorder="1" applyAlignment="1">
      <alignment horizontal="center"/>
    </xf>
    <xf numFmtId="9" fontId="57" fillId="6" borderId="3" xfId="0" applyNumberFormat="1" applyFont="1" applyFill="1" applyBorder="1" applyAlignment="1">
      <alignment horizontal="center"/>
    </xf>
    <xf numFmtId="0" fontId="81" fillId="14" borderId="1" xfId="0" applyFont="1" applyFill="1" applyBorder="1" applyAlignment="1">
      <alignment horizontal="center" wrapText="1"/>
    </xf>
    <xf numFmtId="0" fontId="58" fillId="0" borderId="0" xfId="0" applyFont="1"/>
    <xf numFmtId="167" fontId="65" fillId="0" borderId="0" xfId="0" applyNumberFormat="1" applyFont="1"/>
    <xf numFmtId="167" fontId="68" fillId="6" borderId="0" xfId="0" applyNumberFormat="1" applyFont="1" applyFill="1" applyAlignment="1">
      <alignment horizontal="right"/>
    </xf>
    <xf numFmtId="0" fontId="57" fillId="0" borderId="0" xfId="0" applyFont="1" applyAlignment="1">
      <alignment horizontal="center"/>
    </xf>
    <xf numFmtId="0" fontId="57" fillId="0" borderId="0" xfId="0" applyFont="1"/>
    <xf numFmtId="167" fontId="57" fillId="0" borderId="0" xfId="0" applyNumberFormat="1" applyFont="1"/>
    <xf numFmtId="3" fontId="57" fillId="0" borderId="0" xfId="0" applyNumberFormat="1" applyFont="1"/>
    <xf numFmtId="0" fontId="59" fillId="0" borderId="0" xfId="0" applyFont="1"/>
    <xf numFmtId="0" fontId="65" fillId="0" borderId="0" xfId="0" applyFont="1" applyAlignment="1">
      <alignment horizontal="center"/>
    </xf>
    <xf numFmtId="0" fontId="59" fillId="0" borderId="11" xfId="0" applyFont="1" applyBorder="1" applyAlignment="1">
      <alignment horizontal="center"/>
    </xf>
    <xf numFmtId="167" fontId="3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9" fontId="57" fillId="6" borderId="5" xfId="0" applyNumberFormat="1" applyFont="1" applyFill="1" applyBorder="1" applyAlignment="1">
      <alignment horizontal="center"/>
    </xf>
    <xf numFmtId="167" fontId="59" fillId="16" borderId="6" xfId="0" applyNumberFormat="1" applyFont="1" applyFill="1" applyBorder="1"/>
    <xf numFmtId="0" fontId="59" fillId="16" borderId="9" xfId="0" applyFont="1" applyFill="1" applyBorder="1"/>
    <xf numFmtId="0" fontId="78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65" fillId="6" borderId="0" xfId="0" applyFont="1" applyFill="1"/>
    <xf numFmtId="0" fontId="57" fillId="0" borderId="1" xfId="0" applyFont="1" applyBorder="1" applyAlignment="1">
      <alignment horizontal="center"/>
    </xf>
    <xf numFmtId="167" fontId="66" fillId="14" borderId="1" xfId="0" applyNumberFormat="1" applyFont="1" applyFill="1" applyBorder="1"/>
    <xf numFmtId="3" fontId="57" fillId="0" borderId="1" xfId="0" applyNumberFormat="1" applyFont="1" applyBorder="1"/>
    <xf numFmtId="0" fontId="57" fillId="0" borderId="1" xfId="0" applyFont="1" applyBorder="1"/>
    <xf numFmtId="0" fontId="65" fillId="6" borderId="1" xfId="0" applyFont="1" applyFill="1" applyBorder="1"/>
    <xf numFmtId="0" fontId="65" fillId="0" borderId="1" xfId="0" applyFont="1" applyBorder="1" applyAlignment="1">
      <alignment horizontal="center"/>
    </xf>
    <xf numFmtId="167" fontId="66" fillId="6" borderId="1" xfId="0" applyNumberFormat="1" applyFont="1" applyFill="1" applyBorder="1"/>
    <xf numFmtId="3" fontId="57" fillId="6" borderId="1" xfId="0" applyNumberFormat="1" applyFont="1" applyFill="1" applyBorder="1"/>
    <xf numFmtId="167" fontId="59" fillId="0" borderId="1" xfId="0" applyNumberFormat="1" applyFont="1" applyBorder="1" applyAlignment="1">
      <alignment horizontal="center"/>
    </xf>
    <xf numFmtId="0" fontId="59" fillId="0" borderId="0" xfId="0" applyFont="1" applyAlignment="1">
      <alignment horizontal="center"/>
    </xf>
    <xf numFmtId="167" fontId="66" fillId="6" borderId="0" xfId="0" applyNumberFormat="1" applyFont="1" applyFill="1"/>
    <xf numFmtId="3" fontId="57" fillId="6" borderId="0" xfId="0" applyNumberFormat="1" applyFont="1" applyFill="1"/>
    <xf numFmtId="0" fontId="59" fillId="6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9" fillId="6" borderId="2" xfId="0" applyFont="1" applyFill="1" applyBorder="1" applyAlignment="1">
      <alignment horizontal="center"/>
    </xf>
    <xf numFmtId="0" fontId="0" fillId="0" borderId="4" xfId="0" applyBorder="1"/>
    <xf numFmtId="0" fontId="57" fillId="9" borderId="8" xfId="0" applyFont="1" applyFill="1" applyBorder="1"/>
    <xf numFmtId="0" fontId="57" fillId="0" borderId="8" xfId="0" applyFont="1" applyBorder="1"/>
    <xf numFmtId="9" fontId="59" fillId="6" borderId="9" xfId="0" applyNumberFormat="1" applyFont="1" applyFill="1" applyBorder="1"/>
    <xf numFmtId="0" fontId="60" fillId="6" borderId="9" xfId="0" applyFont="1" applyFill="1" applyBorder="1" applyAlignment="1">
      <alignment wrapText="1"/>
    </xf>
    <xf numFmtId="0" fontId="9" fillId="6" borderId="15" xfId="0" applyFont="1" applyFill="1" applyBorder="1" applyAlignment="1">
      <alignment horizontal="center"/>
    </xf>
    <xf numFmtId="9" fontId="59" fillId="0" borderId="12" xfId="0" applyNumberFormat="1" applyFont="1" applyBorder="1" applyAlignment="1">
      <alignment horizontal="center"/>
    </xf>
    <xf numFmtId="3" fontId="9" fillId="6" borderId="14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9" fontId="3" fillId="14" borderId="1" xfId="0" applyNumberFormat="1" applyFont="1" applyFill="1" applyBorder="1" applyAlignment="1">
      <alignment horizontal="center"/>
    </xf>
    <xf numFmtId="167" fontId="3" fillId="14" borderId="1" xfId="0" applyNumberFormat="1" applyFont="1" applyFill="1" applyBorder="1" applyAlignment="1">
      <alignment horizontal="center"/>
    </xf>
    <xf numFmtId="3" fontId="3" fillId="14" borderId="1" xfId="0" applyNumberFormat="1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 wrapText="1"/>
    </xf>
    <xf numFmtId="0" fontId="41" fillId="14" borderId="6" xfId="0" applyFont="1" applyFill="1" applyBorder="1" applyAlignment="1">
      <alignment horizontal="center" wrapText="1"/>
    </xf>
    <xf numFmtId="0" fontId="60" fillId="6" borderId="5" xfId="0" applyFont="1" applyFill="1" applyBorder="1" applyAlignment="1">
      <alignment horizontal="center"/>
    </xf>
    <xf numFmtId="9" fontId="60" fillId="6" borderId="5" xfId="0" applyNumberFormat="1" applyFont="1" applyFill="1" applyBorder="1" applyAlignment="1">
      <alignment horizontal="center"/>
    </xf>
    <xf numFmtId="9" fontId="59" fillId="0" borderId="1" xfId="0" applyNumberFormat="1" applyFont="1" applyBorder="1"/>
    <xf numFmtId="168" fontId="57" fillId="6" borderId="10" xfId="0" applyNumberFormat="1" applyFont="1" applyFill="1" applyBorder="1" applyAlignment="1">
      <alignment horizontal="right"/>
    </xf>
    <xf numFmtId="167" fontId="59" fillId="6" borderId="3" xfId="0" applyNumberFormat="1" applyFont="1" applyFill="1" applyBorder="1" applyAlignment="1">
      <alignment horizontal="right"/>
    </xf>
    <xf numFmtId="167" fontId="65" fillId="14" borderId="1" xfId="0" applyNumberFormat="1" applyFont="1" applyFill="1" applyBorder="1"/>
    <xf numFmtId="167" fontId="21" fillId="14" borderId="1" xfId="0" applyNumberFormat="1" applyFont="1" applyFill="1" applyBorder="1"/>
    <xf numFmtId="0" fontId="0" fillId="14" borderId="1" xfId="0" applyFill="1" applyBorder="1" applyAlignment="1">
      <alignment horizontal="center"/>
    </xf>
    <xf numFmtId="167" fontId="59" fillId="14" borderId="9" xfId="0" applyNumberFormat="1" applyFont="1" applyFill="1" applyBorder="1" applyAlignment="1">
      <alignment horizontal="center"/>
    </xf>
    <xf numFmtId="167" fontId="59" fillId="14" borderId="1" xfId="0" applyNumberFormat="1" applyFont="1" applyFill="1" applyBorder="1" applyAlignment="1">
      <alignment horizontal="center"/>
    </xf>
    <xf numFmtId="167" fontId="59" fillId="14" borderId="8" xfId="0" applyNumberFormat="1" applyFont="1" applyFill="1" applyBorder="1" applyAlignment="1">
      <alignment horizontal="center"/>
    </xf>
    <xf numFmtId="0" fontId="23" fillId="14" borderId="0" xfId="0" applyFont="1" applyFill="1" applyAlignment="1">
      <alignment horizontal="center" wrapText="1"/>
    </xf>
    <xf numFmtId="167" fontId="65" fillId="0" borderId="1" xfId="0" applyNumberFormat="1" applyFont="1" applyBorder="1" applyAlignment="1">
      <alignment horizontal="center"/>
    </xf>
    <xf numFmtId="167" fontId="66" fillId="8" borderId="1" xfId="0" applyNumberFormat="1" applyFont="1" applyFill="1" applyBorder="1"/>
    <xf numFmtId="0" fontId="59" fillId="14" borderId="3" xfId="0" applyFont="1" applyFill="1" applyBorder="1"/>
    <xf numFmtId="0" fontId="0" fillId="18" borderId="0" xfId="0" applyFill="1" applyAlignment="1">
      <alignment horizontal="center"/>
    </xf>
    <xf numFmtId="0" fontId="0" fillId="18" borderId="5" xfId="0" applyFill="1" applyBorder="1"/>
    <xf numFmtId="0" fontId="0" fillId="18" borderId="5" xfId="0" applyFill="1" applyBorder="1" applyAlignment="1">
      <alignment horizontal="left"/>
    </xf>
    <xf numFmtId="0" fontId="41" fillId="0" borderId="1" xfId="0" applyFont="1" applyBorder="1" applyAlignment="1">
      <alignment wrapText="1"/>
    </xf>
    <xf numFmtId="0" fontId="9" fillId="6" borderId="12" xfId="0" applyFont="1" applyFill="1" applyBorder="1" applyAlignment="1">
      <alignment horizontal="center"/>
    </xf>
    <xf numFmtId="0" fontId="3" fillId="16" borderId="9" xfId="0" applyFont="1" applyFill="1" applyBorder="1" applyAlignment="1">
      <alignment horizontal="left"/>
    </xf>
    <xf numFmtId="0" fontId="4" fillId="16" borderId="9" xfId="0" applyFont="1" applyFill="1" applyBorder="1"/>
    <xf numFmtId="3" fontId="9" fillId="16" borderId="14" xfId="0" applyNumberFormat="1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59" fillId="0" borderId="5" xfId="0" applyFont="1" applyBorder="1"/>
    <xf numFmtId="0" fontId="9" fillId="16" borderId="1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9" fontId="86" fillId="14" borderId="6" xfId="0" applyNumberFormat="1" applyFont="1" applyFill="1" applyBorder="1" applyAlignment="1">
      <alignment horizontal="center"/>
    </xf>
    <xf numFmtId="0" fontId="85" fillId="14" borderId="1" xfId="0" applyFont="1" applyFill="1" applyBorder="1" applyAlignment="1">
      <alignment wrapText="1"/>
    </xf>
    <xf numFmtId="3" fontId="86" fillId="14" borderId="14" xfId="0" applyNumberFormat="1" applyFont="1" applyFill="1" applyBorder="1" applyAlignment="1">
      <alignment horizontal="left"/>
    </xf>
    <xf numFmtId="0" fontId="85" fillId="14" borderId="14" xfId="0" applyFont="1" applyFill="1" applyBorder="1" applyAlignment="1">
      <alignment horizontal="center"/>
    </xf>
    <xf numFmtId="0" fontId="86" fillId="14" borderId="12" xfId="0" applyFont="1" applyFill="1" applyBorder="1" applyAlignment="1">
      <alignment horizontal="center"/>
    </xf>
    <xf numFmtId="0" fontId="13" fillId="0" borderId="8" xfId="0" applyFont="1" applyBorder="1"/>
    <xf numFmtId="0" fontId="84" fillId="0" borderId="12" xfId="0" applyFont="1" applyBorder="1"/>
    <xf numFmtId="0" fontId="84" fillId="0" borderId="7" xfId="0" applyFont="1" applyBorder="1"/>
    <xf numFmtId="0" fontId="88" fillId="0" borderId="1" xfId="0" applyFont="1" applyBorder="1" applyAlignment="1">
      <alignment horizontal="center"/>
    </xf>
    <xf numFmtId="0" fontId="88" fillId="0" borderId="8" xfId="0" applyFont="1" applyBorder="1"/>
    <xf numFmtId="0" fontId="89" fillId="0" borderId="1" xfId="0" applyFont="1" applyBorder="1"/>
    <xf numFmtId="9" fontId="0" fillId="14" borderId="7" xfId="0" applyNumberFormat="1" applyFill="1" applyBorder="1" applyAlignment="1">
      <alignment horizontal="center"/>
    </xf>
    <xf numFmtId="0" fontId="41" fillId="14" borderId="5" xfId="0" applyFont="1" applyFill="1" applyBorder="1" applyAlignment="1">
      <alignment wrapText="1"/>
    </xf>
    <xf numFmtId="9" fontId="59" fillId="0" borderId="1" xfId="0" applyNumberFormat="1" applyFont="1" applyBorder="1" applyAlignment="1">
      <alignment horizontal="center"/>
    </xf>
    <xf numFmtId="0" fontId="9" fillId="16" borderId="9" xfId="0" applyFont="1" applyFill="1" applyBorder="1" applyAlignment="1">
      <alignment horizontal="center"/>
    </xf>
    <xf numFmtId="0" fontId="5" fillId="16" borderId="9" xfId="0" applyFont="1" applyFill="1" applyBorder="1" applyAlignment="1">
      <alignment horizontal="left"/>
    </xf>
    <xf numFmtId="167" fontId="60" fillId="14" borderId="9" xfId="0" applyNumberFormat="1" applyFont="1" applyFill="1" applyBorder="1" applyAlignment="1">
      <alignment horizontal="right"/>
    </xf>
    <xf numFmtId="167" fontId="60" fillId="6" borderId="11" xfId="0" applyNumberFormat="1" applyFont="1" applyFill="1" applyBorder="1"/>
    <xf numFmtId="0" fontId="57" fillId="9" borderId="6" xfId="0" applyFont="1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3" fontId="9" fillId="16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left" wrapText="1"/>
    </xf>
    <xf numFmtId="0" fontId="0" fillId="18" borderId="5" xfId="0" applyFill="1" applyBorder="1" applyAlignment="1">
      <alignment horizontal="center"/>
    </xf>
    <xf numFmtId="0" fontId="41" fillId="16" borderId="8" xfId="0" applyFont="1" applyFill="1" applyBorder="1" applyAlignment="1">
      <alignment wrapText="1"/>
    </xf>
    <xf numFmtId="167" fontId="59" fillId="16" borderId="5" xfId="0" applyNumberFormat="1" applyFont="1" applyFill="1" applyBorder="1" applyAlignment="1">
      <alignment horizontal="right"/>
    </xf>
    <xf numFmtId="0" fontId="60" fillId="6" borderId="1" xfId="0" applyFont="1" applyFill="1" applyBorder="1"/>
    <xf numFmtId="0" fontId="60" fillId="16" borderId="1" xfId="0" applyFont="1" applyFill="1" applyBorder="1" applyAlignment="1">
      <alignment horizontal="left" wrapText="1"/>
    </xf>
    <xf numFmtId="9" fontId="60" fillId="6" borderId="4" xfId="0" applyNumberFormat="1" applyFont="1" applyFill="1" applyBorder="1" applyAlignment="1">
      <alignment horizontal="center"/>
    </xf>
    <xf numFmtId="167" fontId="60" fillId="6" borderId="4" xfId="0" applyNumberFormat="1" applyFont="1" applyFill="1" applyBorder="1" applyAlignment="1">
      <alignment horizontal="right"/>
    </xf>
    <xf numFmtId="167" fontId="59" fillId="14" borderId="5" xfId="0" applyNumberFormat="1" applyFont="1" applyFill="1" applyBorder="1" applyAlignment="1">
      <alignment horizontal="right"/>
    </xf>
    <xf numFmtId="0" fontId="57" fillId="14" borderId="12" xfId="0" applyFont="1" applyFill="1" applyBorder="1" applyAlignment="1">
      <alignment horizontal="left"/>
    </xf>
    <xf numFmtId="3" fontId="57" fillId="14" borderId="14" xfId="0" applyNumberFormat="1" applyFont="1" applyFill="1" applyBorder="1" applyAlignment="1">
      <alignment horizontal="right"/>
    </xf>
    <xf numFmtId="0" fontId="82" fillId="14" borderId="16" xfId="0" applyFont="1" applyFill="1" applyBorder="1"/>
    <xf numFmtId="0" fontId="82" fillId="14" borderId="5" xfId="0" applyFont="1" applyFill="1" applyBorder="1"/>
    <xf numFmtId="0" fontId="90" fillId="14" borderId="16" xfId="0" applyFont="1" applyFill="1" applyBorder="1"/>
    <xf numFmtId="0" fontId="82" fillId="14" borderId="1" xfId="0" applyFont="1" applyFill="1" applyBorder="1"/>
    <xf numFmtId="9" fontId="0" fillId="14" borderId="11" xfId="0" applyNumberFormat="1" applyFill="1" applyBorder="1" applyAlignment="1">
      <alignment horizontal="center"/>
    </xf>
    <xf numFmtId="0" fontId="41" fillId="14" borderId="6" xfId="0" applyFont="1" applyFill="1" applyBorder="1" applyAlignment="1">
      <alignment wrapText="1"/>
    </xf>
    <xf numFmtId="167" fontId="59" fillId="16" borderId="11" xfId="0" applyNumberFormat="1" applyFont="1" applyFill="1" applyBorder="1"/>
    <xf numFmtId="0" fontId="5" fillId="16" borderId="5" xfId="0" applyFont="1" applyFill="1" applyBorder="1" applyAlignment="1">
      <alignment horizontal="center"/>
    </xf>
    <xf numFmtId="3" fontId="57" fillId="14" borderId="15" xfId="0" applyNumberFormat="1" applyFont="1" applyFill="1" applyBorder="1" applyAlignment="1">
      <alignment horizontal="right"/>
    </xf>
    <xf numFmtId="9" fontId="60" fillId="6" borderId="8" xfId="0" applyNumberFormat="1" applyFont="1" applyFill="1" applyBorder="1" applyAlignment="1">
      <alignment horizontal="center"/>
    </xf>
    <xf numFmtId="0" fontId="59" fillId="0" borderId="8" xfId="0" applyFont="1" applyBorder="1"/>
    <xf numFmtId="0" fontId="0" fillId="0" borderId="10" xfId="0" applyBorder="1"/>
    <xf numFmtId="0" fontId="0" fillId="14" borderId="14" xfId="0" applyFill="1" applyBorder="1"/>
    <xf numFmtId="0" fontId="60" fillId="6" borderId="1" xfId="0" applyFont="1" applyFill="1" applyBorder="1" applyAlignment="1">
      <alignment horizontal="center" wrapText="1"/>
    </xf>
    <xf numFmtId="0" fontId="60" fillId="16" borderId="15" xfId="0" applyFont="1" applyFill="1" applyBorder="1" applyAlignment="1">
      <alignment horizontal="center"/>
    </xf>
    <xf numFmtId="167" fontId="60" fillId="16" borderId="14" xfId="0" applyNumberFormat="1" applyFont="1" applyFill="1" applyBorder="1" applyAlignment="1">
      <alignment horizontal="center"/>
    </xf>
    <xf numFmtId="3" fontId="60" fillId="16" borderId="9" xfId="0" applyNumberFormat="1" applyFont="1" applyFill="1" applyBorder="1" applyAlignment="1">
      <alignment horizontal="center"/>
    </xf>
    <xf numFmtId="0" fontId="60" fillId="6" borderId="1" xfId="0" applyFont="1" applyFill="1" applyBorder="1" applyAlignment="1">
      <alignment horizontal="right"/>
    </xf>
    <xf numFmtId="0" fontId="60" fillId="16" borderId="14" xfId="0" applyFont="1" applyFill="1" applyBorder="1" applyAlignment="1">
      <alignment horizontal="center"/>
    </xf>
    <xf numFmtId="0" fontId="60" fillId="6" borderId="15" xfId="0" applyFont="1" applyFill="1" applyBorder="1" applyAlignment="1">
      <alignment horizontal="center"/>
    </xf>
    <xf numFmtId="0" fontId="62" fillId="14" borderId="1" xfId="0" applyFont="1" applyFill="1" applyBorder="1" applyAlignment="1">
      <alignment horizontal="center" wrapText="1"/>
    </xf>
    <xf numFmtId="167" fontId="56" fillId="14" borderId="1" xfId="0" applyNumberFormat="1" applyFont="1" applyFill="1" applyBorder="1"/>
    <xf numFmtId="0" fontId="62" fillId="14" borderId="4" xfId="0" applyFont="1" applyFill="1" applyBorder="1" applyAlignment="1">
      <alignment horizontal="center" wrapText="1"/>
    </xf>
    <xf numFmtId="167" fontId="57" fillId="7" borderId="1" xfId="0" applyNumberFormat="1" applyFont="1" applyFill="1" applyBorder="1" applyAlignment="1">
      <alignment horizontal="right"/>
    </xf>
    <xf numFmtId="3" fontId="57" fillId="7" borderId="1" xfId="0" applyNumberFormat="1" applyFont="1" applyFill="1" applyBorder="1" applyAlignment="1">
      <alignment horizontal="center"/>
    </xf>
    <xf numFmtId="167" fontId="59" fillId="6" borderId="14" xfId="0" applyNumberFormat="1" applyFont="1" applyFill="1" applyBorder="1"/>
    <xf numFmtId="168" fontId="57" fillId="7" borderId="14" xfId="0" applyNumberFormat="1" applyFont="1" applyFill="1" applyBorder="1" applyAlignment="1">
      <alignment horizontal="right"/>
    </xf>
    <xf numFmtId="3" fontId="57" fillId="0" borderId="6" xfId="0" applyNumberFormat="1" applyFont="1" applyBorder="1"/>
    <xf numFmtId="0" fontId="91" fillId="6" borderId="1" xfId="0" applyFont="1" applyFill="1" applyBorder="1" applyAlignment="1">
      <alignment horizontal="center"/>
    </xf>
    <xf numFmtId="0" fontId="60" fillId="6" borderId="0" xfId="0" applyFont="1" applyFill="1" applyAlignment="1">
      <alignment horizontal="center"/>
    </xf>
    <xf numFmtId="3" fontId="60" fillId="14" borderId="5" xfId="0" applyNumberFormat="1" applyFont="1" applyFill="1" applyBorder="1" applyAlignment="1">
      <alignment horizontal="center"/>
    </xf>
    <xf numFmtId="0" fontId="59" fillId="14" borderId="1" xfId="0" applyFont="1" applyFill="1" applyBorder="1" applyAlignment="1">
      <alignment horizontal="right" vertical="center"/>
    </xf>
    <xf numFmtId="167" fontId="56" fillId="14" borderId="4" xfId="0" applyNumberFormat="1" applyFont="1" applyFill="1" applyBorder="1"/>
    <xf numFmtId="0" fontId="55" fillId="6" borderId="9" xfId="0" applyFont="1" applyFill="1" applyBorder="1"/>
    <xf numFmtId="0" fontId="60" fillId="5" borderId="8" xfId="0" applyFont="1" applyFill="1" applyBorder="1" applyAlignment="1">
      <alignment horizontal="center"/>
    </xf>
    <xf numFmtId="3" fontId="60" fillId="6" borderId="1" xfId="0" applyNumberFormat="1" applyFont="1" applyFill="1" applyBorder="1" applyAlignment="1">
      <alignment horizontal="center"/>
    </xf>
    <xf numFmtId="0" fontId="55" fillId="6" borderId="1" xfId="0" applyFont="1" applyFill="1" applyBorder="1"/>
    <xf numFmtId="0" fontId="60" fillId="14" borderId="9" xfId="0" applyFont="1" applyFill="1" applyBorder="1" applyAlignment="1">
      <alignment horizontal="left"/>
    </xf>
    <xf numFmtId="0" fontId="60" fillId="6" borderId="1" xfId="0" applyFont="1" applyFill="1" applyBorder="1" applyAlignment="1">
      <alignment horizontal="left"/>
    </xf>
    <xf numFmtId="167" fontId="60" fillId="6" borderId="6" xfId="0" applyNumberFormat="1" applyFont="1" applyFill="1" applyBorder="1" applyAlignment="1">
      <alignment horizontal="right"/>
    </xf>
    <xf numFmtId="0" fontId="59" fillId="6" borderId="1" xfId="0" applyFont="1" applyFill="1" applyBorder="1" applyAlignment="1">
      <alignment horizontal="right"/>
    </xf>
    <xf numFmtId="0" fontId="92" fillId="16" borderId="1" xfId="0" applyFont="1" applyFill="1" applyBorder="1" applyAlignment="1">
      <alignment horizontal="left"/>
    </xf>
    <xf numFmtId="0" fontId="92" fillId="16" borderId="5" xfId="0" applyFont="1" applyFill="1" applyBorder="1" applyAlignment="1">
      <alignment horizontal="center"/>
    </xf>
    <xf numFmtId="0" fontId="59" fillId="16" borderId="3" xfId="0" applyFont="1" applyFill="1" applyBorder="1" applyAlignment="1">
      <alignment horizontal="center" vertical="center"/>
    </xf>
    <xf numFmtId="0" fontId="59" fillId="14" borderId="8" xfId="0" applyFont="1" applyFill="1" applyBorder="1" applyAlignment="1">
      <alignment horizontal="center" vertical="center"/>
    </xf>
    <xf numFmtId="0" fontId="93" fillId="0" borderId="1" xfId="0" applyFont="1" applyBorder="1"/>
    <xf numFmtId="167" fontId="55" fillId="0" borderId="1" xfId="0" applyNumberFormat="1" applyFont="1" applyBorder="1"/>
    <xf numFmtId="0" fontId="93" fillId="0" borderId="8" xfId="0" applyFont="1" applyBorder="1"/>
    <xf numFmtId="167" fontId="94" fillId="6" borderId="1" xfId="0" applyNumberFormat="1" applyFont="1" applyFill="1" applyBorder="1" applyAlignment="1">
      <alignment horizontal="right"/>
    </xf>
    <xf numFmtId="9" fontId="59" fillId="14" borderId="15" xfId="0" applyNumberFormat="1" applyFont="1" applyFill="1" applyBorder="1" applyAlignment="1">
      <alignment horizontal="center"/>
    </xf>
    <xf numFmtId="9" fontId="59" fillId="0" borderId="8" xfId="0" applyNumberFormat="1" applyFont="1" applyBorder="1" applyAlignment="1">
      <alignment horizontal="center"/>
    </xf>
    <xf numFmtId="0" fontId="59" fillId="0" borderId="6" xfId="0" applyFont="1" applyBorder="1"/>
    <xf numFmtId="0" fontId="0" fillId="6" borderId="12" xfId="0" applyFill="1" applyBorder="1" applyAlignment="1">
      <alignment horizontal="center"/>
    </xf>
    <xf numFmtId="9" fontId="60" fillId="6" borderId="6" xfId="0" applyNumberFormat="1" applyFont="1" applyFill="1" applyBorder="1" applyAlignment="1">
      <alignment horizontal="center"/>
    </xf>
    <xf numFmtId="0" fontId="60" fillId="6" borderId="9" xfId="0" applyFont="1" applyFill="1" applyBorder="1" applyAlignment="1">
      <alignment horizontal="center"/>
    </xf>
    <xf numFmtId="0" fontId="62" fillId="6" borderId="0" xfId="0" applyFont="1" applyFill="1" applyAlignment="1">
      <alignment horizontal="center" wrapText="1"/>
    </xf>
    <xf numFmtId="0" fontId="41" fillId="6" borderId="8" xfId="0" applyFont="1" applyFill="1" applyBorder="1" applyAlignment="1">
      <alignment wrapText="1"/>
    </xf>
    <xf numFmtId="0" fontId="60" fillId="14" borderId="6" xfId="0" applyFont="1" applyFill="1" applyBorder="1" applyAlignment="1">
      <alignment horizontal="right"/>
    </xf>
    <xf numFmtId="0" fontId="60" fillId="14" borderId="6" xfId="0" applyFont="1" applyFill="1" applyBorder="1" applyAlignment="1">
      <alignment horizontal="right" wrapText="1"/>
    </xf>
    <xf numFmtId="167" fontId="3" fillId="14" borderId="1" xfId="0" applyNumberFormat="1" applyFont="1" applyFill="1" applyBorder="1"/>
    <xf numFmtId="9" fontId="59" fillId="0" borderId="5" xfId="0" applyNumberFormat="1" applyFont="1" applyBorder="1" applyAlignment="1">
      <alignment horizontal="center"/>
    </xf>
    <xf numFmtId="167" fontId="0" fillId="0" borderId="4" xfId="0" applyNumberFormat="1" applyBorder="1"/>
    <xf numFmtId="167" fontId="0" fillId="0" borderId="10" xfId="0" applyNumberFormat="1" applyBorder="1"/>
    <xf numFmtId="0" fontId="60" fillId="14" borderId="1" xfId="0" applyFont="1" applyFill="1" applyBorder="1" applyAlignment="1">
      <alignment horizontal="left" wrapText="1"/>
    </xf>
    <xf numFmtId="9" fontId="60" fillId="14" borderId="1" xfId="0" applyNumberFormat="1" applyFont="1" applyFill="1" applyBorder="1" applyAlignment="1">
      <alignment horizontal="left"/>
    </xf>
    <xf numFmtId="0" fontId="60" fillId="14" borderId="5" xfId="0" applyFont="1" applyFill="1" applyBorder="1" applyAlignment="1">
      <alignment horizontal="left"/>
    </xf>
    <xf numFmtId="0" fontId="41" fillId="14" borderId="8" xfId="0" applyFont="1" applyFill="1" applyBorder="1" applyAlignment="1">
      <alignment wrapText="1"/>
    </xf>
    <xf numFmtId="0" fontId="5" fillId="16" borderId="15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left"/>
    </xf>
    <xf numFmtId="3" fontId="5" fillId="16" borderId="14" xfId="0" applyNumberFormat="1" applyFont="1" applyFill="1" applyBorder="1" applyAlignment="1">
      <alignment horizontal="center"/>
    </xf>
    <xf numFmtId="0" fontId="59" fillId="0" borderId="7" xfId="0" applyFont="1" applyBorder="1"/>
    <xf numFmtId="168" fontId="6" fillId="6" borderId="1" xfId="0" applyNumberFormat="1" applyFont="1" applyFill="1" applyBorder="1"/>
    <xf numFmtId="9" fontId="55" fillId="14" borderId="9" xfId="0" applyNumberFormat="1" applyFont="1" applyFill="1" applyBorder="1" applyAlignment="1">
      <alignment horizontal="center"/>
    </xf>
    <xf numFmtId="0" fontId="0" fillId="0" borderId="18" xfId="0" applyBorder="1"/>
    <xf numFmtId="167" fontId="59" fillId="8" borderId="9" xfId="0" applyNumberFormat="1" applyFont="1" applyFill="1" applyBorder="1" applyAlignment="1">
      <alignment horizontal="center"/>
    </xf>
    <xf numFmtId="167" fontId="55" fillId="8" borderId="1" xfId="0" applyNumberFormat="1" applyFont="1" applyFill="1" applyBorder="1" applyAlignment="1">
      <alignment horizontal="center"/>
    </xf>
    <xf numFmtId="3" fontId="6" fillId="8" borderId="0" xfId="0" applyNumberFormat="1" applyFont="1" applyFill="1"/>
    <xf numFmtId="0" fontId="95" fillId="14" borderId="1" xfId="0" applyFont="1" applyFill="1" applyBorder="1" applyAlignment="1">
      <alignment horizontal="center" wrapText="1"/>
    </xf>
    <xf numFmtId="0" fontId="54" fillId="14" borderId="1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/>
    </xf>
    <xf numFmtId="0" fontId="96" fillId="14" borderId="1" xfId="0" applyFont="1" applyFill="1" applyBorder="1" applyAlignment="1">
      <alignment horizontal="center" wrapText="1"/>
    </xf>
    <xf numFmtId="0" fontId="97" fillId="14" borderId="1" xfId="0" applyFont="1" applyFill="1" applyBorder="1" applyAlignment="1">
      <alignment horizontal="center" wrapText="1"/>
    </xf>
    <xf numFmtId="0" fontId="60" fillId="6" borderId="4" xfId="0" applyFont="1" applyFill="1" applyBorder="1" applyAlignment="1">
      <alignment horizontal="center"/>
    </xf>
    <xf numFmtId="170" fontId="59" fillId="0" borderId="1" xfId="0" applyNumberFormat="1" applyFont="1" applyBorder="1"/>
    <xf numFmtId="170" fontId="60" fillId="6" borderId="1" xfId="0" applyNumberFormat="1" applyFont="1" applyFill="1" applyBorder="1"/>
    <xf numFmtId="170" fontId="59" fillId="16" borderId="9" xfId="0" applyNumberFormat="1" applyFont="1" applyFill="1" applyBorder="1"/>
    <xf numFmtId="167" fontId="59" fillId="16" borderId="9" xfId="0" applyNumberFormat="1" applyFont="1" applyFill="1" applyBorder="1" applyAlignment="1">
      <alignment horizontal="right"/>
    </xf>
    <xf numFmtId="0" fontId="93" fillId="0" borderId="5" xfId="0" applyFont="1" applyBorder="1"/>
    <xf numFmtId="0" fontId="41" fillId="14" borderId="14" xfId="0" applyFont="1" applyFill="1" applyBorder="1" applyAlignment="1">
      <alignment wrapText="1"/>
    </xf>
    <xf numFmtId="0" fontId="0" fillId="18" borderId="19" xfId="0" applyFill="1" applyBorder="1"/>
    <xf numFmtId="0" fontId="30" fillId="8" borderId="3" xfId="0" applyFont="1" applyFill="1" applyBorder="1" applyAlignment="1">
      <alignment horizontal="center"/>
    </xf>
    <xf numFmtId="3" fontId="30" fillId="8" borderId="1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21" fillId="8" borderId="5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/>
    </xf>
    <xf numFmtId="167" fontId="59" fillId="16" borderId="1" xfId="0" applyNumberFormat="1" applyFon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5" fillId="20" borderId="1" xfId="0" applyFont="1" applyFill="1" applyBorder="1" applyAlignment="1">
      <alignment horizontal="center"/>
    </xf>
    <xf numFmtId="167" fontId="65" fillId="8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center" vertical="center"/>
    </xf>
    <xf numFmtId="0" fontId="59" fillId="14" borderId="8" xfId="0" applyFont="1" applyFill="1" applyBorder="1" applyAlignment="1">
      <alignment horizontal="center"/>
    </xf>
    <xf numFmtId="0" fontId="59" fillId="14" borderId="7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59" fillId="14" borderId="1" xfId="0" applyFont="1" applyFill="1" applyBorder="1" applyAlignment="1">
      <alignment horizontal="center" vertical="center"/>
    </xf>
    <xf numFmtId="0" fontId="59" fillId="16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15" fillId="14" borderId="8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57" fillId="6" borderId="11" xfId="0" applyFont="1" applyFill="1" applyBorder="1" applyAlignment="1">
      <alignment horizontal="center"/>
    </xf>
    <xf numFmtId="0" fontId="59" fillId="14" borderId="12" xfId="0" applyFont="1" applyFill="1" applyBorder="1" applyAlignment="1">
      <alignment horizontal="center" vertical="center"/>
    </xf>
    <xf numFmtId="0" fontId="68" fillId="6" borderId="8" xfId="0" applyFont="1" applyFill="1" applyBorder="1" applyAlignment="1">
      <alignment horizontal="center"/>
    </xf>
    <xf numFmtId="0" fontId="68" fillId="6" borderId="0" xfId="0" applyFont="1" applyFill="1" applyAlignment="1">
      <alignment horizontal="center"/>
    </xf>
    <xf numFmtId="0" fontId="94" fillId="6" borderId="1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167" fontId="60" fillId="14" borderId="13" xfId="0" applyNumberFormat="1" applyFont="1" applyFill="1" applyBorder="1" applyAlignment="1">
      <alignment horizontal="left"/>
    </xf>
    <xf numFmtId="0" fontId="59" fillId="14" borderId="0" xfId="0" applyFont="1" applyFill="1" applyAlignment="1">
      <alignment horizontal="left"/>
    </xf>
    <xf numFmtId="0" fontId="59" fillId="14" borderId="6" xfId="0" applyFont="1" applyFill="1" applyBorder="1" applyAlignment="1">
      <alignment horizontal="left"/>
    </xf>
    <xf numFmtId="0" fontId="59" fillId="14" borderId="14" xfId="0" applyFont="1" applyFill="1" applyBorder="1" applyAlignment="1">
      <alignment horizontal="center"/>
    </xf>
    <xf numFmtId="0" fontId="59" fillId="14" borderId="14" xfId="0" applyFont="1" applyFill="1" applyBorder="1" applyAlignment="1">
      <alignment horizontal="left"/>
    </xf>
    <xf numFmtId="0" fontId="98" fillId="14" borderId="0" xfId="0" applyFont="1" applyFill="1" applyAlignment="1">
      <alignment horizontal="center"/>
    </xf>
    <xf numFmtId="0" fontId="59" fillId="6" borderId="1" xfId="0" applyFont="1" applyFill="1" applyBorder="1" applyAlignment="1">
      <alignment horizontal="left"/>
    </xf>
    <xf numFmtId="0" fontId="0" fillId="6" borderId="5" xfId="0" applyFill="1" applyBorder="1" applyAlignment="1">
      <alignment horizontal="center"/>
    </xf>
    <xf numFmtId="0" fontId="41" fillId="14" borderId="1" xfId="0" applyFont="1" applyFill="1" applyBorder="1" applyAlignment="1">
      <alignment horizontal="center"/>
    </xf>
    <xf numFmtId="0" fontId="57" fillId="6" borderId="9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15" fillId="14" borderId="0" xfId="0" applyFont="1" applyFill="1" applyAlignment="1">
      <alignment horizontal="center"/>
    </xf>
    <xf numFmtId="0" fontId="15" fillId="14" borderId="1" xfId="0" applyFont="1" applyFill="1" applyBorder="1" applyAlignment="1">
      <alignment horizontal="center"/>
    </xf>
    <xf numFmtId="167" fontId="6" fillId="8" borderId="1" xfId="0" applyNumberFormat="1" applyFont="1" applyFill="1" applyBorder="1" applyAlignment="1">
      <alignment horizontal="center"/>
    </xf>
    <xf numFmtId="0" fontId="58" fillId="16" borderId="1" xfId="0" applyFont="1" applyFill="1" applyBorder="1" applyAlignment="1">
      <alignment horizontal="center"/>
    </xf>
    <xf numFmtId="0" fontId="58" fillId="14" borderId="9" xfId="0" applyFont="1" applyFill="1" applyBorder="1" applyAlignment="1">
      <alignment horizontal="center"/>
    </xf>
    <xf numFmtId="0" fontId="58" fillId="0" borderId="5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0" fillId="6" borderId="9" xfId="0" applyFill="1" applyBorder="1" applyAlignment="1">
      <alignment horizontal="center"/>
    </xf>
    <xf numFmtId="0" fontId="87" fillId="14" borderId="1" xfId="0" applyFont="1" applyFill="1" applyBorder="1" applyAlignment="1">
      <alignment horizontal="center"/>
    </xf>
    <xf numFmtId="0" fontId="58" fillId="6" borderId="1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93" fillId="16" borderId="1" xfId="0" applyFont="1" applyFill="1" applyBorder="1" applyAlignment="1">
      <alignment horizontal="center"/>
    </xf>
    <xf numFmtId="0" fontId="93" fillId="14" borderId="1" xfId="0" applyFont="1" applyFill="1" applyBorder="1" applyAlignment="1">
      <alignment horizontal="center"/>
    </xf>
    <xf numFmtId="0" fontId="93" fillId="0" borderId="1" xfId="0" applyFont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7" fontId="60" fillId="14" borderId="6" xfId="0" applyNumberFormat="1" applyFont="1" applyFill="1" applyBorder="1" applyAlignment="1">
      <alignment horizontal="right"/>
    </xf>
    <xf numFmtId="0" fontId="41" fillId="14" borderId="0" xfId="0" applyFont="1" applyFill="1"/>
    <xf numFmtId="0" fontId="0" fillId="0" borderId="0" xfId="0" applyAlignment="1">
      <alignment horizontal="left"/>
    </xf>
    <xf numFmtId="0" fontId="3" fillId="5" borderId="9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4" borderId="9" xfId="0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15" fillId="6" borderId="5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16" borderId="5" xfId="0" applyFill="1" applyBorder="1" applyAlignment="1">
      <alignment horizontal="left"/>
    </xf>
    <xf numFmtId="0" fontId="0" fillId="14" borderId="5" xfId="0" applyFill="1" applyBorder="1" applyAlignment="1">
      <alignment horizontal="left"/>
    </xf>
    <xf numFmtId="0" fontId="15" fillId="14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15" fillId="14" borderId="1" xfId="0" applyFont="1" applyFill="1" applyBorder="1" applyAlignment="1">
      <alignment horizontal="left"/>
    </xf>
    <xf numFmtId="0" fontId="0" fillId="16" borderId="9" xfId="0" applyFill="1" applyBorder="1" applyAlignment="1">
      <alignment horizontal="left"/>
    </xf>
    <xf numFmtId="0" fontId="15" fillId="6" borderId="1" xfId="0" applyFont="1" applyFill="1" applyBorder="1" applyAlignment="1">
      <alignment horizontal="left"/>
    </xf>
    <xf numFmtId="167" fontId="9" fillId="10" borderId="1" xfId="0" applyNumberFormat="1" applyFont="1" applyFill="1" applyBorder="1" applyAlignment="1">
      <alignment horizontal="left"/>
    </xf>
    <xf numFmtId="167" fontId="5" fillId="11" borderId="3" xfId="0" applyNumberFormat="1" applyFont="1" applyFill="1" applyBorder="1" applyAlignment="1">
      <alignment horizontal="left"/>
    </xf>
    <xf numFmtId="169" fontId="5" fillId="12" borderId="3" xfId="0" applyNumberFormat="1" applyFont="1" applyFill="1" applyBorder="1" applyAlignment="1">
      <alignment horizontal="left"/>
    </xf>
    <xf numFmtId="3" fontId="5" fillId="9" borderId="3" xfId="0" applyNumberFormat="1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60" fillId="16" borderId="0" xfId="0" applyFont="1" applyFill="1" applyAlignment="1">
      <alignment horizontal="left" wrapText="1"/>
    </xf>
    <xf numFmtId="0" fontId="57" fillId="14" borderId="3" xfId="0" applyFont="1" applyFill="1" applyBorder="1" applyAlignment="1">
      <alignment horizontal="left"/>
    </xf>
    <xf numFmtId="0" fontId="57" fillId="14" borderId="6" xfId="0" applyFont="1" applyFill="1" applyBorder="1" applyAlignment="1">
      <alignment horizontal="left"/>
    </xf>
    <xf numFmtId="0" fontId="59" fillId="14" borderId="8" xfId="0" applyFont="1" applyFill="1" applyBorder="1" applyAlignment="1">
      <alignment horizontal="left"/>
    </xf>
    <xf numFmtId="0" fontId="59" fillId="14" borderId="2" xfId="0" applyFont="1" applyFill="1" applyBorder="1" applyAlignment="1">
      <alignment horizontal="left"/>
    </xf>
    <xf numFmtId="0" fontId="59" fillId="6" borderId="2" xfId="0" applyFont="1" applyFill="1" applyBorder="1" applyAlignment="1">
      <alignment horizontal="left"/>
    </xf>
    <xf numFmtId="0" fontId="57" fillId="22" borderId="9" xfId="0" applyFont="1" applyFill="1" applyBorder="1" applyAlignment="1">
      <alignment horizontal="left"/>
    </xf>
    <xf numFmtId="0" fontId="33" fillId="14" borderId="1" xfId="0" applyFont="1" applyFill="1" applyBorder="1" applyAlignment="1">
      <alignment horizontal="left"/>
    </xf>
    <xf numFmtId="0" fontId="59" fillId="14" borderId="5" xfId="0" applyFont="1" applyFill="1" applyBorder="1" applyAlignment="1">
      <alignment horizontal="left"/>
    </xf>
    <xf numFmtId="0" fontId="59" fillId="14" borderId="12" xfId="0" applyFont="1" applyFill="1" applyBorder="1" applyAlignment="1">
      <alignment horizontal="left"/>
    </xf>
    <xf numFmtId="0" fontId="57" fillId="8" borderId="1" xfId="0" applyFont="1" applyFill="1" applyBorder="1" applyAlignment="1">
      <alignment horizontal="left"/>
    </xf>
    <xf numFmtId="0" fontId="66" fillId="14" borderId="4" xfId="0" applyFont="1" applyFill="1" applyBorder="1" applyAlignment="1">
      <alignment horizontal="left"/>
    </xf>
    <xf numFmtId="0" fontId="57" fillId="0" borderId="15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60" fillId="5" borderId="9" xfId="0" applyFont="1" applyFill="1" applyBorder="1" applyAlignment="1">
      <alignment horizontal="left"/>
    </xf>
    <xf numFmtId="0" fontId="58" fillId="0" borderId="9" xfId="0" applyFont="1" applyBorder="1" applyAlignment="1">
      <alignment horizontal="left"/>
    </xf>
    <xf numFmtId="0" fontId="41" fillId="8" borderId="9" xfId="0" applyFont="1" applyFill="1" applyBorder="1" applyAlignment="1">
      <alignment horizontal="left" wrapText="1"/>
    </xf>
    <xf numFmtId="0" fontId="57" fillId="6" borderId="0" xfId="0" applyFont="1" applyFill="1" applyAlignment="1">
      <alignment horizontal="left"/>
    </xf>
    <xf numFmtId="0" fontId="54" fillId="6" borderId="1" xfId="0" applyFont="1" applyFill="1" applyBorder="1" applyAlignment="1">
      <alignment horizontal="left"/>
    </xf>
    <xf numFmtId="0" fontId="60" fillId="20" borderId="1" xfId="0" applyFont="1" applyFill="1" applyBorder="1" applyAlignment="1">
      <alignment horizontal="left"/>
    </xf>
    <xf numFmtId="0" fontId="59" fillId="8" borderId="1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59" fillId="8" borderId="12" xfId="0" applyFont="1" applyFill="1" applyBorder="1" applyAlignment="1">
      <alignment horizontal="left"/>
    </xf>
    <xf numFmtId="0" fontId="65" fillId="14" borderId="8" xfId="0" applyFont="1" applyFill="1" applyBorder="1" applyAlignment="1">
      <alignment horizontal="left"/>
    </xf>
    <xf numFmtId="0" fontId="59" fillId="0" borderId="9" xfId="0" applyFont="1" applyBorder="1" applyAlignment="1">
      <alignment horizontal="left"/>
    </xf>
    <xf numFmtId="0" fontId="60" fillId="14" borderId="6" xfId="0" applyFont="1" applyFill="1" applyBorder="1" applyAlignment="1">
      <alignment horizontal="left"/>
    </xf>
    <xf numFmtId="0" fontId="60" fillId="14" borderId="11" xfId="0" applyFont="1" applyFill="1" applyBorder="1" applyAlignment="1">
      <alignment horizontal="left"/>
    </xf>
    <xf numFmtId="0" fontId="60" fillId="14" borderId="3" xfId="0" applyFont="1" applyFill="1" applyBorder="1" applyAlignment="1">
      <alignment horizontal="left"/>
    </xf>
    <xf numFmtId="0" fontId="15" fillId="14" borderId="14" xfId="0" applyFon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65" fillId="14" borderId="1" xfId="0" applyFont="1" applyFill="1" applyBorder="1" applyAlignment="1">
      <alignment horizontal="left"/>
    </xf>
    <xf numFmtId="0" fontId="6" fillId="8" borderId="0" xfId="0" applyFont="1" applyFill="1" applyAlignment="1">
      <alignment horizontal="left"/>
    </xf>
    <xf numFmtId="0" fontId="41" fillId="16" borderId="0" xfId="0" applyFont="1" applyFill="1" applyAlignment="1">
      <alignment horizontal="left" wrapText="1"/>
    </xf>
    <xf numFmtId="0" fontId="59" fillId="16" borderId="2" xfId="0" applyFont="1" applyFill="1" applyBorder="1" applyAlignment="1">
      <alignment horizontal="left"/>
    </xf>
    <xf numFmtId="0" fontId="60" fillId="14" borderId="6" xfId="0" applyFont="1" applyFill="1" applyBorder="1" applyAlignment="1">
      <alignment horizontal="left" wrapText="1"/>
    </xf>
    <xf numFmtId="0" fontId="58" fillId="14" borderId="1" xfId="0" applyFont="1" applyFill="1" applyBorder="1" applyAlignment="1">
      <alignment horizontal="left"/>
    </xf>
    <xf numFmtId="0" fontId="59" fillId="6" borderId="0" xfId="0" applyFont="1" applyFill="1" applyAlignment="1">
      <alignment horizontal="left"/>
    </xf>
    <xf numFmtId="0" fontId="57" fillId="22" borderId="14" xfId="0" applyFont="1" applyFill="1" applyBorder="1" applyAlignment="1">
      <alignment horizontal="left"/>
    </xf>
    <xf numFmtId="0" fontId="33" fillId="6" borderId="1" xfId="0" applyFont="1" applyFill="1" applyBorder="1" applyAlignment="1">
      <alignment horizontal="left"/>
    </xf>
    <xf numFmtId="0" fontId="66" fillId="6" borderId="4" xfId="0" applyFont="1" applyFill="1" applyBorder="1" applyAlignment="1">
      <alignment horizontal="left"/>
    </xf>
    <xf numFmtId="0" fontId="60" fillId="5" borderId="1" xfId="0" applyFont="1" applyFill="1" applyBorder="1" applyAlignment="1">
      <alignment horizontal="left"/>
    </xf>
    <xf numFmtId="0" fontId="58" fillId="0" borderId="1" xfId="0" applyFont="1" applyBorder="1" applyAlignment="1">
      <alignment horizontal="left"/>
    </xf>
    <xf numFmtId="0" fontId="41" fillId="8" borderId="1" xfId="0" applyFont="1" applyFill="1" applyBorder="1" applyAlignment="1">
      <alignment horizontal="left" wrapText="1"/>
    </xf>
    <xf numFmtId="0" fontId="57" fillId="6" borderId="1" xfId="0" applyFont="1" applyFill="1" applyBorder="1" applyAlignment="1">
      <alignment horizontal="left"/>
    </xf>
    <xf numFmtId="0" fontId="60" fillId="16" borderId="5" xfId="0" applyFont="1" applyFill="1" applyBorder="1" applyAlignment="1">
      <alignment horizontal="left"/>
    </xf>
    <xf numFmtId="0" fontId="59" fillId="6" borderId="9" xfId="0" applyFont="1" applyFill="1" applyBorder="1" applyAlignment="1">
      <alignment horizontal="left"/>
    </xf>
    <xf numFmtId="0" fontId="59" fillId="8" borderId="9" xfId="0" applyFont="1" applyFill="1" applyBorder="1" applyAlignment="1">
      <alignment horizontal="left"/>
    </xf>
    <xf numFmtId="0" fontId="41" fillId="14" borderId="0" xfId="0" applyFont="1" applyFill="1" applyAlignment="1">
      <alignment horizontal="left" wrapText="1"/>
    </xf>
    <xf numFmtId="0" fontId="65" fillId="8" borderId="1" xfId="0" applyFont="1" applyFill="1" applyBorder="1" applyAlignment="1">
      <alignment horizontal="left"/>
    </xf>
    <xf numFmtId="169" fontId="5" fillId="26" borderId="0" xfId="0" applyNumberFormat="1" applyFont="1" applyFill="1" applyAlignment="1">
      <alignment horizontal="left"/>
    </xf>
    <xf numFmtId="167" fontId="5" fillId="9" borderId="3" xfId="0" applyNumberFormat="1" applyFont="1" applyFill="1" applyBorder="1" applyAlignment="1">
      <alignment horizontal="left"/>
    </xf>
    <xf numFmtId="0" fontId="59" fillId="16" borderId="0" xfId="0" applyFont="1" applyFill="1" applyAlignment="1">
      <alignment horizontal="left" wrapText="1"/>
    </xf>
    <xf numFmtId="0" fontId="59" fillId="14" borderId="9" xfId="0" applyFont="1" applyFill="1" applyBorder="1" applyAlignment="1">
      <alignment horizontal="left"/>
    </xf>
    <xf numFmtId="0" fontId="57" fillId="22" borderId="11" xfId="0" applyFont="1" applyFill="1" applyBorder="1" applyAlignment="1">
      <alignment horizontal="left"/>
    </xf>
    <xf numFmtId="0" fontId="59" fillId="16" borderId="15" xfId="0" applyFont="1" applyFill="1" applyBorder="1" applyAlignment="1">
      <alignment horizontal="left" wrapText="1"/>
    </xf>
    <xf numFmtId="0" fontId="59" fillId="14" borderId="13" xfId="0" applyFont="1" applyFill="1" applyBorder="1" applyAlignment="1">
      <alignment horizontal="left"/>
    </xf>
    <xf numFmtId="0" fontId="59" fillId="14" borderId="15" xfId="0" applyFont="1" applyFill="1" applyBorder="1" applyAlignment="1">
      <alignment horizontal="left"/>
    </xf>
    <xf numFmtId="0" fontId="59" fillId="6" borderId="3" xfId="0" applyFont="1" applyFill="1" applyBorder="1" applyAlignment="1">
      <alignment horizontal="left"/>
    </xf>
    <xf numFmtId="0" fontId="65" fillId="6" borderId="1" xfId="0" applyFont="1" applyFill="1" applyBorder="1" applyAlignment="1">
      <alignment horizontal="left"/>
    </xf>
    <xf numFmtId="0" fontId="59" fillId="16" borderId="14" xfId="0" applyFont="1" applyFill="1" applyBorder="1" applyAlignment="1">
      <alignment horizontal="left"/>
    </xf>
    <xf numFmtId="0" fontId="59" fillId="0" borderId="4" xfId="0" applyFont="1" applyBorder="1" applyAlignment="1">
      <alignment horizontal="left"/>
    </xf>
    <xf numFmtId="0" fontId="15" fillId="6" borderId="14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 wrapText="1"/>
    </xf>
    <xf numFmtId="0" fontId="41" fillId="14" borderId="1" xfId="0" applyFont="1" applyFill="1" applyBorder="1" applyAlignment="1">
      <alignment horizontal="left" wrapText="1"/>
    </xf>
    <xf numFmtId="0" fontId="57" fillId="8" borderId="5" xfId="0" applyFont="1" applyFill="1" applyBorder="1" applyAlignment="1">
      <alignment horizontal="left"/>
    </xf>
    <xf numFmtId="0" fontId="57" fillId="0" borderId="0" xfId="0" applyFont="1" applyAlignment="1">
      <alignment horizontal="left"/>
    </xf>
    <xf numFmtId="0" fontId="41" fillId="6" borderId="1" xfId="0" applyFont="1" applyFill="1" applyBorder="1" applyAlignment="1">
      <alignment horizontal="left" wrapText="1"/>
    </xf>
    <xf numFmtId="0" fontId="66" fillId="6" borderId="1" xfId="0" applyFont="1" applyFill="1" applyBorder="1" applyAlignment="1">
      <alignment horizontal="left"/>
    </xf>
    <xf numFmtId="0" fontId="66" fillId="6" borderId="0" xfId="0" applyFont="1" applyFill="1" applyAlignment="1">
      <alignment horizontal="left"/>
    </xf>
    <xf numFmtId="0" fontId="59" fillId="6" borderId="11" xfId="0" applyFont="1" applyFill="1" applyBorder="1" applyAlignment="1">
      <alignment horizontal="left"/>
    </xf>
    <xf numFmtId="0" fontId="59" fillId="6" borderId="14" xfId="0" applyFont="1" applyFill="1" applyBorder="1" applyAlignment="1">
      <alignment horizontal="left"/>
    </xf>
    <xf numFmtId="0" fontId="65" fillId="6" borderId="0" xfId="0" applyFont="1" applyFill="1" applyAlignment="1">
      <alignment horizontal="left"/>
    </xf>
    <xf numFmtId="0" fontId="60" fillId="14" borderId="9" xfId="0" applyFont="1" applyFill="1" applyBorder="1" applyAlignment="1">
      <alignment horizontal="left" wrapText="1"/>
    </xf>
    <xf numFmtId="0" fontId="41" fillId="0" borderId="1" xfId="0" applyFont="1" applyBorder="1" applyAlignment="1">
      <alignment horizontal="left" wrapText="1"/>
    </xf>
    <xf numFmtId="0" fontId="57" fillId="22" borderId="1" xfId="0" applyFont="1" applyFill="1" applyBorder="1" applyAlignment="1">
      <alignment horizontal="left"/>
    </xf>
    <xf numFmtId="0" fontId="56" fillId="14" borderId="1" xfId="0" applyFont="1" applyFill="1" applyBorder="1" applyAlignment="1">
      <alignment horizontal="left"/>
    </xf>
    <xf numFmtId="0" fontId="59" fillId="6" borderId="5" xfId="0" applyFont="1" applyFill="1" applyBorder="1" applyAlignment="1">
      <alignment horizontal="left"/>
    </xf>
    <xf numFmtId="0" fontId="56" fillId="14" borderId="4" xfId="0" applyFont="1" applyFill="1" applyBorder="1" applyAlignment="1">
      <alignment horizontal="left"/>
    </xf>
    <xf numFmtId="0" fontId="60" fillId="14" borderId="5" xfId="0" applyFont="1" applyFill="1" applyBorder="1" applyAlignment="1">
      <alignment horizontal="left" wrapText="1"/>
    </xf>
    <xf numFmtId="0" fontId="60" fillId="6" borderId="9" xfId="0" applyFont="1" applyFill="1" applyBorder="1" applyAlignment="1">
      <alignment horizontal="left"/>
    </xf>
    <xf numFmtId="0" fontId="60" fillId="0" borderId="1" xfId="0" applyFont="1" applyBorder="1" applyAlignment="1">
      <alignment horizontal="left" wrapText="1"/>
    </xf>
    <xf numFmtId="0" fontId="60" fillId="6" borderId="1" xfId="0" applyFont="1" applyFill="1" applyBorder="1" applyAlignment="1">
      <alignment horizontal="left" wrapText="1"/>
    </xf>
    <xf numFmtId="0" fontId="85" fillId="14" borderId="1" xfId="0" applyFont="1" applyFill="1" applyBorder="1" applyAlignment="1">
      <alignment horizontal="left" wrapText="1"/>
    </xf>
    <xf numFmtId="0" fontId="59" fillId="14" borderId="3" xfId="0" applyFont="1" applyFill="1" applyBorder="1" applyAlignment="1">
      <alignment horizontal="left"/>
    </xf>
    <xf numFmtId="0" fontId="59" fillId="0" borderId="11" xfId="0" applyFont="1" applyBorder="1" applyAlignment="1">
      <alignment horizontal="left"/>
    </xf>
    <xf numFmtId="0" fontId="59" fillId="0" borderId="14" xfId="0" applyFont="1" applyBorder="1" applyAlignment="1">
      <alignment horizontal="left"/>
    </xf>
    <xf numFmtId="0" fontId="59" fillId="16" borderId="5" xfId="0" applyFont="1" applyFill="1" applyBorder="1" applyAlignment="1">
      <alignment horizontal="left"/>
    </xf>
    <xf numFmtId="0" fontId="59" fillId="16" borderId="4" xfId="0" applyFont="1" applyFill="1" applyBorder="1" applyAlignment="1">
      <alignment horizontal="left"/>
    </xf>
    <xf numFmtId="0" fontId="59" fillId="0" borderId="1" xfId="0" applyFont="1" applyBorder="1" applyAlignment="1">
      <alignment horizontal="left"/>
    </xf>
    <xf numFmtId="0" fontId="15" fillId="14" borderId="11" xfId="0" applyFont="1" applyFill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84" fillId="0" borderId="8" xfId="0" applyFont="1" applyBorder="1" applyAlignment="1">
      <alignment horizontal="left"/>
    </xf>
    <xf numFmtId="0" fontId="88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60" fillId="6" borderId="5" xfId="0" applyFont="1" applyFill="1" applyBorder="1" applyAlignment="1">
      <alignment horizontal="left" wrapText="1"/>
    </xf>
    <xf numFmtId="0" fontId="3" fillId="16" borderId="14" xfId="0" applyFont="1" applyFill="1" applyBorder="1" applyAlignment="1">
      <alignment horizontal="left"/>
    </xf>
    <xf numFmtId="0" fontId="59" fillId="16" borderId="6" xfId="0" applyFont="1" applyFill="1" applyBorder="1" applyAlignment="1">
      <alignment horizontal="left"/>
    </xf>
    <xf numFmtId="167" fontId="60" fillId="6" borderId="1" xfId="0" applyNumberFormat="1" applyFont="1" applyFill="1" applyBorder="1" applyAlignment="1">
      <alignment horizontal="left"/>
    </xf>
    <xf numFmtId="0" fontId="59" fillId="0" borderId="6" xfId="0" applyFont="1" applyBorder="1" applyAlignment="1">
      <alignment horizontal="left"/>
    </xf>
    <xf numFmtId="167" fontId="60" fillId="14" borderId="6" xfId="0" applyNumberFormat="1" applyFont="1" applyFill="1" applyBorder="1" applyAlignment="1">
      <alignment horizontal="left"/>
    </xf>
    <xf numFmtId="168" fontId="57" fillId="7" borderId="1" xfId="0" applyNumberFormat="1" applyFont="1" applyFill="1" applyBorder="1" applyAlignment="1">
      <alignment horizontal="right"/>
    </xf>
    <xf numFmtId="3" fontId="57" fillId="7" borderId="14" xfId="0" applyNumberFormat="1" applyFont="1" applyFill="1" applyBorder="1" applyAlignment="1">
      <alignment horizontal="center"/>
    </xf>
    <xf numFmtId="9" fontId="57" fillId="6" borderId="12" xfId="0" applyNumberFormat="1" applyFont="1" applyFill="1" applyBorder="1" applyAlignment="1">
      <alignment horizontal="center"/>
    </xf>
    <xf numFmtId="0" fontId="57" fillId="0" borderId="5" xfId="0" applyFont="1" applyBorder="1" applyAlignment="1">
      <alignment horizontal="center"/>
    </xf>
    <xf numFmtId="0" fontId="56" fillId="14" borderId="5" xfId="0" applyFont="1" applyFill="1" applyBorder="1" applyAlignment="1">
      <alignment horizontal="left"/>
    </xf>
    <xf numFmtId="167" fontId="56" fillId="14" borderId="5" xfId="0" applyNumberFormat="1" applyFont="1" applyFill="1" applyBorder="1"/>
    <xf numFmtId="3" fontId="57" fillId="0" borderId="3" xfId="0" applyNumberFormat="1" applyFont="1" applyBorder="1"/>
    <xf numFmtId="0" fontId="41" fillId="0" borderId="5" xfId="0" applyFont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9" fontId="3" fillId="6" borderId="1" xfId="0" applyNumberFormat="1" applyFont="1" applyFill="1" applyBorder="1" applyAlignment="1">
      <alignment horizontal="center"/>
    </xf>
    <xf numFmtId="167" fontId="3" fillId="14" borderId="1" xfId="0" applyNumberFormat="1" applyFont="1" applyFill="1" applyBorder="1" applyAlignment="1">
      <alignment horizontal="right"/>
    </xf>
    <xf numFmtId="167" fontId="3" fillId="6" borderId="1" xfId="0" applyNumberFormat="1" applyFont="1" applyFill="1" applyBorder="1" applyAlignment="1">
      <alignment horizontal="right"/>
    </xf>
    <xf numFmtId="9" fontId="5" fillId="6" borderId="1" xfId="0" applyNumberFormat="1" applyFont="1" applyFill="1" applyBorder="1" applyAlignment="1">
      <alignment horizontal="center"/>
    </xf>
    <xf numFmtId="0" fontId="41" fillId="14" borderId="7" xfId="0" applyFont="1" applyFill="1" applyBorder="1" applyAlignment="1">
      <alignment horizontal="left" wrapText="1"/>
    </xf>
    <xf numFmtId="0" fontId="0" fillId="14" borderId="16" xfId="0" applyFill="1" applyBorder="1"/>
    <xf numFmtId="0" fontId="0" fillId="14" borderId="16" xfId="0" applyFill="1" applyBorder="1" applyAlignment="1">
      <alignment horizontal="left"/>
    </xf>
    <xf numFmtId="3" fontId="0" fillId="0" borderId="16" xfId="0" applyNumberFormat="1" applyBorder="1" applyAlignment="1">
      <alignment horizontal="right"/>
    </xf>
    <xf numFmtId="0" fontId="3" fillId="16" borderId="12" xfId="0" applyFont="1" applyFill="1" applyBorder="1" applyAlignment="1">
      <alignment horizontal="center"/>
    </xf>
    <xf numFmtId="9" fontId="57" fillId="16" borderId="12" xfId="0" applyNumberFormat="1" applyFont="1" applyFill="1" applyBorder="1" applyAlignment="1">
      <alignment horizontal="center"/>
    </xf>
    <xf numFmtId="0" fontId="41" fillId="16" borderId="5" xfId="0" applyFont="1" applyFill="1" applyBorder="1" applyAlignment="1">
      <alignment horizontal="left"/>
    </xf>
    <xf numFmtId="0" fontId="59" fillId="16" borderId="14" xfId="0" applyFont="1" applyFill="1" applyBorder="1" applyAlignment="1">
      <alignment horizontal="center"/>
    </xf>
    <xf numFmtId="0" fontId="41" fillId="16" borderId="0" xfId="0" applyFont="1" applyFill="1" applyAlignment="1">
      <alignment horizontal="left"/>
    </xf>
    <xf numFmtId="0" fontId="59" fillId="16" borderId="1" xfId="0" applyFont="1" applyFill="1" applyBorder="1" applyAlignment="1">
      <alignment horizontal="right" vertical="center"/>
    </xf>
    <xf numFmtId="170" fontId="60" fillId="16" borderId="1" xfId="0" applyNumberFormat="1" applyFont="1" applyFill="1" applyBorder="1"/>
    <xf numFmtId="9" fontId="60" fillId="16" borderId="8" xfId="0" applyNumberFormat="1" applyFont="1" applyFill="1" applyBorder="1" applyAlignment="1">
      <alignment horizontal="center"/>
    </xf>
    <xf numFmtId="9" fontId="5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left"/>
    </xf>
    <xf numFmtId="0" fontId="3" fillId="16" borderId="8" xfId="0" applyFont="1" applyFill="1" applyBorder="1" applyAlignment="1">
      <alignment horizontal="center"/>
    </xf>
    <xf numFmtId="167" fontId="60" fillId="16" borderId="6" xfId="0" applyNumberFormat="1" applyFont="1" applyFill="1" applyBorder="1" applyAlignment="1">
      <alignment horizontal="right"/>
    </xf>
    <xf numFmtId="0" fontId="60" fillId="14" borderId="4" xfId="0" applyFont="1" applyFill="1" applyBorder="1" applyAlignment="1">
      <alignment horizontal="left"/>
    </xf>
    <xf numFmtId="9" fontId="5" fillId="16" borderId="1" xfId="0" applyNumberFormat="1" applyFont="1" applyFill="1" applyBorder="1" applyAlignment="1">
      <alignment horizontal="center"/>
    </xf>
    <xf numFmtId="170" fontId="59" fillId="16" borderId="1" xfId="0" applyNumberFormat="1" applyFont="1" applyFill="1" applyBorder="1"/>
    <xf numFmtId="0" fontId="41" fillId="6" borderId="5" xfId="0" applyFont="1" applyFill="1" applyBorder="1" applyAlignment="1">
      <alignment wrapText="1"/>
    </xf>
    <xf numFmtId="0" fontId="98" fillId="14" borderId="1" xfId="0" applyFont="1" applyFill="1" applyBorder="1" applyAlignment="1">
      <alignment horizontal="center"/>
    </xf>
    <xf numFmtId="0" fontId="59" fillId="14" borderId="1" xfId="0" applyFont="1" applyFill="1" applyBorder="1" applyAlignment="1">
      <alignment horizontal="left" vertical="center"/>
    </xf>
    <xf numFmtId="9" fontId="0" fillId="14" borderId="5" xfId="0" applyNumberFormat="1" applyFill="1" applyBorder="1" applyAlignment="1">
      <alignment horizontal="center"/>
    </xf>
    <xf numFmtId="0" fontId="41" fillId="14" borderId="11" xfId="0" applyFont="1" applyFill="1" applyBorder="1" applyAlignment="1">
      <alignment wrapText="1"/>
    </xf>
    <xf numFmtId="9" fontId="0" fillId="16" borderId="1" xfId="0" applyNumberFormat="1" applyFill="1" applyBorder="1" applyAlignment="1">
      <alignment horizontal="center"/>
    </xf>
    <xf numFmtId="167" fontId="0" fillId="16" borderId="1" xfId="0" applyNumberFormat="1" applyFill="1" applyBorder="1"/>
    <xf numFmtId="0" fontId="41" fillId="16" borderId="1" xfId="0" applyFont="1" applyFill="1" applyBorder="1" applyAlignment="1">
      <alignment horizontal="left"/>
    </xf>
    <xf numFmtId="167" fontId="60" fillId="16" borderId="14" xfId="0" applyNumberFormat="1" applyFont="1" applyFill="1" applyBorder="1"/>
    <xf numFmtId="167" fontId="59" fillId="16" borderId="15" xfId="0" applyNumberFormat="1" applyFont="1" applyFill="1" applyBorder="1"/>
    <xf numFmtId="167" fontId="9" fillId="10" borderId="1" xfId="0" applyNumberFormat="1" applyFont="1" applyFill="1" applyBorder="1"/>
    <xf numFmtId="167" fontId="5" fillId="11" borderId="3" xfId="0" applyNumberFormat="1" applyFont="1" applyFill="1" applyBorder="1"/>
    <xf numFmtId="169" fontId="5" fillId="12" borderId="3" xfId="0" applyNumberFormat="1" applyFont="1" applyFill="1" applyBorder="1"/>
    <xf numFmtId="169" fontId="5" fillId="26" borderId="0" xfId="0" applyNumberFormat="1" applyFont="1" applyFill="1"/>
    <xf numFmtId="167" fontId="60" fillId="14" borderId="1" xfId="0" applyNumberFormat="1" applyFont="1" applyFill="1" applyBorder="1" applyAlignment="1">
      <alignment horizontal="left"/>
    </xf>
    <xf numFmtId="0" fontId="59" fillId="14" borderId="6" xfId="0" applyFont="1" applyFill="1" applyBorder="1" applyAlignment="1">
      <alignment horizontal="right"/>
    </xf>
    <xf numFmtId="0" fontId="59" fillId="16" borderId="13" xfId="0" applyFont="1" applyFill="1" applyBorder="1" applyAlignment="1">
      <alignment horizontal="left"/>
    </xf>
    <xf numFmtId="0" fontId="41" fillId="14" borderId="1" xfId="0" applyFont="1" applyFill="1" applyBorder="1"/>
    <xf numFmtId="0" fontId="41" fillId="14" borderId="4" xfId="0" applyFont="1" applyFill="1" applyBorder="1" applyAlignment="1">
      <alignment horizontal="left"/>
    </xf>
    <xf numFmtId="167" fontId="60" fillId="6" borderId="3" xfId="0" applyNumberFormat="1" applyFont="1" applyFill="1" applyBorder="1"/>
    <xf numFmtId="9" fontId="3" fillId="16" borderId="1" xfId="0" applyNumberFormat="1" applyFont="1" applyFill="1" applyBorder="1" applyAlignment="1">
      <alignment horizontal="center"/>
    </xf>
    <xf numFmtId="167" fontId="3" fillId="16" borderId="1" xfId="0" applyNumberFormat="1" applyFont="1" applyFill="1" applyBorder="1" applyAlignment="1">
      <alignment horizontal="right"/>
    </xf>
    <xf numFmtId="3" fontId="60" fillId="14" borderId="8" xfId="0" applyNumberFormat="1" applyFont="1" applyFill="1" applyBorder="1" applyAlignment="1">
      <alignment horizontal="center"/>
    </xf>
    <xf numFmtId="0" fontId="59" fillId="0" borderId="8" xfId="0" applyFont="1" applyBorder="1" applyAlignment="1">
      <alignment horizontal="center"/>
    </xf>
    <xf numFmtId="0" fontId="60" fillId="6" borderId="10" xfId="0" applyFont="1" applyFill="1" applyBorder="1" applyAlignment="1">
      <alignment horizontal="center"/>
    </xf>
    <xf numFmtId="3" fontId="60" fillId="6" borderId="0" xfId="0" applyNumberFormat="1" applyFont="1" applyFill="1" applyAlignment="1">
      <alignment horizontal="center"/>
    </xf>
    <xf numFmtId="3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7" fontId="60" fillId="6" borderId="0" xfId="0" applyNumberFormat="1" applyFont="1" applyFill="1" applyAlignment="1">
      <alignment horizontal="right"/>
    </xf>
    <xf numFmtId="167" fontId="59" fillId="0" borderId="5" xfId="0" applyNumberFormat="1" applyFont="1" applyBorder="1" applyAlignment="1">
      <alignment horizontal="center"/>
    </xf>
    <xf numFmtId="167" fontId="3" fillId="6" borderId="8" xfId="0" applyNumberFormat="1" applyFont="1" applyFill="1" applyBorder="1" applyAlignment="1">
      <alignment horizontal="right"/>
    </xf>
    <xf numFmtId="0" fontId="60" fillId="14" borderId="0" xfId="0" applyFont="1" applyFill="1" applyAlignment="1">
      <alignment horizontal="center"/>
    </xf>
    <xf numFmtId="0" fontId="60" fillId="14" borderId="15" xfId="0" applyFont="1" applyFill="1" applyBorder="1" applyAlignment="1">
      <alignment horizontal="center"/>
    </xf>
    <xf numFmtId="0" fontId="41" fillId="14" borderId="9" xfId="0" applyFont="1" applyFill="1" applyBorder="1" applyAlignment="1">
      <alignment horizontal="left" wrapText="1"/>
    </xf>
    <xf numFmtId="0" fontId="60" fillId="6" borderId="7" xfId="0" applyFont="1" applyFill="1" applyBorder="1" applyAlignment="1">
      <alignment horizontal="center"/>
    </xf>
    <xf numFmtId="167" fontId="60" fillId="14" borderId="15" xfId="0" applyNumberFormat="1" applyFont="1" applyFill="1" applyBorder="1" applyAlignment="1">
      <alignment horizontal="right"/>
    </xf>
    <xf numFmtId="9" fontId="60" fillId="14" borderId="12" xfId="0" applyNumberFormat="1" applyFont="1" applyFill="1" applyBorder="1" applyAlignment="1">
      <alignment horizontal="left"/>
    </xf>
    <xf numFmtId="167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9" fontId="3" fillId="14" borderId="1" xfId="0" applyNumberFormat="1" applyFont="1" applyFill="1" applyBorder="1"/>
    <xf numFmtId="0" fontId="57" fillId="9" borderId="1" xfId="0" applyFont="1" applyFill="1" applyBorder="1" applyAlignment="1">
      <alignment horizontal="left"/>
    </xf>
    <xf numFmtId="0" fontId="59" fillId="16" borderId="12" xfId="0" applyFont="1" applyFill="1" applyBorder="1" applyAlignment="1">
      <alignment horizontal="left" vertical="center"/>
    </xf>
    <xf numFmtId="0" fontId="60" fillId="16" borderId="15" xfId="0" applyFont="1" applyFill="1" applyBorder="1" applyAlignment="1">
      <alignment horizontal="left"/>
    </xf>
    <xf numFmtId="0" fontId="59" fillId="14" borderId="11" xfId="0" applyFont="1" applyFill="1" applyBorder="1" applyAlignment="1">
      <alignment horizontal="left"/>
    </xf>
    <xf numFmtId="0" fontId="59" fillId="14" borderId="12" xfId="0" applyFont="1" applyFill="1" applyBorder="1"/>
    <xf numFmtId="0" fontId="0" fillId="14" borderId="9" xfId="0" applyFill="1" applyBorder="1"/>
    <xf numFmtId="0" fontId="60" fillId="14" borderId="6" xfId="0" applyFont="1" applyFill="1" applyBorder="1"/>
    <xf numFmtId="0" fontId="59" fillId="14" borderId="1" xfId="0" applyFont="1" applyFill="1" applyBorder="1" applyAlignment="1">
      <alignment vertical="center"/>
    </xf>
    <xf numFmtId="0" fontId="0" fillId="14" borderId="12" xfId="0" applyFill="1" applyBorder="1"/>
    <xf numFmtId="170" fontId="59" fillId="16" borderId="1" xfId="0" applyNumberFormat="1" applyFont="1" applyFill="1" applyBorder="1" applyAlignment="1">
      <alignment horizontal="right"/>
    </xf>
    <xf numFmtId="0" fontId="41" fillId="16" borderId="1" xfId="0" applyFont="1" applyFill="1" applyBorder="1"/>
    <xf numFmtId="9" fontId="60" fillId="16" borderId="13" xfId="0" applyNumberFormat="1" applyFont="1" applyFill="1" applyBorder="1" applyAlignment="1">
      <alignment horizontal="center"/>
    </xf>
    <xf numFmtId="0" fontId="41" fillId="16" borderId="5" xfId="0" applyFont="1" applyFill="1" applyBorder="1" applyAlignment="1">
      <alignment wrapText="1"/>
    </xf>
    <xf numFmtId="167" fontId="59" fillId="16" borderId="14" xfId="0" applyNumberFormat="1" applyFont="1" applyFill="1" applyBorder="1"/>
    <xf numFmtId="0" fontId="0" fillId="16" borderId="0" xfId="0" applyFill="1"/>
    <xf numFmtId="0" fontId="41" fillId="16" borderId="9" xfId="0" applyFont="1" applyFill="1" applyBorder="1" applyAlignment="1">
      <alignment wrapText="1"/>
    </xf>
    <xf numFmtId="170" fontId="60" fillId="16" borderId="9" xfId="0" applyNumberFormat="1" applyFont="1" applyFill="1" applyBorder="1" applyAlignment="1">
      <alignment horizontal="right"/>
    </xf>
    <xf numFmtId="170" fontId="60" fillId="16" borderId="1" xfId="0" applyNumberFormat="1" applyFont="1" applyFill="1" applyBorder="1" applyAlignment="1">
      <alignment horizontal="right"/>
    </xf>
    <xf numFmtId="167" fontId="0" fillId="16" borderId="1" xfId="0" applyNumberFormat="1" applyFill="1" applyBorder="1" applyAlignment="1">
      <alignment horizontal="right"/>
    </xf>
    <xf numFmtId="0" fontId="4" fillId="16" borderId="0" xfId="0" applyFont="1" applyFill="1"/>
    <xf numFmtId="0" fontId="41" fillId="6" borderId="1" xfId="0" applyFont="1" applyFill="1" applyBorder="1" applyAlignment="1">
      <alignment horizontal="center" wrapText="1"/>
    </xf>
    <xf numFmtId="0" fontId="3" fillId="6" borderId="12" xfId="0" applyFont="1" applyFill="1" applyBorder="1" applyAlignment="1">
      <alignment horizontal="center"/>
    </xf>
    <xf numFmtId="0" fontId="59" fillId="6" borderId="6" xfId="0" applyFont="1" applyFill="1" applyBorder="1" applyAlignment="1">
      <alignment horizontal="right"/>
    </xf>
    <xf numFmtId="0" fontId="99" fillId="6" borderId="1" xfId="0" applyFont="1" applyFill="1" applyBorder="1" applyAlignment="1">
      <alignment horizontal="center"/>
    </xf>
    <xf numFmtId="9" fontId="60" fillId="6" borderId="1" xfId="0" applyNumberFormat="1" applyFont="1" applyFill="1" applyBorder="1" applyAlignment="1">
      <alignment horizontal="left"/>
    </xf>
    <xf numFmtId="0" fontId="59" fillId="6" borderId="6" xfId="0" applyFont="1" applyFill="1" applyBorder="1" applyAlignment="1">
      <alignment horizontal="left"/>
    </xf>
    <xf numFmtId="9" fontId="60" fillId="6" borderId="7" xfId="0" applyNumberFormat="1" applyFont="1" applyFill="1" applyBorder="1" applyAlignment="1">
      <alignment horizontal="center"/>
    </xf>
    <xf numFmtId="0" fontId="60" fillId="6" borderId="5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99" fillId="14" borderId="1" xfId="0" applyFont="1" applyFill="1" applyBorder="1" applyAlignment="1">
      <alignment horizontal="center"/>
    </xf>
    <xf numFmtId="9" fontId="57" fillId="16" borderId="6" xfId="0" applyNumberFormat="1" applyFont="1" applyFill="1" applyBorder="1" applyAlignment="1">
      <alignment horizontal="center"/>
    </xf>
    <xf numFmtId="168" fontId="60" fillId="16" borderId="1" xfId="0" applyNumberFormat="1" applyFont="1" applyFill="1" applyBorder="1" applyAlignment="1">
      <alignment horizontal="right"/>
    </xf>
    <xf numFmtId="9" fontId="57" fillId="14" borderId="1" xfId="0" applyNumberFormat="1" applyFont="1" applyFill="1" applyBorder="1" applyAlignment="1">
      <alignment horizontal="left"/>
    </xf>
    <xf numFmtId="0" fontId="60" fillId="6" borderId="1" xfId="0" applyFont="1" applyFill="1" applyBorder="1" applyAlignment="1">
      <alignment horizontal="right" wrapText="1"/>
    </xf>
    <xf numFmtId="0" fontId="0" fillId="0" borderId="14" xfId="0" applyBorder="1" applyAlignment="1">
      <alignment horizontal="center"/>
    </xf>
    <xf numFmtId="0" fontId="62" fillId="6" borderId="4" xfId="0" applyFont="1" applyFill="1" applyBorder="1" applyAlignment="1">
      <alignment horizontal="center" wrapText="1"/>
    </xf>
    <xf numFmtId="0" fontId="60" fillId="6" borderId="11" xfId="0" applyFont="1" applyFill="1" applyBorder="1" applyAlignment="1">
      <alignment horizontal="right"/>
    </xf>
    <xf numFmtId="9" fontId="60" fillId="6" borderId="3" xfId="0" applyNumberFormat="1" applyFont="1" applyFill="1" applyBorder="1" applyAlignment="1">
      <alignment horizontal="center"/>
    </xf>
    <xf numFmtId="170" fontId="59" fillId="14" borderId="1" xfId="0" applyNumberFormat="1" applyFont="1" applyFill="1" applyBorder="1" applyAlignment="1">
      <alignment horizontal="center"/>
    </xf>
    <xf numFmtId="0" fontId="59" fillId="6" borderId="11" xfId="0" applyFont="1" applyFill="1" applyBorder="1" applyAlignment="1">
      <alignment horizontal="center"/>
    </xf>
    <xf numFmtId="167" fontId="59" fillId="6" borderId="5" xfId="0" applyNumberFormat="1" applyFont="1" applyFill="1" applyBorder="1"/>
    <xf numFmtId="167" fontId="60" fillId="14" borderId="0" xfId="0" applyNumberFormat="1" applyFont="1" applyFill="1" applyAlignment="1">
      <alignment horizontal="right"/>
    </xf>
    <xf numFmtId="167" fontId="60" fillId="14" borderId="13" xfId="0" applyNumberFormat="1" applyFont="1" applyFill="1" applyBorder="1" applyAlignment="1">
      <alignment horizontal="right"/>
    </xf>
    <xf numFmtId="168" fontId="60" fillId="14" borderId="8" xfId="0" applyNumberFormat="1" applyFont="1" applyFill="1" applyBorder="1" applyAlignment="1">
      <alignment horizontal="right"/>
    </xf>
    <xf numFmtId="0" fontId="59" fillId="14" borderId="13" xfId="0" applyFont="1" applyFill="1" applyBorder="1" applyAlignment="1">
      <alignment horizontal="right"/>
    </xf>
    <xf numFmtId="3" fontId="60" fillId="14" borderId="3" xfId="0" applyNumberFormat="1" applyFont="1" applyFill="1" applyBorder="1" applyAlignment="1">
      <alignment horizontal="center"/>
    </xf>
    <xf numFmtId="9" fontId="3" fillId="14" borderId="8" xfId="0" applyNumberFormat="1" applyFont="1" applyFill="1" applyBorder="1" applyAlignment="1">
      <alignment horizontal="center"/>
    </xf>
    <xf numFmtId="0" fontId="60" fillId="14" borderId="5" xfId="0" applyFont="1" applyFill="1" applyBorder="1" applyAlignment="1">
      <alignment wrapText="1"/>
    </xf>
    <xf numFmtId="9" fontId="59" fillId="14" borderId="12" xfId="0" applyNumberFormat="1" applyFont="1" applyFill="1" applyBorder="1"/>
    <xf numFmtId="9" fontId="59" fillId="14" borderId="13" xfId="0" applyNumberFormat="1" applyFont="1" applyFill="1" applyBorder="1" applyAlignment="1">
      <alignment horizontal="center"/>
    </xf>
    <xf numFmtId="0" fontId="41" fillId="14" borderId="0" xfId="0" applyFont="1" applyFill="1" applyAlignment="1">
      <alignment horizontal="center"/>
    </xf>
    <xf numFmtId="0" fontId="0" fillId="14" borderId="1" xfId="0" applyFill="1" applyBorder="1" applyAlignment="1">
      <alignment horizontal="right"/>
    </xf>
    <xf numFmtId="171" fontId="5" fillId="14" borderId="1" xfId="0" applyNumberFormat="1" applyFont="1" applyFill="1" applyBorder="1" applyAlignment="1">
      <alignment horizontal="center"/>
    </xf>
    <xf numFmtId="171" fontId="0" fillId="6" borderId="1" xfId="0" applyNumberFormat="1" applyFill="1" applyBorder="1"/>
    <xf numFmtId="171" fontId="65" fillId="6" borderId="1" xfId="0" applyNumberFormat="1" applyFont="1" applyFill="1" applyBorder="1" applyAlignment="1">
      <alignment horizontal="right"/>
    </xf>
    <xf numFmtId="0" fontId="3" fillId="16" borderId="1" xfId="0" applyFont="1" applyFill="1" applyBorder="1" applyAlignment="1">
      <alignment horizontal="left"/>
    </xf>
    <xf numFmtId="0" fontId="0" fillId="16" borderId="9" xfId="0" applyFill="1" applyBorder="1" applyAlignment="1">
      <alignment horizontal="center"/>
    </xf>
    <xf numFmtId="171" fontId="5" fillId="14" borderId="1" xfId="0" applyNumberFormat="1" applyFont="1" applyFill="1" applyBorder="1" applyAlignment="1">
      <alignment horizontal="right"/>
    </xf>
    <xf numFmtId="171" fontId="60" fillId="14" borderId="1" xfId="0" applyNumberFormat="1" applyFont="1" applyFill="1" applyBorder="1" applyAlignment="1">
      <alignment horizontal="right"/>
    </xf>
    <xf numFmtId="171" fontId="0" fillId="6" borderId="1" xfId="0" applyNumberFormat="1" applyFill="1" applyBorder="1" applyAlignment="1">
      <alignment horizontal="right"/>
    </xf>
    <xf numFmtId="167" fontId="33" fillId="10" borderId="1" xfId="0" applyNumberFormat="1" applyFont="1" applyFill="1" applyBorder="1"/>
    <xf numFmtId="171" fontId="59" fillId="14" borderId="1" xfId="0" applyNumberFormat="1" applyFont="1" applyFill="1" applyBorder="1" applyAlignment="1">
      <alignment horizontal="right"/>
    </xf>
    <xf numFmtId="171" fontId="59" fillId="14" borderId="11" xfId="0" applyNumberFormat="1" applyFont="1" applyFill="1" applyBorder="1" applyAlignment="1">
      <alignment horizontal="right"/>
    </xf>
    <xf numFmtId="171" fontId="60" fillId="14" borderId="5" xfId="0" applyNumberFormat="1" applyFont="1" applyFill="1" applyBorder="1" applyAlignment="1">
      <alignment horizontal="right"/>
    </xf>
    <xf numFmtId="171" fontId="59" fillId="14" borderId="14" xfId="0" applyNumberFormat="1" applyFont="1" applyFill="1" applyBorder="1"/>
    <xf numFmtId="171" fontId="59" fillId="14" borderId="1" xfId="0" applyNumberFormat="1" applyFont="1" applyFill="1" applyBorder="1"/>
    <xf numFmtId="171" fontId="57" fillId="14" borderId="9" xfId="0" applyNumberFormat="1" applyFont="1" applyFill="1" applyBorder="1"/>
    <xf numFmtId="171" fontId="59" fillId="14" borderId="9" xfId="0" applyNumberFormat="1" applyFont="1" applyFill="1" applyBorder="1"/>
    <xf numFmtId="171" fontId="60" fillId="14" borderId="1" xfId="0" applyNumberFormat="1" applyFont="1" applyFill="1" applyBorder="1"/>
    <xf numFmtId="171" fontId="0" fillId="14" borderId="6" xfId="0" applyNumberFormat="1" applyFill="1" applyBorder="1"/>
    <xf numFmtId="171" fontId="5" fillId="14" borderId="1" xfId="0" applyNumberFormat="1" applyFont="1" applyFill="1" applyBorder="1"/>
    <xf numFmtId="171" fontId="0" fillId="14" borderId="14" xfId="0" applyNumberFormat="1" applyFill="1" applyBorder="1"/>
    <xf numFmtId="171" fontId="60" fillId="14" borderId="5" xfId="0" applyNumberFormat="1" applyFont="1" applyFill="1" applyBorder="1"/>
    <xf numFmtId="171" fontId="0" fillId="6" borderId="14" xfId="0" applyNumberFormat="1" applyFill="1" applyBorder="1" applyAlignment="1">
      <alignment horizontal="right"/>
    </xf>
    <xf numFmtId="171" fontId="0" fillId="0" borderId="9" xfId="0" applyNumberFormat="1" applyBorder="1"/>
    <xf numFmtId="171" fontId="59" fillId="14" borderId="9" xfId="0" applyNumberFormat="1" applyFont="1" applyFill="1" applyBorder="1" applyAlignment="1">
      <alignment horizontal="center"/>
    </xf>
    <xf numFmtId="171" fontId="0" fillId="6" borderId="12" xfId="0" applyNumberFormat="1" applyFill="1" applyBorder="1"/>
    <xf numFmtId="171" fontId="0" fillId="0" borderId="12" xfId="0" applyNumberFormat="1" applyBorder="1"/>
    <xf numFmtId="14" fontId="0" fillId="6" borderId="16" xfId="0" applyNumberFormat="1" applyFill="1" applyBorder="1" applyAlignment="1">
      <alignment horizontal="left"/>
    </xf>
    <xf numFmtId="3" fontId="0" fillId="6" borderId="16" xfId="0" applyNumberFormat="1" applyFill="1" applyBorder="1" applyAlignment="1">
      <alignment horizontal="left"/>
    </xf>
    <xf numFmtId="0" fontId="23" fillId="6" borderId="0" xfId="0" applyFont="1" applyFill="1" applyAlignment="1">
      <alignment wrapText="1"/>
    </xf>
    <xf numFmtId="0" fontId="0" fillId="6" borderId="17" xfId="0" applyFill="1" applyBorder="1"/>
    <xf numFmtId="0" fontId="0" fillId="6" borderId="19" xfId="0" applyFill="1" applyBorder="1"/>
    <xf numFmtId="3" fontId="5" fillId="16" borderId="1" xfId="0" applyNumberFormat="1" applyFont="1" applyFill="1" applyBorder="1" applyAlignment="1">
      <alignment horizontal="right"/>
    </xf>
    <xf numFmtId="0" fontId="5" fillId="16" borderId="1" xfId="0" applyFont="1" applyFill="1" applyBorder="1" applyAlignment="1">
      <alignment horizontal="center"/>
    </xf>
    <xf numFmtId="0" fontId="59" fillId="16" borderId="1" xfId="0" applyFont="1" applyFill="1" applyBorder="1" applyAlignment="1">
      <alignment horizontal="left" vertical="center"/>
    </xf>
    <xf numFmtId="9" fontId="57" fillId="6" borderId="5" xfId="0" applyNumberFormat="1" applyFont="1" applyFill="1" applyBorder="1" applyAlignment="1">
      <alignment horizontal="left"/>
    </xf>
    <xf numFmtId="0" fontId="41" fillId="6" borderId="5" xfId="0" applyFont="1" applyFill="1" applyBorder="1" applyAlignment="1">
      <alignment horizontal="left" wrapText="1"/>
    </xf>
    <xf numFmtId="167" fontId="60" fillId="6" borderId="7" xfId="0" applyNumberFormat="1" applyFont="1" applyFill="1" applyBorder="1"/>
    <xf numFmtId="9" fontId="57" fillId="16" borderId="3" xfId="0" applyNumberFormat="1" applyFont="1" applyFill="1" applyBorder="1" applyAlignment="1">
      <alignment horizontal="center"/>
    </xf>
    <xf numFmtId="167" fontId="60" fillId="16" borderId="14" xfId="0" applyNumberFormat="1" applyFont="1" applyFill="1" applyBorder="1" applyAlignment="1">
      <alignment horizontal="right"/>
    </xf>
    <xf numFmtId="9" fontId="59" fillId="16" borderId="8" xfId="0" applyNumberFormat="1" applyFont="1" applyFill="1" applyBorder="1" applyAlignment="1">
      <alignment horizontal="center"/>
    </xf>
    <xf numFmtId="167" fontId="60" fillId="16" borderId="1" xfId="0" applyNumberFormat="1" applyFont="1" applyFill="1" applyBorder="1" applyAlignment="1">
      <alignment horizontal="left"/>
    </xf>
    <xf numFmtId="171" fontId="0" fillId="14" borderId="1" xfId="0" applyNumberFormat="1" applyFill="1" applyBorder="1" applyAlignment="1">
      <alignment horizontal="right"/>
    </xf>
    <xf numFmtId="0" fontId="3" fillId="14" borderId="6" xfId="0" applyFont="1" applyFill="1" applyBorder="1" applyAlignment="1">
      <alignment horizontal="center"/>
    </xf>
    <xf numFmtId="0" fontId="41" fillId="0" borderId="1" xfId="0" applyFont="1" applyBorder="1"/>
    <xf numFmtId="9" fontId="59" fillId="0" borderId="7" xfId="0" applyNumberFormat="1" applyFont="1" applyBorder="1" applyAlignment="1">
      <alignment horizontal="center"/>
    </xf>
    <xf numFmtId="167" fontId="3" fillId="16" borderId="6" xfId="0" applyNumberFormat="1" applyFont="1" applyFill="1" applyBorder="1" applyAlignment="1">
      <alignment horizontal="center"/>
    </xf>
    <xf numFmtId="3" fontId="3" fillId="16" borderId="8" xfId="0" applyNumberFormat="1" applyFont="1" applyFill="1" applyBorder="1" applyAlignment="1">
      <alignment horizontal="center"/>
    </xf>
    <xf numFmtId="167" fontId="60" fillId="16" borderId="13" xfId="0" applyNumberFormat="1" applyFont="1" applyFill="1" applyBorder="1" applyAlignment="1">
      <alignment horizontal="left"/>
    </xf>
    <xf numFmtId="0" fontId="59" fillId="16" borderId="15" xfId="0" applyFont="1" applyFill="1" applyBorder="1" applyAlignment="1">
      <alignment horizontal="left"/>
    </xf>
    <xf numFmtId="0" fontId="60" fillId="6" borderId="12" xfId="0" applyFont="1" applyFill="1" applyBorder="1" applyAlignment="1">
      <alignment horizontal="center"/>
    </xf>
    <xf numFmtId="0" fontId="59" fillId="16" borderId="14" xfId="0" applyFont="1" applyFill="1" applyBorder="1"/>
    <xf numFmtId="167" fontId="60" fillId="16" borderId="15" xfId="0" applyNumberFormat="1" applyFont="1" applyFill="1" applyBorder="1" applyAlignment="1">
      <alignment horizontal="left"/>
    </xf>
    <xf numFmtId="170" fontId="59" fillId="16" borderId="9" xfId="0" applyNumberFormat="1" applyFont="1" applyFill="1" applyBorder="1" applyAlignment="1">
      <alignment horizontal="right"/>
    </xf>
    <xf numFmtId="167" fontId="59" fillId="16" borderId="9" xfId="0" applyNumberFormat="1" applyFont="1" applyFill="1" applyBorder="1"/>
    <xf numFmtId="0" fontId="3" fillId="6" borderId="1" xfId="0" applyFont="1" applyFill="1" applyBorder="1"/>
    <xf numFmtId="167" fontId="59" fillId="14" borderId="14" xfId="0" applyNumberFormat="1" applyFont="1" applyFill="1" applyBorder="1"/>
    <xf numFmtId="0" fontId="41" fillId="14" borderId="5" xfId="0" applyFont="1" applyFill="1" applyBorder="1" applyAlignment="1">
      <alignment horizontal="left"/>
    </xf>
    <xf numFmtId="0" fontId="3" fillId="14" borderId="1" xfId="0" applyFont="1" applyFill="1" applyBorder="1"/>
    <xf numFmtId="167" fontId="60" fillId="14" borderId="5" xfId="0" applyNumberFormat="1" applyFont="1" applyFill="1" applyBorder="1" applyAlignment="1">
      <alignment horizontal="left"/>
    </xf>
    <xf numFmtId="0" fontId="98" fillId="6" borderId="1" xfId="0" applyFont="1" applyFill="1" applyBorder="1" applyAlignment="1">
      <alignment horizontal="center"/>
    </xf>
    <xf numFmtId="9" fontId="59" fillId="6" borderId="6" xfId="0" applyNumberFormat="1" applyFont="1" applyFill="1" applyBorder="1" applyAlignment="1">
      <alignment horizontal="center"/>
    </xf>
    <xf numFmtId="0" fontId="57" fillId="0" borderId="3" xfId="0" applyFont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1" fillId="16" borderId="0" xfId="0" applyFont="1" applyFill="1"/>
    <xf numFmtId="0" fontId="41" fillId="16" borderId="6" xfId="0" applyFont="1" applyFill="1" applyBorder="1" applyAlignment="1">
      <alignment horizontal="left" wrapText="1"/>
    </xf>
    <xf numFmtId="9" fontId="0" fillId="14" borderId="1" xfId="0" applyNumberFormat="1" applyFill="1" applyBorder="1" applyAlignment="1">
      <alignment horizontal="center" vertical="center"/>
    </xf>
    <xf numFmtId="9" fontId="0" fillId="14" borderId="8" xfId="0" applyNumberFormat="1" applyFill="1" applyBorder="1" applyAlignment="1">
      <alignment horizontal="center" vertical="center"/>
    </xf>
    <xf numFmtId="0" fontId="3" fillId="16" borderId="1" xfId="0" applyFont="1" applyFill="1" applyBorder="1"/>
    <xf numFmtId="168" fontId="60" fillId="16" borderId="3" xfId="0" applyNumberFormat="1" applyFont="1" applyFill="1" applyBorder="1" applyAlignment="1">
      <alignment horizontal="right"/>
    </xf>
    <xf numFmtId="168" fontId="57" fillId="16" borderId="5" xfId="0" applyNumberFormat="1" applyFont="1" applyFill="1" applyBorder="1" applyAlignment="1">
      <alignment horizontal="center"/>
    </xf>
    <xf numFmtId="0" fontId="57" fillId="16" borderId="5" xfId="0" applyFont="1" applyFill="1" applyBorder="1" applyAlignment="1">
      <alignment horizontal="center"/>
    </xf>
    <xf numFmtId="0" fontId="57" fillId="16" borderId="5" xfId="0" applyFont="1" applyFill="1" applyBorder="1"/>
    <xf numFmtId="167" fontId="59" fillId="6" borderId="3" xfId="0" applyNumberFormat="1" applyFont="1" applyFill="1" applyBorder="1" applyAlignment="1">
      <alignment horizontal="center"/>
    </xf>
    <xf numFmtId="9" fontId="57" fillId="6" borderId="10" xfId="0" applyNumberFormat="1" applyFont="1" applyFill="1" applyBorder="1" applyAlignment="1">
      <alignment horizontal="center"/>
    </xf>
    <xf numFmtId="0" fontId="41" fillId="0" borderId="5" xfId="0" applyFont="1" applyBorder="1" applyAlignment="1">
      <alignment horizontal="left" wrapText="1"/>
    </xf>
    <xf numFmtId="167" fontId="60" fillId="6" borderId="3" xfId="0" applyNumberFormat="1" applyFont="1" applyFill="1" applyBorder="1" applyAlignment="1">
      <alignment horizontal="center"/>
    </xf>
    <xf numFmtId="167" fontId="59" fillId="6" borderId="4" xfId="0" applyNumberFormat="1" applyFont="1" applyFill="1" applyBorder="1"/>
    <xf numFmtId="0" fontId="57" fillId="6" borderId="7" xfId="0" applyFont="1" applyFill="1" applyBorder="1"/>
    <xf numFmtId="0" fontId="41" fillId="14" borderId="6" xfId="0" applyFont="1" applyFill="1" applyBorder="1" applyAlignment="1">
      <alignment horizontal="left" wrapText="1"/>
    </xf>
    <xf numFmtId="0" fontId="41" fillId="14" borderId="1" xfId="0" applyFont="1" applyFill="1" applyBorder="1" applyAlignment="1">
      <alignment horizontal="left"/>
    </xf>
    <xf numFmtId="0" fontId="41" fillId="16" borderId="6" xfId="0" applyFont="1" applyFill="1" applyBorder="1"/>
    <xf numFmtId="0" fontId="59" fillId="16" borderId="8" xfId="0" applyFont="1" applyFill="1" applyBorder="1"/>
    <xf numFmtId="0" fontId="4" fillId="16" borderId="4" xfId="0" applyFont="1" applyFill="1" applyBorder="1"/>
    <xf numFmtId="170" fontId="59" fillId="16" borderId="6" xfId="0" applyNumberFormat="1" applyFont="1" applyFill="1" applyBorder="1" applyAlignment="1">
      <alignment horizontal="right"/>
    </xf>
    <xf numFmtId="0" fontId="59" fillId="16" borderId="11" xfId="0" applyFont="1" applyFill="1" applyBorder="1" applyAlignment="1">
      <alignment horizontal="left"/>
    </xf>
    <xf numFmtId="0" fontId="0" fillId="16" borderId="1" xfId="0" applyFill="1" applyBorder="1" applyAlignment="1">
      <alignment horizontal="right"/>
    </xf>
    <xf numFmtId="9" fontId="3" fillId="14" borderId="6" xfId="0" applyNumberFormat="1" applyFont="1" applyFill="1" applyBorder="1" applyAlignment="1">
      <alignment horizontal="center"/>
    </xf>
    <xf numFmtId="0" fontId="39" fillId="0" borderId="26" xfId="0" applyFont="1" applyBorder="1" applyAlignment="1">
      <alignment wrapText="1"/>
    </xf>
    <xf numFmtId="0" fontId="38" fillId="24" borderId="26" xfId="0" applyFont="1" applyFill="1" applyBorder="1" applyAlignment="1">
      <alignment wrapText="1"/>
    </xf>
    <xf numFmtId="0" fontId="39" fillId="0" borderId="31" xfId="0" applyFont="1" applyBorder="1" applyAlignment="1">
      <alignment horizontal="left" wrapText="1"/>
    </xf>
    <xf numFmtId="0" fontId="39" fillId="0" borderId="28" xfId="0" applyFont="1" applyBorder="1" applyAlignment="1">
      <alignment horizontal="left" wrapText="1"/>
    </xf>
    <xf numFmtId="0" fontId="49" fillId="0" borderId="10" xfId="0" applyFont="1" applyBorder="1" applyAlignment="1">
      <alignment wrapText="1"/>
    </xf>
    <xf numFmtId="0" fontId="41" fillId="6" borderId="6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83" fillId="0" borderId="1" xfId="0" applyFont="1" applyBorder="1"/>
    <xf numFmtId="0" fontId="41" fillId="6" borderId="13" xfId="0" applyFont="1" applyFill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2" xfId="0" applyFont="1" applyBorder="1"/>
    <xf numFmtId="0" fontId="101" fillId="0" borderId="26" xfId="0" applyFont="1" applyBorder="1" applyAlignment="1">
      <alignment wrapText="1"/>
    </xf>
    <xf numFmtId="167" fontId="3" fillId="6" borderId="6" xfId="0" applyNumberFormat="1" applyFont="1" applyFill="1" applyBorder="1" applyAlignment="1">
      <alignment horizontal="right"/>
    </xf>
    <xf numFmtId="0" fontId="41" fillId="16" borderId="6" xfId="0" applyFont="1" applyFill="1" applyBorder="1" applyAlignment="1">
      <alignment wrapText="1"/>
    </xf>
    <xf numFmtId="170" fontId="60" fillId="16" borderId="6" xfId="0" applyNumberFormat="1" applyFont="1" applyFill="1" applyBorder="1" applyAlignment="1">
      <alignment horizontal="right"/>
    </xf>
    <xf numFmtId="9" fontId="59" fillId="0" borderId="2" xfId="0" applyNumberFormat="1" applyFont="1" applyBorder="1" applyAlignment="1">
      <alignment horizontal="center"/>
    </xf>
    <xf numFmtId="0" fontId="41" fillId="0" borderId="5" xfId="0" applyFont="1" applyBorder="1"/>
    <xf numFmtId="167" fontId="5" fillId="11" borderId="3" xfId="0" applyNumberFormat="1" applyFont="1" applyFill="1" applyBorder="1" applyAlignment="1">
      <alignment horizontal="right"/>
    </xf>
    <xf numFmtId="169" fontId="5" fillId="12" borderId="3" xfId="0" applyNumberFormat="1" applyFont="1" applyFill="1" applyBorder="1" applyAlignment="1">
      <alignment horizontal="right"/>
    </xf>
    <xf numFmtId="0" fontId="0" fillId="18" borderId="8" xfId="0" applyFill="1" applyBorder="1" applyAlignment="1">
      <alignment horizontal="center"/>
    </xf>
    <xf numFmtId="0" fontId="0" fillId="18" borderId="31" xfId="0" applyFill="1" applyBorder="1"/>
    <xf numFmtId="0" fontId="0" fillId="18" borderId="9" xfId="0" applyFill="1" applyBorder="1" applyAlignment="1">
      <alignment horizontal="left"/>
    </xf>
    <xf numFmtId="0" fontId="98" fillId="6" borderId="3" xfId="0" applyFont="1" applyFill="1" applyBorder="1" applyAlignment="1">
      <alignment horizontal="center"/>
    </xf>
    <xf numFmtId="0" fontId="98" fillId="16" borderId="3" xfId="0" applyFont="1" applyFill="1" applyBorder="1" applyAlignment="1">
      <alignment horizontal="center"/>
    </xf>
    <xf numFmtId="9" fontId="5" fillId="16" borderId="5" xfId="0" applyNumberFormat="1" applyFont="1" applyFill="1" applyBorder="1" applyAlignment="1">
      <alignment horizontal="center"/>
    </xf>
    <xf numFmtId="0" fontId="41" fillId="16" borderId="3" xfId="0" applyFont="1" applyFill="1" applyBorder="1" applyAlignment="1">
      <alignment horizontal="left" wrapText="1"/>
    </xf>
    <xf numFmtId="170" fontId="60" fillId="16" borderId="5" xfId="0" applyNumberFormat="1" applyFont="1" applyFill="1" applyBorder="1" applyAlignment="1">
      <alignment horizontal="right"/>
    </xf>
    <xf numFmtId="0" fontId="41" fillId="14" borderId="6" xfId="0" applyFont="1" applyFill="1" applyBorder="1"/>
    <xf numFmtId="0" fontId="41" fillId="14" borderId="14" xfId="0" applyFont="1" applyFill="1" applyBorder="1"/>
    <xf numFmtId="0" fontId="3" fillId="14" borderId="14" xfId="0" applyFont="1" applyFill="1" applyBorder="1" applyAlignment="1">
      <alignment horizontal="center"/>
    </xf>
    <xf numFmtId="3" fontId="3" fillId="14" borderId="8" xfId="0" applyNumberFormat="1" applyFont="1" applyFill="1" applyBorder="1" applyAlignment="1">
      <alignment horizontal="center"/>
    </xf>
    <xf numFmtId="9" fontId="3" fillId="14" borderId="13" xfId="0" applyNumberFormat="1" applyFont="1" applyFill="1" applyBorder="1" applyAlignment="1">
      <alignment horizontal="center"/>
    </xf>
    <xf numFmtId="9" fontId="5" fillId="14" borderId="9" xfId="0" applyNumberFormat="1" applyFont="1" applyFill="1" applyBorder="1" applyAlignment="1">
      <alignment horizontal="center"/>
    </xf>
    <xf numFmtId="170" fontId="59" fillId="6" borderId="3" xfId="0" applyNumberFormat="1" applyFont="1" applyFill="1" applyBorder="1"/>
    <xf numFmtId="0" fontId="3" fillId="16" borderId="4" xfId="0" applyFont="1" applyFill="1" applyBorder="1" applyAlignment="1">
      <alignment horizontal="center"/>
    </xf>
    <xf numFmtId="9" fontId="57" fillId="16" borderId="11" xfId="0" applyNumberFormat="1" applyFont="1" applyFill="1" applyBorder="1" applyAlignment="1">
      <alignment horizontal="center"/>
    </xf>
    <xf numFmtId="0" fontId="59" fillId="16" borderId="14" xfId="0" applyFont="1" applyFill="1" applyBorder="1" applyAlignment="1">
      <alignment horizontal="right"/>
    </xf>
    <xf numFmtId="9" fontId="3" fillId="6" borderId="13" xfId="0" applyNumberFormat="1" applyFont="1" applyFill="1" applyBorder="1" applyAlignment="1">
      <alignment horizontal="center"/>
    </xf>
    <xf numFmtId="0" fontId="60" fillId="14" borderId="11" xfId="0" applyFont="1" applyFill="1" applyBorder="1" applyAlignment="1">
      <alignment horizontal="left" wrapText="1"/>
    </xf>
    <xf numFmtId="170" fontId="60" fillId="6" borderId="6" xfId="0" applyNumberFormat="1" applyFont="1" applyFill="1" applyBorder="1" applyAlignment="1">
      <alignment horizontal="right"/>
    </xf>
    <xf numFmtId="9" fontId="5" fillId="6" borderId="5" xfId="0" applyNumberFormat="1" applyFont="1" applyFill="1" applyBorder="1" applyAlignment="1">
      <alignment horizontal="center"/>
    </xf>
    <xf numFmtId="0" fontId="41" fillId="6" borderId="3" xfId="0" applyFont="1" applyFill="1" applyBorder="1" applyAlignment="1">
      <alignment horizontal="left" wrapText="1"/>
    </xf>
    <xf numFmtId="0" fontId="41" fillId="14" borderId="14" xfId="0" applyFont="1" applyFill="1" applyBorder="1" applyAlignment="1">
      <alignment horizontal="left" wrapText="1"/>
    </xf>
    <xf numFmtId="0" fontId="57" fillId="14" borderId="6" xfId="0" applyFont="1" applyFill="1" applyBorder="1" applyAlignment="1">
      <alignment horizontal="center"/>
    </xf>
    <xf numFmtId="0" fontId="85" fillId="14" borderId="1" xfId="0" applyFont="1" applyFill="1" applyBorder="1" applyAlignment="1">
      <alignment horizontal="center"/>
    </xf>
    <xf numFmtId="9" fontId="3" fillId="6" borderId="3" xfId="0" applyNumberFormat="1" applyFont="1" applyFill="1" applyBorder="1" applyAlignment="1">
      <alignment horizontal="center"/>
    </xf>
    <xf numFmtId="0" fontId="3" fillId="14" borderId="9" xfId="0" applyFont="1" applyFill="1" applyBorder="1" applyAlignment="1">
      <alignment horizontal="right"/>
    </xf>
    <xf numFmtId="0" fontId="41" fillId="14" borderId="1" xfId="0" applyFont="1" applyFill="1" applyBorder="1" applyAlignment="1">
      <alignment horizontal="right" wrapText="1"/>
    </xf>
    <xf numFmtId="0" fontId="3" fillId="14" borderId="9" xfId="0" applyFont="1" applyFill="1" applyBorder="1" applyAlignment="1">
      <alignment horizontal="left"/>
    </xf>
    <xf numFmtId="9" fontId="85" fillId="14" borderId="1" xfId="0" applyNumberFormat="1" applyFont="1" applyFill="1" applyBorder="1" applyAlignment="1">
      <alignment horizontal="left"/>
    </xf>
    <xf numFmtId="0" fontId="60" fillId="16" borderId="8" xfId="0" applyFont="1" applyFill="1" applyBorder="1" applyAlignment="1">
      <alignment horizontal="center"/>
    </xf>
    <xf numFmtId="0" fontId="59" fillId="0" borderId="11" xfId="0" applyFont="1" applyBorder="1"/>
    <xf numFmtId="167" fontId="59" fillId="0" borderId="4" xfId="0" applyNumberFormat="1" applyFont="1" applyBorder="1" applyAlignment="1">
      <alignment horizontal="center"/>
    </xf>
    <xf numFmtId="9" fontId="60" fillId="6" borderId="2" xfId="0" applyNumberFormat="1" applyFont="1" applyFill="1" applyBorder="1" applyAlignment="1">
      <alignment horizontal="center"/>
    </xf>
    <xf numFmtId="0" fontId="41" fillId="14" borderId="9" xfId="0" applyFont="1" applyFill="1" applyBorder="1"/>
    <xf numFmtId="3" fontId="3" fillId="6" borderId="8" xfId="0" applyNumberFormat="1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9" fontId="59" fillId="16" borderId="13" xfId="0" applyNumberFormat="1" applyFont="1" applyFill="1" applyBorder="1" applyAlignment="1">
      <alignment horizontal="center"/>
    </xf>
    <xf numFmtId="0" fontId="41" fillId="16" borderId="5" xfId="0" applyFont="1" applyFill="1" applyBorder="1"/>
    <xf numFmtId="170" fontId="59" fillId="16" borderId="5" xfId="0" applyNumberFormat="1" applyFont="1" applyFill="1" applyBorder="1" applyAlignment="1">
      <alignment horizontal="right"/>
    </xf>
    <xf numFmtId="0" fontId="59" fillId="16" borderId="3" xfId="0" applyFont="1" applyFill="1" applyBorder="1" applyAlignment="1">
      <alignment horizontal="left" wrapText="1"/>
    </xf>
    <xf numFmtId="0" fontId="59" fillId="16" borderId="6" xfId="0" applyFont="1" applyFill="1" applyBorder="1" applyAlignment="1">
      <alignment horizontal="right"/>
    </xf>
    <xf numFmtId="0" fontId="9" fillId="16" borderId="15" xfId="0" applyFont="1" applyFill="1" applyBorder="1" applyAlignment="1">
      <alignment horizontal="center"/>
    </xf>
    <xf numFmtId="167" fontId="0" fillId="6" borderId="1" xfId="0" applyNumberFormat="1" applyFill="1" applyBorder="1"/>
    <xf numFmtId="0" fontId="3" fillId="6" borderId="13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59" fillId="16" borderId="3" xfId="0" applyFont="1" applyFill="1" applyBorder="1" applyAlignment="1">
      <alignment horizontal="right"/>
    </xf>
    <xf numFmtId="170" fontId="59" fillId="16" borderId="5" xfId="0" applyNumberFormat="1" applyFont="1" applyFill="1" applyBorder="1"/>
    <xf numFmtId="0" fontId="59" fillId="16" borderId="5" xfId="0" applyFont="1" applyFill="1" applyBorder="1"/>
    <xf numFmtId="167" fontId="59" fillId="16" borderId="3" xfId="0" applyNumberFormat="1" applyFont="1" applyFill="1" applyBorder="1" applyAlignment="1">
      <alignment horizontal="center"/>
    </xf>
    <xf numFmtId="0" fontId="60" fillId="16" borderId="7" xfId="0" applyFont="1" applyFill="1" applyBorder="1" applyAlignment="1">
      <alignment horizontal="center"/>
    </xf>
    <xf numFmtId="0" fontId="60" fillId="14" borderId="7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left"/>
    </xf>
    <xf numFmtId="0" fontId="41" fillId="6" borderId="1" xfId="0" applyFont="1" applyFill="1" applyBorder="1" applyAlignment="1">
      <alignment horizontal="left"/>
    </xf>
    <xf numFmtId="0" fontId="98" fillId="14" borderId="6" xfId="0" applyFont="1" applyFill="1" applyBorder="1" applyAlignment="1">
      <alignment horizontal="center"/>
    </xf>
    <xf numFmtId="0" fontId="83" fillId="14" borderId="14" xfId="0" applyFont="1" applyFill="1" applyBorder="1" applyAlignment="1">
      <alignment horizontal="center"/>
    </xf>
    <xf numFmtId="0" fontId="83" fillId="14" borderId="6" xfId="0" applyFont="1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9" fontId="60" fillId="14" borderId="0" xfId="0" applyNumberFormat="1" applyFont="1" applyFill="1" applyAlignment="1">
      <alignment horizontal="center"/>
    </xf>
    <xf numFmtId="167" fontId="66" fillId="14" borderId="5" xfId="0" applyNumberFormat="1" applyFont="1" applyFill="1" applyBorder="1"/>
    <xf numFmtId="167" fontId="0" fillId="14" borderId="1" xfId="0" applyNumberFormat="1" applyFill="1" applyBorder="1"/>
    <xf numFmtId="171" fontId="60" fillId="14" borderId="14" xfId="0" applyNumberFormat="1" applyFont="1" applyFill="1" applyBorder="1"/>
    <xf numFmtId="171" fontId="60" fillId="14" borderId="8" xfId="0" applyNumberFormat="1" applyFont="1" applyFill="1" applyBorder="1" applyAlignment="1">
      <alignment horizontal="right"/>
    </xf>
    <xf numFmtId="171" fontId="59" fillId="14" borderId="8" xfId="0" applyNumberFormat="1" applyFont="1" applyFill="1" applyBorder="1" applyAlignment="1">
      <alignment horizontal="right"/>
    </xf>
    <xf numFmtId="171" fontId="3" fillId="14" borderId="1" xfId="0" applyNumberFormat="1" applyFont="1" applyFill="1" applyBorder="1" applyAlignment="1">
      <alignment horizontal="right"/>
    </xf>
    <xf numFmtId="171" fontId="59" fillId="14" borderId="6" xfId="0" applyNumberFormat="1" applyFont="1" applyFill="1" applyBorder="1" applyAlignment="1">
      <alignment horizontal="right"/>
    </xf>
    <xf numFmtId="171" fontId="60" fillId="14" borderId="6" xfId="0" applyNumberFormat="1" applyFont="1" applyFill="1" applyBorder="1" applyAlignment="1">
      <alignment horizontal="right"/>
    </xf>
    <xf numFmtId="171" fontId="3" fillId="14" borderId="6" xfId="0" applyNumberFormat="1" applyFont="1" applyFill="1" applyBorder="1"/>
    <xf numFmtId="171" fontId="60" fillId="14" borderId="6" xfId="0" applyNumberFormat="1" applyFont="1" applyFill="1" applyBorder="1"/>
    <xf numFmtId="171" fontId="59" fillId="14" borderId="6" xfId="0" applyNumberFormat="1" applyFont="1" applyFill="1" applyBorder="1"/>
    <xf numFmtId="171" fontId="60" fillId="14" borderId="3" xfId="0" applyNumberFormat="1" applyFont="1" applyFill="1" applyBorder="1"/>
    <xf numFmtId="171" fontId="59" fillId="14" borderId="9" xfId="0" applyNumberFormat="1" applyFont="1" applyFill="1" applyBorder="1" applyAlignment="1">
      <alignment horizontal="right"/>
    </xf>
    <xf numFmtId="171" fontId="60" fillId="6" borderId="6" xfId="0" applyNumberFormat="1" applyFont="1" applyFill="1" applyBorder="1" applyAlignment="1">
      <alignment horizontal="right"/>
    </xf>
    <xf numFmtId="3" fontId="5" fillId="9" borderId="2" xfId="0" applyNumberFormat="1" applyFont="1" applyFill="1" applyBorder="1" applyAlignment="1">
      <alignment horizontal="center"/>
    </xf>
    <xf numFmtId="0" fontId="41" fillId="14" borderId="5" xfId="0" applyFont="1" applyFill="1" applyBorder="1"/>
    <xf numFmtId="0" fontId="59" fillId="6" borderId="13" xfId="0" applyFont="1" applyFill="1" applyBorder="1" applyAlignment="1">
      <alignment horizontal="right"/>
    </xf>
    <xf numFmtId="3" fontId="60" fillId="6" borderId="7" xfId="0" applyNumberFormat="1" applyFont="1" applyFill="1" applyBorder="1" applyAlignment="1">
      <alignment horizontal="center"/>
    </xf>
    <xf numFmtId="0" fontId="59" fillId="6" borderId="8" xfId="0" applyFont="1" applyFill="1" applyBorder="1" applyAlignment="1">
      <alignment horizontal="left"/>
    </xf>
    <xf numFmtId="0" fontId="93" fillId="0" borderId="5" xfId="0" applyFont="1" applyBorder="1" applyAlignment="1">
      <alignment horizontal="center"/>
    </xf>
    <xf numFmtId="170" fontId="59" fillId="6" borderId="1" xfId="0" applyNumberFormat="1" applyFont="1" applyFill="1" applyBorder="1" applyAlignment="1">
      <alignment horizontal="center"/>
    </xf>
    <xf numFmtId="0" fontId="59" fillId="6" borderId="13" xfId="0" applyFont="1" applyFill="1" applyBorder="1" applyAlignment="1">
      <alignment horizontal="left"/>
    </xf>
    <xf numFmtId="9" fontId="85" fillId="14" borderId="13" xfId="0" applyNumberFormat="1" applyFont="1" applyFill="1" applyBorder="1" applyAlignment="1">
      <alignment horizontal="left"/>
    </xf>
    <xf numFmtId="0" fontId="65" fillId="14" borderId="5" xfId="0" applyFont="1" applyFill="1" applyBorder="1" applyAlignment="1">
      <alignment horizontal="left"/>
    </xf>
    <xf numFmtId="167" fontId="0" fillId="0" borderId="1" xfId="0" applyNumberFormat="1" applyBorder="1"/>
    <xf numFmtId="0" fontId="0" fillId="0" borderId="7" xfId="0" applyBorder="1" applyAlignment="1">
      <alignment horizontal="left"/>
    </xf>
    <xf numFmtId="167" fontId="21" fillId="0" borderId="5" xfId="0" applyNumberFormat="1" applyFont="1" applyBorder="1"/>
    <xf numFmtId="9" fontId="5" fillId="14" borderId="5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3" fontId="41" fillId="6" borderId="1" xfId="0" applyNumberFormat="1" applyFont="1" applyFill="1" applyBorder="1" applyAlignment="1">
      <alignment horizontal="center" wrapText="1"/>
    </xf>
    <xf numFmtId="0" fontId="84" fillId="0" borderId="1" xfId="0" applyFont="1" applyBorder="1"/>
    <xf numFmtId="171" fontId="41" fillId="6" borderId="1" xfId="0" applyNumberFormat="1" applyFont="1" applyFill="1" applyBorder="1" applyAlignment="1">
      <alignment horizontal="center" wrapText="1"/>
    </xf>
    <xf numFmtId="0" fontId="89" fillId="0" borderId="6" xfId="0" applyFont="1" applyBorder="1"/>
    <xf numFmtId="3" fontId="41" fillId="6" borderId="2" xfId="0" applyNumberFormat="1" applyFont="1" applyFill="1" applyBorder="1" applyAlignment="1">
      <alignment horizontal="center" wrapText="1"/>
    </xf>
    <xf numFmtId="0" fontId="83" fillId="0" borderId="5" xfId="0" applyFont="1" applyBorder="1"/>
    <xf numFmtId="0" fontId="59" fillId="14" borderId="8" xfId="0" applyFont="1" applyFill="1" applyBorder="1" applyAlignment="1">
      <alignment horizontal="right"/>
    </xf>
    <xf numFmtId="171" fontId="59" fillId="14" borderId="5" xfId="0" applyNumberFormat="1" applyFont="1" applyFill="1" applyBorder="1" applyAlignment="1">
      <alignment horizontal="right"/>
    </xf>
    <xf numFmtId="3" fontId="65" fillId="11" borderId="5" xfId="0" applyNumberFormat="1" applyFont="1" applyFill="1" applyBorder="1" applyAlignment="1">
      <alignment horizontal="center"/>
    </xf>
    <xf numFmtId="3" fontId="65" fillId="11" borderId="14" xfId="0" applyNumberFormat="1" applyFont="1" applyFill="1" applyBorder="1" applyAlignment="1">
      <alignment horizontal="center"/>
    </xf>
    <xf numFmtId="0" fontId="41" fillId="14" borderId="3" xfId="0" applyFont="1" applyFill="1" applyBorder="1"/>
    <xf numFmtId="0" fontId="98" fillId="14" borderId="14" xfId="0" applyFont="1" applyFill="1" applyBorder="1" applyAlignment="1">
      <alignment horizontal="center"/>
    </xf>
    <xf numFmtId="9" fontId="3" fillId="14" borderId="14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9" fontId="3" fillId="6" borderId="2" xfId="0" applyNumberFormat="1" applyFont="1" applyFill="1" applyBorder="1" applyAlignment="1">
      <alignment horizontal="center"/>
    </xf>
    <xf numFmtId="167" fontId="65" fillId="11" borderId="1" xfId="0" applyNumberFormat="1" applyFont="1" applyFill="1" applyBorder="1" applyAlignment="1">
      <alignment horizontal="center"/>
    </xf>
    <xf numFmtId="3" fontId="65" fillId="11" borderId="1" xfId="0" applyNumberFormat="1" applyFont="1" applyFill="1" applyBorder="1" applyAlignment="1">
      <alignment horizontal="center"/>
    </xf>
    <xf numFmtId="167" fontId="65" fillId="11" borderId="1" xfId="0" applyNumberFormat="1" applyFont="1" applyFill="1" applyBorder="1" applyAlignment="1">
      <alignment horizontal="right"/>
    </xf>
    <xf numFmtId="167" fontId="65" fillId="11" borderId="1" xfId="0" applyNumberFormat="1" applyFont="1" applyFill="1" applyBorder="1"/>
    <xf numFmtId="171" fontId="5" fillId="14" borderId="5" xfId="0" applyNumberFormat="1" applyFont="1" applyFill="1" applyBorder="1" applyAlignment="1">
      <alignment horizontal="right"/>
    </xf>
    <xf numFmtId="171" fontId="59" fillId="6" borderId="1" xfId="0" applyNumberFormat="1" applyFont="1" applyFill="1" applyBorder="1" applyAlignment="1">
      <alignment horizontal="center"/>
    </xf>
    <xf numFmtId="171" fontId="0" fillId="0" borderId="1" xfId="0" applyNumberFormat="1" applyBorder="1"/>
    <xf numFmtId="0" fontId="59" fillId="16" borderId="6" xfId="0" applyFont="1" applyFill="1" applyBorder="1"/>
    <xf numFmtId="3" fontId="85" fillId="16" borderId="8" xfId="0" applyNumberFormat="1" applyFont="1" applyFill="1" applyBorder="1" applyAlignment="1">
      <alignment horizontal="center"/>
    </xf>
    <xf numFmtId="0" fontId="91" fillId="6" borderId="1" xfId="0" applyFont="1" applyFill="1" applyBorder="1" applyAlignment="1">
      <alignment horizontal="left"/>
    </xf>
    <xf numFmtId="0" fontId="0" fillId="0" borderId="9" xfId="0" applyBorder="1"/>
    <xf numFmtId="3" fontId="41" fillId="6" borderId="9" xfId="0" applyNumberFormat="1" applyFont="1" applyFill="1" applyBorder="1" applyAlignment="1">
      <alignment horizontal="center" wrapText="1"/>
    </xf>
    <xf numFmtId="0" fontId="83" fillId="0" borderId="9" xfId="0" applyFont="1" applyBorder="1"/>
    <xf numFmtId="171" fontId="60" fillId="14" borderId="14" xfId="0" applyNumberFormat="1" applyFont="1" applyFill="1" applyBorder="1" applyAlignment="1">
      <alignment horizontal="right"/>
    </xf>
    <xf numFmtId="0" fontId="41" fillId="14" borderId="4" xfId="0" applyFont="1" applyFill="1" applyBorder="1" applyAlignment="1">
      <alignment wrapText="1"/>
    </xf>
    <xf numFmtId="0" fontId="60" fillId="14" borderId="8" xfId="0" applyFont="1" applyFill="1" applyBorder="1" applyAlignment="1">
      <alignment horizontal="left"/>
    </xf>
    <xf numFmtId="0" fontId="41" fillId="14" borderId="4" xfId="0" applyFont="1" applyFill="1" applyBorder="1"/>
    <xf numFmtId="167" fontId="60" fillId="16" borderId="6" xfId="0" applyNumberFormat="1" applyFont="1" applyFill="1" applyBorder="1" applyAlignment="1">
      <alignment horizontal="left"/>
    </xf>
    <xf numFmtId="9" fontId="3" fillId="16" borderId="8" xfId="0" applyNumberFormat="1" applyFont="1" applyFill="1" applyBorder="1" applyAlignment="1">
      <alignment horizontal="center"/>
    </xf>
    <xf numFmtId="167" fontId="3" fillId="16" borderId="6" xfId="0" applyNumberFormat="1" applyFont="1" applyFill="1" applyBorder="1" applyAlignment="1">
      <alignment horizontal="right"/>
    </xf>
    <xf numFmtId="9" fontId="59" fillId="16" borderId="0" xfId="0" applyNumberFormat="1" applyFont="1" applyFill="1" applyAlignment="1">
      <alignment horizontal="center"/>
    </xf>
    <xf numFmtId="0" fontId="59" fillId="16" borderId="9" xfId="0" applyFont="1" applyFill="1" applyBorder="1" applyAlignment="1">
      <alignment horizontal="left"/>
    </xf>
    <xf numFmtId="167" fontId="0" fillId="16" borderId="9" xfId="0" applyNumberFormat="1" applyFill="1" applyBorder="1" applyAlignment="1">
      <alignment horizontal="right"/>
    </xf>
    <xf numFmtId="0" fontId="41" fillId="14" borderId="5" xfId="0" applyFont="1" applyFill="1" applyBorder="1" applyAlignment="1">
      <alignment horizontal="left" wrapText="1"/>
    </xf>
    <xf numFmtId="0" fontId="0" fillId="14" borderId="6" xfId="0" applyFill="1" applyBorder="1" applyAlignment="1">
      <alignment horizontal="left"/>
    </xf>
    <xf numFmtId="0" fontId="22" fillId="14" borderId="1" xfId="0" applyFont="1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6" borderId="3" xfId="0" applyFill="1" applyBorder="1" applyAlignment="1">
      <alignment horizontal="left"/>
    </xf>
    <xf numFmtId="9" fontId="60" fillId="16" borderId="2" xfId="0" applyNumberFormat="1" applyFont="1" applyFill="1" applyBorder="1" applyAlignment="1">
      <alignment horizontal="center"/>
    </xf>
    <xf numFmtId="0" fontId="59" fillId="14" borderId="6" xfId="0" applyFont="1" applyFill="1" applyBorder="1" applyAlignment="1">
      <alignment horizontal="left" wrapText="1"/>
    </xf>
    <xf numFmtId="169" fontId="5" fillId="26" borderId="0" xfId="0" applyNumberFormat="1" applyFont="1" applyFill="1" applyAlignment="1">
      <alignment horizontal="right"/>
    </xf>
    <xf numFmtId="167" fontId="59" fillId="16" borderId="6" xfId="0" applyNumberFormat="1" applyFont="1" applyFill="1" applyBorder="1" applyAlignment="1">
      <alignment horizontal="right"/>
    </xf>
    <xf numFmtId="3" fontId="0" fillId="6" borderId="16" xfId="0" applyNumberFormat="1" applyFill="1" applyBorder="1"/>
    <xf numFmtId="0" fontId="0" fillId="6" borderId="5" xfId="0" applyFill="1" applyBorder="1"/>
    <xf numFmtId="9" fontId="59" fillId="0" borderId="15" xfId="0" applyNumberFormat="1" applyFont="1" applyBorder="1" applyAlignment="1">
      <alignment horizontal="center"/>
    </xf>
    <xf numFmtId="0" fontId="60" fillId="6" borderId="11" xfId="0" applyFont="1" applyFill="1" applyBorder="1" applyAlignment="1">
      <alignment horizontal="left"/>
    </xf>
    <xf numFmtId="0" fontId="57" fillId="9" borderId="5" xfId="0" applyFont="1" applyFill="1" applyBorder="1" applyAlignment="1">
      <alignment horizontal="center"/>
    </xf>
    <xf numFmtId="9" fontId="5" fillId="14" borderId="14" xfId="0" applyNumberFormat="1" applyFont="1" applyFill="1" applyBorder="1" applyAlignment="1">
      <alignment horizontal="center"/>
    </xf>
    <xf numFmtId="0" fontId="57" fillId="9" borderId="3" xfId="0" applyFont="1" applyFill="1" applyBorder="1" applyAlignment="1">
      <alignment horizontal="center"/>
    </xf>
    <xf numFmtId="0" fontId="59" fillId="0" borderId="3" xfId="0" applyFont="1" applyBorder="1" applyAlignment="1">
      <alignment horizontal="left"/>
    </xf>
    <xf numFmtId="170" fontId="59" fillId="16" borderId="3" xfId="0" applyNumberFormat="1" applyFont="1" applyFill="1" applyBorder="1" applyAlignment="1">
      <alignment horizontal="right"/>
    </xf>
    <xf numFmtId="168" fontId="60" fillId="16" borderId="2" xfId="0" applyNumberFormat="1" applyFont="1" applyFill="1" applyBorder="1" applyAlignment="1">
      <alignment horizontal="right"/>
    </xf>
    <xf numFmtId="0" fontId="41" fillId="16" borderId="11" xfId="0" applyFont="1" applyFill="1" applyBorder="1" applyAlignment="1">
      <alignment horizontal="left" wrapText="1"/>
    </xf>
    <xf numFmtId="0" fontId="102" fillId="14" borderId="1" xfId="0" applyFont="1" applyFill="1" applyBorder="1" applyAlignment="1">
      <alignment wrapText="1"/>
    </xf>
    <xf numFmtId="0" fontId="60" fillId="16" borderId="12" xfId="0" applyFont="1" applyFill="1" applyBorder="1" applyAlignment="1">
      <alignment horizontal="left" wrapText="1"/>
    </xf>
    <xf numFmtId="9" fontId="57" fillId="6" borderId="2" xfId="0" applyNumberFormat="1" applyFont="1" applyFill="1" applyBorder="1" applyAlignment="1">
      <alignment horizontal="center"/>
    </xf>
    <xf numFmtId="0" fontId="60" fillId="6" borderId="14" xfId="0" applyFont="1" applyFill="1" applyBorder="1" applyAlignment="1">
      <alignment horizontal="center"/>
    </xf>
    <xf numFmtId="0" fontId="59" fillId="16" borderId="6" xfId="0" applyFont="1" applyFill="1" applyBorder="1" applyAlignment="1">
      <alignment horizontal="left" wrapText="1"/>
    </xf>
    <xf numFmtId="0" fontId="98" fillId="16" borderId="1" xfId="0" applyFont="1" applyFill="1" applyBorder="1" applyAlignment="1">
      <alignment horizontal="center"/>
    </xf>
    <xf numFmtId="167" fontId="60" fillId="16" borderId="6" xfId="0" applyNumberFormat="1" applyFont="1" applyFill="1" applyBorder="1"/>
    <xf numFmtId="9" fontId="5" fillId="14" borderId="8" xfId="0" applyNumberFormat="1" applyFont="1" applyFill="1" applyBorder="1" applyAlignment="1">
      <alignment horizontal="center"/>
    </xf>
    <xf numFmtId="0" fontId="60" fillId="6" borderId="13" xfId="0" applyFont="1" applyFill="1" applyBorder="1" applyAlignment="1">
      <alignment horizontal="center"/>
    </xf>
    <xf numFmtId="0" fontId="54" fillId="6" borderId="9" xfId="0" applyFont="1" applyFill="1" applyBorder="1" applyAlignment="1">
      <alignment horizontal="center"/>
    </xf>
    <xf numFmtId="170" fontId="60" fillId="16" borderId="6" xfId="0" applyNumberFormat="1" applyFont="1" applyFill="1" applyBorder="1"/>
    <xf numFmtId="167" fontId="60" fillId="16" borderId="3" xfId="0" applyNumberFormat="1" applyFont="1" applyFill="1" applyBorder="1" applyAlignment="1">
      <alignment horizontal="right"/>
    </xf>
    <xf numFmtId="0" fontId="60" fillId="6" borderId="14" xfId="0" applyFont="1" applyFill="1" applyBorder="1"/>
    <xf numFmtId="167" fontId="60" fillId="16" borderId="6" xfId="0" applyNumberFormat="1" applyFont="1" applyFill="1" applyBorder="1" applyAlignment="1">
      <alignment horizontal="center"/>
    </xf>
    <xf numFmtId="0" fontId="59" fillId="14" borderId="7" xfId="0" applyFont="1" applyFill="1" applyBorder="1" applyAlignment="1">
      <alignment horizontal="left"/>
    </xf>
    <xf numFmtId="0" fontId="41" fillId="16" borderId="8" xfId="0" applyFont="1" applyFill="1" applyBorder="1" applyAlignment="1">
      <alignment horizontal="left" wrapText="1"/>
    </xf>
    <xf numFmtId="9" fontId="59" fillId="6" borderId="3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9" fontId="57" fillId="14" borderId="11" xfId="0" applyNumberFormat="1" applyFont="1" applyFill="1" applyBorder="1" applyAlignment="1">
      <alignment horizontal="center"/>
    </xf>
    <xf numFmtId="168" fontId="60" fillId="14" borderId="9" xfId="0" applyNumberFormat="1" applyFont="1" applyFill="1" applyBorder="1" applyAlignment="1">
      <alignment horizontal="right"/>
    </xf>
    <xf numFmtId="0" fontId="3" fillId="16" borderId="2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9" fontId="5" fillId="14" borderId="13" xfId="0" applyNumberFormat="1" applyFont="1" applyFill="1" applyBorder="1" applyAlignment="1">
      <alignment horizontal="center"/>
    </xf>
    <xf numFmtId="168" fontId="57" fillId="16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right"/>
    </xf>
    <xf numFmtId="0" fontId="3" fillId="16" borderId="7" xfId="0" applyFont="1" applyFill="1" applyBorder="1" applyAlignment="1">
      <alignment horizontal="center"/>
    </xf>
    <xf numFmtId="0" fontId="57" fillId="6" borderId="3" xfId="0" applyFont="1" applyFill="1" applyBorder="1"/>
    <xf numFmtId="167" fontId="3" fillId="6" borderId="9" xfId="0" applyNumberFormat="1" applyFont="1" applyFill="1" applyBorder="1" applyAlignment="1">
      <alignment horizontal="center"/>
    </xf>
    <xf numFmtId="3" fontId="3" fillId="6" borderId="9" xfId="0" applyNumberFormat="1" applyFont="1" applyFill="1" applyBorder="1" applyAlignment="1">
      <alignment horizontal="center"/>
    </xf>
    <xf numFmtId="0" fontId="60" fillId="14" borderId="14" xfId="0" applyFont="1" applyFill="1" applyBorder="1"/>
    <xf numFmtId="9" fontId="59" fillId="14" borderId="7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8" fillId="14" borderId="9" xfId="0" applyFont="1" applyFill="1" applyBorder="1" applyAlignment="1">
      <alignment horizontal="center"/>
    </xf>
    <xf numFmtId="3" fontId="41" fillId="6" borderId="13" xfId="0" applyNumberFormat="1" applyFont="1" applyFill="1" applyBorder="1" applyAlignment="1">
      <alignment horizontal="center" wrapText="1"/>
    </xf>
    <xf numFmtId="0" fontId="0" fillId="6" borderId="14" xfId="0" applyFill="1" applyBorder="1" applyAlignment="1">
      <alignment horizontal="center"/>
    </xf>
    <xf numFmtId="9" fontId="60" fillId="14" borderId="0" xfId="0" applyNumberFormat="1" applyFont="1" applyFill="1" applyAlignment="1">
      <alignment horizontal="left"/>
    </xf>
    <xf numFmtId="171" fontId="59" fillId="14" borderId="6" xfId="0" applyNumberFormat="1" applyFont="1" applyFill="1" applyBorder="1" applyAlignment="1">
      <alignment horizontal="center"/>
    </xf>
    <xf numFmtId="171" fontId="60" fillId="14" borderId="9" xfId="0" applyNumberFormat="1" applyFont="1" applyFill="1" applyBorder="1" applyAlignment="1">
      <alignment horizontal="center" wrapText="1"/>
    </xf>
    <xf numFmtId="171" fontId="41" fillId="14" borderId="9" xfId="0" applyNumberFormat="1" applyFont="1" applyFill="1" applyBorder="1" applyAlignment="1">
      <alignment horizontal="center"/>
    </xf>
    <xf numFmtId="0" fontId="41" fillId="14" borderId="6" xfId="0" applyFont="1" applyFill="1" applyBorder="1" applyAlignment="1">
      <alignment horizontal="left"/>
    </xf>
    <xf numFmtId="171" fontId="60" fillId="14" borderId="9" xfId="0" applyNumberFormat="1" applyFont="1" applyFill="1" applyBorder="1" applyAlignment="1">
      <alignment horizontal="right"/>
    </xf>
    <xf numFmtId="171" fontId="60" fillId="6" borderId="1" xfId="0" applyNumberFormat="1" applyFont="1" applyFill="1" applyBorder="1" applyAlignment="1">
      <alignment horizontal="right"/>
    </xf>
    <xf numFmtId="171" fontId="59" fillId="6" borderId="1" xfId="0" applyNumberFormat="1" applyFont="1" applyFill="1" applyBorder="1" applyAlignment="1">
      <alignment horizontal="right"/>
    </xf>
    <xf numFmtId="171" fontId="60" fillId="6" borderId="2" xfId="0" applyNumberFormat="1" applyFont="1" applyFill="1" applyBorder="1" applyAlignment="1">
      <alignment horizontal="right"/>
    </xf>
    <xf numFmtId="171" fontId="60" fillId="6" borderId="3" xfId="0" applyNumberFormat="1" applyFont="1" applyFill="1" applyBorder="1"/>
    <xf numFmtId="171" fontId="57" fillId="9" borderId="1" xfId="0" applyNumberFormat="1" applyFont="1" applyFill="1" applyBorder="1" applyAlignment="1">
      <alignment horizontal="right"/>
    </xf>
    <xf numFmtId="171" fontId="60" fillId="6" borderId="1" xfId="0" applyNumberFormat="1" applyFont="1" applyFill="1" applyBorder="1"/>
    <xf numFmtId="171" fontId="60" fillId="6" borderId="5" xfId="0" applyNumberFormat="1" applyFont="1" applyFill="1" applyBorder="1"/>
    <xf numFmtId="171" fontId="57" fillId="7" borderId="1" xfId="0" applyNumberFormat="1" applyFont="1" applyFill="1" applyBorder="1" applyAlignment="1">
      <alignment horizontal="right"/>
    </xf>
    <xf numFmtId="171" fontId="59" fillId="14" borderId="14" xfId="0" applyNumberFormat="1" applyFont="1" applyFill="1" applyBorder="1" applyAlignment="1">
      <alignment horizontal="right"/>
    </xf>
    <xf numFmtId="171" fontId="3" fillId="14" borderId="5" xfId="0" applyNumberFormat="1" applyFont="1" applyFill="1" applyBorder="1" applyAlignment="1">
      <alignment horizontal="right"/>
    </xf>
    <xf numFmtId="171" fontId="59" fillId="6" borderId="6" xfId="0" applyNumberFormat="1" applyFont="1" applyFill="1" applyBorder="1" applyAlignment="1">
      <alignment horizontal="right"/>
    </xf>
    <xf numFmtId="171" fontId="3" fillId="6" borderId="1" xfId="0" applyNumberFormat="1" applyFont="1" applyFill="1" applyBorder="1" applyAlignment="1">
      <alignment horizontal="center"/>
    </xf>
    <xf numFmtId="171" fontId="60" fillId="6" borderId="6" xfId="0" applyNumberFormat="1" applyFont="1" applyFill="1" applyBorder="1"/>
    <xf numFmtId="171" fontId="59" fillId="0" borderId="1" xfId="0" applyNumberFormat="1" applyFont="1" applyBorder="1"/>
    <xf numFmtId="171" fontId="60" fillId="14" borderId="3" xfId="0" applyNumberFormat="1" applyFont="1" applyFill="1" applyBorder="1" applyAlignment="1">
      <alignment horizontal="right"/>
    </xf>
    <xf numFmtId="171" fontId="60" fillId="6" borderId="5" xfId="0" applyNumberFormat="1" applyFont="1" applyFill="1" applyBorder="1" applyAlignment="1">
      <alignment horizontal="right"/>
    </xf>
    <xf numFmtId="9" fontId="60" fillId="6" borderId="14" xfId="0" applyNumberFormat="1" applyFont="1" applyFill="1" applyBorder="1" applyAlignment="1">
      <alignment horizontal="center"/>
    </xf>
    <xf numFmtId="9" fontId="3" fillId="6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3" fontId="0" fillId="6" borderId="16" xfId="0" applyNumberFormat="1" applyFill="1" applyBorder="1" applyAlignment="1">
      <alignment horizontal="right"/>
    </xf>
    <xf numFmtId="0" fontId="0" fillId="6" borderId="16" xfId="0" applyFill="1" applyBorder="1" applyAlignment="1">
      <alignment horizontal="right"/>
    </xf>
    <xf numFmtId="171" fontId="60" fillId="16" borderId="5" xfId="0" applyNumberFormat="1" applyFont="1" applyFill="1" applyBorder="1"/>
    <xf numFmtId="171" fontId="59" fillId="14" borderId="3" xfId="0" applyNumberFormat="1" applyFont="1" applyFill="1" applyBorder="1" applyAlignment="1">
      <alignment horizontal="right"/>
    </xf>
    <xf numFmtId="171" fontId="60" fillId="16" borderId="6" xfId="0" applyNumberFormat="1" applyFont="1" applyFill="1" applyBorder="1"/>
    <xf numFmtId="0" fontId="59" fillId="6" borderId="5" xfId="0" applyFont="1" applyFill="1" applyBorder="1" applyAlignment="1">
      <alignment horizontal="left" wrapText="1"/>
    </xf>
    <xf numFmtId="9" fontId="5" fillId="14" borderId="15" xfId="0" applyNumberFormat="1" applyFont="1" applyFill="1" applyBorder="1" applyAlignment="1">
      <alignment horizontal="center"/>
    </xf>
    <xf numFmtId="167" fontId="60" fillId="14" borderId="9" xfId="0" applyNumberFormat="1" applyFont="1" applyFill="1" applyBorder="1" applyAlignment="1">
      <alignment horizontal="left"/>
    </xf>
    <xf numFmtId="0" fontId="41" fillId="0" borderId="5" xfId="0" applyFont="1" applyBorder="1" applyAlignment="1">
      <alignment wrapText="1"/>
    </xf>
    <xf numFmtId="9" fontId="104" fillId="14" borderId="1" xfId="0" applyNumberFormat="1" applyFont="1" applyFill="1" applyBorder="1" applyAlignment="1">
      <alignment horizontal="center"/>
    </xf>
    <xf numFmtId="9" fontId="104" fillId="14" borderId="1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9" fontId="60" fillId="6" borderId="0" xfId="0" applyNumberFormat="1" applyFont="1" applyFill="1" applyAlignment="1">
      <alignment horizontal="left"/>
    </xf>
    <xf numFmtId="171" fontId="60" fillId="6" borderId="9" xfId="0" applyNumberFormat="1" applyFont="1" applyFill="1" applyBorder="1" applyAlignment="1">
      <alignment horizontal="center" wrapText="1"/>
    </xf>
    <xf numFmtId="9" fontId="5" fillId="6" borderId="3" xfId="0" applyNumberFormat="1" applyFont="1" applyFill="1" applyBorder="1" applyAlignment="1">
      <alignment horizontal="center"/>
    </xf>
    <xf numFmtId="0" fontId="41" fillId="14" borderId="8" xfId="0" applyFont="1" applyFill="1" applyBorder="1" applyAlignment="1">
      <alignment horizontal="left" wrapText="1"/>
    </xf>
    <xf numFmtId="167" fontId="59" fillId="14" borderId="3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9" fontId="3" fillId="14" borderId="15" xfId="0" applyNumberFormat="1" applyFont="1" applyFill="1" applyBorder="1" applyAlignment="1">
      <alignment horizontal="center"/>
    </xf>
    <xf numFmtId="171" fontId="59" fillId="16" borderId="5" xfId="0" applyNumberFormat="1" applyFont="1" applyFill="1" applyBorder="1" applyAlignment="1">
      <alignment horizontal="right"/>
    </xf>
    <xf numFmtId="170" fontId="60" fillId="16" borderId="5" xfId="0" applyNumberFormat="1" applyFont="1" applyFill="1" applyBorder="1"/>
    <xf numFmtId="9" fontId="60" fillId="16" borderId="6" xfId="0" applyNumberFormat="1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9" fontId="60" fillId="16" borderId="0" xfId="0" applyNumberFormat="1" applyFont="1" applyFill="1" applyAlignment="1">
      <alignment horizontal="center"/>
    </xf>
    <xf numFmtId="0" fontId="60" fillId="14" borderId="4" xfId="0" applyFont="1" applyFill="1" applyBorder="1" applyAlignment="1">
      <alignment horizontal="left" wrapText="1"/>
    </xf>
    <xf numFmtId="171" fontId="60" fillId="14" borderId="11" xfId="0" applyNumberFormat="1" applyFont="1" applyFill="1" applyBorder="1"/>
    <xf numFmtId="167" fontId="3" fillId="16" borderId="3" xfId="0" applyNumberFormat="1" applyFont="1" applyFill="1" applyBorder="1" applyAlignment="1">
      <alignment horizontal="center"/>
    </xf>
    <xf numFmtId="171" fontId="60" fillId="16" borderId="1" xfId="0" applyNumberFormat="1" applyFont="1" applyFill="1" applyBorder="1"/>
    <xf numFmtId="171" fontId="60" fillId="16" borderId="1" xfId="0" applyNumberFormat="1" applyFont="1" applyFill="1" applyBorder="1" applyAlignment="1">
      <alignment horizontal="right"/>
    </xf>
    <xf numFmtId="171" fontId="5" fillId="14" borderId="14" xfId="0" applyNumberFormat="1" applyFont="1" applyFill="1" applyBorder="1" applyAlignment="1">
      <alignment horizontal="right"/>
    </xf>
    <xf numFmtId="171" fontId="41" fillId="6" borderId="9" xfId="0" applyNumberFormat="1" applyFont="1" applyFill="1" applyBorder="1" applyAlignment="1">
      <alignment horizontal="center"/>
    </xf>
    <xf numFmtId="0" fontId="41" fillId="6" borderId="1" xfId="0" applyFont="1" applyFill="1" applyBorder="1"/>
    <xf numFmtId="0" fontId="23" fillId="6" borderId="0" xfId="0" applyFont="1" applyFill="1" applyAlignment="1">
      <alignment horizontal="center"/>
    </xf>
    <xf numFmtId="171" fontId="59" fillId="6" borderId="6" xfId="0" applyNumberFormat="1" applyFont="1" applyFill="1" applyBorder="1" applyAlignment="1">
      <alignment horizontal="center"/>
    </xf>
    <xf numFmtId="0" fontId="59" fillId="16" borderId="3" xfId="0" applyFont="1" applyFill="1" applyBorder="1" applyAlignment="1">
      <alignment horizontal="left"/>
    </xf>
    <xf numFmtId="171" fontId="60" fillId="14" borderId="6" xfId="0" applyNumberFormat="1" applyFont="1" applyFill="1" applyBorder="1" applyAlignment="1">
      <alignment horizontal="center"/>
    </xf>
    <xf numFmtId="171" fontId="3" fillId="14" borderId="3" xfId="0" applyNumberFormat="1" applyFont="1" applyFill="1" applyBorder="1" applyAlignment="1">
      <alignment horizontal="center"/>
    </xf>
    <xf numFmtId="0" fontId="3" fillId="14" borderId="11" xfId="0" applyFont="1" applyFill="1" applyBorder="1" applyAlignment="1">
      <alignment horizontal="center"/>
    </xf>
    <xf numFmtId="171" fontId="3" fillId="14" borderId="9" xfId="0" applyNumberFormat="1" applyFont="1" applyFill="1" applyBorder="1" applyAlignment="1">
      <alignment horizontal="center"/>
    </xf>
    <xf numFmtId="9" fontId="104" fillId="14" borderId="13" xfId="0" applyNumberFormat="1" applyFont="1" applyFill="1" applyBorder="1" applyAlignment="1">
      <alignment horizontal="center"/>
    </xf>
    <xf numFmtId="170" fontId="59" fillId="6" borderId="6" xfId="0" applyNumberFormat="1" applyFont="1" applyFill="1" applyBorder="1"/>
    <xf numFmtId="0" fontId="103" fillId="14" borderId="0" xfId="0" applyFont="1" applyFill="1" applyAlignment="1">
      <alignment horizontal="center"/>
    </xf>
    <xf numFmtId="9" fontId="57" fillId="14" borderId="2" xfId="0" applyNumberFormat="1" applyFont="1" applyFill="1" applyBorder="1" applyAlignment="1">
      <alignment horizontal="center"/>
    </xf>
    <xf numFmtId="171" fontId="60" fillId="14" borderId="8" xfId="0" applyNumberFormat="1" applyFont="1" applyFill="1" applyBorder="1" applyAlignment="1">
      <alignment horizontal="center"/>
    </xf>
    <xf numFmtId="9" fontId="3" fillId="14" borderId="9" xfId="0" applyNumberFormat="1" applyFont="1" applyFill="1" applyBorder="1" applyAlignment="1">
      <alignment horizontal="center"/>
    </xf>
    <xf numFmtId="167" fontId="0" fillId="14" borderId="9" xfId="0" applyNumberFormat="1" applyFill="1" applyBorder="1" applyAlignment="1">
      <alignment horizontal="center"/>
    </xf>
    <xf numFmtId="171" fontId="0" fillId="14" borderId="14" xfId="0" applyNumberFormat="1" applyFill="1" applyBorder="1" applyAlignment="1">
      <alignment horizontal="center"/>
    </xf>
    <xf numFmtId="9" fontId="3" fillId="14" borderId="5" xfId="0" applyNumberFormat="1" applyFont="1" applyFill="1" applyBorder="1" applyAlignment="1">
      <alignment horizontal="center"/>
    </xf>
    <xf numFmtId="9" fontId="105" fillId="14" borderId="6" xfId="0" applyNumberFormat="1" applyFont="1" applyFill="1" applyBorder="1" applyAlignment="1">
      <alignment horizontal="center"/>
    </xf>
    <xf numFmtId="9" fontId="77" fillId="14" borderId="0" xfId="0" applyNumberFormat="1" applyFont="1" applyFill="1" applyAlignment="1">
      <alignment horizontal="center"/>
    </xf>
    <xf numFmtId="171" fontId="60" fillId="14" borderId="9" xfId="0" applyNumberFormat="1" applyFont="1" applyFill="1" applyBorder="1" applyAlignment="1">
      <alignment horizontal="center"/>
    </xf>
    <xf numFmtId="0" fontId="59" fillId="14" borderId="1" xfId="0" applyFont="1" applyFill="1" applyBorder="1" applyAlignment="1">
      <alignment horizontal="left" wrapText="1"/>
    </xf>
    <xf numFmtId="0" fontId="41" fillId="14" borderId="12" xfId="0" applyFont="1" applyFill="1" applyBorder="1"/>
    <xf numFmtId="0" fontId="41" fillId="14" borderId="8" xfId="0" applyFont="1" applyFill="1" applyBorder="1"/>
    <xf numFmtId="0" fontId="41" fillId="14" borderId="7" xfId="0" applyFont="1" applyFill="1" applyBorder="1" applyAlignment="1">
      <alignment wrapText="1"/>
    </xf>
    <xf numFmtId="167" fontId="59" fillId="14" borderId="9" xfId="0" applyNumberFormat="1" applyFont="1" applyFill="1" applyBorder="1" applyAlignment="1">
      <alignment horizontal="right"/>
    </xf>
    <xf numFmtId="171" fontId="5" fillId="14" borderId="6" xfId="0" applyNumberFormat="1" applyFont="1" applyFill="1" applyBorder="1" applyAlignment="1">
      <alignment horizontal="right"/>
    </xf>
    <xf numFmtId="171" fontId="60" fillId="14" borderId="4" xfId="0" applyNumberFormat="1" applyFont="1" applyFill="1" applyBorder="1"/>
    <xf numFmtId="171" fontId="60" fillId="14" borderId="13" xfId="0" applyNumberFormat="1" applyFont="1" applyFill="1" applyBorder="1" applyAlignment="1">
      <alignment horizontal="center"/>
    </xf>
    <xf numFmtId="0" fontId="60" fillId="16" borderId="5" xfId="0" applyFont="1" applyFill="1" applyBorder="1" applyAlignment="1">
      <alignment horizontal="left" wrapText="1"/>
    </xf>
    <xf numFmtId="9" fontId="60" fillId="16" borderId="13" xfId="0" applyNumberFormat="1" applyFont="1" applyFill="1" applyBorder="1" applyAlignment="1">
      <alignment horizontal="left"/>
    </xf>
    <xf numFmtId="171" fontId="60" fillId="6" borderId="13" xfId="0" applyNumberFormat="1" applyFont="1" applyFill="1" applyBorder="1" applyAlignment="1">
      <alignment horizontal="center"/>
    </xf>
    <xf numFmtId="0" fontId="60" fillId="6" borderId="8" xfId="0" applyFont="1" applyFill="1" applyBorder="1" applyAlignment="1">
      <alignment horizontal="center"/>
    </xf>
    <xf numFmtId="9" fontId="59" fillId="0" borderId="6" xfId="0" applyNumberFormat="1" applyFont="1" applyBorder="1" applyAlignment="1">
      <alignment horizontal="center"/>
    </xf>
    <xf numFmtId="171" fontId="60" fillId="14" borderId="9" xfId="0" applyNumberFormat="1" applyFont="1" applyFill="1" applyBorder="1"/>
    <xf numFmtId="167" fontId="59" fillId="6" borderId="4" xfId="0" applyNumberFormat="1" applyFont="1" applyFill="1" applyBorder="1" applyAlignment="1">
      <alignment horizontal="right"/>
    </xf>
    <xf numFmtId="9" fontId="77" fillId="14" borderId="6" xfId="0" applyNumberFormat="1" applyFont="1" applyFill="1" applyBorder="1" applyAlignment="1">
      <alignment horizontal="center"/>
    </xf>
    <xf numFmtId="167" fontId="13" fillId="6" borderId="1" xfId="0" applyNumberFormat="1" applyFont="1" applyFill="1" applyBorder="1" applyAlignment="1">
      <alignment horizontal="right"/>
    </xf>
    <xf numFmtId="167" fontId="106" fillId="0" borderId="1" xfId="0" applyNumberFormat="1" applyFont="1" applyBorder="1"/>
    <xf numFmtId="9" fontId="77" fillId="14" borderId="9" xfId="0" applyNumberFormat="1" applyFont="1" applyFill="1" applyBorder="1" applyAlignment="1">
      <alignment horizontal="center"/>
    </xf>
    <xf numFmtId="9" fontId="85" fillId="14" borderId="1" xfId="0" applyNumberFormat="1" applyFont="1" applyFill="1" applyBorder="1" applyAlignment="1">
      <alignment horizontal="center"/>
    </xf>
    <xf numFmtId="9" fontId="85" fillId="6" borderId="1" xfId="0" applyNumberFormat="1" applyFont="1" applyFill="1" applyBorder="1" applyAlignment="1">
      <alignment horizontal="center"/>
    </xf>
    <xf numFmtId="9" fontId="107" fillId="14" borderId="1" xfId="0" applyNumberFormat="1" applyFont="1" applyFill="1" applyBorder="1" applyAlignment="1">
      <alignment horizontal="center"/>
    </xf>
    <xf numFmtId="171" fontId="57" fillId="14" borderId="1" xfId="0" applyNumberFormat="1" applyFont="1" applyFill="1" applyBorder="1" applyAlignment="1">
      <alignment horizontal="center"/>
    </xf>
    <xf numFmtId="171" fontId="60" fillId="16" borderId="6" xfId="0" applyNumberFormat="1" applyFont="1" applyFill="1" applyBorder="1" applyAlignment="1">
      <alignment horizontal="right"/>
    </xf>
    <xf numFmtId="0" fontId="4" fillId="0" borderId="12" xfId="0" applyFont="1" applyBorder="1"/>
    <xf numFmtId="0" fontId="9" fillId="16" borderId="8" xfId="0" applyFont="1" applyFill="1" applyBorder="1" applyAlignment="1">
      <alignment horizontal="center"/>
    </xf>
    <xf numFmtId="168" fontId="55" fillId="8" borderId="1" xfId="0" applyNumberFormat="1" applyFont="1" applyFill="1" applyBorder="1" applyAlignment="1">
      <alignment horizontal="center"/>
    </xf>
    <xf numFmtId="3" fontId="0" fillId="0" borderId="0" xfId="0" applyNumberFormat="1"/>
    <xf numFmtId="3" fontId="59" fillId="6" borderId="1" xfId="0" applyNumberFormat="1" applyFont="1" applyFill="1" applyBorder="1" applyAlignment="1">
      <alignment horizontal="center"/>
    </xf>
    <xf numFmtId="9" fontId="59" fillId="16" borderId="6" xfId="0" applyNumberFormat="1" applyFont="1" applyFill="1" applyBorder="1" applyAlignment="1">
      <alignment horizontal="center"/>
    </xf>
    <xf numFmtId="9" fontId="59" fillId="16" borderId="3" xfId="0" applyNumberFormat="1" applyFont="1" applyFill="1" applyBorder="1" applyAlignment="1">
      <alignment horizontal="center"/>
    </xf>
    <xf numFmtId="0" fontId="4" fillId="16" borderId="12" xfId="0" applyFont="1" applyFill="1" applyBorder="1"/>
    <xf numFmtId="0" fontId="41" fillId="14" borderId="3" xfId="0" applyFont="1" applyFill="1" applyBorder="1" applyAlignment="1">
      <alignment horizontal="left" wrapText="1"/>
    </xf>
    <xf numFmtId="9" fontId="9" fillId="14" borderId="8" xfId="0" applyNumberFormat="1" applyFont="1" applyFill="1" applyBorder="1" applyAlignment="1">
      <alignment horizontal="center"/>
    </xf>
    <xf numFmtId="9" fontId="60" fillId="16" borderId="14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171" fontId="59" fillId="16" borderId="6" xfId="0" applyNumberFormat="1" applyFont="1" applyFill="1" applyBorder="1" applyAlignment="1">
      <alignment horizontal="right"/>
    </xf>
    <xf numFmtId="9" fontId="9" fillId="14" borderId="9" xfId="0" applyNumberFormat="1" applyFont="1" applyFill="1" applyBorder="1" applyAlignment="1">
      <alignment horizontal="center"/>
    </xf>
    <xf numFmtId="9" fontId="9" fillId="14" borderId="14" xfId="0" applyNumberFormat="1" applyFont="1" applyFill="1" applyBorder="1" applyAlignment="1">
      <alignment horizontal="center"/>
    </xf>
    <xf numFmtId="3" fontId="9" fillId="16" borderId="6" xfId="0" applyNumberFormat="1" applyFont="1" applyFill="1" applyBorder="1" applyAlignment="1">
      <alignment horizontal="center"/>
    </xf>
    <xf numFmtId="171" fontId="59" fillId="16" borderId="1" xfId="0" applyNumberFormat="1" applyFont="1" applyFill="1" applyBorder="1" applyAlignment="1">
      <alignment horizontal="right"/>
    </xf>
    <xf numFmtId="0" fontId="9" fillId="16" borderId="12" xfId="0" applyFont="1" applyFill="1" applyBorder="1" applyAlignment="1">
      <alignment horizontal="center"/>
    </xf>
    <xf numFmtId="0" fontId="41" fillId="16" borderId="5" xfId="0" applyFont="1" applyFill="1" applyBorder="1" applyAlignment="1">
      <alignment horizontal="left" wrapText="1"/>
    </xf>
    <xf numFmtId="0" fontId="5" fillId="16" borderId="1" xfId="0" applyFont="1" applyFill="1" applyBorder="1" applyAlignment="1">
      <alignment horizontal="left" wrapText="1"/>
    </xf>
    <xf numFmtId="171" fontId="59" fillId="16" borderId="6" xfId="0" applyNumberFormat="1" applyFont="1" applyFill="1" applyBorder="1"/>
    <xf numFmtId="171" fontId="59" fillId="6" borderId="1" xfId="0" applyNumberFormat="1" applyFont="1" applyFill="1" applyBorder="1"/>
    <xf numFmtId="170" fontId="60" fillId="6" borderId="1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171" fontId="60" fillId="6" borderId="3" xfId="0" applyNumberFormat="1" applyFont="1" applyFill="1" applyBorder="1" applyAlignment="1">
      <alignment horizontal="center"/>
    </xf>
    <xf numFmtId="171" fontId="59" fillId="16" borderId="1" xfId="0" applyNumberFormat="1" applyFont="1" applyFill="1" applyBorder="1"/>
    <xf numFmtId="3" fontId="3" fillId="16" borderId="13" xfId="0" applyNumberFormat="1" applyFont="1" applyFill="1" applyBorder="1" applyAlignment="1">
      <alignment horizontal="center"/>
    </xf>
    <xf numFmtId="170" fontId="60" fillId="6" borderId="6" xfId="0" applyNumberFormat="1" applyFont="1" applyFill="1" applyBorder="1" applyAlignment="1">
      <alignment horizontal="center"/>
    </xf>
    <xf numFmtId="171" fontId="59" fillId="14" borderId="3" xfId="0" applyNumberFormat="1" applyFont="1" applyFill="1" applyBorder="1"/>
    <xf numFmtId="171" fontId="60" fillId="16" borderId="14" xfId="0" applyNumberFormat="1" applyFont="1" applyFill="1" applyBorder="1"/>
    <xf numFmtId="171" fontId="60" fillId="16" borderId="3" xfId="0" applyNumberFormat="1" applyFont="1" applyFill="1" applyBorder="1"/>
    <xf numFmtId="171" fontId="59" fillId="14" borderId="1" xfId="0" applyNumberFormat="1" applyFont="1" applyFill="1" applyBorder="1" applyAlignment="1">
      <alignment wrapText="1"/>
    </xf>
    <xf numFmtId="170" fontId="60" fillId="14" borderId="6" xfId="0" applyNumberFormat="1" applyFont="1" applyFill="1" applyBorder="1" applyAlignment="1">
      <alignment horizontal="center"/>
    </xf>
    <xf numFmtId="9" fontId="9" fillId="14" borderId="15" xfId="0" applyNumberFormat="1" applyFont="1" applyFill="1" applyBorder="1" applyAlignment="1">
      <alignment horizontal="center"/>
    </xf>
    <xf numFmtId="171" fontId="60" fillId="14" borderId="6" xfId="0" applyNumberFormat="1" applyFont="1" applyFill="1" applyBorder="1" applyAlignment="1">
      <alignment wrapText="1"/>
    </xf>
    <xf numFmtId="170" fontId="60" fillId="14" borderId="5" xfId="0" applyNumberFormat="1" applyFont="1" applyFill="1" applyBorder="1" applyAlignment="1">
      <alignment horizontal="center"/>
    </xf>
    <xf numFmtId="170" fontId="60" fillId="14" borderId="3" xfId="0" applyNumberFormat="1" applyFont="1" applyFill="1" applyBorder="1" applyAlignment="1">
      <alignment horizontal="center"/>
    </xf>
    <xf numFmtId="170" fontId="60" fillId="14" borderId="1" xfId="0" applyNumberFormat="1" applyFont="1" applyFill="1" applyBorder="1" applyAlignment="1">
      <alignment horizontal="center"/>
    </xf>
    <xf numFmtId="171" fontId="59" fillId="6" borderId="1" xfId="0" applyNumberFormat="1" applyFont="1" applyFill="1" applyBorder="1" applyAlignment="1">
      <alignment horizontal="left"/>
    </xf>
    <xf numFmtId="0" fontId="60" fillId="6" borderId="14" xfId="0" applyFont="1" applyFill="1" applyBorder="1" applyAlignment="1">
      <alignment horizontal="left" wrapText="1"/>
    </xf>
    <xf numFmtId="171" fontId="60" fillId="6" borderId="11" xfId="0" applyNumberFormat="1" applyFont="1" applyFill="1" applyBorder="1" applyAlignment="1">
      <alignment horizontal="center"/>
    </xf>
    <xf numFmtId="171" fontId="59" fillId="14" borderId="11" xfId="0" applyNumberFormat="1" applyFont="1" applyFill="1" applyBorder="1"/>
    <xf numFmtId="3" fontId="3" fillId="14" borderId="12" xfId="0" applyNumberFormat="1" applyFont="1" applyFill="1" applyBorder="1" applyAlignment="1">
      <alignment horizontal="center"/>
    </xf>
    <xf numFmtId="170" fontId="60" fillId="6" borderId="6" xfId="0" applyNumberFormat="1" applyFont="1" applyFill="1" applyBorder="1"/>
    <xf numFmtId="171" fontId="59" fillId="14" borderId="3" xfId="0" applyNumberFormat="1" applyFont="1" applyFill="1" applyBorder="1" applyAlignment="1">
      <alignment horizontal="left"/>
    </xf>
    <xf numFmtId="0" fontId="4" fillId="6" borderId="1" xfId="0" applyFont="1" applyFill="1" applyBorder="1"/>
    <xf numFmtId="0" fontId="41" fillId="0" borderId="4" xfId="0" applyFont="1" applyBorder="1"/>
    <xf numFmtId="171" fontId="59" fillId="6" borderId="9" xfId="0" applyNumberFormat="1" applyFont="1" applyFill="1" applyBorder="1" applyAlignment="1">
      <alignment horizontal="right"/>
    </xf>
    <xf numFmtId="0" fontId="41" fillId="0" borderId="3" xfId="0" applyFont="1" applyBorder="1"/>
    <xf numFmtId="171" fontId="59" fillId="16" borderId="1" xfId="0" applyNumberFormat="1" applyFont="1" applyFill="1" applyBorder="1" applyAlignment="1">
      <alignment horizontal="left" wrapText="1"/>
    </xf>
    <xf numFmtId="3" fontId="85" fillId="6" borderId="8" xfId="0" applyNumberFormat="1" applyFont="1" applyFill="1" applyBorder="1" applyAlignment="1">
      <alignment horizontal="center"/>
    </xf>
    <xf numFmtId="170" fontId="60" fillId="16" borderId="6" xfId="0" applyNumberFormat="1" applyFont="1" applyFill="1" applyBorder="1" applyAlignment="1">
      <alignment horizontal="center"/>
    </xf>
    <xf numFmtId="9" fontId="60" fillId="6" borderId="13" xfId="0" applyNumberFormat="1" applyFont="1" applyFill="1" applyBorder="1" applyAlignment="1">
      <alignment horizontal="center"/>
    </xf>
    <xf numFmtId="9" fontId="5" fillId="6" borderId="7" xfId="0" applyNumberFormat="1" applyFont="1" applyFill="1" applyBorder="1" applyAlignment="1">
      <alignment horizontal="center"/>
    </xf>
    <xf numFmtId="0" fontId="5" fillId="0" borderId="3" xfId="0" applyFont="1" applyBorder="1"/>
    <xf numFmtId="0" fontId="3" fillId="6" borderId="1" xfId="0" applyFont="1" applyFill="1" applyBorder="1" applyAlignment="1">
      <alignment horizontal="center"/>
    </xf>
    <xf numFmtId="0" fontId="60" fillId="6" borderId="1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3" fillId="0" borderId="28" xfId="0" applyFont="1" applyBorder="1" applyAlignment="1">
      <alignment wrapText="1"/>
    </xf>
    <xf numFmtId="0" fontId="36" fillId="0" borderId="26" xfId="0" applyFont="1" applyBorder="1" applyAlignment="1">
      <alignment wrapText="1"/>
    </xf>
    <xf numFmtId="0" fontId="40" fillId="0" borderId="28" xfId="0" applyFont="1" applyBorder="1" applyAlignment="1">
      <alignment wrapText="1"/>
    </xf>
    <xf numFmtId="0" fontId="36" fillId="0" borderId="27" xfId="0" applyFont="1" applyBorder="1" applyAlignment="1">
      <alignment wrapText="1"/>
    </xf>
    <xf numFmtId="0" fontId="49" fillId="0" borderId="0" xfId="0" applyFont="1" applyAlignment="1">
      <alignment wrapText="1"/>
    </xf>
    <xf numFmtId="0" fontId="50" fillId="6" borderId="30" xfId="0" applyFont="1" applyFill="1" applyBorder="1" applyAlignment="1">
      <alignment wrapText="1"/>
    </xf>
    <xf numFmtId="0" fontId="50" fillId="0" borderId="50" xfId="0" applyFont="1" applyBorder="1" applyAlignment="1">
      <alignment wrapText="1"/>
    </xf>
    <xf numFmtId="0" fontId="43" fillId="0" borderId="15" xfId="0" applyFont="1" applyBorder="1" applyAlignment="1">
      <alignment wrapText="1"/>
    </xf>
    <xf numFmtId="0" fontId="43" fillId="0" borderId="0" xfId="0" applyFont="1" applyAlignment="1">
      <alignment wrapText="1"/>
    </xf>
    <xf numFmtId="0" fontId="47" fillId="0" borderId="30" xfId="0" applyFont="1" applyBorder="1" applyAlignment="1">
      <alignment wrapText="1"/>
    </xf>
    <xf numFmtId="0" fontId="3" fillId="16" borderId="11" xfId="0" applyFont="1" applyFill="1" applyBorder="1" applyAlignment="1">
      <alignment horizontal="center"/>
    </xf>
    <xf numFmtId="0" fontId="41" fillId="16" borderId="3" xfId="0" applyFont="1" applyFill="1" applyBorder="1"/>
    <xf numFmtId="171" fontId="59" fillId="16" borderId="3" xfId="0" applyNumberFormat="1" applyFont="1" applyFill="1" applyBorder="1" applyAlignment="1">
      <alignment horizontal="right"/>
    </xf>
    <xf numFmtId="171" fontId="59" fillId="16" borderId="1" xfId="0" applyNumberFormat="1" applyFont="1" applyFill="1" applyBorder="1" applyAlignment="1">
      <alignment horizontal="left"/>
    </xf>
    <xf numFmtId="0" fontId="41" fillId="16" borderId="9" xfId="0" applyFont="1" applyFill="1" applyBorder="1" applyAlignment="1">
      <alignment horizontal="left"/>
    </xf>
    <xf numFmtId="171" fontId="59" fillId="16" borderId="9" xfId="0" applyNumberFormat="1" applyFont="1" applyFill="1" applyBorder="1" applyAlignment="1">
      <alignment horizontal="left"/>
    </xf>
    <xf numFmtId="171" fontId="59" fillId="16" borderId="6" xfId="0" applyNumberFormat="1" applyFont="1" applyFill="1" applyBorder="1" applyAlignment="1">
      <alignment horizontal="left"/>
    </xf>
    <xf numFmtId="170" fontId="60" fillId="14" borderId="14" xfId="0" applyNumberFormat="1" applyFont="1" applyFill="1" applyBorder="1" applyAlignment="1">
      <alignment horizontal="center"/>
    </xf>
    <xf numFmtId="9" fontId="4" fillId="14" borderId="9" xfId="0" applyNumberFormat="1" applyFont="1" applyFill="1" applyBorder="1" applyAlignment="1">
      <alignment horizontal="center"/>
    </xf>
    <xf numFmtId="171" fontId="3" fillId="16" borderId="1" xfId="0" applyNumberFormat="1" applyFont="1" applyFill="1" applyBorder="1" applyAlignment="1">
      <alignment horizontal="center"/>
    </xf>
    <xf numFmtId="170" fontId="0" fillId="6" borderId="1" xfId="0" applyNumberFormat="1" applyFill="1" applyBorder="1"/>
    <xf numFmtId="170" fontId="0" fillId="0" borderId="1" xfId="0" applyNumberFormat="1" applyBorder="1"/>
    <xf numFmtId="171" fontId="59" fillId="0" borderId="6" xfId="0" applyNumberFormat="1" applyFont="1" applyBorder="1"/>
    <xf numFmtId="0" fontId="55" fillId="14" borderId="5" xfId="0" applyFont="1" applyFill="1" applyBorder="1" applyAlignment="1">
      <alignment horizontal="left"/>
    </xf>
    <xf numFmtId="0" fontId="41" fillId="14" borderId="4" xfId="0" applyFont="1" applyFill="1" applyBorder="1" applyAlignment="1">
      <alignment horizontal="left" wrapText="1"/>
    </xf>
    <xf numFmtId="0" fontId="59" fillId="16" borderId="5" xfId="0" applyFont="1" applyFill="1" applyBorder="1" applyAlignment="1">
      <alignment horizontal="left" wrapText="1"/>
    </xf>
    <xf numFmtId="0" fontId="4" fillId="16" borderId="5" xfId="0" applyFont="1" applyFill="1" applyBorder="1"/>
    <xf numFmtId="171" fontId="59" fillId="16" borderId="3" xfId="0" applyNumberFormat="1" applyFont="1" applyFill="1" applyBorder="1" applyAlignment="1">
      <alignment horizontal="left"/>
    </xf>
    <xf numFmtId="170" fontId="59" fillId="6" borderId="6" xfId="0" applyNumberFormat="1" applyFont="1" applyFill="1" applyBorder="1" applyAlignment="1">
      <alignment horizontal="center"/>
    </xf>
    <xf numFmtId="0" fontId="41" fillId="14" borderId="8" xfId="0" applyFont="1" applyFill="1" applyBorder="1" applyAlignment="1">
      <alignment horizontal="left"/>
    </xf>
    <xf numFmtId="0" fontId="41" fillId="16" borderId="7" xfId="0" applyFont="1" applyFill="1" applyBorder="1" applyAlignment="1">
      <alignment horizontal="left" wrapText="1"/>
    </xf>
    <xf numFmtId="171" fontId="60" fillId="32" borderId="3" xfId="0" applyNumberFormat="1" applyFont="1" applyFill="1" applyBorder="1" applyAlignment="1">
      <alignment horizontal="left"/>
    </xf>
    <xf numFmtId="0" fontId="3" fillId="32" borderId="1" xfId="0" applyFont="1" applyFill="1" applyBorder="1" applyAlignment="1">
      <alignment horizontal="left"/>
    </xf>
    <xf numFmtId="0" fontId="4" fillId="16" borderId="10" xfId="0" applyFont="1" applyFill="1" applyBorder="1"/>
    <xf numFmtId="0" fontId="9" fillId="16" borderId="4" xfId="0" applyFont="1" applyFill="1" applyBorder="1" applyAlignment="1">
      <alignment horizontal="center"/>
    </xf>
    <xf numFmtId="0" fontId="41" fillId="14" borderId="7" xfId="0" applyFont="1" applyFill="1" applyBorder="1" applyAlignment="1">
      <alignment horizontal="left"/>
    </xf>
    <xf numFmtId="9" fontId="9" fillId="14" borderId="7" xfId="0" applyNumberFormat="1" applyFont="1" applyFill="1" applyBorder="1" applyAlignment="1">
      <alignment horizontal="center"/>
    </xf>
    <xf numFmtId="171" fontId="59" fillId="14" borderId="1" xfId="0" applyNumberFormat="1" applyFont="1" applyFill="1" applyBorder="1" applyAlignment="1">
      <alignment horizontal="left"/>
    </xf>
    <xf numFmtId="170" fontId="59" fillId="14" borderId="6" xfId="0" applyNumberFormat="1" applyFont="1" applyFill="1" applyBorder="1" applyAlignment="1">
      <alignment horizontal="right"/>
    </xf>
    <xf numFmtId="9" fontId="9" fillId="14" borderId="2" xfId="0" applyNumberFormat="1" applyFont="1" applyFill="1" applyBorder="1" applyAlignment="1">
      <alignment horizontal="center"/>
    </xf>
    <xf numFmtId="0" fontId="0" fillId="14" borderId="17" xfId="0" applyFill="1" applyBorder="1" applyAlignment="1">
      <alignment horizontal="left"/>
    </xf>
    <xf numFmtId="0" fontId="0" fillId="6" borderId="9" xfId="0" applyFill="1" applyBorder="1"/>
    <xf numFmtId="0" fontId="59" fillId="14" borderId="11" xfId="0" applyFont="1" applyFill="1" applyBorder="1"/>
    <xf numFmtId="0" fontId="0" fillId="18" borderId="18" xfId="0" applyFill="1" applyBorder="1" applyAlignment="1">
      <alignment horizontal="left"/>
    </xf>
    <xf numFmtId="0" fontId="0" fillId="18" borderId="40" xfId="0" applyFill="1" applyBorder="1" applyAlignment="1">
      <alignment horizontal="left"/>
    </xf>
    <xf numFmtId="0" fontId="108" fillId="0" borderId="1" xfId="0" applyFont="1" applyBorder="1"/>
    <xf numFmtId="0" fontId="0" fillId="18" borderId="9" xfId="0" applyFill="1" applyBorder="1"/>
    <xf numFmtId="0" fontId="0" fillId="18" borderId="12" xfId="0" applyFill="1" applyBorder="1"/>
    <xf numFmtId="0" fontId="108" fillId="14" borderId="1" xfId="0" applyFont="1" applyFill="1" applyBorder="1"/>
    <xf numFmtId="0" fontId="4" fillId="16" borderId="1" xfId="0" applyFont="1" applyFill="1" applyBorder="1" applyAlignment="1">
      <alignment horizontal="center"/>
    </xf>
    <xf numFmtId="0" fontId="60" fillId="32" borderId="1" xfId="0" applyFont="1" applyFill="1" applyBorder="1" applyAlignment="1">
      <alignment horizontal="left"/>
    </xf>
    <xf numFmtId="0" fontId="59" fillId="32" borderId="1" xfId="0" applyFont="1" applyFill="1" applyBorder="1" applyAlignment="1">
      <alignment horizontal="left"/>
    </xf>
    <xf numFmtId="171" fontId="60" fillId="16" borderId="6" xfId="0" applyNumberFormat="1" applyFont="1" applyFill="1" applyBorder="1" applyAlignment="1">
      <alignment horizontal="left"/>
    </xf>
    <xf numFmtId="170" fontId="60" fillId="16" borderId="1" xfId="0" applyNumberFormat="1" applyFont="1" applyFill="1" applyBorder="1" applyAlignment="1">
      <alignment horizontal="center"/>
    </xf>
    <xf numFmtId="3" fontId="85" fillId="16" borderId="13" xfId="0" applyNumberFormat="1" applyFont="1" applyFill="1" applyBorder="1" applyAlignment="1">
      <alignment horizontal="center"/>
    </xf>
    <xf numFmtId="0" fontId="82" fillId="6" borderId="16" xfId="0" applyFont="1" applyFill="1" applyBorder="1"/>
    <xf numFmtId="0" fontId="0" fillId="30" borderId="16" xfId="0" applyFill="1" applyBorder="1" applyAlignment="1">
      <alignment horizontal="left"/>
    </xf>
    <xf numFmtId="0" fontId="0" fillId="30" borderId="18" xfId="0" applyFill="1" applyBorder="1"/>
    <xf numFmtId="0" fontId="0" fillId="30" borderId="17" xfId="0" applyFill="1" applyBorder="1" applyAlignment="1">
      <alignment horizontal="left"/>
    </xf>
    <xf numFmtId="0" fontId="0" fillId="30" borderId="40" xfId="0" applyFill="1" applyBorder="1"/>
    <xf numFmtId="0" fontId="0" fillId="30" borderId="1" xfId="0" applyFill="1" applyBorder="1"/>
    <xf numFmtId="0" fontId="0" fillId="30" borderId="5" xfId="0" applyFill="1" applyBorder="1"/>
    <xf numFmtId="0" fontId="82" fillId="30" borderId="5" xfId="0" applyFont="1" applyFill="1" applyBorder="1"/>
    <xf numFmtId="0" fontId="0" fillId="30" borderId="16" xfId="0" applyFill="1" applyBorder="1" applyAlignment="1">
      <alignment horizontal="center"/>
    </xf>
    <xf numFmtId="0" fontId="0" fillId="30" borderId="17" xfId="0" applyFill="1" applyBorder="1" applyAlignment="1">
      <alignment horizontal="center"/>
    </xf>
    <xf numFmtId="0" fontId="0" fillId="30" borderId="18" xfId="0" applyFill="1" applyBorder="1" applyAlignment="1">
      <alignment horizontal="left"/>
    </xf>
    <xf numFmtId="0" fontId="0" fillId="30" borderId="40" xfId="0" applyFill="1" applyBorder="1" applyAlignment="1">
      <alignment horizontal="left"/>
    </xf>
    <xf numFmtId="0" fontId="0" fillId="30" borderId="9" xfId="0" applyFill="1" applyBorder="1"/>
    <xf numFmtId="0" fontId="0" fillId="30" borderId="12" xfId="0" applyFill="1" applyBorder="1"/>
    <xf numFmtId="0" fontId="108" fillId="30" borderId="1" xfId="0" applyFont="1" applyFill="1" applyBorder="1"/>
    <xf numFmtId="0" fontId="82" fillId="30" borderId="1" xfId="0" applyFont="1" applyFill="1" applyBorder="1"/>
    <xf numFmtId="9" fontId="9" fillId="6" borderId="9" xfId="0" applyNumberFormat="1" applyFont="1" applyFill="1" applyBorder="1" applyAlignment="1">
      <alignment horizontal="center"/>
    </xf>
    <xf numFmtId="9" fontId="9" fillId="6" borderId="1" xfId="0" applyNumberFormat="1" applyFont="1" applyFill="1" applyBorder="1" applyAlignment="1">
      <alignment horizontal="center"/>
    </xf>
    <xf numFmtId="0" fontId="59" fillId="16" borderId="7" xfId="0" applyFont="1" applyFill="1" applyBorder="1"/>
    <xf numFmtId="0" fontId="59" fillId="16" borderId="12" xfId="0" applyFont="1" applyFill="1" applyBorder="1"/>
    <xf numFmtId="0" fontId="59" fillId="16" borderId="8" xfId="0" applyFont="1" applyFill="1" applyBorder="1" applyAlignment="1">
      <alignment horizontal="left"/>
    </xf>
    <xf numFmtId="0" fontId="59" fillId="16" borderId="7" xfId="0" applyFont="1" applyFill="1" applyBorder="1" applyAlignment="1">
      <alignment horizontal="left"/>
    </xf>
    <xf numFmtId="0" fontId="4" fillId="16" borderId="12" xfId="0" applyFont="1" applyFill="1" applyBorder="1" applyAlignment="1">
      <alignment horizontal="center"/>
    </xf>
    <xf numFmtId="171" fontId="59" fillId="6" borderId="3" xfId="0" applyNumberFormat="1" applyFont="1" applyFill="1" applyBorder="1" applyAlignment="1">
      <alignment horizontal="left"/>
    </xf>
    <xf numFmtId="3" fontId="41" fillId="6" borderId="14" xfId="0" applyNumberFormat="1" applyFont="1" applyFill="1" applyBorder="1" applyAlignment="1">
      <alignment horizontal="center" wrapText="1"/>
    </xf>
    <xf numFmtId="0" fontId="2" fillId="6" borderId="4" xfId="0" applyFont="1" applyFill="1" applyBorder="1"/>
    <xf numFmtId="0" fontId="3" fillId="16" borderId="6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171" fontId="59" fillId="16" borderId="6" xfId="0" applyNumberFormat="1" applyFont="1" applyFill="1" applyBorder="1" applyAlignment="1">
      <alignment horizontal="center" vertical="center"/>
    </xf>
    <xf numFmtId="9" fontId="59" fillId="16" borderId="1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9" fontId="59" fillId="16" borderId="5" xfId="0" applyNumberFormat="1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9" fontId="59" fillId="16" borderId="6" xfId="0" applyNumberFormat="1" applyFont="1" applyFill="1" applyBorder="1" applyAlignment="1">
      <alignment horizontal="center" vertical="center"/>
    </xf>
    <xf numFmtId="171" fontId="59" fillId="16" borderId="3" xfId="0" applyNumberFormat="1" applyFont="1" applyFill="1" applyBorder="1" applyAlignment="1">
      <alignment horizontal="center" vertical="center"/>
    </xf>
    <xf numFmtId="171" fontId="59" fillId="16" borderId="1" xfId="0" applyNumberFormat="1" applyFont="1" applyFill="1" applyBorder="1" applyAlignment="1">
      <alignment horizontal="center" vertical="center"/>
    </xf>
    <xf numFmtId="9" fontId="60" fillId="16" borderId="1" xfId="0" applyNumberFormat="1" applyFont="1" applyFill="1" applyBorder="1" applyAlignment="1">
      <alignment horizontal="center" vertical="center"/>
    </xf>
    <xf numFmtId="3" fontId="3" fillId="16" borderId="1" xfId="0" applyNumberFormat="1" applyFont="1" applyFill="1" applyBorder="1" applyAlignment="1">
      <alignment horizontal="center" vertical="center"/>
    </xf>
    <xf numFmtId="167" fontId="60" fillId="16" borderId="1" xfId="0" applyNumberFormat="1" applyFont="1" applyFill="1" applyBorder="1" applyAlignment="1">
      <alignment horizontal="center" vertical="center"/>
    </xf>
    <xf numFmtId="0" fontId="60" fillId="16" borderId="1" xfId="0" applyFont="1" applyFill="1" applyBorder="1" applyAlignment="1">
      <alignment horizontal="center" vertical="center"/>
    </xf>
    <xf numFmtId="171" fontId="60" fillId="16" borderId="1" xfId="0" applyNumberFormat="1" applyFont="1" applyFill="1" applyBorder="1" applyAlignment="1">
      <alignment horizontal="center" vertical="center"/>
    </xf>
    <xf numFmtId="0" fontId="60" fillId="16" borderId="6" xfId="0" applyFont="1" applyFill="1" applyBorder="1" applyAlignment="1">
      <alignment horizontal="center" vertical="center"/>
    </xf>
    <xf numFmtId="3" fontId="60" fillId="16" borderId="1" xfId="0" applyNumberFormat="1" applyFont="1" applyFill="1" applyBorder="1" applyAlignment="1">
      <alignment horizontal="center" vertical="center"/>
    </xf>
    <xf numFmtId="9" fontId="60" fillId="16" borderId="6" xfId="0" applyNumberFormat="1" applyFont="1" applyFill="1" applyBorder="1" applyAlignment="1">
      <alignment horizontal="center" vertical="center"/>
    </xf>
    <xf numFmtId="3" fontId="3" fillId="16" borderId="8" xfId="0" applyNumberFormat="1" applyFont="1" applyFill="1" applyBorder="1" applyAlignment="1">
      <alignment horizontal="center" vertical="center"/>
    </xf>
    <xf numFmtId="0" fontId="60" fillId="6" borderId="13" xfId="0" applyFont="1" applyFill="1" applyBorder="1" applyAlignment="1">
      <alignment horizontal="center" vertical="center"/>
    </xf>
    <xf numFmtId="9" fontId="60" fillId="16" borderId="14" xfId="0" applyNumberFormat="1" applyFont="1" applyFill="1" applyBorder="1" applyAlignment="1">
      <alignment horizontal="center" vertical="center"/>
    </xf>
    <xf numFmtId="171" fontId="60" fillId="16" borderId="14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1" fontId="60" fillId="16" borderId="6" xfId="0" applyNumberFormat="1" applyFont="1" applyFill="1" applyBorder="1" applyAlignment="1">
      <alignment horizontal="center" vertical="center"/>
    </xf>
    <xf numFmtId="171" fontId="60" fillId="16" borderId="3" xfId="0" applyNumberFormat="1" applyFont="1" applyFill="1" applyBorder="1" applyAlignment="1">
      <alignment horizontal="center" vertical="center"/>
    </xf>
    <xf numFmtId="9" fontId="60" fillId="14" borderId="1" xfId="0" applyNumberFormat="1" applyFont="1" applyFill="1" applyBorder="1" applyAlignment="1">
      <alignment horizontal="center" vertical="center"/>
    </xf>
    <xf numFmtId="171" fontId="60" fillId="14" borderId="3" xfId="0" applyNumberFormat="1" applyFont="1" applyFill="1" applyBorder="1" applyAlignment="1">
      <alignment horizontal="center" vertical="center"/>
    </xf>
    <xf numFmtId="3" fontId="60" fillId="14" borderId="1" xfId="0" applyNumberFormat="1" applyFont="1" applyFill="1" applyBorder="1" applyAlignment="1">
      <alignment horizontal="center" vertical="center"/>
    </xf>
    <xf numFmtId="171" fontId="60" fillId="14" borderId="9" xfId="0" applyNumberFormat="1" applyFont="1" applyFill="1" applyBorder="1" applyAlignment="1">
      <alignment horizontal="center" vertical="center"/>
    </xf>
    <xf numFmtId="171" fontId="60" fillId="14" borderId="1" xfId="0" applyNumberFormat="1" applyFont="1" applyFill="1" applyBorder="1" applyAlignment="1">
      <alignment horizontal="center" vertical="center"/>
    </xf>
    <xf numFmtId="171" fontId="59" fillId="14" borderId="6" xfId="0" applyNumberFormat="1" applyFont="1" applyFill="1" applyBorder="1" applyAlignment="1">
      <alignment horizontal="center" vertical="center"/>
    </xf>
    <xf numFmtId="0" fontId="60" fillId="6" borderId="8" xfId="0" applyFont="1" applyFill="1" applyBorder="1" applyAlignment="1">
      <alignment horizontal="center" vertical="center"/>
    </xf>
    <xf numFmtId="0" fontId="59" fillId="6" borderId="2" xfId="0" applyFont="1" applyFill="1" applyBorder="1" applyAlignment="1">
      <alignment horizontal="center" vertical="center"/>
    </xf>
    <xf numFmtId="9" fontId="59" fillId="6" borderId="5" xfId="0" applyNumberFormat="1" applyFont="1" applyFill="1" applyBorder="1" applyAlignment="1">
      <alignment horizontal="center" vertical="center"/>
    </xf>
    <xf numFmtId="171" fontId="59" fillId="6" borderId="6" xfId="0" applyNumberFormat="1" applyFont="1" applyFill="1" applyBorder="1" applyAlignment="1">
      <alignment horizontal="center" vertical="center"/>
    </xf>
    <xf numFmtId="9" fontId="59" fillId="6" borderId="1" xfId="0" applyNumberFormat="1" applyFont="1" applyFill="1" applyBorder="1" applyAlignment="1">
      <alignment horizontal="center" vertical="center"/>
    </xf>
    <xf numFmtId="0" fontId="59" fillId="6" borderId="1" xfId="0" applyFont="1" applyFill="1" applyBorder="1" applyAlignment="1">
      <alignment horizontal="center" vertical="center"/>
    </xf>
    <xf numFmtId="171" fontId="59" fillId="6" borderId="1" xfId="0" applyNumberFormat="1" applyFont="1" applyFill="1" applyBorder="1" applyAlignment="1">
      <alignment horizontal="center" vertical="center"/>
    </xf>
    <xf numFmtId="9" fontId="60" fillId="6" borderId="6" xfId="0" applyNumberFormat="1" applyFont="1" applyFill="1" applyBorder="1" applyAlignment="1">
      <alignment horizontal="center" vertical="center"/>
    </xf>
    <xf numFmtId="3" fontId="3" fillId="6" borderId="8" xfId="0" applyNumberFormat="1" applyFont="1" applyFill="1" applyBorder="1" applyAlignment="1">
      <alignment horizontal="center" vertical="center"/>
    </xf>
    <xf numFmtId="167" fontId="60" fillId="6" borderId="1" xfId="0" applyNumberFormat="1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 vertical="center"/>
    </xf>
    <xf numFmtId="0" fontId="41" fillId="6" borderId="3" xfId="0" applyFont="1" applyFill="1" applyBorder="1" applyAlignment="1">
      <alignment horizontal="center" vertical="center" wrapText="1"/>
    </xf>
    <xf numFmtId="0" fontId="57" fillId="9" borderId="2" xfId="0" applyFont="1" applyFill="1" applyBorder="1" applyAlignment="1">
      <alignment horizontal="center" vertical="center"/>
    </xf>
    <xf numFmtId="0" fontId="57" fillId="9" borderId="5" xfId="0" applyFont="1" applyFill="1" applyBorder="1" applyAlignment="1">
      <alignment horizontal="center" vertical="center"/>
    </xf>
    <xf numFmtId="0" fontId="57" fillId="8" borderId="3" xfId="0" applyFont="1" applyFill="1" applyBorder="1" applyAlignment="1">
      <alignment horizontal="center" vertical="center"/>
    </xf>
    <xf numFmtId="171" fontId="57" fillId="9" borderId="1" xfId="0" applyNumberFormat="1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167" fontId="57" fillId="9" borderId="1" xfId="0" applyNumberFormat="1" applyFont="1" applyFill="1" applyBorder="1" applyAlignment="1">
      <alignment horizontal="center" vertical="center"/>
    </xf>
    <xf numFmtId="0" fontId="57" fillId="9" borderId="8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6" fillId="14" borderId="1" xfId="0" applyFont="1" applyFill="1" applyBorder="1" applyAlignment="1">
      <alignment horizontal="center" vertical="center"/>
    </xf>
    <xf numFmtId="167" fontId="56" fillId="14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3" fontId="57" fillId="0" borderId="1" xfId="0" applyNumberFormat="1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167" fontId="57" fillId="0" borderId="15" xfId="0" applyNumberFormat="1" applyFont="1" applyBorder="1" applyAlignment="1">
      <alignment horizontal="center" vertical="center"/>
    </xf>
    <xf numFmtId="3" fontId="57" fillId="0" borderId="15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67" fontId="57" fillId="0" borderId="0" xfId="0" applyNumberFormat="1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16" borderId="13" xfId="0" applyFont="1" applyFill="1" applyBorder="1" applyAlignment="1">
      <alignment horizontal="center" vertical="center"/>
    </xf>
    <xf numFmtId="9" fontId="59" fillId="16" borderId="13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3" fontId="3" fillId="14" borderId="8" xfId="0" applyNumberFormat="1" applyFont="1" applyFill="1" applyBorder="1" applyAlignment="1">
      <alignment horizontal="center" vertical="center"/>
    </xf>
    <xf numFmtId="171" fontId="60" fillId="14" borderId="6" xfId="0" applyNumberFormat="1" applyFont="1" applyFill="1" applyBorder="1" applyAlignment="1">
      <alignment horizontal="center" vertical="center"/>
    </xf>
    <xf numFmtId="171" fontId="59" fillId="14" borderId="3" xfId="0" applyNumberFormat="1" applyFont="1" applyFill="1" applyBorder="1" applyAlignment="1">
      <alignment horizontal="center" vertical="center"/>
    </xf>
    <xf numFmtId="171" fontId="59" fillId="14" borderId="1" xfId="0" applyNumberFormat="1" applyFont="1" applyFill="1" applyBorder="1" applyAlignment="1">
      <alignment horizontal="center" vertical="center"/>
    </xf>
    <xf numFmtId="9" fontId="59" fillId="6" borderId="6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6" borderId="13" xfId="0" applyNumberFormat="1" applyFont="1" applyFill="1" applyBorder="1" applyAlignment="1">
      <alignment horizontal="center" vertical="center"/>
    </xf>
    <xf numFmtId="171" fontId="60" fillId="6" borderId="1" xfId="0" applyNumberFormat="1" applyFont="1" applyFill="1" applyBorder="1" applyAlignment="1">
      <alignment horizontal="center" vertical="center"/>
    </xf>
    <xf numFmtId="9" fontId="60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171" fontId="60" fillId="6" borderId="6" xfId="0" applyNumberFormat="1" applyFont="1" applyFill="1" applyBorder="1" applyAlignment="1">
      <alignment horizontal="center" vertical="center"/>
    </xf>
    <xf numFmtId="3" fontId="85" fillId="6" borderId="8" xfId="0" applyNumberFormat="1" applyFont="1" applyFill="1" applyBorder="1" applyAlignment="1">
      <alignment horizontal="center" vertical="center"/>
    </xf>
    <xf numFmtId="0" fontId="57" fillId="9" borderId="6" xfId="0" applyFont="1" applyFill="1" applyBorder="1" applyAlignment="1">
      <alignment horizontal="center" vertical="center"/>
    </xf>
    <xf numFmtId="0" fontId="57" fillId="8" borderId="1" xfId="0" applyFont="1" applyFill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171" fontId="3" fillId="14" borderId="1" xfId="0" applyNumberFormat="1" applyFont="1" applyFill="1" applyBorder="1" applyAlignment="1">
      <alignment horizontal="center"/>
    </xf>
    <xf numFmtId="171" fontId="59" fillId="6" borderId="3" xfId="0" applyNumberFormat="1" applyFont="1" applyFill="1" applyBorder="1"/>
    <xf numFmtId="0" fontId="41" fillId="16" borderId="3" xfId="0" applyFont="1" applyFill="1" applyBorder="1" applyAlignment="1">
      <alignment horizontal="left" vertical="center"/>
    </xf>
    <xf numFmtId="0" fontId="41" fillId="32" borderId="3" xfId="0" applyFont="1" applyFill="1" applyBorder="1" applyAlignment="1">
      <alignment horizontal="left" vertical="center"/>
    </xf>
    <xf numFmtId="0" fontId="41" fillId="16" borderId="3" xfId="0" applyFont="1" applyFill="1" applyBorder="1" applyAlignment="1">
      <alignment horizontal="left" vertical="center" wrapText="1"/>
    </xf>
    <xf numFmtId="0" fontId="60" fillId="16" borderId="1" xfId="0" applyFont="1" applyFill="1" applyBorder="1" applyAlignment="1">
      <alignment horizontal="left" vertical="center" wrapText="1"/>
    </xf>
    <xf numFmtId="0" fontId="60" fillId="16" borderId="14" xfId="0" applyFont="1" applyFill="1" applyBorder="1" applyAlignment="1">
      <alignment horizontal="left" vertical="center" wrapText="1"/>
    </xf>
    <xf numFmtId="0" fontId="41" fillId="16" borderId="6" xfId="0" applyFont="1" applyFill="1" applyBorder="1" applyAlignment="1">
      <alignment horizontal="left" vertical="center"/>
    </xf>
    <xf numFmtId="0" fontId="41" fillId="16" borderId="1" xfId="0" applyFont="1" applyFill="1" applyBorder="1" applyAlignment="1">
      <alignment horizontal="left" vertical="center" wrapText="1"/>
    </xf>
    <xf numFmtId="0" fontId="41" fillId="32" borderId="1" xfId="0" applyFont="1" applyFill="1" applyBorder="1" applyAlignment="1">
      <alignment horizontal="left" vertical="center"/>
    </xf>
    <xf numFmtId="0" fontId="60" fillId="16" borderId="9" xfId="0" applyFont="1" applyFill="1" applyBorder="1" applyAlignment="1">
      <alignment horizontal="left" vertical="center" wrapText="1"/>
    </xf>
    <xf numFmtId="0" fontId="41" fillId="16" borderId="14" xfId="0" applyFont="1" applyFill="1" applyBorder="1" applyAlignment="1">
      <alignment horizontal="left" vertical="center" wrapText="1"/>
    </xf>
    <xf numFmtId="0" fontId="60" fillId="14" borderId="1" xfId="0" applyFont="1" applyFill="1" applyBorder="1" applyAlignment="1">
      <alignment horizontal="left" vertical="center"/>
    </xf>
    <xf numFmtId="0" fontId="60" fillId="14" borderId="9" xfId="0" applyFont="1" applyFill="1" applyBorder="1" applyAlignment="1">
      <alignment horizontal="left" vertical="center" wrapText="1"/>
    </xf>
    <xf numFmtId="0" fontId="41" fillId="14" borderId="1" xfId="0" applyFont="1" applyFill="1" applyBorder="1" applyAlignment="1">
      <alignment horizontal="left" vertical="center" wrapText="1"/>
    </xf>
    <xf numFmtId="0" fontId="60" fillId="14" borderId="1" xfId="0" applyFont="1" applyFill="1" applyBorder="1" applyAlignment="1">
      <alignment horizontal="left" vertical="center" wrapText="1"/>
    </xf>
    <xf numFmtId="0" fontId="41" fillId="14" borderId="6" xfId="0" applyFont="1" applyFill="1" applyBorder="1" applyAlignment="1">
      <alignment horizontal="left" vertical="center"/>
    </xf>
    <xf numFmtId="0" fontId="41" fillId="14" borderId="6" xfId="0" applyFont="1" applyFill="1" applyBorder="1" applyAlignment="1">
      <alignment horizontal="left" vertical="center" wrapText="1"/>
    </xf>
    <xf numFmtId="0" fontId="41" fillId="14" borderId="3" xfId="0" applyFont="1" applyFill="1" applyBorder="1" applyAlignment="1">
      <alignment horizontal="left" vertical="center"/>
    </xf>
    <xf numFmtId="0" fontId="41" fillId="6" borderId="3" xfId="0" applyFont="1" applyFill="1" applyBorder="1" applyAlignment="1">
      <alignment horizontal="left" vertical="center"/>
    </xf>
    <xf numFmtId="0" fontId="59" fillId="6" borderId="1" xfId="0" applyFont="1" applyFill="1" applyBorder="1" applyAlignment="1">
      <alignment horizontal="left" vertical="center"/>
    </xf>
    <xf numFmtId="0" fontId="60" fillId="6" borderId="1" xfId="0" applyFont="1" applyFill="1" applyBorder="1" applyAlignment="1">
      <alignment horizontal="left" vertical="center"/>
    </xf>
    <xf numFmtId="0" fontId="60" fillId="16" borderId="1" xfId="0" applyFont="1" applyFill="1" applyBorder="1" applyAlignment="1">
      <alignment horizontal="left" vertical="center"/>
    </xf>
    <xf numFmtId="0" fontId="60" fillId="16" borderId="6" xfId="0" applyFont="1" applyFill="1" applyBorder="1" applyAlignment="1">
      <alignment horizontal="left"/>
    </xf>
    <xf numFmtId="167" fontId="59" fillId="16" borderId="1" xfId="0" applyNumberFormat="1" applyFont="1" applyFill="1" applyBorder="1" applyAlignment="1">
      <alignment horizontal="left"/>
    </xf>
    <xf numFmtId="167" fontId="59" fillId="6" borderId="1" xfId="0" applyNumberFormat="1" applyFont="1" applyFill="1" applyBorder="1" applyAlignment="1">
      <alignment horizontal="left"/>
    </xf>
    <xf numFmtId="0" fontId="57" fillId="6" borderId="6" xfId="0" applyFont="1" applyFill="1" applyBorder="1" applyAlignment="1">
      <alignment horizontal="left"/>
    </xf>
    <xf numFmtId="0" fontId="41" fillId="16" borderId="5" xfId="0" applyFont="1" applyFill="1" applyBorder="1" applyAlignment="1">
      <alignment horizontal="left" vertical="center"/>
    </xf>
    <xf numFmtId="0" fontId="41" fillId="16" borderId="5" xfId="0" applyFont="1" applyFill="1" applyBorder="1" applyAlignment="1">
      <alignment horizontal="left" vertical="center" wrapText="1"/>
    </xf>
    <xf numFmtId="0" fontId="41" fillId="14" borderId="5" xfId="0" applyFont="1" applyFill="1" applyBorder="1" applyAlignment="1">
      <alignment horizontal="left" vertical="center" wrapText="1"/>
    </xf>
    <xf numFmtId="0" fontId="41" fillId="14" borderId="1" xfId="0" applyFont="1" applyFill="1" applyBorder="1" applyAlignment="1">
      <alignment horizontal="left" vertical="center"/>
    </xf>
    <xf numFmtId="0" fontId="41" fillId="14" borderId="5" xfId="0" applyFont="1" applyFill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6" borderId="5" xfId="0" applyFont="1" applyFill="1" applyBorder="1" applyAlignment="1">
      <alignment horizontal="left" vertical="center" wrapText="1"/>
    </xf>
    <xf numFmtId="167" fontId="60" fillId="16" borderId="1" xfId="0" applyNumberFormat="1" applyFont="1" applyFill="1" applyBorder="1" applyAlignment="1">
      <alignment horizontal="left" vertical="center"/>
    </xf>
    <xf numFmtId="167" fontId="60" fillId="14" borderId="1" xfId="0" applyNumberFormat="1" applyFont="1" applyFill="1" applyBorder="1" applyAlignment="1">
      <alignment horizontal="left" vertical="center"/>
    </xf>
    <xf numFmtId="0" fontId="60" fillId="14" borderId="6" xfId="0" applyFont="1" applyFill="1" applyBorder="1" applyAlignment="1">
      <alignment horizontal="left" vertical="center"/>
    </xf>
    <xf numFmtId="9" fontId="60" fillId="14" borderId="13" xfId="0" applyNumberFormat="1" applyFont="1" applyFill="1" applyBorder="1" applyAlignment="1">
      <alignment horizontal="left" vertical="center"/>
    </xf>
    <xf numFmtId="0" fontId="59" fillId="6" borderId="9" xfId="0" applyFont="1" applyFill="1" applyBorder="1" applyAlignment="1">
      <alignment horizontal="left" vertical="center"/>
    </xf>
    <xf numFmtId="0" fontId="60" fillId="6" borderId="6" xfId="0" applyFont="1" applyFill="1" applyBorder="1" applyAlignment="1">
      <alignment horizontal="left" vertical="center"/>
    </xf>
    <xf numFmtId="9" fontId="60" fillId="6" borderId="13" xfId="0" applyNumberFormat="1" applyFont="1" applyFill="1" applyBorder="1" applyAlignment="1">
      <alignment horizontal="left" vertical="center"/>
    </xf>
    <xf numFmtId="0" fontId="109" fillId="14" borderId="1" xfId="0" applyFont="1" applyFill="1" applyBorder="1" applyAlignment="1">
      <alignment horizontal="center"/>
    </xf>
    <xf numFmtId="0" fontId="109" fillId="14" borderId="9" xfId="0" applyFont="1" applyFill="1" applyBorder="1" applyAlignment="1">
      <alignment horizontal="center"/>
    </xf>
    <xf numFmtId="0" fontId="110" fillId="14" borderId="1" xfId="0" applyFont="1" applyFill="1" applyBorder="1" applyAlignment="1">
      <alignment horizontal="center"/>
    </xf>
    <xf numFmtId="9" fontId="33" fillId="14" borderId="14" xfId="0" applyNumberFormat="1" applyFont="1" applyFill="1" applyBorder="1" applyAlignment="1">
      <alignment horizontal="center"/>
    </xf>
    <xf numFmtId="9" fontId="33" fillId="14" borderId="6" xfId="0" applyNumberFormat="1" applyFont="1" applyFill="1" applyBorder="1" applyAlignment="1">
      <alignment horizontal="center"/>
    </xf>
    <xf numFmtId="9" fontId="33" fillId="14" borderId="15" xfId="0" applyNumberFormat="1" applyFont="1" applyFill="1" applyBorder="1" applyAlignment="1">
      <alignment horizontal="center"/>
    </xf>
    <xf numFmtId="9" fontId="110" fillId="14" borderId="14" xfId="0" applyNumberFormat="1" applyFont="1" applyFill="1" applyBorder="1" applyAlignment="1">
      <alignment horizontal="center"/>
    </xf>
    <xf numFmtId="9" fontId="33" fillId="14" borderId="1" xfId="0" applyNumberFormat="1" applyFont="1" applyFill="1" applyBorder="1" applyAlignment="1">
      <alignment horizontal="center"/>
    </xf>
    <xf numFmtId="0" fontId="33" fillId="14" borderId="1" xfId="0" applyFont="1" applyFill="1" applyBorder="1" applyAlignment="1">
      <alignment horizontal="center"/>
    </xf>
    <xf numFmtId="0" fontId="110" fillId="14" borderId="4" xfId="0" applyFont="1" applyFill="1" applyBorder="1" applyAlignment="1">
      <alignment horizontal="center"/>
    </xf>
    <xf numFmtId="9" fontId="33" fillId="14" borderId="7" xfId="0" applyNumberFormat="1" applyFont="1" applyFill="1" applyBorder="1" applyAlignment="1">
      <alignment horizontal="center"/>
    </xf>
    <xf numFmtId="9" fontId="33" fillId="14" borderId="2" xfId="0" applyNumberFormat="1" applyFont="1" applyFill="1" applyBorder="1" applyAlignment="1">
      <alignment horizontal="center"/>
    </xf>
    <xf numFmtId="9" fontId="33" fillId="14" borderId="8" xfId="0" applyNumberFormat="1" applyFont="1" applyFill="1" applyBorder="1" applyAlignment="1">
      <alignment horizontal="center"/>
    </xf>
    <xf numFmtId="9" fontId="65" fillId="14" borderId="12" xfId="0" applyNumberFormat="1" applyFont="1" applyFill="1" applyBorder="1" applyAlignment="1">
      <alignment horizontal="center"/>
    </xf>
    <xf numFmtId="0" fontId="67" fillId="14" borderId="12" xfId="0" applyFont="1" applyFill="1" applyBorder="1" applyAlignment="1">
      <alignment horizontal="center"/>
    </xf>
    <xf numFmtId="9" fontId="65" fillId="14" borderId="1" xfId="0" applyNumberFormat="1" applyFont="1" applyFill="1" applyBorder="1" applyAlignment="1">
      <alignment horizontal="center"/>
    </xf>
    <xf numFmtId="0" fontId="110" fillId="14" borderId="12" xfId="0" applyFont="1" applyFill="1" applyBorder="1" applyAlignment="1">
      <alignment horizontal="center"/>
    </xf>
    <xf numFmtId="0" fontId="111" fillId="14" borderId="14" xfId="0" applyFont="1" applyFill="1" applyBorder="1" applyAlignment="1">
      <alignment horizontal="center" vertical="center"/>
    </xf>
    <xf numFmtId="9" fontId="111" fillId="14" borderId="6" xfId="0" applyNumberFormat="1" applyFont="1" applyFill="1" applyBorder="1" applyAlignment="1">
      <alignment horizontal="center" vertical="center"/>
    </xf>
    <xf numFmtId="9" fontId="65" fillId="14" borderId="13" xfId="0" applyNumberFormat="1" applyFont="1" applyFill="1" applyBorder="1" applyAlignment="1">
      <alignment horizontal="center" vertical="center"/>
    </xf>
    <xf numFmtId="0" fontId="111" fillId="14" borderId="6" xfId="0" applyFont="1" applyFill="1" applyBorder="1" applyAlignment="1">
      <alignment horizontal="center" vertical="center"/>
    </xf>
    <xf numFmtId="9" fontId="67" fillId="14" borderId="1" xfId="0" applyNumberFormat="1" applyFont="1" applyFill="1" applyBorder="1" applyAlignment="1">
      <alignment horizontal="center" vertical="center"/>
    </xf>
    <xf numFmtId="9" fontId="67" fillId="14" borderId="9" xfId="0" applyNumberFormat="1" applyFont="1" applyFill="1" applyBorder="1" applyAlignment="1">
      <alignment horizontal="center" vertical="center"/>
    </xf>
    <xf numFmtId="0" fontId="111" fillId="14" borderId="13" xfId="0" applyFont="1" applyFill="1" applyBorder="1" applyAlignment="1">
      <alignment horizontal="center" vertical="center"/>
    </xf>
    <xf numFmtId="0" fontId="65" fillId="14" borderId="2" xfId="0" applyFont="1" applyFill="1" applyBorder="1" applyAlignment="1">
      <alignment horizontal="center" vertical="center"/>
    </xf>
    <xf numFmtId="9" fontId="65" fillId="14" borderId="1" xfId="0" applyNumberFormat="1" applyFont="1" applyFill="1" applyBorder="1" applyAlignment="1">
      <alignment horizontal="center" vertical="center"/>
    </xf>
    <xf numFmtId="0" fontId="111" fillId="14" borderId="9" xfId="0" applyFont="1" applyFill="1" applyBorder="1" applyAlignment="1">
      <alignment horizontal="center"/>
    </xf>
    <xf numFmtId="9" fontId="111" fillId="14" borderId="9" xfId="0" applyNumberFormat="1" applyFont="1" applyFill="1" applyBorder="1" applyAlignment="1">
      <alignment horizontal="center"/>
    </xf>
    <xf numFmtId="9" fontId="111" fillId="14" borderId="1" xfId="0" applyNumberFormat="1" applyFont="1" applyFill="1" applyBorder="1" applyAlignment="1">
      <alignment horizontal="center"/>
    </xf>
    <xf numFmtId="0" fontId="111" fillId="14" borderId="5" xfId="0" applyFont="1" applyFill="1" applyBorder="1" applyAlignment="1">
      <alignment horizontal="center"/>
    </xf>
    <xf numFmtId="9" fontId="111" fillId="14" borderId="3" xfId="0" applyNumberFormat="1" applyFont="1" applyFill="1" applyBorder="1" applyAlignment="1">
      <alignment horizontal="center"/>
    </xf>
    <xf numFmtId="0" fontId="111" fillId="14" borderId="12" xfId="0" applyFont="1" applyFill="1" applyBorder="1" applyAlignment="1">
      <alignment horizontal="center"/>
    </xf>
    <xf numFmtId="9" fontId="66" fillId="14" borderId="12" xfId="0" applyNumberFormat="1" applyFont="1" applyFill="1" applyBorder="1" applyAlignment="1">
      <alignment horizontal="center"/>
    </xf>
    <xf numFmtId="9" fontId="66" fillId="14" borderId="1" xfId="0" applyNumberFormat="1" applyFont="1" applyFill="1" applyBorder="1" applyAlignment="1">
      <alignment horizontal="center"/>
    </xf>
    <xf numFmtId="0" fontId="65" fillId="14" borderId="1" xfId="0" applyFont="1" applyFill="1" applyBorder="1" applyAlignment="1">
      <alignment horizontal="center"/>
    </xf>
    <xf numFmtId="9" fontId="66" fillId="14" borderId="5" xfId="0" applyNumberFormat="1" applyFont="1" applyFill="1" applyBorder="1" applyAlignment="1">
      <alignment horizontal="center"/>
    </xf>
    <xf numFmtId="0" fontId="65" fillId="14" borderId="12" xfId="0" applyFont="1" applyFill="1" applyBorder="1" applyAlignment="1">
      <alignment horizontal="center"/>
    </xf>
    <xf numFmtId="0" fontId="58" fillId="16" borderId="12" xfId="0" applyFont="1" applyFill="1" applyBorder="1" applyAlignment="1">
      <alignment vertical="center"/>
    </xf>
    <xf numFmtId="0" fontId="59" fillId="16" borderId="12" xfId="0" applyFont="1" applyFill="1" applyBorder="1" applyAlignment="1">
      <alignment vertical="center"/>
    </xf>
    <xf numFmtId="0" fontId="112" fillId="14" borderId="1" xfId="0" applyFont="1" applyFill="1" applyBorder="1" applyAlignment="1">
      <alignment horizontal="center"/>
    </xf>
    <xf numFmtId="9" fontId="111" fillId="14" borderId="6" xfId="0" applyNumberFormat="1" applyFont="1" applyFill="1" applyBorder="1" applyAlignment="1">
      <alignment horizontal="center"/>
    </xf>
    <xf numFmtId="0" fontId="60" fillId="6" borderId="14" xfId="0" applyFont="1" applyFill="1" applyBorder="1" applyAlignment="1">
      <alignment horizontal="left"/>
    </xf>
    <xf numFmtId="0" fontId="60" fillId="6" borderId="12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171" fontId="0" fillId="0" borderId="14" xfId="0" applyNumberFormat="1" applyBorder="1"/>
    <xf numFmtId="171" fontId="59" fillId="6" borderId="9" xfId="0" applyNumberFormat="1" applyFont="1" applyFill="1" applyBorder="1" applyAlignment="1">
      <alignment horizontal="left"/>
    </xf>
    <xf numFmtId="170" fontId="60" fillId="6" borderId="14" xfId="0" applyNumberFormat="1" applyFont="1" applyFill="1" applyBorder="1" applyAlignment="1">
      <alignment horizontal="right"/>
    </xf>
    <xf numFmtId="167" fontId="60" fillId="6" borderId="12" xfId="0" applyNumberFormat="1" applyFont="1" applyFill="1" applyBorder="1" applyAlignment="1">
      <alignment horizontal="right"/>
    </xf>
    <xf numFmtId="9" fontId="55" fillId="14" borderId="1" xfId="0" applyNumberFormat="1" applyFont="1" applyFill="1" applyBorder="1" applyAlignment="1">
      <alignment horizontal="center"/>
    </xf>
    <xf numFmtId="9" fontId="55" fillId="14" borderId="2" xfId="0" applyNumberFormat="1" applyFont="1" applyFill="1" applyBorder="1" applyAlignment="1">
      <alignment horizontal="center"/>
    </xf>
    <xf numFmtId="9" fontId="55" fillId="14" borderId="14" xfId="0" applyNumberFormat="1" applyFont="1" applyFill="1" applyBorder="1" applyAlignment="1">
      <alignment horizontal="center"/>
    </xf>
    <xf numFmtId="0" fontId="110" fillId="14" borderId="7" xfId="0" applyFont="1" applyFill="1" applyBorder="1" applyAlignment="1">
      <alignment horizontal="center"/>
    </xf>
    <xf numFmtId="9" fontId="33" fillId="14" borderId="0" xfId="0" applyNumberFormat="1" applyFont="1" applyFill="1" applyAlignment="1">
      <alignment horizontal="center"/>
    </xf>
    <xf numFmtId="0" fontId="41" fillId="6" borderId="6" xfId="0" applyFont="1" applyFill="1" applyBorder="1" applyAlignment="1">
      <alignment wrapText="1"/>
    </xf>
    <xf numFmtId="0" fontId="41" fillId="6" borderId="14" xfId="0" applyFont="1" applyFill="1" applyBorder="1" applyAlignment="1">
      <alignment wrapText="1"/>
    </xf>
    <xf numFmtId="171" fontId="59" fillId="6" borderId="14" xfId="0" applyNumberFormat="1" applyFont="1" applyFill="1" applyBorder="1" applyAlignment="1">
      <alignment horizontal="right"/>
    </xf>
    <xf numFmtId="0" fontId="2" fillId="14" borderId="1" xfId="0" applyFont="1" applyFill="1" applyBorder="1" applyAlignment="1">
      <alignment horizontal="center" vertical="center"/>
    </xf>
    <xf numFmtId="0" fontId="40" fillId="14" borderId="0" xfId="0" applyFont="1" applyFill="1" applyAlignment="1">
      <alignment horizontal="center" vertical="center"/>
    </xf>
    <xf numFmtId="0" fontId="60" fillId="6" borderId="6" xfId="0" applyFont="1" applyFill="1" applyBorder="1" applyAlignment="1">
      <alignment horizontal="left"/>
    </xf>
    <xf numFmtId="0" fontId="41" fillId="6" borderId="3" xfId="0" applyFont="1" applyFill="1" applyBorder="1"/>
    <xf numFmtId="171" fontId="59" fillId="14" borderId="0" xfId="0" applyNumberFormat="1" applyFont="1" applyFill="1" applyAlignment="1">
      <alignment horizontal="right"/>
    </xf>
    <xf numFmtId="171" fontId="59" fillId="14" borderId="8" xfId="0" applyNumberFormat="1" applyFont="1" applyFill="1" applyBorder="1"/>
    <xf numFmtId="171" fontId="59" fillId="14" borderId="2" xfId="0" applyNumberFormat="1" applyFont="1" applyFill="1" applyBorder="1"/>
    <xf numFmtId="171" fontId="3" fillId="14" borderId="8" xfId="0" applyNumberFormat="1" applyFont="1" applyFill="1" applyBorder="1" applyAlignment="1">
      <alignment horizontal="center"/>
    </xf>
    <xf numFmtId="170" fontId="60" fillId="16" borderId="9" xfId="0" applyNumberFormat="1" applyFont="1" applyFill="1" applyBorder="1"/>
    <xf numFmtId="167" fontId="60" fillId="14" borderId="11" xfId="0" applyNumberFormat="1" applyFont="1" applyFill="1" applyBorder="1" applyAlignment="1">
      <alignment horizontal="left"/>
    </xf>
    <xf numFmtId="167" fontId="60" fillId="14" borderId="3" xfId="0" applyNumberFormat="1" applyFont="1" applyFill="1" applyBorder="1" applyAlignment="1">
      <alignment horizontal="left"/>
    </xf>
    <xf numFmtId="0" fontId="3" fillId="14" borderId="6" xfId="0" applyFont="1" applyFill="1" applyBorder="1" applyAlignment="1">
      <alignment horizontal="left"/>
    </xf>
    <xf numFmtId="3" fontId="3" fillId="6" borderId="5" xfId="0" applyNumberFormat="1" applyFont="1" applyFill="1" applyBorder="1" applyAlignment="1">
      <alignment horizontal="center"/>
    </xf>
    <xf numFmtId="0" fontId="60" fillId="6" borderId="6" xfId="0" applyFont="1" applyFill="1" applyBorder="1"/>
    <xf numFmtId="9" fontId="111" fillId="14" borderId="1" xfId="0" applyNumberFormat="1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 wrapText="1"/>
    </xf>
    <xf numFmtId="0" fontId="59" fillId="6" borderId="8" xfId="0" applyFont="1" applyFill="1" applyBorder="1" applyAlignment="1">
      <alignment horizontal="center" vertical="center"/>
    </xf>
    <xf numFmtId="9" fontId="111" fillId="14" borderId="14" xfId="0" applyNumberFormat="1" applyFont="1" applyFill="1" applyBorder="1" applyAlignment="1">
      <alignment horizontal="center" vertical="center"/>
    </xf>
    <xf numFmtId="0" fontId="41" fillId="14" borderId="4" xfId="0" applyFont="1" applyFill="1" applyBorder="1" applyAlignment="1">
      <alignment horizontal="left" vertical="center"/>
    </xf>
    <xf numFmtId="0" fontId="57" fillId="9" borderId="3" xfId="0" applyFont="1" applyFill="1" applyBorder="1" applyAlignment="1">
      <alignment horizontal="center" vertical="center"/>
    </xf>
    <xf numFmtId="0" fontId="57" fillId="8" borderId="5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/>
    </xf>
    <xf numFmtId="0" fontId="55" fillId="14" borderId="3" xfId="0" applyFont="1" applyFill="1" applyBorder="1" applyAlignment="1">
      <alignment horizontal="left"/>
    </xf>
    <xf numFmtId="9" fontId="65" fillId="14" borderId="9" xfId="0" applyNumberFormat="1" applyFont="1" applyFill="1" applyBorder="1" applyAlignment="1">
      <alignment horizontal="center"/>
    </xf>
    <xf numFmtId="0" fontId="60" fillId="6" borderId="8" xfId="0" applyFont="1" applyFill="1" applyBorder="1" applyAlignment="1">
      <alignment horizontal="left"/>
    </xf>
    <xf numFmtId="9" fontId="9" fillId="6" borderId="14" xfId="0" applyNumberFormat="1" applyFont="1" applyFill="1" applyBorder="1" applyAlignment="1">
      <alignment horizontal="center"/>
    </xf>
    <xf numFmtId="9" fontId="55" fillId="6" borderId="1" xfId="0" applyNumberFormat="1" applyFont="1" applyFill="1" applyBorder="1" applyAlignment="1">
      <alignment horizontal="center"/>
    </xf>
    <xf numFmtId="0" fontId="41" fillId="6" borderId="9" xfId="0" applyFont="1" applyFill="1" applyBorder="1" applyAlignment="1">
      <alignment wrapText="1"/>
    </xf>
    <xf numFmtId="171" fontId="59" fillId="6" borderId="9" xfId="0" applyNumberFormat="1" applyFont="1" applyFill="1" applyBorder="1"/>
    <xf numFmtId="3" fontId="3" fillId="6" borderId="13" xfId="0" applyNumberFormat="1" applyFont="1" applyFill="1" applyBorder="1" applyAlignment="1">
      <alignment horizontal="center"/>
    </xf>
    <xf numFmtId="170" fontId="60" fillId="6" borderId="3" xfId="0" applyNumberFormat="1" applyFont="1" applyFill="1" applyBorder="1" applyAlignment="1">
      <alignment horizontal="center"/>
    </xf>
    <xf numFmtId="9" fontId="9" fillId="6" borderId="15" xfId="0" applyNumberFormat="1" applyFont="1" applyFill="1" applyBorder="1" applyAlignment="1">
      <alignment horizontal="center"/>
    </xf>
    <xf numFmtId="9" fontId="55" fillId="6" borderId="2" xfId="0" applyNumberFormat="1" applyFont="1" applyFill="1" applyBorder="1" applyAlignment="1">
      <alignment horizontal="center"/>
    </xf>
    <xf numFmtId="0" fontId="41" fillId="6" borderId="12" xfId="0" applyFont="1" applyFill="1" applyBorder="1" applyAlignment="1">
      <alignment wrapText="1"/>
    </xf>
    <xf numFmtId="170" fontId="60" fillId="6" borderId="14" xfId="0" applyNumberFormat="1" applyFont="1" applyFill="1" applyBorder="1" applyAlignment="1">
      <alignment horizontal="center"/>
    </xf>
    <xf numFmtId="3" fontId="85" fillId="6" borderId="12" xfId="0" applyNumberFormat="1" applyFont="1" applyFill="1" applyBorder="1" applyAlignment="1">
      <alignment horizontal="center"/>
    </xf>
    <xf numFmtId="167" fontId="60" fillId="6" borderId="9" xfId="0" applyNumberFormat="1" applyFont="1" applyFill="1" applyBorder="1" applyAlignment="1">
      <alignment horizontal="left"/>
    </xf>
    <xf numFmtId="9" fontId="55" fillId="6" borderId="9" xfId="0" applyNumberFormat="1" applyFont="1" applyFill="1" applyBorder="1" applyAlignment="1">
      <alignment horizontal="center"/>
    </xf>
    <xf numFmtId="0" fontId="41" fillId="6" borderId="5" xfId="0" applyFont="1" applyFill="1" applyBorder="1" applyAlignment="1">
      <alignment horizontal="left"/>
    </xf>
    <xf numFmtId="0" fontId="41" fillId="6" borderId="8" xfId="0" applyFont="1" applyFill="1" applyBorder="1" applyAlignment="1">
      <alignment horizontal="left"/>
    </xf>
    <xf numFmtId="9" fontId="9" fillId="6" borderId="7" xfId="0" applyNumberFormat="1" applyFont="1" applyFill="1" applyBorder="1" applyAlignment="1">
      <alignment horizontal="center"/>
    </xf>
    <xf numFmtId="0" fontId="41" fillId="6" borderId="8" xfId="0" applyFont="1" applyFill="1" applyBorder="1" applyAlignment="1">
      <alignment horizontal="left" wrapText="1"/>
    </xf>
    <xf numFmtId="9" fontId="9" fillId="6" borderId="2" xfId="0" applyNumberFormat="1" applyFont="1" applyFill="1" applyBorder="1" applyAlignment="1">
      <alignment horizontal="center"/>
    </xf>
    <xf numFmtId="170" fontId="59" fillId="6" borderId="6" xfId="0" applyNumberFormat="1" applyFont="1" applyFill="1" applyBorder="1" applyAlignment="1">
      <alignment horizontal="right"/>
    </xf>
    <xf numFmtId="9" fontId="55" fillId="6" borderId="14" xfId="0" applyNumberFormat="1" applyFont="1" applyFill="1" applyBorder="1" applyAlignment="1">
      <alignment horizontal="center"/>
    </xf>
    <xf numFmtId="0" fontId="41" fillId="6" borderId="9" xfId="0" applyFont="1" applyFill="1" applyBorder="1"/>
    <xf numFmtId="0" fontId="41" fillId="6" borderId="4" xfId="0" applyFont="1" applyFill="1" applyBorder="1"/>
    <xf numFmtId="9" fontId="65" fillId="6" borderId="1" xfId="0" applyNumberFormat="1" applyFont="1" applyFill="1" applyBorder="1" applyAlignment="1">
      <alignment horizontal="center"/>
    </xf>
    <xf numFmtId="167" fontId="113" fillId="6" borderId="1" xfId="0" applyNumberFormat="1" applyFont="1" applyFill="1" applyBorder="1" applyAlignment="1">
      <alignment horizontal="right"/>
    </xf>
    <xf numFmtId="9" fontId="85" fillId="14" borderId="12" xfId="0" applyNumberFormat="1" applyFont="1" applyFill="1" applyBorder="1" applyAlignment="1">
      <alignment horizontal="center"/>
    </xf>
    <xf numFmtId="9" fontId="85" fillId="6" borderId="12" xfId="0" applyNumberFormat="1" applyFont="1" applyFill="1" applyBorder="1" applyAlignment="1">
      <alignment horizontal="center"/>
    </xf>
    <xf numFmtId="0" fontId="41" fillId="0" borderId="0" xfId="0" applyFont="1"/>
    <xf numFmtId="167" fontId="113" fillId="0" borderId="1" xfId="0" applyNumberFormat="1" applyFont="1" applyBorder="1"/>
    <xf numFmtId="170" fontId="60" fillId="14" borderId="1" xfId="0" applyNumberFormat="1" applyFont="1" applyFill="1" applyBorder="1"/>
    <xf numFmtId="0" fontId="59" fillId="6" borderId="6" xfId="0" applyFont="1" applyFill="1" applyBorder="1" applyAlignment="1">
      <alignment horizontal="left" wrapText="1"/>
    </xf>
    <xf numFmtId="0" fontId="59" fillId="6" borderId="3" xfId="0" applyFont="1" applyFill="1" applyBorder="1" applyAlignment="1">
      <alignment horizontal="left" wrapText="1"/>
    </xf>
    <xf numFmtId="0" fontId="57" fillId="8" borderId="3" xfId="0" applyFont="1" applyFill="1" applyBorder="1" applyAlignment="1">
      <alignment horizontal="left"/>
    </xf>
    <xf numFmtId="171" fontId="59" fillId="14" borderId="14" xfId="0" applyNumberFormat="1" applyFont="1" applyFill="1" applyBorder="1" applyAlignment="1">
      <alignment horizontal="center" vertical="center"/>
    </xf>
    <xf numFmtId="0" fontId="59" fillId="14" borderId="9" xfId="0" applyFont="1" applyFill="1" applyBorder="1" applyAlignment="1">
      <alignment horizontal="left" vertical="center"/>
    </xf>
    <xf numFmtId="0" fontId="112" fillId="14" borderId="5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center" vertical="center"/>
    </xf>
    <xf numFmtId="0" fontId="13" fillId="0" borderId="0" xfId="0" applyFont="1"/>
    <xf numFmtId="0" fontId="41" fillId="12" borderId="1" xfId="0" applyFont="1" applyFill="1" applyBorder="1" applyAlignment="1">
      <alignment wrapText="1"/>
    </xf>
    <xf numFmtId="0" fontId="60" fillId="12" borderId="1" xfId="0" applyFont="1" applyFill="1" applyBorder="1" applyAlignment="1">
      <alignment horizontal="left"/>
    </xf>
    <xf numFmtId="0" fontId="60" fillId="12" borderId="1" xfId="0" applyFont="1" applyFill="1" applyBorder="1" applyAlignment="1">
      <alignment horizontal="left" wrapText="1"/>
    </xf>
    <xf numFmtId="0" fontId="41" fillId="12" borderId="9" xfId="0" applyFont="1" applyFill="1" applyBorder="1" applyAlignment="1">
      <alignment wrapText="1"/>
    </xf>
    <xf numFmtId="0" fontId="41" fillId="12" borderId="5" xfId="0" applyFont="1" applyFill="1" applyBorder="1" applyAlignment="1">
      <alignment horizontal="left" wrapText="1"/>
    </xf>
    <xf numFmtId="0" fontId="41" fillId="12" borderId="12" xfId="0" applyFont="1" applyFill="1" applyBorder="1" applyAlignment="1">
      <alignment wrapText="1"/>
    </xf>
    <xf numFmtId="0" fontId="41" fillId="12" borderId="8" xfId="0" applyFont="1" applyFill="1" applyBorder="1" applyAlignment="1">
      <alignment wrapText="1"/>
    </xf>
    <xf numFmtId="0" fontId="41" fillId="12" borderId="1" xfId="0" applyFont="1" applyFill="1" applyBorder="1" applyAlignment="1">
      <alignment horizontal="left"/>
    </xf>
    <xf numFmtId="0" fontId="41" fillId="12" borderId="5" xfId="0" applyFont="1" applyFill="1" applyBorder="1" applyAlignment="1">
      <alignment horizontal="left"/>
    </xf>
    <xf numFmtId="0" fontId="41" fillId="12" borderId="8" xfId="0" applyFont="1" applyFill="1" applyBorder="1" applyAlignment="1">
      <alignment horizontal="left" wrapText="1"/>
    </xf>
    <xf numFmtId="0" fontId="41" fillId="12" borderId="8" xfId="0" applyFont="1" applyFill="1" applyBorder="1" applyAlignment="1">
      <alignment horizontal="left"/>
    </xf>
    <xf numFmtId="0" fontId="41" fillId="12" borderId="1" xfId="0" applyFont="1" applyFill="1" applyBorder="1"/>
    <xf numFmtId="0" fontId="41" fillId="12" borderId="9" xfId="0" applyFont="1" applyFill="1" applyBorder="1"/>
    <xf numFmtId="171" fontId="59" fillId="14" borderId="9" xfId="0" applyNumberFormat="1" applyFont="1" applyFill="1" applyBorder="1" applyAlignment="1">
      <alignment horizontal="center" vertical="center"/>
    </xf>
    <xf numFmtId="9" fontId="59" fillId="14" borderId="9" xfId="0" applyNumberFormat="1" applyFont="1" applyFill="1" applyBorder="1" applyAlignment="1">
      <alignment horizontal="center" vertical="center"/>
    </xf>
    <xf numFmtId="171" fontId="59" fillId="14" borderId="9" xfId="0" applyNumberFormat="1" applyFont="1" applyFill="1" applyBorder="1" applyAlignment="1">
      <alignment horizontal="left"/>
    </xf>
    <xf numFmtId="170" fontId="60" fillId="14" borderId="6" xfId="0" applyNumberFormat="1" applyFont="1" applyFill="1" applyBorder="1" applyAlignment="1">
      <alignment horizontal="right"/>
    </xf>
    <xf numFmtId="0" fontId="59" fillId="6" borderId="12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60" fillId="6" borderId="6" xfId="0" applyFont="1" applyFill="1" applyBorder="1" applyAlignment="1">
      <alignment horizontal="left" wrapText="1"/>
    </xf>
    <xf numFmtId="0" fontId="41" fillId="6" borderId="11" xfId="0" applyFont="1" applyFill="1" applyBorder="1"/>
    <xf numFmtId="171" fontId="59" fillId="6" borderId="5" xfId="0" applyNumberFormat="1" applyFont="1" applyFill="1" applyBorder="1" applyAlignment="1">
      <alignment horizontal="right"/>
    </xf>
    <xf numFmtId="170" fontId="60" fillId="6" borderId="3" xfId="0" applyNumberFormat="1" applyFont="1" applyFill="1" applyBorder="1"/>
    <xf numFmtId="167" fontId="60" fillId="6" borderId="5" xfId="0" applyNumberFormat="1" applyFont="1" applyFill="1" applyBorder="1" applyAlignment="1">
      <alignment horizontal="left"/>
    </xf>
    <xf numFmtId="0" fontId="60" fillId="6" borderId="3" xfId="0" applyFont="1" applyFill="1" applyBorder="1" applyAlignment="1">
      <alignment horizontal="left"/>
    </xf>
    <xf numFmtId="0" fontId="67" fillId="14" borderId="1" xfId="0" applyFont="1" applyFill="1" applyBorder="1" applyAlignment="1">
      <alignment horizontal="center"/>
    </xf>
    <xf numFmtId="9" fontId="59" fillId="14" borderId="1" xfId="0" applyNumberFormat="1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left"/>
    </xf>
    <xf numFmtId="0" fontId="67" fillId="6" borderId="1" xfId="0" applyFont="1" applyFill="1" applyBorder="1" applyAlignment="1">
      <alignment horizontal="center"/>
    </xf>
    <xf numFmtId="170" fontId="60" fillId="14" borderId="6" xfId="0" applyNumberFormat="1" applyFont="1" applyFill="1" applyBorder="1"/>
    <xf numFmtId="3" fontId="85" fillId="14" borderId="8" xfId="0" applyNumberFormat="1" applyFont="1" applyFill="1" applyBorder="1" applyAlignment="1">
      <alignment horizontal="center"/>
    </xf>
    <xf numFmtId="0" fontId="54" fillId="16" borderId="7" xfId="0" applyFont="1" applyFill="1" applyBorder="1" applyAlignment="1">
      <alignment horizontal="center"/>
    </xf>
    <xf numFmtId="9" fontId="60" fillId="16" borderId="7" xfId="0" applyNumberFormat="1" applyFont="1" applyFill="1" applyBorder="1" applyAlignment="1">
      <alignment horizontal="center"/>
    </xf>
    <xf numFmtId="171" fontId="60" fillId="16" borderId="3" xfId="0" applyNumberFormat="1" applyFont="1" applyFill="1" applyBorder="1" applyAlignment="1">
      <alignment horizontal="left"/>
    </xf>
    <xf numFmtId="9" fontId="60" fillId="6" borderId="1" xfId="0" applyNumberFormat="1" applyFont="1" applyFill="1" applyBorder="1"/>
    <xf numFmtId="167" fontId="60" fillId="6" borderId="8" xfId="0" applyNumberFormat="1" applyFont="1" applyFill="1" applyBorder="1" applyAlignment="1">
      <alignment horizontal="right"/>
    </xf>
    <xf numFmtId="0" fontId="59" fillId="6" borderId="1" xfId="0" applyFont="1" applyFill="1" applyBorder="1" applyAlignment="1">
      <alignment horizontal="left" wrapText="1"/>
    </xf>
    <xf numFmtId="0" fontId="3" fillId="6" borderId="6" xfId="0" applyFont="1" applyFill="1" applyBorder="1" applyAlignment="1">
      <alignment horizontal="center" vertical="center"/>
    </xf>
    <xf numFmtId="0" fontId="59" fillId="6" borderId="4" xfId="0" applyFont="1" applyFill="1" applyBorder="1"/>
    <xf numFmtId="0" fontId="3" fillId="14" borderId="12" xfId="0" applyFont="1" applyFill="1" applyBorder="1" applyAlignment="1">
      <alignment horizontal="center"/>
    </xf>
    <xf numFmtId="0" fontId="41" fillId="0" borderId="3" xfId="0" applyFont="1" applyBorder="1" applyAlignment="1">
      <alignment horizontal="left" wrapText="1"/>
    </xf>
    <xf numFmtId="0" fontId="3" fillId="16" borderId="10" xfId="0" applyFont="1" applyFill="1" applyBorder="1" applyAlignment="1">
      <alignment horizontal="center"/>
    </xf>
    <xf numFmtId="171" fontId="60" fillId="16" borderId="9" xfId="0" applyNumberFormat="1" applyFont="1" applyFill="1" applyBorder="1" applyAlignment="1">
      <alignment horizontal="right"/>
    </xf>
    <xf numFmtId="3" fontId="85" fillId="16" borderId="8" xfId="0" applyNumberFormat="1" applyFont="1" applyFill="1" applyBorder="1" applyAlignment="1">
      <alignment horizontal="center" vertical="center"/>
    </xf>
    <xf numFmtId="0" fontId="57" fillId="16" borderId="7" xfId="0" applyFont="1" applyFill="1" applyBorder="1"/>
    <xf numFmtId="0" fontId="3" fillId="6" borderId="13" xfId="0" applyFont="1" applyFill="1" applyBorder="1" applyAlignment="1">
      <alignment horizontal="center" vertical="center"/>
    </xf>
    <xf numFmtId="171" fontId="59" fillId="6" borderId="6" xfId="0" applyNumberFormat="1" applyFont="1" applyFill="1" applyBorder="1" applyAlignment="1">
      <alignment horizontal="left"/>
    </xf>
    <xf numFmtId="171" fontId="60" fillId="6" borderId="6" xfId="0" applyNumberFormat="1" applyFont="1" applyFill="1" applyBorder="1" applyAlignment="1">
      <alignment wrapText="1"/>
    </xf>
    <xf numFmtId="0" fontId="41" fillId="0" borderId="1" xfId="0" applyFont="1" applyBorder="1" applyAlignment="1">
      <alignment horizontal="left"/>
    </xf>
    <xf numFmtId="0" fontId="41" fillId="14" borderId="9" xfId="0" applyFont="1" applyFill="1" applyBorder="1" applyAlignment="1">
      <alignment horizontal="left"/>
    </xf>
    <xf numFmtId="9" fontId="3" fillId="14" borderId="3" xfId="0" applyNumberFormat="1" applyFont="1" applyFill="1" applyBorder="1" applyAlignment="1">
      <alignment horizontal="center"/>
    </xf>
    <xf numFmtId="9" fontId="65" fillId="14" borderId="3" xfId="0" applyNumberFormat="1" applyFont="1" applyFill="1" applyBorder="1" applyAlignment="1">
      <alignment horizontal="center" vertical="center"/>
    </xf>
    <xf numFmtId="9" fontId="59" fillId="6" borderId="3" xfId="0" applyNumberFormat="1" applyFont="1" applyFill="1" applyBorder="1" applyAlignment="1">
      <alignment horizontal="center" vertical="center"/>
    </xf>
    <xf numFmtId="0" fontId="115" fillId="0" borderId="0" xfId="1" applyFont="1"/>
    <xf numFmtId="0" fontId="65" fillId="14" borderId="1" xfId="0" applyFont="1" applyFill="1" applyBorder="1" applyAlignment="1">
      <alignment horizontal="center" vertical="center"/>
    </xf>
    <xf numFmtId="0" fontId="4" fillId="16" borderId="7" xfId="0" applyFont="1" applyFill="1" applyBorder="1"/>
    <xf numFmtId="9" fontId="65" fillId="14" borderId="2" xfId="0" applyNumberFormat="1" applyFont="1" applyFill="1" applyBorder="1" applyAlignment="1">
      <alignment horizontal="center"/>
    </xf>
    <xf numFmtId="170" fontId="59" fillId="14" borderId="6" xfId="0" applyNumberFormat="1" applyFont="1" applyFill="1" applyBorder="1" applyAlignment="1">
      <alignment horizontal="center"/>
    </xf>
    <xf numFmtId="0" fontId="85" fillId="6" borderId="12" xfId="0" applyFont="1" applyFill="1" applyBorder="1" applyAlignment="1">
      <alignment horizontal="center"/>
    </xf>
    <xf numFmtId="170" fontId="0" fillId="6" borderId="6" xfId="0" applyNumberFormat="1" applyFill="1" applyBorder="1"/>
    <xf numFmtId="171" fontId="59" fillId="6" borderId="5" xfId="0" applyNumberFormat="1" applyFont="1" applyFill="1" applyBorder="1" applyAlignment="1">
      <alignment wrapText="1"/>
    </xf>
    <xf numFmtId="172" fontId="60" fillId="6" borderId="6" xfId="0" applyNumberFormat="1" applyFont="1" applyFill="1" applyBorder="1" applyAlignment="1">
      <alignment horizontal="center"/>
    </xf>
    <xf numFmtId="9" fontId="3" fillId="14" borderId="12" xfId="0" applyNumberFormat="1" applyFont="1" applyFill="1" applyBorder="1" applyAlignment="1">
      <alignment horizontal="center"/>
    </xf>
    <xf numFmtId="9" fontId="56" fillId="6" borderId="1" xfId="0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left"/>
    </xf>
    <xf numFmtId="9" fontId="65" fillId="14" borderId="0" xfId="0" applyNumberFormat="1" applyFont="1" applyFill="1" applyAlignment="1">
      <alignment horizontal="center"/>
    </xf>
    <xf numFmtId="0" fontId="41" fillId="14" borderId="12" xfId="0" applyFont="1" applyFill="1" applyBorder="1" applyAlignment="1">
      <alignment wrapText="1"/>
    </xf>
    <xf numFmtId="9" fontId="9" fillId="6" borderId="5" xfId="0" applyNumberFormat="1" applyFon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9" fontId="57" fillId="6" borderId="8" xfId="0" applyNumberFormat="1" applyFont="1" applyFill="1" applyBorder="1" applyAlignment="1">
      <alignment horizontal="center"/>
    </xf>
    <xf numFmtId="9" fontId="5" fillId="6" borderId="8" xfId="0" applyNumberFormat="1" applyFont="1" applyFill="1" applyBorder="1" applyAlignment="1">
      <alignment horizontal="center"/>
    </xf>
    <xf numFmtId="0" fontId="55" fillId="14" borderId="7" xfId="0" applyFont="1" applyFill="1" applyBorder="1" applyAlignment="1">
      <alignment horizontal="left" wrapText="1"/>
    </xf>
    <xf numFmtId="171" fontId="55" fillId="6" borderId="7" xfId="0" applyNumberFormat="1" applyFont="1" applyFill="1" applyBorder="1" applyAlignment="1">
      <alignment horizontal="right"/>
    </xf>
    <xf numFmtId="0" fontId="22" fillId="14" borderId="1" xfId="0" applyFont="1" applyFill="1" applyBorder="1"/>
    <xf numFmtId="0" fontId="22" fillId="14" borderId="1" xfId="0" applyFont="1" applyFill="1" applyBorder="1" applyAlignment="1">
      <alignment horizontal="left" wrapText="1"/>
    </xf>
    <xf numFmtId="171" fontId="2" fillId="6" borderId="8" xfId="0" applyNumberFormat="1" applyFont="1" applyFill="1" applyBorder="1" applyAlignment="1">
      <alignment horizontal="center"/>
    </xf>
    <xf numFmtId="0" fontId="22" fillId="14" borderId="9" xfId="0" applyFont="1" applyFill="1" applyBorder="1" applyAlignment="1">
      <alignment horizontal="left" wrapText="1"/>
    </xf>
    <xf numFmtId="171" fontId="2" fillId="6" borderId="12" xfId="0" applyNumberFormat="1" applyFont="1" applyFill="1" applyBorder="1" applyAlignment="1">
      <alignment horizontal="center"/>
    </xf>
    <xf numFmtId="0" fontId="22" fillId="14" borderId="1" xfId="0" applyFont="1" applyFill="1" applyBorder="1" applyAlignment="1">
      <alignment wrapText="1"/>
    </xf>
    <xf numFmtId="171" fontId="55" fillId="6" borderId="8" xfId="0" applyNumberFormat="1" applyFont="1" applyFill="1" applyBorder="1" applyAlignment="1">
      <alignment horizontal="right"/>
    </xf>
    <xf numFmtId="0" fontId="22" fillId="14" borderId="1" xfId="0" applyFont="1" applyFill="1" applyBorder="1" applyAlignment="1">
      <alignment horizontal="left" vertical="center"/>
    </xf>
    <xf numFmtId="171" fontId="55" fillId="6" borderId="8" xfId="0" applyNumberFormat="1" applyFont="1" applyFill="1" applyBorder="1" applyAlignment="1">
      <alignment horizontal="center" vertical="center"/>
    </xf>
    <xf numFmtId="0" fontId="55" fillId="14" borderId="5" xfId="0" applyFont="1" applyFill="1" applyBorder="1" applyAlignment="1">
      <alignment horizontal="center" vertical="center"/>
    </xf>
    <xf numFmtId="9" fontId="55" fillId="14" borderId="3" xfId="0" applyNumberFormat="1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left" wrapText="1"/>
    </xf>
    <xf numFmtId="171" fontId="55" fillId="6" borderId="7" xfId="0" applyNumberFormat="1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left" vertical="center" wrapText="1"/>
    </xf>
    <xf numFmtId="171" fontId="54" fillId="6" borderId="13" xfId="0" applyNumberFormat="1" applyFont="1" applyFill="1" applyBorder="1" applyAlignment="1">
      <alignment horizontal="center" vertical="center"/>
    </xf>
    <xf numFmtId="0" fontId="113" fillId="33" borderId="8" xfId="0" applyFont="1" applyFill="1" applyBorder="1"/>
    <xf numFmtId="0" fontId="113" fillId="0" borderId="1" xfId="0" applyFont="1" applyBorder="1"/>
    <xf numFmtId="0" fontId="116" fillId="14" borderId="4" xfId="0" applyFont="1" applyFill="1" applyBorder="1" applyAlignment="1">
      <alignment horizontal="center"/>
    </xf>
    <xf numFmtId="9" fontId="116" fillId="14" borderId="10" xfId="0" applyNumberFormat="1" applyFont="1" applyFill="1" applyBorder="1" applyAlignment="1">
      <alignment horizontal="center"/>
    </xf>
    <xf numFmtId="0" fontId="116" fillId="14" borderId="12" xfId="0" applyFont="1" applyFill="1" applyBorder="1" applyAlignment="1">
      <alignment horizontal="center"/>
    </xf>
    <xf numFmtId="9" fontId="116" fillId="14" borderId="1" xfId="0" applyNumberFormat="1" applyFont="1" applyFill="1" applyBorder="1" applyAlignment="1">
      <alignment horizontal="center"/>
    </xf>
    <xf numFmtId="9" fontId="116" fillId="14" borderId="9" xfId="0" applyNumberFormat="1" applyFont="1" applyFill="1" applyBorder="1" applyAlignment="1">
      <alignment horizontal="center"/>
    </xf>
    <xf numFmtId="0" fontId="116" fillId="14" borderId="1" xfId="0" applyFont="1" applyFill="1" applyBorder="1" applyAlignment="1">
      <alignment horizontal="center"/>
    </xf>
    <xf numFmtId="0" fontId="55" fillId="14" borderId="1" xfId="0" applyFont="1" applyFill="1" applyBorder="1" applyAlignment="1">
      <alignment horizontal="center" vertical="center"/>
    </xf>
    <xf numFmtId="9" fontId="55" fillId="14" borderId="1" xfId="0" applyNumberFormat="1" applyFont="1" applyFill="1" applyBorder="1" applyAlignment="1">
      <alignment horizontal="center" vertical="center"/>
    </xf>
    <xf numFmtId="0" fontId="116" fillId="14" borderId="5" xfId="0" applyFont="1" applyFill="1" applyBorder="1" applyAlignment="1">
      <alignment horizontal="center" vertical="center"/>
    </xf>
    <xf numFmtId="0" fontId="117" fillId="33" borderId="8" xfId="0" applyFont="1" applyFill="1" applyBorder="1" applyAlignment="1">
      <alignment horizontal="center"/>
    </xf>
    <xf numFmtId="0" fontId="54" fillId="14" borderId="13" xfId="0" applyFont="1" applyFill="1" applyBorder="1" applyAlignment="1">
      <alignment wrapText="1"/>
    </xf>
    <xf numFmtId="0" fontId="54" fillId="14" borderId="13" xfId="0" applyFont="1" applyFill="1" applyBorder="1"/>
    <xf numFmtId="0" fontId="117" fillId="33" borderId="1" xfId="0" applyFont="1" applyFill="1" applyBorder="1" applyAlignment="1">
      <alignment horizontal="center"/>
    </xf>
    <xf numFmtId="0" fontId="117" fillId="14" borderId="1" xfId="0" applyFont="1" applyFill="1" applyBorder="1" applyAlignment="1">
      <alignment horizontal="center"/>
    </xf>
    <xf numFmtId="0" fontId="54" fillId="14" borderId="1" xfId="0" applyFont="1" applyFill="1" applyBorder="1"/>
    <xf numFmtId="0" fontId="54" fillId="14" borderId="1" xfId="0" applyFont="1" applyFill="1" applyBorder="1" applyAlignment="1">
      <alignment wrapText="1"/>
    </xf>
    <xf numFmtId="0" fontId="55" fillId="33" borderId="1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left" wrapText="1"/>
    </xf>
    <xf numFmtId="0" fontId="117" fillId="34" borderId="1" xfId="0" applyFont="1" applyFill="1" applyBorder="1" applyAlignment="1">
      <alignment horizontal="center" vertical="center"/>
    </xf>
    <xf numFmtId="0" fontId="117" fillId="14" borderId="13" xfId="0" applyFont="1" applyFill="1" applyBorder="1" applyAlignment="1">
      <alignment horizontal="center" vertical="center"/>
    </xf>
    <xf numFmtId="0" fontId="54" fillId="14" borderId="5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66" fontId="1" fillId="6" borderId="0" xfId="0" applyNumberFormat="1" applyFont="1" applyFill="1"/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19" fillId="14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55" fillId="0" borderId="9" xfId="0" applyFont="1" applyBorder="1" applyAlignment="1">
      <alignment horizontal="center"/>
    </xf>
    <xf numFmtId="9" fontId="5" fillId="14" borderId="2" xfId="0" applyNumberFormat="1" applyFont="1" applyFill="1" applyBorder="1" applyAlignment="1">
      <alignment horizontal="center"/>
    </xf>
    <xf numFmtId="0" fontId="6" fillId="0" borderId="0" xfId="0" applyFont="1"/>
    <xf numFmtId="0" fontId="2" fillId="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9" fillId="0" borderId="0" xfId="0" applyFont="1"/>
    <xf numFmtId="0" fontId="6" fillId="14" borderId="1" xfId="0" applyFont="1" applyFill="1" applyBorder="1"/>
    <xf numFmtId="0" fontId="9" fillId="0" borderId="11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/>
    </xf>
    <xf numFmtId="0" fontId="56" fillId="0" borderId="12" xfId="0" applyFont="1" applyBorder="1"/>
    <xf numFmtId="0" fontId="56" fillId="0" borderId="7" xfId="0" applyFont="1" applyBorder="1"/>
    <xf numFmtId="0" fontId="56" fillId="6" borderId="0" xfId="0" applyFont="1" applyFill="1" applyAlignment="1">
      <alignment horizontal="center" vertical="center"/>
    </xf>
    <xf numFmtId="0" fontId="54" fillId="16" borderId="1" xfId="0" applyFont="1" applyFill="1" applyBorder="1"/>
    <xf numFmtId="0" fontId="54" fillId="0" borderId="9" xfId="0" applyFont="1" applyBorder="1"/>
    <xf numFmtId="0" fontId="54" fillId="16" borderId="1" xfId="0" applyFont="1" applyFill="1" applyBorder="1" applyAlignment="1">
      <alignment horizontal="left"/>
    </xf>
    <xf numFmtId="0" fontId="95" fillId="14" borderId="0" xfId="0" applyFont="1" applyFill="1" applyAlignment="1">
      <alignment wrapText="1"/>
    </xf>
    <xf numFmtId="0" fontId="61" fillId="14" borderId="0" xfId="0" applyFont="1" applyFill="1" applyAlignment="1">
      <alignment wrapText="1"/>
    </xf>
    <xf numFmtId="0" fontId="54" fillId="14" borderId="1" xfId="0" applyFont="1" applyFill="1" applyBorder="1" applyAlignment="1">
      <alignment horizontal="right"/>
    </xf>
    <xf numFmtId="0" fontId="55" fillId="14" borderId="1" xfId="0" applyFont="1" applyFill="1" applyBorder="1"/>
    <xf numFmtId="0" fontId="55" fillId="14" borderId="9" xfId="0" applyFont="1" applyFill="1" applyBorder="1"/>
    <xf numFmtId="0" fontId="55" fillId="14" borderId="5" xfId="0" applyFont="1" applyFill="1" applyBorder="1"/>
    <xf numFmtId="0" fontId="55" fillId="14" borderId="8" xfId="0" applyFont="1" applyFill="1" applyBorder="1"/>
    <xf numFmtId="0" fontId="6" fillId="14" borderId="8" xfId="0" applyFont="1" applyFill="1" applyBorder="1"/>
    <xf numFmtId="0" fontId="6" fillId="0" borderId="12" xfId="0" applyFont="1" applyBorder="1"/>
    <xf numFmtId="0" fontId="2" fillId="5" borderId="10" xfId="0" applyFont="1" applyFill="1" applyBorder="1" applyAlignment="1">
      <alignment horizontal="center"/>
    </xf>
    <xf numFmtId="0" fontId="56" fillId="6" borderId="1" xfId="0" applyFont="1" applyFill="1" applyBorder="1" applyAlignment="1">
      <alignment horizontal="center" vertical="center"/>
    </xf>
    <xf numFmtId="0" fontId="54" fillId="16" borderId="5" xfId="0" applyFont="1" applyFill="1" applyBorder="1"/>
    <xf numFmtId="0" fontId="97" fillId="14" borderId="0" xfId="0" applyFont="1" applyFill="1" applyAlignment="1">
      <alignment wrapText="1"/>
    </xf>
    <xf numFmtId="0" fontId="61" fillId="14" borderId="0" xfId="0" applyFont="1" applyFill="1" applyAlignment="1">
      <alignment horizontal="center" wrapText="1"/>
    </xf>
    <xf numFmtId="0" fontId="54" fillId="14" borderId="1" xfId="0" applyFont="1" applyFill="1" applyBorder="1" applyAlignment="1">
      <alignment horizontal="center" wrapText="1"/>
    </xf>
    <xf numFmtId="0" fontId="55" fillId="14" borderId="5" xfId="0" applyFont="1" applyFill="1" applyBorder="1" applyAlignment="1">
      <alignment horizontal="center"/>
    </xf>
    <xf numFmtId="0" fontId="95" fillId="14" borderId="9" xfId="0" applyFont="1" applyFill="1" applyBorder="1" applyAlignment="1">
      <alignment horizontal="center" wrapText="1"/>
    </xf>
    <xf numFmtId="0" fontId="22" fillId="14" borderId="1" xfId="0" applyFont="1" applyFill="1" applyBorder="1" applyAlignment="1">
      <alignment horizontal="center" wrapText="1"/>
    </xf>
    <xf numFmtId="0" fontId="54" fillId="0" borderId="4" xfId="0" applyFont="1" applyBorder="1"/>
    <xf numFmtId="0" fontId="95" fillId="14" borderId="0" xfId="0" applyFont="1" applyFill="1" applyAlignment="1">
      <alignment horizontal="center" wrapText="1"/>
    </xf>
    <xf numFmtId="0" fontId="54" fillId="14" borderId="4" xfId="0" applyFont="1" applyFill="1" applyBorder="1" applyAlignment="1">
      <alignment horizontal="center"/>
    </xf>
    <xf numFmtId="0" fontId="6" fillId="14" borderId="8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/>
    </xf>
    <xf numFmtId="0" fontId="6" fillId="6" borderId="8" xfId="0" applyFont="1" applyFill="1" applyBorder="1"/>
    <xf numFmtId="0" fontId="2" fillId="5" borderId="12" xfId="0" applyFont="1" applyFill="1" applyBorder="1" applyAlignment="1">
      <alignment horizontal="center"/>
    </xf>
    <xf numFmtId="0" fontId="56" fillId="0" borderId="10" xfId="0" applyFont="1" applyBorder="1"/>
    <xf numFmtId="0" fontId="120" fillId="6" borderId="1" xfId="0" applyFont="1" applyFill="1" applyBorder="1" applyAlignment="1">
      <alignment horizontal="center" vertical="center" wrapText="1"/>
    </xf>
    <xf numFmtId="0" fontId="120" fillId="6" borderId="10" xfId="0" applyFont="1" applyFill="1" applyBorder="1" applyAlignment="1">
      <alignment horizontal="center" vertical="center" wrapText="1"/>
    </xf>
    <xf numFmtId="0" fontId="54" fillId="16" borderId="9" xfId="0" applyFont="1" applyFill="1" applyBorder="1" applyAlignment="1">
      <alignment horizontal="left"/>
    </xf>
    <xf numFmtId="0" fontId="54" fillId="0" borderId="5" xfId="0" applyFont="1" applyBorder="1"/>
    <xf numFmtId="0" fontId="95" fillId="14" borderId="0" xfId="0" applyFont="1" applyFill="1" applyAlignment="1">
      <alignment horizontal="center" vertical="center" wrapText="1"/>
    </xf>
    <xf numFmtId="0" fontId="54" fillId="6" borderId="5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2" xfId="0" applyFont="1" applyFill="1" applyBorder="1"/>
    <xf numFmtId="0" fontId="2" fillId="5" borderId="9" xfId="0" applyFont="1" applyFill="1" applyBorder="1" applyAlignment="1">
      <alignment horizontal="center"/>
    </xf>
    <xf numFmtId="0" fontId="122" fillId="6" borderId="9" xfId="0" applyFont="1" applyFill="1" applyBorder="1" applyAlignment="1">
      <alignment vertical="center"/>
    </xf>
    <xf numFmtId="0" fontId="121" fillId="6" borderId="4" xfId="0" applyFont="1" applyFill="1" applyBorder="1" applyAlignment="1">
      <alignment vertical="center" wrapText="1"/>
    </xf>
    <xf numFmtId="0" fontId="121" fillId="6" borderId="5" xfId="0" applyFont="1" applyFill="1" applyBorder="1" applyAlignment="1">
      <alignment vertical="center" wrapText="1"/>
    </xf>
    <xf numFmtId="0" fontId="123" fillId="14" borderId="1" xfId="0" applyFont="1" applyFill="1" applyBorder="1" applyAlignment="1">
      <alignment horizontal="center" wrapText="1"/>
    </xf>
    <xf numFmtId="0" fontId="54" fillId="6" borderId="1" xfId="0" applyFont="1" applyFill="1" applyBorder="1" applyAlignment="1">
      <alignment horizontal="center"/>
    </xf>
    <xf numFmtId="0" fontId="54" fillId="6" borderId="4" xfId="0" applyFont="1" applyFill="1" applyBorder="1"/>
    <xf numFmtId="0" fontId="54" fillId="16" borderId="9" xfId="0" applyFont="1" applyFill="1" applyBorder="1" applyAlignment="1">
      <alignment horizontal="center"/>
    </xf>
    <xf numFmtId="0" fontId="124" fillId="14" borderId="1" xfId="0" applyFont="1" applyFill="1" applyBorder="1" applyAlignment="1">
      <alignment horizontal="center" wrapText="1"/>
    </xf>
    <xf numFmtId="0" fontId="125" fillId="14" borderId="1" xfId="0" applyFont="1" applyFill="1" applyBorder="1" applyAlignment="1">
      <alignment horizontal="center" wrapText="1"/>
    </xf>
    <xf numFmtId="0" fontId="40" fillId="14" borderId="0" xfId="0" applyFont="1" applyFill="1" applyAlignment="1">
      <alignment horizontal="center" wrapText="1"/>
    </xf>
    <xf numFmtId="0" fontId="54" fillId="14" borderId="12" xfId="0" applyFont="1" applyFill="1" applyBorder="1" applyAlignment="1">
      <alignment horizontal="center"/>
    </xf>
    <xf numFmtId="0" fontId="54" fillId="0" borderId="12" xfId="0" applyFont="1" applyBorder="1"/>
    <xf numFmtId="0" fontId="6" fillId="6" borderId="1" xfId="0" applyFont="1" applyFill="1" applyBorder="1"/>
    <xf numFmtId="0" fontId="6" fillId="0" borderId="10" xfId="0" applyFont="1" applyBorder="1"/>
    <xf numFmtId="0" fontId="126" fillId="0" borderId="1" xfId="0" applyFont="1" applyBorder="1" applyAlignment="1">
      <alignment horizontal="center"/>
    </xf>
    <xf numFmtId="0" fontId="54" fillId="14" borderId="8" xfId="0" applyFont="1" applyFill="1" applyBorder="1" applyAlignment="1">
      <alignment horizontal="center"/>
    </xf>
    <xf numFmtId="0" fontId="54" fillId="14" borderId="10" xfId="0" applyFont="1" applyFill="1" applyBorder="1" applyAlignment="1">
      <alignment horizontal="center"/>
    </xf>
    <xf numFmtId="0" fontId="40" fillId="14" borderId="1" xfId="0" applyFont="1" applyFill="1" applyBorder="1" applyAlignment="1">
      <alignment horizontal="center" wrapText="1"/>
    </xf>
    <xf numFmtId="0" fontId="54" fillId="6" borderId="1" xfId="0" applyFont="1" applyFill="1" applyBorder="1"/>
    <xf numFmtId="0" fontId="124" fillId="14" borderId="12" xfId="0" applyFont="1" applyFill="1" applyBorder="1" applyAlignment="1">
      <alignment horizontal="center" wrapText="1"/>
    </xf>
    <xf numFmtId="0" fontId="40" fillId="14" borderId="0" xfId="0" applyFont="1" applyFill="1" applyAlignment="1">
      <alignment horizontal="center"/>
    </xf>
    <xf numFmtId="0" fontId="22" fillId="14" borderId="0" xfId="0" applyFont="1" applyFill="1" applyAlignment="1">
      <alignment horizontal="center" vertical="center"/>
    </xf>
    <xf numFmtId="0" fontId="109" fillId="14" borderId="0" xfId="0" applyFont="1" applyFill="1" applyAlignment="1">
      <alignment horizontal="center"/>
    </xf>
    <xf numFmtId="0" fontId="22" fillId="6" borderId="1" xfId="0" applyFont="1" applyFill="1" applyBorder="1" applyAlignment="1">
      <alignment wrapText="1"/>
    </xf>
    <xf numFmtId="0" fontId="54" fillId="16" borderId="12" xfId="0" applyFont="1" applyFill="1" applyBorder="1" applyAlignment="1">
      <alignment horizontal="center"/>
    </xf>
    <xf numFmtId="0" fontId="35" fillId="14" borderId="0" xfId="0" applyFont="1" applyFill="1" applyAlignment="1">
      <alignment horizontal="center"/>
    </xf>
    <xf numFmtId="0" fontId="4" fillId="16" borderId="9" xfId="0" applyFont="1" applyFill="1" applyBorder="1" applyAlignment="1">
      <alignment horizontal="center"/>
    </xf>
    <xf numFmtId="0" fontId="40" fillId="14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9" fillId="14" borderId="9" xfId="0" applyFont="1" applyFill="1" applyBorder="1" applyAlignment="1">
      <alignment horizontal="center"/>
    </xf>
    <xf numFmtId="0" fontId="129" fillId="14" borderId="1" xfId="0" applyFont="1" applyFill="1" applyBorder="1" applyAlignment="1">
      <alignment horizontal="center"/>
    </xf>
    <xf numFmtId="0" fontId="54" fillId="14" borderId="9" xfId="0" applyFont="1" applyFill="1" applyBorder="1" applyAlignment="1">
      <alignment horizontal="center" vertical="center"/>
    </xf>
    <xf numFmtId="0" fontId="109" fillId="14" borderId="1" xfId="0" applyFont="1" applyFill="1" applyBorder="1" applyAlignment="1">
      <alignment horizontal="center" wrapText="1"/>
    </xf>
    <xf numFmtId="0" fontId="109" fillId="14" borderId="8" xfId="0" applyFont="1" applyFill="1" applyBorder="1" applyAlignment="1">
      <alignment horizontal="center"/>
    </xf>
    <xf numFmtId="0" fontId="22" fillId="14" borderId="12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/>
    </xf>
    <xf numFmtId="0" fontId="6" fillId="6" borderId="5" xfId="0" applyFont="1" applyFill="1" applyBorder="1"/>
    <xf numFmtId="0" fontId="6" fillId="0" borderId="9" xfId="0" applyFont="1" applyBorder="1"/>
    <xf numFmtId="0" fontId="35" fillId="0" borderId="5" xfId="0" applyFont="1" applyBorder="1" applyAlignment="1">
      <alignment horizontal="right"/>
    </xf>
    <xf numFmtId="0" fontId="35" fillId="0" borderId="1" xfId="0" applyFont="1" applyBorder="1" applyAlignment="1">
      <alignment horizontal="right"/>
    </xf>
    <xf numFmtId="0" fontId="9" fillId="13" borderId="0" xfId="0" applyFont="1" applyFill="1" applyAlignment="1">
      <alignment horizontal="center"/>
    </xf>
    <xf numFmtId="0" fontId="2" fillId="6" borderId="0" xfId="0" applyFont="1" applyFill="1"/>
    <xf numFmtId="0" fontId="69" fillId="6" borderId="4" xfId="0" applyFont="1" applyFill="1" applyBorder="1" applyAlignment="1">
      <alignment vertical="center"/>
    </xf>
    <xf numFmtId="0" fontId="127" fillId="6" borderId="4" xfId="0" applyFont="1" applyFill="1" applyBorder="1" applyAlignment="1">
      <alignment vertical="center"/>
    </xf>
    <xf numFmtId="0" fontId="127" fillId="6" borderId="5" xfId="0" applyFont="1" applyFill="1" applyBorder="1" applyAlignment="1">
      <alignment vertical="center"/>
    </xf>
    <xf numFmtId="0" fontId="56" fillId="0" borderId="10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/>
    </xf>
    <xf numFmtId="0" fontId="109" fillId="14" borderId="4" xfId="0" applyFont="1" applyFill="1" applyBorder="1" applyAlignment="1">
      <alignment horizontal="center"/>
    </xf>
    <xf numFmtId="0" fontId="6" fillId="0" borderId="5" xfId="0" applyFont="1" applyBorder="1"/>
    <xf numFmtId="0" fontId="130" fillId="0" borderId="1" xfId="0" applyFont="1" applyBorder="1"/>
    <xf numFmtId="0" fontId="9" fillId="13" borderId="0" xfId="0" applyFont="1" applyFill="1" applyAlignment="1">
      <alignment horizontal="left"/>
    </xf>
    <xf numFmtId="0" fontId="2" fillId="5" borderId="4" xfId="0" applyFont="1" applyFill="1" applyBorder="1" applyAlignment="1">
      <alignment horizontal="center" vertical="center"/>
    </xf>
    <xf numFmtId="0" fontId="54" fillId="16" borderId="7" xfId="0" applyFont="1" applyFill="1" applyBorder="1"/>
    <xf numFmtId="0" fontId="54" fillId="0" borderId="7" xfId="0" applyFont="1" applyBorder="1"/>
    <xf numFmtId="0" fontId="109" fillId="6" borderId="1" xfId="0" applyFont="1" applyFill="1" applyBorder="1" applyAlignment="1">
      <alignment horizontal="center"/>
    </xf>
    <xf numFmtId="0" fontId="22" fillId="0" borderId="0" xfId="0" applyFont="1"/>
    <xf numFmtId="0" fontId="109" fillId="0" borderId="1" xfId="0" applyFont="1" applyBorder="1" applyAlignment="1">
      <alignment horizontal="center"/>
    </xf>
    <xf numFmtId="0" fontId="109" fillId="6" borderId="4" xfId="0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/>
    </xf>
    <xf numFmtId="0" fontId="109" fillId="6" borderId="9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1" fillId="37" borderId="1" xfId="0" applyFont="1" applyFill="1" applyBorder="1"/>
    <xf numFmtId="0" fontId="59" fillId="37" borderId="1" xfId="0" applyFont="1" applyFill="1" applyBorder="1" applyAlignment="1">
      <alignment horizontal="left"/>
    </xf>
    <xf numFmtId="0" fontId="131" fillId="0" borderId="1" xfId="0" applyFont="1" applyBorder="1" applyAlignment="1">
      <alignment horizontal="left" wrapText="1"/>
    </xf>
    <xf numFmtId="171" fontId="77" fillId="6" borderId="1" xfId="0" applyNumberFormat="1" applyFont="1" applyFill="1" applyBorder="1" applyAlignment="1">
      <alignment horizontal="left"/>
    </xf>
    <xf numFmtId="0" fontId="131" fillId="0" borderId="1" xfId="0" applyFont="1" applyBorder="1"/>
    <xf numFmtId="0" fontId="0" fillId="16" borderId="5" xfId="0" applyFill="1" applyBorder="1"/>
    <xf numFmtId="0" fontId="0" fillId="30" borderId="1" xfId="0" applyFill="1" applyBorder="1" applyAlignment="1">
      <alignment horizontal="left"/>
    </xf>
    <xf numFmtId="0" fontId="0" fillId="30" borderId="9" xfId="0" applyFill="1" applyBorder="1" applyAlignment="1">
      <alignment horizontal="center"/>
    </xf>
    <xf numFmtId="0" fontId="109" fillId="14" borderId="5" xfId="0" applyFont="1" applyFill="1" applyBorder="1" applyAlignment="1">
      <alignment horizontal="center"/>
    </xf>
    <xf numFmtId="9" fontId="5" fillId="14" borderId="7" xfId="0" applyNumberFormat="1" applyFont="1" applyFill="1" applyBorder="1" applyAlignment="1">
      <alignment horizontal="center"/>
    </xf>
    <xf numFmtId="171" fontId="59" fillId="14" borderId="5" xfId="0" applyNumberFormat="1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9" fontId="65" fillId="0" borderId="5" xfId="0" applyNumberFormat="1" applyFont="1" applyBorder="1" applyAlignment="1">
      <alignment horizontal="center"/>
    </xf>
    <xf numFmtId="171" fontId="60" fillId="0" borderId="3" xfId="0" applyNumberFormat="1" applyFont="1" applyBorder="1"/>
    <xf numFmtId="9" fontId="60" fillId="0" borderId="8" xfId="0" applyNumberFormat="1" applyFont="1" applyBorder="1" applyAlignment="1">
      <alignment horizontal="center"/>
    </xf>
    <xf numFmtId="167" fontId="60" fillId="0" borderId="8" xfId="0" applyNumberFormat="1" applyFont="1" applyBorder="1" applyAlignment="1">
      <alignment horizontal="right"/>
    </xf>
    <xf numFmtId="167" fontId="60" fillId="14" borderId="8" xfId="0" applyNumberFormat="1" applyFont="1" applyFill="1" applyBorder="1" applyAlignment="1">
      <alignment horizontal="right"/>
    </xf>
    <xf numFmtId="0" fontId="57" fillId="9" borderId="8" xfId="0" applyFont="1" applyFill="1" applyBorder="1" applyAlignment="1">
      <alignment horizontal="center"/>
    </xf>
    <xf numFmtId="171" fontId="3" fillId="6" borderId="9" xfId="0" applyNumberFormat="1" applyFont="1" applyFill="1" applyBorder="1" applyAlignment="1">
      <alignment horizontal="center"/>
    </xf>
    <xf numFmtId="0" fontId="66" fillId="14" borderId="5" xfId="0" applyFont="1" applyFill="1" applyBorder="1" applyAlignment="1">
      <alignment horizontal="left"/>
    </xf>
    <xf numFmtId="3" fontId="57" fillId="0" borderId="5" xfId="0" applyNumberFormat="1" applyFont="1" applyBorder="1"/>
    <xf numFmtId="0" fontId="57" fillId="0" borderId="5" xfId="0" applyFont="1" applyBorder="1"/>
    <xf numFmtId="0" fontId="4" fillId="14" borderId="1" xfId="0" applyFont="1" applyFill="1" applyBorder="1" applyAlignment="1">
      <alignment horizontal="center" vertical="center" wrapText="1"/>
    </xf>
    <xf numFmtId="171" fontId="59" fillId="6" borderId="11" xfId="0" applyNumberFormat="1" applyFont="1" applyFill="1" applyBorder="1"/>
    <xf numFmtId="3" fontId="85" fillId="6" borderId="1" xfId="0" applyNumberFormat="1" applyFont="1" applyFill="1" applyBorder="1" applyAlignment="1">
      <alignment horizontal="center" vertical="center"/>
    </xf>
    <xf numFmtId="171" fontId="60" fillId="6" borderId="1" xfId="0" applyNumberFormat="1" applyFont="1" applyFill="1" applyBorder="1" applyAlignment="1">
      <alignment wrapText="1"/>
    </xf>
    <xf numFmtId="167" fontId="3" fillId="5" borderId="9" xfId="0" applyNumberFormat="1" applyFont="1" applyFill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56" fillId="14" borderId="5" xfId="0" applyFont="1" applyFill="1" applyBorder="1" applyAlignment="1">
      <alignment horizontal="center" vertical="center"/>
    </xf>
    <xf numFmtId="167" fontId="56" fillId="14" borderId="5" xfId="0" applyNumberFormat="1" applyFont="1" applyFill="1" applyBorder="1" applyAlignment="1">
      <alignment horizontal="center" vertical="center"/>
    </xf>
    <xf numFmtId="3" fontId="57" fillId="0" borderId="5" xfId="0" applyNumberFormat="1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60" fillId="14" borderId="1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/>
    </xf>
    <xf numFmtId="0" fontId="0" fillId="6" borderId="17" xfId="0" applyFill="1" applyBorder="1" applyAlignment="1">
      <alignment horizontal="left"/>
    </xf>
    <xf numFmtId="3" fontId="0" fillId="6" borderId="17" xfId="0" applyNumberFormat="1" applyFill="1" applyBorder="1" applyAlignment="1">
      <alignment horizontal="right"/>
    </xf>
    <xf numFmtId="0" fontId="0" fillId="6" borderId="19" xfId="0" applyFill="1" applyBorder="1" applyAlignment="1">
      <alignment horizontal="left"/>
    </xf>
    <xf numFmtId="3" fontId="0" fillId="6" borderId="19" xfId="0" applyNumberFormat="1" applyFill="1" applyBorder="1" applyAlignment="1">
      <alignment horizontal="right"/>
    </xf>
    <xf numFmtId="9" fontId="59" fillId="6" borderId="14" xfId="0" applyNumberFormat="1" applyFont="1" applyFill="1" applyBorder="1" applyAlignment="1">
      <alignment horizontal="center"/>
    </xf>
    <xf numFmtId="9" fontId="5" fillId="16" borderId="8" xfId="0" applyNumberFormat="1" applyFont="1" applyFill="1" applyBorder="1" applyAlignment="1">
      <alignment horizontal="center"/>
    </xf>
    <xf numFmtId="9" fontId="65" fillId="16" borderId="8" xfId="0" applyNumberFormat="1" applyFont="1" applyFill="1" applyBorder="1" applyAlignment="1">
      <alignment horizontal="center"/>
    </xf>
    <xf numFmtId="9" fontId="5" fillId="16" borderId="7" xfId="0" applyNumberFormat="1" applyFont="1" applyFill="1" applyBorder="1" applyAlignment="1">
      <alignment horizontal="center"/>
    </xf>
    <xf numFmtId="171" fontId="60" fillId="6" borderId="14" xfId="0" applyNumberFormat="1" applyFont="1" applyFill="1" applyBorder="1"/>
    <xf numFmtId="0" fontId="56" fillId="6" borderId="8" xfId="0" applyFont="1" applyFill="1" applyBorder="1" applyAlignment="1">
      <alignment horizontal="center" vertical="center"/>
    </xf>
    <xf numFmtId="9" fontId="59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3" fillId="0" borderId="5" xfId="0" applyFont="1" applyBorder="1" applyAlignment="1">
      <alignment horizontal="center" vertical="center"/>
    </xf>
    <xf numFmtId="0" fontId="93" fillId="0" borderId="8" xfId="0" applyFont="1" applyBorder="1" applyAlignment="1">
      <alignment horizontal="center"/>
    </xf>
    <xf numFmtId="0" fontId="4" fillId="14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 wrapText="1"/>
    </xf>
    <xf numFmtId="0" fontId="57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0" fontId="22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54" fillId="16" borderId="7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 wrapText="1"/>
    </xf>
    <xf numFmtId="167" fontId="59" fillId="6" borderId="5" xfId="0" applyNumberFormat="1" applyFont="1" applyFill="1" applyBorder="1" applyAlignment="1">
      <alignment horizontal="left"/>
    </xf>
    <xf numFmtId="0" fontId="4" fillId="14" borderId="7" xfId="0" applyFont="1" applyFill="1" applyBorder="1" applyAlignment="1">
      <alignment horizontal="center" vertical="center"/>
    </xf>
    <xf numFmtId="171" fontId="60" fillId="6" borderId="9" xfId="0" applyNumberFormat="1" applyFont="1" applyFill="1" applyBorder="1"/>
    <xf numFmtId="171" fontId="60" fillId="6" borderId="11" xfId="0" applyNumberFormat="1" applyFont="1" applyFill="1" applyBorder="1"/>
    <xf numFmtId="0" fontId="9" fillId="6" borderId="5" xfId="0" applyFont="1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171" fontId="59" fillId="6" borderId="5" xfId="0" applyNumberFormat="1" applyFont="1" applyFill="1" applyBorder="1" applyAlignment="1">
      <alignment horizontal="left"/>
    </xf>
    <xf numFmtId="9" fontId="56" fillId="14" borderId="7" xfId="0" applyNumberFormat="1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left"/>
    </xf>
    <xf numFmtId="0" fontId="59" fillId="6" borderId="14" xfId="0" applyFont="1" applyFill="1" applyBorder="1" applyAlignment="1">
      <alignment horizontal="center" vertical="center"/>
    </xf>
    <xf numFmtId="3" fontId="57" fillId="7" borderId="14" xfId="0" applyNumberFormat="1" applyFont="1" applyFill="1" applyBorder="1" applyAlignment="1">
      <alignment horizontal="center" vertical="center"/>
    </xf>
    <xf numFmtId="0" fontId="59" fillId="6" borderId="3" xfId="0" applyFont="1" applyFill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167" fontId="59" fillId="6" borderId="1" xfId="0" applyNumberFormat="1" applyFont="1" applyFill="1" applyBorder="1" applyAlignment="1">
      <alignment horizontal="center" vertical="center"/>
    </xf>
    <xf numFmtId="167" fontId="59" fillId="6" borderId="3" xfId="0" applyNumberFormat="1" applyFont="1" applyFill="1" applyBorder="1" applyAlignment="1">
      <alignment horizontal="center" vertical="center"/>
    </xf>
    <xf numFmtId="167" fontId="59" fillId="6" borderId="5" xfId="0" applyNumberFormat="1" applyFont="1" applyFill="1" applyBorder="1" applyAlignment="1">
      <alignment horizontal="center" vertical="center"/>
    </xf>
    <xf numFmtId="0" fontId="57" fillId="15" borderId="3" xfId="0" applyFont="1" applyFill="1" applyBorder="1" applyAlignment="1">
      <alignment horizontal="left"/>
    </xf>
    <xf numFmtId="0" fontId="57" fillId="15" borderId="5" xfId="0" applyFont="1" applyFill="1" applyBorder="1" applyAlignment="1">
      <alignment horizontal="left"/>
    </xf>
    <xf numFmtId="0" fontId="57" fillId="15" borderId="1" xfId="0" applyFont="1" applyFill="1" applyBorder="1" applyAlignment="1">
      <alignment horizontal="left"/>
    </xf>
    <xf numFmtId="0" fontId="57" fillId="15" borderId="3" xfId="0" applyFont="1" applyFill="1" applyBorder="1" applyAlignment="1">
      <alignment horizontal="center" vertical="center"/>
    </xf>
    <xf numFmtId="0" fontId="57" fillId="15" borderId="1" xfId="0" applyFont="1" applyFill="1" applyBorder="1" applyAlignment="1">
      <alignment horizontal="center" vertical="center"/>
    </xf>
    <xf numFmtId="169" fontId="5" fillId="12" borderId="1" xfId="0" applyNumberFormat="1" applyFont="1" applyFill="1" applyBorder="1" applyAlignment="1">
      <alignment horizontal="right"/>
    </xf>
    <xf numFmtId="169" fontId="5" fillId="38" borderId="1" xfId="0" applyNumberFormat="1" applyFont="1" applyFill="1" applyBorder="1" applyAlignment="1">
      <alignment horizontal="right"/>
    </xf>
    <xf numFmtId="3" fontId="5" fillId="6" borderId="2" xfId="0" applyNumberFormat="1" applyFont="1" applyFill="1" applyBorder="1" applyAlignment="1">
      <alignment horizontal="center"/>
    </xf>
    <xf numFmtId="167" fontId="5" fillId="11" borderId="11" xfId="0" applyNumberFormat="1" applyFont="1" applyFill="1" applyBorder="1" applyAlignment="1">
      <alignment horizontal="right"/>
    </xf>
    <xf numFmtId="0" fontId="41" fillId="14" borderId="0" xfId="0" applyFont="1" applyFill="1" applyAlignment="1">
      <alignment horizontal="center" vertical="center"/>
    </xf>
    <xf numFmtId="9" fontId="133" fillId="14" borderId="1" xfId="0" applyNumberFormat="1" applyFont="1" applyFill="1" applyBorder="1" applyAlignment="1">
      <alignment horizontal="center"/>
    </xf>
    <xf numFmtId="9" fontId="9" fillId="14" borderId="5" xfId="0" applyNumberFormat="1" applyFont="1" applyFill="1" applyBorder="1" applyAlignment="1">
      <alignment horizontal="center"/>
    </xf>
    <xf numFmtId="9" fontId="56" fillId="14" borderId="9" xfId="0" applyNumberFormat="1" applyFont="1" applyFill="1" applyBorder="1" applyAlignment="1">
      <alignment horizontal="center"/>
    </xf>
    <xf numFmtId="9" fontId="56" fillId="14" borderId="8" xfId="0" applyNumberFormat="1" applyFont="1" applyFill="1" applyBorder="1" applyAlignment="1">
      <alignment horizontal="center"/>
    </xf>
    <xf numFmtId="0" fontId="54" fillId="14" borderId="5" xfId="0" applyFont="1" applyFill="1" applyBorder="1" applyAlignment="1">
      <alignment horizontal="center" vertical="center"/>
    </xf>
    <xf numFmtId="9" fontId="56" fillId="14" borderId="4" xfId="0" applyNumberFormat="1" applyFont="1" applyFill="1" applyBorder="1" applyAlignment="1">
      <alignment horizontal="center"/>
    </xf>
    <xf numFmtId="0" fontId="59" fillId="0" borderId="7" xfId="0" applyFont="1" applyBorder="1" applyAlignment="1">
      <alignment horizontal="center"/>
    </xf>
    <xf numFmtId="167" fontId="59" fillId="6" borderId="5" xfId="0" applyNumberFormat="1" applyFont="1" applyFill="1" applyBorder="1" applyAlignment="1">
      <alignment horizontal="right"/>
    </xf>
    <xf numFmtId="0" fontId="59" fillId="0" borderId="5" xfId="0" applyFont="1" applyBorder="1" applyAlignment="1">
      <alignment horizontal="left"/>
    </xf>
    <xf numFmtId="0" fontId="54" fillId="14" borderId="1" xfId="0" applyFont="1" applyFill="1" applyBorder="1" applyAlignment="1">
      <alignment horizontal="center" vertical="center" wrapText="1"/>
    </xf>
    <xf numFmtId="0" fontId="54" fillId="14" borderId="5" xfId="0" applyFont="1" applyFill="1" applyBorder="1" applyAlignment="1">
      <alignment horizontal="center" vertical="center" wrapText="1"/>
    </xf>
    <xf numFmtId="0" fontId="54" fillId="14" borderId="7" xfId="0" applyFont="1" applyFill="1" applyBorder="1" applyAlignment="1">
      <alignment horizontal="center" vertical="center"/>
    </xf>
    <xf numFmtId="0" fontId="54" fillId="14" borderId="12" xfId="0" applyFont="1" applyFill="1" applyBorder="1" applyAlignment="1">
      <alignment horizontal="center" vertical="center"/>
    </xf>
    <xf numFmtId="0" fontId="54" fillId="14" borderId="9" xfId="0" applyFont="1" applyFill="1" applyBorder="1" applyAlignment="1">
      <alignment horizontal="center" vertical="center" wrapText="1"/>
    </xf>
    <xf numFmtId="9" fontId="56" fillId="14" borderId="12" xfId="0" applyNumberFormat="1" applyFont="1" applyFill="1" applyBorder="1" applyAlignment="1">
      <alignment horizontal="center"/>
    </xf>
    <xf numFmtId="171" fontId="59" fillId="6" borderId="6" xfId="0" applyNumberFormat="1" applyFont="1" applyFill="1" applyBorder="1"/>
    <xf numFmtId="9" fontId="77" fillId="6" borderId="1" xfId="0" applyNumberFormat="1" applyFont="1" applyFill="1" applyBorder="1" applyAlignment="1">
      <alignment horizontal="center"/>
    </xf>
    <xf numFmtId="9" fontId="89" fillId="6" borderId="1" xfId="0" applyNumberFormat="1" applyFont="1" applyFill="1" applyBorder="1" applyAlignment="1">
      <alignment horizontal="center"/>
    </xf>
    <xf numFmtId="9" fontId="60" fillId="14" borderId="13" xfId="0" applyNumberFormat="1" applyFont="1" applyFill="1" applyBorder="1" applyAlignment="1">
      <alignment horizontal="center"/>
    </xf>
    <xf numFmtId="0" fontId="77" fillId="37" borderId="1" xfId="0" applyFont="1" applyFill="1" applyBorder="1" applyAlignment="1">
      <alignment horizontal="left"/>
    </xf>
    <xf numFmtId="0" fontId="56" fillId="6" borderId="7" xfId="0" applyFont="1" applyFill="1" applyBorder="1" applyAlignment="1">
      <alignment horizontal="center" vertical="center"/>
    </xf>
    <xf numFmtId="0" fontId="54" fillId="6" borderId="11" xfId="0" applyFont="1" applyFill="1" applyBorder="1" applyAlignment="1">
      <alignment horizontal="left"/>
    </xf>
    <xf numFmtId="0" fontId="54" fillId="6" borderId="11" xfId="0" applyFont="1" applyFill="1" applyBorder="1" applyAlignment="1">
      <alignment horizontal="center"/>
    </xf>
    <xf numFmtId="0" fontId="56" fillId="6" borderId="5" xfId="0" applyFont="1" applyFill="1" applyBorder="1" applyAlignment="1">
      <alignment horizontal="center"/>
    </xf>
    <xf numFmtId="0" fontId="54" fillId="6" borderId="5" xfId="0" applyFont="1" applyFill="1" applyBorder="1" applyAlignment="1">
      <alignment horizontal="left"/>
    </xf>
    <xf numFmtId="9" fontId="77" fillId="6" borderId="6" xfId="0" applyNumberFormat="1" applyFont="1" applyFill="1" applyBorder="1" applyAlignment="1">
      <alignment horizontal="center"/>
    </xf>
    <xf numFmtId="9" fontId="77" fillId="6" borderId="1" xfId="0" applyNumberFormat="1" applyFont="1" applyFill="1" applyBorder="1" applyAlignment="1">
      <alignment horizontal="center" vertical="center"/>
    </xf>
    <xf numFmtId="9" fontId="107" fillId="6" borderId="6" xfId="0" applyNumberFormat="1" applyFont="1" applyFill="1" applyBorder="1" applyAlignment="1">
      <alignment horizontal="center"/>
    </xf>
    <xf numFmtId="9" fontId="105" fillId="6" borderId="1" xfId="0" applyNumberFormat="1" applyFont="1" applyFill="1" applyBorder="1" applyAlignment="1">
      <alignment horizontal="center"/>
    </xf>
    <xf numFmtId="9" fontId="107" fillId="6" borderId="1" xfId="0" applyNumberFormat="1" applyFont="1" applyFill="1" applyBorder="1" applyAlignment="1">
      <alignment horizontal="center"/>
    </xf>
    <xf numFmtId="3" fontId="56" fillId="0" borderId="4" xfId="0" applyNumberFormat="1" applyFont="1" applyBorder="1"/>
    <xf numFmtId="9" fontId="3" fillId="6" borderId="9" xfId="0" applyNumberFormat="1" applyFont="1" applyFill="1" applyBorder="1" applyAlignment="1">
      <alignment horizontal="center"/>
    </xf>
    <xf numFmtId="9" fontId="85" fillId="6" borderId="9" xfId="0" applyNumberFormat="1" applyFont="1" applyFill="1" applyBorder="1" applyAlignment="1">
      <alignment horizontal="center"/>
    </xf>
    <xf numFmtId="171" fontId="0" fillId="0" borderId="9" xfId="0" applyNumberForma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4" fontId="38" fillId="24" borderId="19" xfId="0" applyNumberFormat="1" applyFont="1" applyFill="1" applyBorder="1" applyAlignment="1">
      <alignment wrapText="1"/>
    </xf>
    <xf numFmtId="0" fontId="38" fillId="24" borderId="16" xfId="0" applyFont="1" applyFill="1" applyBorder="1" applyAlignment="1">
      <alignment horizontal="right" wrapText="1"/>
    </xf>
    <xf numFmtId="0" fontId="38" fillId="24" borderId="19" xfId="0" applyFont="1" applyFill="1" applyBorder="1" applyAlignment="1">
      <alignment horizontal="right" wrapText="1"/>
    </xf>
    <xf numFmtId="0" fontId="39" fillId="24" borderId="37" xfId="0" applyFont="1" applyFill="1" applyBorder="1" applyAlignment="1">
      <alignment wrapText="1"/>
    </xf>
    <xf numFmtId="9" fontId="0" fillId="14" borderId="0" xfId="0" applyNumberFormat="1" applyFill="1"/>
    <xf numFmtId="0" fontId="54" fillId="6" borderId="5" xfId="0" applyFont="1" applyFill="1" applyBorder="1" applyAlignment="1">
      <alignment horizontal="center" vertical="center"/>
    </xf>
    <xf numFmtId="9" fontId="56" fillId="6" borderId="8" xfId="0" applyNumberFormat="1" applyFont="1" applyFill="1" applyBorder="1" applyAlignment="1">
      <alignment horizontal="center"/>
    </xf>
    <xf numFmtId="168" fontId="57" fillId="8" borderId="1" xfId="0" applyNumberFormat="1" applyFont="1" applyFill="1" applyBorder="1" applyAlignment="1">
      <alignment horizontal="right"/>
    </xf>
    <xf numFmtId="3" fontId="56" fillId="8" borderId="1" xfId="0" applyNumberFormat="1" applyFont="1" applyFill="1" applyBorder="1"/>
    <xf numFmtId="0" fontId="0" fillId="6" borderId="4" xfId="0" applyFill="1" applyBorder="1" applyAlignment="1">
      <alignment horizontal="center"/>
    </xf>
    <xf numFmtId="0" fontId="4" fillId="16" borderId="7" xfId="0" applyFont="1" applyFill="1" applyBorder="1" applyAlignment="1">
      <alignment horizontal="center" vertical="center" wrapText="1"/>
    </xf>
    <xf numFmtId="0" fontId="54" fillId="16" borderId="5" xfId="0" applyFont="1" applyFill="1" applyBorder="1" applyAlignment="1">
      <alignment horizontal="center" vertical="center"/>
    </xf>
    <xf numFmtId="0" fontId="75" fillId="14" borderId="1" xfId="0" applyFont="1" applyFill="1" applyBorder="1" applyAlignment="1">
      <alignment wrapText="1"/>
    </xf>
    <xf numFmtId="0" fontId="38" fillId="14" borderId="1" xfId="0" applyFont="1" applyFill="1" applyBorder="1" applyAlignment="1">
      <alignment wrapText="1"/>
    </xf>
    <xf numFmtId="170" fontId="39" fillId="14" borderId="1" xfId="0" applyNumberFormat="1" applyFont="1" applyFill="1" applyBorder="1" applyAlignment="1">
      <alignment wrapText="1"/>
    </xf>
    <xf numFmtId="0" fontId="39" fillId="14" borderId="1" xfId="0" applyFont="1" applyFill="1" applyBorder="1" applyAlignment="1">
      <alignment wrapText="1"/>
    </xf>
    <xf numFmtId="0" fontId="22" fillId="16" borderId="1" xfId="0" applyFont="1" applyFill="1" applyBorder="1" applyAlignment="1">
      <alignment horizontal="center" vertical="center"/>
    </xf>
    <xf numFmtId="167" fontId="59" fillId="6" borderId="9" xfId="0" applyNumberFormat="1" applyFont="1" applyFill="1" applyBorder="1" applyAlignment="1">
      <alignment horizontal="left"/>
    </xf>
    <xf numFmtId="167" fontId="59" fillId="6" borderId="9" xfId="0" applyNumberFormat="1" applyFont="1" applyFill="1" applyBorder="1" applyAlignment="1">
      <alignment horizontal="center" vertical="center"/>
    </xf>
    <xf numFmtId="171" fontId="57" fillId="9" borderId="5" xfId="0" applyNumberFormat="1" applyFont="1" applyFill="1" applyBorder="1" applyAlignment="1">
      <alignment horizontal="right"/>
    </xf>
    <xf numFmtId="167" fontId="57" fillId="9" borderId="5" xfId="0" applyNumberFormat="1" applyFont="1" applyFill="1" applyBorder="1" applyAlignment="1">
      <alignment horizontal="right"/>
    </xf>
    <xf numFmtId="0" fontId="57" fillId="9" borderId="5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left"/>
    </xf>
    <xf numFmtId="167" fontId="5" fillId="35" borderId="3" xfId="0" applyNumberFormat="1" applyFont="1" applyFill="1" applyBorder="1" applyAlignment="1">
      <alignment horizontal="right"/>
    </xf>
    <xf numFmtId="9" fontId="9" fillId="16" borderId="7" xfId="0" applyNumberFormat="1" applyFont="1" applyFill="1" applyBorder="1" applyAlignment="1">
      <alignment horizontal="center"/>
    </xf>
    <xf numFmtId="0" fontId="83" fillId="30" borderId="0" xfId="0" applyFont="1" applyFill="1"/>
    <xf numFmtId="0" fontId="85" fillId="6" borderId="1" xfId="0" applyFont="1" applyFill="1" applyBorder="1" applyAlignment="1">
      <alignment horizontal="center"/>
    </xf>
    <xf numFmtId="0" fontId="85" fillId="6" borderId="8" xfId="0" applyFont="1" applyFill="1" applyBorder="1" applyAlignment="1">
      <alignment horizontal="center"/>
    </xf>
    <xf numFmtId="9" fontId="4" fillId="16" borderId="8" xfId="0" applyNumberFormat="1" applyFont="1" applyFill="1" applyBorder="1" applyAlignment="1">
      <alignment horizontal="center"/>
    </xf>
    <xf numFmtId="0" fontId="60" fillId="6" borderId="5" xfId="0" applyFont="1" applyFill="1" applyBorder="1" applyAlignment="1">
      <alignment horizontal="center" vertical="center"/>
    </xf>
    <xf numFmtId="171" fontId="0" fillId="6" borderId="6" xfId="0" applyNumberFormat="1" applyFill="1" applyBorder="1" applyAlignment="1">
      <alignment horizontal="center" vertical="center"/>
    </xf>
    <xf numFmtId="0" fontId="23" fillId="0" borderId="0" xfId="0" applyFont="1"/>
    <xf numFmtId="0" fontId="3" fillId="6" borderId="7" xfId="0" applyFont="1" applyFill="1" applyBorder="1" applyAlignment="1">
      <alignment horizontal="left"/>
    </xf>
    <xf numFmtId="9" fontId="15" fillId="6" borderId="1" xfId="0" applyNumberFormat="1" applyFont="1" applyFill="1" applyBorder="1" applyAlignment="1">
      <alignment horizontal="center"/>
    </xf>
    <xf numFmtId="0" fontId="56" fillId="6" borderId="4" xfId="0" applyFont="1" applyFill="1" applyBorder="1" applyAlignment="1">
      <alignment horizontal="center"/>
    </xf>
    <xf numFmtId="0" fontId="56" fillId="14" borderId="1" xfId="0" applyFont="1" applyFill="1" applyBorder="1" applyAlignment="1">
      <alignment horizontal="center"/>
    </xf>
    <xf numFmtId="9" fontId="56" fillId="16" borderId="5" xfId="0" applyNumberFormat="1" applyFont="1" applyFill="1" applyBorder="1" applyAlignment="1">
      <alignment horizontal="center"/>
    </xf>
    <xf numFmtId="0" fontId="56" fillId="16" borderId="5" xfId="0" applyFont="1" applyFill="1" applyBorder="1" applyAlignment="1">
      <alignment horizontal="center"/>
    </xf>
    <xf numFmtId="0" fontId="3" fillId="16" borderId="7" xfId="0" applyFont="1" applyFill="1" applyBorder="1" applyAlignment="1">
      <alignment horizontal="left"/>
    </xf>
    <xf numFmtId="9" fontId="54" fillId="16" borderId="5" xfId="0" applyNumberFormat="1" applyFont="1" applyFill="1" applyBorder="1" applyAlignment="1">
      <alignment horizontal="center"/>
    </xf>
    <xf numFmtId="0" fontId="85" fillId="16" borderId="8" xfId="0" applyFont="1" applyFill="1" applyBorder="1" applyAlignment="1">
      <alignment horizontal="left"/>
    </xf>
    <xf numFmtId="171" fontId="0" fillId="6" borderId="1" xfId="0" applyNumberFormat="1" applyFill="1" applyBorder="1" applyAlignment="1">
      <alignment horizontal="center"/>
    </xf>
    <xf numFmtId="170" fontId="0" fillId="6" borderId="16" xfId="0" applyNumberFormat="1" applyFill="1" applyBorder="1"/>
    <xf numFmtId="170" fontId="0" fillId="6" borderId="16" xfId="0" applyNumberFormat="1" applyFill="1" applyBorder="1" applyAlignment="1">
      <alignment horizontal="right"/>
    </xf>
    <xf numFmtId="170" fontId="0" fillId="0" borderId="16" xfId="0" applyNumberFormat="1" applyBorder="1" applyAlignment="1">
      <alignment horizontal="right"/>
    </xf>
    <xf numFmtId="170" fontId="0" fillId="0" borderId="16" xfId="0" applyNumberFormat="1" applyBorder="1"/>
    <xf numFmtId="170" fontId="0" fillId="6" borderId="16" xfId="0" applyNumberFormat="1" applyFill="1" applyBorder="1" applyAlignment="1">
      <alignment horizontal="left"/>
    </xf>
    <xf numFmtId="170" fontId="0" fillId="6" borderId="17" xfId="0" applyNumberFormat="1" applyFill="1" applyBorder="1" applyAlignment="1">
      <alignment horizontal="right"/>
    </xf>
    <xf numFmtId="171" fontId="3" fillId="6" borderId="14" xfId="0" applyNumberFormat="1" applyFont="1" applyFill="1" applyBorder="1" applyAlignment="1">
      <alignment horizontal="center"/>
    </xf>
    <xf numFmtId="0" fontId="85" fillId="6" borderId="7" xfId="0" applyFont="1" applyFill="1" applyBorder="1" applyAlignment="1">
      <alignment horizontal="left"/>
    </xf>
    <xf numFmtId="0" fontId="54" fillId="16" borderId="5" xfId="0" applyFont="1" applyFill="1" applyBorder="1" applyAlignment="1">
      <alignment horizontal="center" vertical="center" wrapText="1"/>
    </xf>
    <xf numFmtId="0" fontId="85" fillId="16" borderId="7" xfId="0" applyFont="1" applyFill="1" applyBorder="1" applyAlignment="1">
      <alignment horizontal="left"/>
    </xf>
    <xf numFmtId="167" fontId="41" fillId="16" borderId="1" xfId="0" applyNumberFormat="1" applyFont="1" applyFill="1" applyBorder="1" applyAlignment="1">
      <alignment wrapText="1"/>
    </xf>
    <xf numFmtId="9" fontId="33" fillId="16" borderId="1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41" fillId="6" borderId="6" xfId="0" applyFont="1" applyFill="1" applyBorder="1"/>
    <xf numFmtId="0" fontId="56" fillId="14" borderId="6" xfId="0" applyFont="1" applyFill="1" applyBorder="1" applyAlignment="1">
      <alignment horizontal="center" vertical="center"/>
    </xf>
    <xf numFmtId="9" fontId="59" fillId="16" borderId="1" xfId="0" applyNumberFormat="1" applyFont="1" applyFill="1" applyBorder="1" applyAlignment="1">
      <alignment horizontal="left"/>
    </xf>
    <xf numFmtId="171" fontId="0" fillId="0" borderId="0" xfId="0" applyNumberFormat="1"/>
    <xf numFmtId="0" fontId="3" fillId="6" borderId="10" xfId="0" applyFont="1" applyFill="1" applyBorder="1"/>
    <xf numFmtId="0" fontId="4" fillId="14" borderId="3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/>
    </xf>
    <xf numFmtId="0" fontId="56" fillId="14" borderId="6" xfId="0" applyFont="1" applyFill="1" applyBorder="1" applyAlignment="1">
      <alignment horizontal="center"/>
    </xf>
    <xf numFmtId="0" fontId="54" fillId="16" borderId="6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54" fillId="14" borderId="6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7" fillId="7" borderId="6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9" fontId="11" fillId="14" borderId="1" xfId="0" applyNumberFormat="1" applyFont="1" applyFill="1" applyBorder="1" applyAlignment="1">
      <alignment horizontal="center"/>
    </xf>
    <xf numFmtId="9" fontId="6" fillId="14" borderId="5" xfId="0" applyNumberFormat="1" applyFont="1" applyFill="1" applyBorder="1" applyAlignment="1">
      <alignment horizontal="center"/>
    </xf>
    <xf numFmtId="9" fontId="133" fillId="14" borderId="8" xfId="0" applyNumberFormat="1" applyFont="1" applyFill="1" applyBorder="1" applyAlignment="1">
      <alignment horizontal="center"/>
    </xf>
    <xf numFmtId="9" fontId="136" fillId="14" borderId="1" xfId="0" applyNumberFormat="1" applyFont="1" applyFill="1" applyBorder="1" applyAlignment="1">
      <alignment horizontal="center"/>
    </xf>
    <xf numFmtId="9" fontId="74" fillId="6" borderId="6" xfId="0" applyNumberFormat="1" applyFont="1" applyFill="1" applyBorder="1" applyAlignment="1">
      <alignment horizontal="center" vertical="center"/>
    </xf>
    <xf numFmtId="9" fontId="74" fillId="6" borderId="1" xfId="0" applyNumberFormat="1" applyFont="1" applyFill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56" fillId="6" borderId="3" xfId="0" applyFont="1" applyFill="1" applyBorder="1" applyAlignment="1">
      <alignment horizontal="center"/>
    </xf>
    <xf numFmtId="171" fontId="3" fillId="6" borderId="8" xfId="0" applyNumberFormat="1" applyFont="1" applyFill="1" applyBorder="1" applyAlignment="1">
      <alignment horizontal="center"/>
    </xf>
    <xf numFmtId="0" fontId="22" fillId="14" borderId="8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73" fontId="3" fillId="6" borderId="14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8" fillId="24" borderId="1" xfId="0" applyFont="1" applyFill="1" applyBorder="1" applyAlignment="1">
      <alignment horizontal="right" wrapText="1"/>
    </xf>
    <xf numFmtId="0" fontId="39" fillId="0" borderId="1" xfId="0" applyFont="1" applyBorder="1" applyAlignment="1">
      <alignment horizontal="left" wrapText="1"/>
    </xf>
    <xf numFmtId="14" fontId="38" fillId="24" borderId="19" xfId="0" applyNumberFormat="1" applyFont="1" applyFill="1" applyBorder="1" applyAlignment="1">
      <alignment horizontal="right" wrapText="1"/>
    </xf>
    <xf numFmtId="9" fontId="56" fillId="6" borderId="1" xfId="0" applyNumberFormat="1" applyFont="1" applyFill="1" applyBorder="1" applyAlignment="1">
      <alignment horizontal="center" vertical="center"/>
    </xf>
    <xf numFmtId="9" fontId="0" fillId="6" borderId="5" xfId="0" applyNumberFormat="1" applyFill="1" applyBorder="1" applyAlignment="1">
      <alignment horizontal="center" vertical="center"/>
    </xf>
    <xf numFmtId="0" fontId="54" fillId="14" borderId="6" xfId="0" applyFont="1" applyFill="1" applyBorder="1" applyAlignment="1">
      <alignment horizontal="center" vertical="center" wrapText="1"/>
    </xf>
    <xf numFmtId="0" fontId="54" fillId="6" borderId="3" xfId="0" applyFont="1" applyFill="1" applyBorder="1" applyAlignment="1">
      <alignment horizontal="center" vertical="center"/>
    </xf>
    <xf numFmtId="0" fontId="54" fillId="14" borderId="2" xfId="0" applyFont="1" applyFill="1" applyBorder="1" applyAlignment="1">
      <alignment horizontal="center" vertical="center"/>
    </xf>
    <xf numFmtId="0" fontId="85" fillId="14" borderId="9" xfId="0" applyFont="1" applyFill="1" applyBorder="1" applyAlignment="1">
      <alignment horizontal="center"/>
    </xf>
    <xf numFmtId="167" fontId="0" fillId="6" borderId="9" xfId="0" applyNumberFormat="1" applyFill="1" applyBorder="1"/>
    <xf numFmtId="167" fontId="6" fillId="8" borderId="1" xfId="0" applyNumberFormat="1" applyFont="1" applyFill="1" applyBorder="1"/>
    <xf numFmtId="167" fontId="55" fillId="8" borderId="5" xfId="0" applyNumberFormat="1" applyFont="1" applyFill="1" applyBorder="1" applyAlignment="1">
      <alignment horizontal="right"/>
    </xf>
    <xf numFmtId="0" fontId="2" fillId="14" borderId="9" xfId="0" applyFont="1" applyFill="1" applyBorder="1" applyAlignment="1">
      <alignment horizontal="center"/>
    </xf>
    <xf numFmtId="168" fontId="59" fillId="6" borderId="9" xfId="0" applyNumberFormat="1" applyFon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3" fontId="66" fillId="8" borderId="4" xfId="0" applyNumberFormat="1" applyFont="1" applyFill="1" applyBorder="1"/>
    <xf numFmtId="3" fontId="66" fillId="8" borderId="5" xfId="0" applyNumberFormat="1" applyFont="1" applyFill="1" applyBorder="1"/>
    <xf numFmtId="3" fontId="66" fillId="8" borderId="1" xfId="0" applyNumberFormat="1" applyFont="1" applyFill="1" applyBorder="1" applyAlignment="1">
      <alignment horizontal="center" vertical="center"/>
    </xf>
    <xf numFmtId="171" fontId="0" fillId="32" borderId="0" xfId="0" applyNumberFormat="1" applyFill="1"/>
    <xf numFmtId="3" fontId="66" fillId="8" borderId="5" xfId="0" applyNumberFormat="1" applyFont="1" applyFill="1" applyBorder="1" applyAlignment="1">
      <alignment horizontal="center" vertical="center"/>
    </xf>
    <xf numFmtId="167" fontId="57" fillId="9" borderId="9" xfId="0" applyNumberFormat="1" applyFont="1" applyFill="1" applyBorder="1" applyAlignment="1">
      <alignment horizontal="center" vertical="center"/>
    </xf>
    <xf numFmtId="171" fontId="0" fillId="6" borderId="16" xfId="0" applyNumberFormat="1" applyFill="1" applyBorder="1"/>
    <xf numFmtId="9" fontId="56" fillId="14" borderId="5" xfId="0" applyNumberFormat="1" applyFont="1" applyFill="1" applyBorder="1" applyAlignment="1">
      <alignment horizontal="center"/>
    </xf>
    <xf numFmtId="0" fontId="85" fillId="6" borderId="1" xfId="0" applyFont="1" applyFill="1" applyBorder="1" applyAlignment="1">
      <alignment horizontal="left"/>
    </xf>
    <xf numFmtId="0" fontId="85" fillId="6" borderId="6" xfId="0" applyFont="1" applyFill="1" applyBorder="1" applyAlignment="1">
      <alignment horizontal="center"/>
    </xf>
    <xf numFmtId="171" fontId="0" fillId="6" borderId="9" xfId="0" applyNumberFormat="1" applyFill="1" applyBorder="1"/>
    <xf numFmtId="171" fontId="0" fillId="6" borderId="8" xfId="0" applyNumberFormat="1" applyFill="1" applyBorder="1"/>
    <xf numFmtId="0" fontId="59" fillId="0" borderId="2" xfId="0" applyFont="1" applyBorder="1" applyAlignment="1">
      <alignment horizontal="left"/>
    </xf>
    <xf numFmtId="0" fontId="54" fillId="6" borderId="7" xfId="0" applyFont="1" applyFill="1" applyBorder="1" applyAlignment="1">
      <alignment horizontal="left"/>
    </xf>
    <xf numFmtId="0" fontId="54" fillId="6" borderId="3" xfId="0" applyFont="1" applyFill="1" applyBorder="1" applyAlignment="1">
      <alignment horizontal="center"/>
    </xf>
    <xf numFmtId="171" fontId="0" fillId="6" borderId="16" xfId="0" applyNumberFormat="1" applyFill="1" applyBorder="1" applyAlignment="1">
      <alignment horizontal="right"/>
    </xf>
    <xf numFmtId="0" fontId="54" fillId="16" borderId="8" xfId="0" applyFont="1" applyFill="1" applyBorder="1" applyAlignment="1">
      <alignment horizontal="center" vertical="center" wrapText="1"/>
    </xf>
    <xf numFmtId="0" fontId="56" fillId="6" borderId="12" xfId="0" applyFont="1" applyFill="1" applyBorder="1" applyAlignment="1">
      <alignment horizontal="center" vertical="center"/>
    </xf>
    <xf numFmtId="0" fontId="54" fillId="14" borderId="8" xfId="0" applyFont="1" applyFill="1" applyBorder="1" applyAlignment="1">
      <alignment horizontal="center" vertical="center"/>
    </xf>
    <xf numFmtId="9" fontId="41" fillId="14" borderId="1" xfId="0" applyNumberFormat="1" applyFont="1" applyFill="1" applyBorder="1" applyAlignment="1">
      <alignment horizontal="center"/>
    </xf>
    <xf numFmtId="0" fontId="54" fillId="16" borderId="8" xfId="0" applyFont="1" applyFill="1" applyBorder="1" applyAlignment="1">
      <alignment horizontal="center" vertical="center"/>
    </xf>
    <xf numFmtId="9" fontId="41" fillId="16" borderId="1" xfId="0" applyNumberFormat="1" applyFont="1" applyFill="1" applyBorder="1" applyAlignment="1">
      <alignment horizontal="center"/>
    </xf>
    <xf numFmtId="9" fontId="54" fillId="14" borderId="5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/>
    </xf>
    <xf numFmtId="9" fontId="54" fillId="14" borderId="7" xfId="0" applyNumberFormat="1" applyFont="1" applyFill="1" applyBorder="1" applyAlignment="1">
      <alignment horizontal="center"/>
    </xf>
    <xf numFmtId="1" fontId="56" fillId="14" borderId="5" xfId="0" applyNumberFormat="1" applyFont="1" applyFill="1" applyBorder="1" applyAlignment="1">
      <alignment horizontal="center"/>
    </xf>
    <xf numFmtId="167" fontId="60" fillId="6" borderId="1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left" wrapText="1"/>
    </xf>
    <xf numFmtId="0" fontId="54" fillId="1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5" fillId="6" borderId="12" xfId="0" applyFont="1" applyFill="1" applyBorder="1" applyAlignment="1">
      <alignment horizontal="center"/>
    </xf>
    <xf numFmtId="0" fontId="55" fillId="6" borderId="1" xfId="0" applyFont="1" applyFill="1" applyBorder="1" applyAlignment="1">
      <alignment horizontal="center"/>
    </xf>
    <xf numFmtId="0" fontId="55" fillId="6" borderId="8" xfId="0" applyFont="1" applyFill="1" applyBorder="1" applyAlignment="1">
      <alignment horizontal="center"/>
    </xf>
    <xf numFmtId="0" fontId="56" fillId="7" borderId="9" xfId="0" applyFont="1" applyFill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6" borderId="6" xfId="0" applyFont="1" applyFill="1" applyBorder="1" applyAlignment="1">
      <alignment horizontal="center"/>
    </xf>
    <xf numFmtId="0" fontId="56" fillId="9" borderId="1" xfId="0" applyFont="1" applyFill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6" fillId="0" borderId="0" xfId="0" applyFont="1" applyAlignment="1">
      <alignment horizontal="center"/>
    </xf>
    <xf numFmtId="0" fontId="54" fillId="6" borderId="6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54" fillId="6" borderId="1" xfId="0" applyFont="1" applyFill="1" applyBorder="1" applyAlignment="1">
      <alignment horizontal="center" vertical="center"/>
    </xf>
    <xf numFmtId="0" fontId="55" fillId="6" borderId="1" xfId="0" applyFont="1" applyFill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9" fontId="54" fillId="6" borderId="1" xfId="0" applyNumberFormat="1" applyFont="1" applyFill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4" fillId="6" borderId="8" xfId="0" applyFont="1" applyFill="1" applyBorder="1" applyAlignment="1">
      <alignment horizontal="center"/>
    </xf>
    <xf numFmtId="0" fontId="54" fillId="6" borderId="12" xfId="0" applyFont="1" applyFill="1" applyBorder="1" applyAlignment="1">
      <alignment horizontal="center"/>
    </xf>
    <xf numFmtId="0" fontId="56" fillId="9" borderId="5" xfId="0" applyFont="1" applyFill="1" applyBorder="1" applyAlignment="1">
      <alignment horizontal="center"/>
    </xf>
    <xf numFmtId="0" fontId="54" fillId="6" borderId="8" xfId="0" applyFont="1" applyFill="1" applyBorder="1" applyAlignment="1">
      <alignment horizontal="center" vertical="center"/>
    </xf>
    <xf numFmtId="0" fontId="55" fillId="6" borderId="8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 vertical="center"/>
    </xf>
    <xf numFmtId="171" fontId="113" fillId="32" borderId="9" xfId="0" applyNumberFormat="1" applyFont="1" applyFill="1" applyBorder="1"/>
    <xf numFmtId="9" fontId="113" fillId="32" borderId="9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171" fontId="113" fillId="6" borderId="0" xfId="0" applyNumberFormat="1" applyFont="1" applyFill="1"/>
    <xf numFmtId="9" fontId="113" fillId="6" borderId="0" xfId="0" applyNumberFormat="1" applyFont="1" applyFill="1" applyAlignment="1">
      <alignment horizontal="center"/>
    </xf>
    <xf numFmtId="9" fontId="56" fillId="16" borderId="5" xfId="0" applyNumberFormat="1" applyFont="1" applyFill="1" applyBorder="1" applyAlignment="1">
      <alignment horizontal="center" wrapText="1"/>
    </xf>
    <xf numFmtId="9" fontId="56" fillId="16" borderId="7" xfId="0" applyNumberFormat="1" applyFont="1" applyFill="1" applyBorder="1" applyAlignment="1">
      <alignment horizontal="center"/>
    </xf>
    <xf numFmtId="0" fontId="56" fillId="14" borderId="5" xfId="0" applyFont="1" applyFill="1" applyBorder="1" applyAlignment="1">
      <alignment horizontal="center" wrapText="1"/>
    </xf>
    <xf numFmtId="9" fontId="77" fillId="6" borderId="6" xfId="0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171" fontId="59" fillId="6" borderId="7" xfId="0" applyNumberFormat="1" applyFont="1" applyFill="1" applyBorder="1" applyAlignment="1">
      <alignment horizontal="left"/>
    </xf>
    <xf numFmtId="0" fontId="54" fillId="16" borderId="1" xfId="0" applyFont="1" applyFill="1" applyBorder="1" applyAlignment="1">
      <alignment horizontal="center" vertical="center" wrapText="1"/>
    </xf>
    <xf numFmtId="0" fontId="41" fillId="16" borderId="1" xfId="0" applyFont="1" applyFill="1" applyBorder="1" applyAlignment="1">
      <alignment horizontal="center"/>
    </xf>
    <xf numFmtId="0" fontId="41" fillId="16" borderId="5" xfId="0" applyFont="1" applyFill="1" applyBorder="1" applyAlignment="1">
      <alignment horizontal="center"/>
    </xf>
    <xf numFmtId="167" fontId="56" fillId="9" borderId="5" xfId="0" applyNumberFormat="1" applyFont="1" applyFill="1" applyBorder="1" applyAlignment="1">
      <alignment horizontal="right"/>
    </xf>
    <xf numFmtId="0" fontId="56" fillId="6" borderId="8" xfId="0" applyFont="1" applyFill="1" applyBorder="1" applyAlignment="1">
      <alignment horizontal="center"/>
    </xf>
    <xf numFmtId="0" fontId="56" fillId="6" borderId="7" xfId="0" applyFont="1" applyFill="1" applyBorder="1" applyAlignment="1">
      <alignment horizontal="center"/>
    </xf>
    <xf numFmtId="173" fontId="56" fillId="6" borderId="8" xfId="0" applyNumberFormat="1" applyFont="1" applyFill="1" applyBorder="1" applyAlignment="1">
      <alignment horizontal="center"/>
    </xf>
    <xf numFmtId="167" fontId="0" fillId="6" borderId="5" xfId="0" applyNumberFormat="1" applyFill="1" applyBorder="1"/>
    <xf numFmtId="9" fontId="41" fillId="14" borderId="5" xfId="0" applyNumberFormat="1" applyFont="1" applyFill="1" applyBorder="1" applyAlignment="1">
      <alignment horizontal="center"/>
    </xf>
    <xf numFmtId="0" fontId="56" fillId="6" borderId="11" xfId="0" applyFont="1" applyFill="1" applyBorder="1"/>
    <xf numFmtId="0" fontId="56" fillId="6" borderId="1" xfId="0" applyFont="1" applyFill="1" applyBorder="1"/>
    <xf numFmtId="0" fontId="0" fillId="14" borderId="3" xfId="0" applyFill="1" applyBorder="1"/>
    <xf numFmtId="171" fontId="59" fillId="6" borderId="8" xfId="0" applyNumberFormat="1" applyFont="1" applyFill="1" applyBorder="1" applyAlignment="1">
      <alignment horizontal="center" vertical="center"/>
    </xf>
    <xf numFmtId="9" fontId="54" fillId="6" borderId="1" xfId="0" applyNumberFormat="1" applyFont="1" applyFill="1" applyBorder="1" applyAlignment="1">
      <alignment horizontal="center"/>
    </xf>
    <xf numFmtId="0" fontId="54" fillId="6" borderId="5" xfId="0" applyFont="1" applyFill="1" applyBorder="1" applyAlignment="1">
      <alignment horizontal="center" vertical="center" wrapText="1"/>
    </xf>
    <xf numFmtId="9" fontId="56" fillId="6" borderId="5" xfId="0" applyNumberFormat="1" applyFont="1" applyFill="1" applyBorder="1" applyAlignment="1">
      <alignment horizontal="center"/>
    </xf>
    <xf numFmtId="0" fontId="41" fillId="6" borderId="1" xfId="0" applyFont="1" applyFill="1" applyBorder="1" applyAlignment="1">
      <alignment horizontal="center"/>
    </xf>
    <xf numFmtId="171" fontId="57" fillId="6" borderId="1" xfId="0" applyNumberFormat="1" applyFont="1" applyFill="1" applyBorder="1" applyAlignment="1">
      <alignment horizontal="right"/>
    </xf>
    <xf numFmtId="171" fontId="56" fillId="6" borderId="3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73" fontId="56" fillId="6" borderId="1" xfId="0" applyNumberFormat="1" applyFont="1" applyFill="1" applyBorder="1" applyAlignment="1">
      <alignment horizontal="center"/>
    </xf>
    <xf numFmtId="9" fontId="54" fillId="14" borderId="10" xfId="0" applyNumberFormat="1" applyFont="1" applyFill="1" applyBorder="1" applyAlignment="1">
      <alignment horizontal="center"/>
    </xf>
    <xf numFmtId="0" fontId="54" fillId="14" borderId="4" xfId="0" applyFont="1" applyFill="1" applyBorder="1" applyAlignment="1">
      <alignment horizontal="center" vertical="center" wrapText="1"/>
    </xf>
    <xf numFmtId="0" fontId="0" fillId="14" borderId="4" xfId="0" applyFill="1" applyBorder="1"/>
    <xf numFmtId="164" fontId="3" fillId="6" borderId="9" xfId="0" applyNumberFormat="1" applyFont="1" applyFill="1" applyBorder="1" applyAlignment="1">
      <alignment horizontal="center"/>
    </xf>
    <xf numFmtId="164" fontId="0" fillId="6" borderId="9" xfId="0" applyNumberFormat="1" applyFill="1" applyBorder="1" applyAlignment="1">
      <alignment horizontal="center"/>
    </xf>
    <xf numFmtId="0" fontId="56" fillId="9" borderId="7" xfId="0" applyFont="1" applyFill="1" applyBorder="1" applyAlignment="1">
      <alignment horizontal="center"/>
    </xf>
    <xf numFmtId="0" fontId="56" fillId="0" borderId="10" xfId="0" applyFont="1" applyBorder="1" applyAlignment="1">
      <alignment horizontal="center"/>
    </xf>
    <xf numFmtId="0" fontId="57" fillId="6" borderId="9" xfId="0" applyFont="1" applyFill="1" applyBorder="1"/>
    <xf numFmtId="0" fontId="57" fillId="7" borderId="1" xfId="0" applyFont="1" applyFill="1" applyBorder="1"/>
    <xf numFmtId="0" fontId="56" fillId="7" borderId="12" xfId="0" applyFont="1" applyFill="1" applyBorder="1" applyAlignment="1">
      <alignment horizontal="center"/>
    </xf>
    <xf numFmtId="0" fontId="56" fillId="0" borderId="8" xfId="0" applyFont="1" applyBorder="1" applyAlignment="1">
      <alignment horizontal="center"/>
    </xf>
    <xf numFmtId="9" fontId="131" fillId="14" borderId="1" xfId="0" applyNumberFormat="1" applyFont="1" applyFill="1" applyBorder="1" applyAlignment="1">
      <alignment horizontal="center"/>
    </xf>
    <xf numFmtId="9" fontId="74" fillId="14" borderId="5" xfId="0" applyNumberFormat="1" applyFont="1" applyFill="1" applyBorder="1" applyAlignment="1">
      <alignment horizontal="center"/>
    </xf>
    <xf numFmtId="9" fontId="105" fillId="6" borderId="9" xfId="0" applyNumberFormat="1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173" fontId="56" fillId="6" borderId="5" xfId="0" applyNumberFormat="1" applyFont="1" applyFill="1" applyBorder="1" applyAlignment="1">
      <alignment horizontal="center"/>
    </xf>
    <xf numFmtId="9" fontId="54" fillId="6" borderId="8" xfId="0" applyNumberFormat="1" applyFont="1" applyFill="1" applyBorder="1" applyAlignment="1">
      <alignment horizontal="center"/>
    </xf>
    <xf numFmtId="173" fontId="56" fillId="6" borderId="9" xfId="0" applyNumberFormat="1" applyFont="1" applyFill="1" applyBorder="1" applyAlignment="1">
      <alignment horizontal="center"/>
    </xf>
    <xf numFmtId="167" fontId="54" fillId="8" borderId="4" xfId="0" applyNumberFormat="1" applyFont="1" applyFill="1" applyBorder="1"/>
    <xf numFmtId="167" fontId="0" fillId="17" borderId="1" xfId="0" applyNumberFormat="1" applyFill="1" applyBorder="1"/>
    <xf numFmtId="0" fontId="56" fillId="14" borderId="1" xfId="0" applyFont="1" applyFill="1" applyBorder="1" applyAlignment="1">
      <alignment horizontal="center" wrapText="1"/>
    </xf>
    <xf numFmtId="1" fontId="56" fillId="14" borderId="1" xfId="0" applyNumberFormat="1" applyFont="1" applyFill="1" applyBorder="1" applyAlignment="1">
      <alignment horizontal="center"/>
    </xf>
    <xf numFmtId="0" fontId="57" fillId="6" borderId="8" xfId="0" applyFont="1" applyFill="1" applyBorder="1"/>
    <xf numFmtId="0" fontId="41" fillId="16" borderId="7" xfId="0" applyFont="1" applyFill="1" applyBorder="1" applyAlignment="1">
      <alignment horizontal="center"/>
    </xf>
    <xf numFmtId="0" fontId="0" fillId="30" borderId="9" xfId="0" applyFill="1" applyBorder="1" applyAlignment="1">
      <alignment horizontal="left"/>
    </xf>
    <xf numFmtId="9" fontId="6" fillId="16" borderId="1" xfId="0" applyNumberFormat="1" applyFont="1" applyFill="1" applyBorder="1" applyAlignment="1">
      <alignment horizontal="center"/>
    </xf>
    <xf numFmtId="0" fontId="54" fillId="0" borderId="7" xfId="0" applyFont="1" applyBorder="1" applyAlignment="1">
      <alignment horizontal="left"/>
    </xf>
    <xf numFmtId="0" fontId="85" fillId="0" borderId="1" xfId="0" applyFont="1" applyBorder="1" applyAlignment="1">
      <alignment horizontal="left"/>
    </xf>
    <xf numFmtId="9" fontId="74" fillId="0" borderId="1" xfId="0" applyNumberFormat="1" applyFont="1" applyBorder="1" applyAlignment="1">
      <alignment horizontal="center"/>
    </xf>
    <xf numFmtId="171" fontId="56" fillId="0" borderId="3" xfId="0" applyNumberFormat="1" applyFont="1" applyBorder="1" applyAlignment="1">
      <alignment horizontal="center"/>
    </xf>
    <xf numFmtId="9" fontId="5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9" fontId="60" fillId="0" borderId="6" xfId="0" applyNumberFormat="1" applyFont="1" applyBorder="1" applyAlignment="1">
      <alignment horizontal="center"/>
    </xf>
    <xf numFmtId="167" fontId="60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54" fillId="0" borderId="2" xfId="0" applyFont="1" applyBorder="1" applyAlignment="1">
      <alignment horizontal="left"/>
    </xf>
    <xf numFmtId="167" fontId="60" fillId="6" borderId="9" xfId="0" applyNumberFormat="1" applyFont="1" applyFill="1" applyBorder="1" applyAlignment="1">
      <alignment horizontal="center" vertical="center"/>
    </xf>
    <xf numFmtId="9" fontId="56" fillId="6" borderId="9" xfId="0" applyNumberFormat="1" applyFont="1" applyFill="1" applyBorder="1" applyAlignment="1">
      <alignment horizontal="center" vertical="center"/>
    </xf>
    <xf numFmtId="0" fontId="56" fillId="16" borderId="5" xfId="0" applyFont="1" applyFill="1" applyBorder="1" applyAlignment="1">
      <alignment horizontal="center" wrapText="1"/>
    </xf>
    <xf numFmtId="0" fontId="107" fillId="0" borderId="6" xfId="0" applyFont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9" fontId="56" fillId="16" borderId="1" xfId="0" applyNumberFormat="1" applyFont="1" applyFill="1" applyBorder="1" applyAlignment="1">
      <alignment horizontal="center"/>
    </xf>
    <xf numFmtId="3" fontId="57" fillId="7" borderId="1" xfId="0" applyNumberFormat="1" applyFont="1" applyFill="1" applyBorder="1" applyAlignment="1">
      <alignment horizontal="center" vertical="center"/>
    </xf>
    <xf numFmtId="0" fontId="56" fillId="7" borderId="1" xfId="0" applyFont="1" applyFill="1" applyBorder="1" applyAlignment="1">
      <alignment horizontal="center"/>
    </xf>
    <xf numFmtId="0" fontId="59" fillId="0" borderId="3" xfId="0" applyFont="1" applyBorder="1"/>
    <xf numFmtId="0" fontId="3" fillId="6" borderId="1" xfId="0" applyFont="1" applyFill="1" applyBorder="1" applyAlignment="1">
      <alignment horizontal="left" wrapText="1"/>
    </xf>
    <xf numFmtId="167" fontId="9" fillId="10" borderId="8" xfId="0" applyNumberFormat="1" applyFont="1" applyFill="1" applyBorder="1"/>
    <xf numFmtId="167" fontId="5" fillId="11" borderId="2" xfId="0" applyNumberFormat="1" applyFont="1" applyFill="1" applyBorder="1" applyAlignment="1">
      <alignment horizontal="right"/>
    </xf>
    <xf numFmtId="167" fontId="5" fillId="35" borderId="2" xfId="0" applyNumberFormat="1" applyFont="1" applyFill="1" applyBorder="1" applyAlignment="1">
      <alignment horizontal="right"/>
    </xf>
    <xf numFmtId="3" fontId="3" fillId="6" borderId="4" xfId="0" applyNumberFormat="1" applyFont="1" applyFill="1" applyBorder="1" applyAlignment="1">
      <alignment horizontal="center"/>
    </xf>
    <xf numFmtId="9" fontId="56" fillId="14" borderId="0" xfId="0" applyNumberFormat="1" applyFont="1" applyFill="1" applyAlignment="1">
      <alignment horizontal="center"/>
    </xf>
    <xf numFmtId="0" fontId="54" fillId="14" borderId="7" xfId="0" applyFont="1" applyFill="1" applyBorder="1" applyAlignment="1">
      <alignment horizontal="center" vertical="center" wrapText="1"/>
    </xf>
    <xf numFmtId="9" fontId="41" fillId="14" borderId="9" xfId="0" applyNumberFormat="1" applyFont="1" applyFill="1" applyBorder="1" applyAlignment="1">
      <alignment horizontal="center"/>
    </xf>
    <xf numFmtId="0" fontId="123" fillId="6" borderId="9" xfId="0" applyFont="1" applyFill="1" applyBorder="1" applyAlignment="1">
      <alignment horizontal="center"/>
    </xf>
    <xf numFmtId="0" fontId="54" fillId="6" borderId="2" xfId="0" applyFont="1" applyFill="1" applyBorder="1" applyAlignment="1">
      <alignment horizontal="left"/>
    </xf>
    <xf numFmtId="9" fontId="56" fillId="14" borderId="6" xfId="0" applyNumberFormat="1" applyFont="1" applyFill="1" applyBorder="1" applyAlignment="1">
      <alignment horizontal="center"/>
    </xf>
    <xf numFmtId="9" fontId="3" fillId="6" borderId="4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85" fillId="6" borderId="9" xfId="0" applyFont="1" applyFill="1" applyBorder="1" applyAlignment="1">
      <alignment horizontal="center"/>
    </xf>
    <xf numFmtId="0" fontId="85" fillId="6" borderId="14" xfId="0" applyFont="1" applyFill="1" applyBorder="1" applyAlignment="1">
      <alignment horizontal="center"/>
    </xf>
    <xf numFmtId="0" fontId="59" fillId="6" borderId="7" xfId="0" applyFont="1" applyFill="1" applyBorder="1" applyAlignment="1">
      <alignment horizontal="center" vertical="center"/>
    </xf>
    <xf numFmtId="0" fontId="59" fillId="6" borderId="5" xfId="0" applyFont="1" applyFill="1" applyBorder="1" applyAlignment="1">
      <alignment horizontal="center" vertical="center"/>
    </xf>
    <xf numFmtId="0" fontId="55" fillId="6" borderId="5" xfId="0" applyFont="1" applyFill="1" applyBorder="1" applyAlignment="1">
      <alignment horizontal="center" vertical="center"/>
    </xf>
    <xf numFmtId="0" fontId="85" fillId="5" borderId="9" xfId="0" applyFont="1" applyFill="1" applyBorder="1" applyAlignment="1">
      <alignment horizontal="center"/>
    </xf>
    <xf numFmtId="0" fontId="85" fillId="5" borderId="9" xfId="0" applyFont="1" applyFill="1" applyBorder="1" applyAlignment="1">
      <alignment horizontal="center" vertical="center"/>
    </xf>
    <xf numFmtId="0" fontId="85" fillId="5" borderId="12" xfId="0" applyFont="1" applyFill="1" applyBorder="1" applyAlignment="1">
      <alignment horizontal="center"/>
    </xf>
    <xf numFmtId="0" fontId="85" fillId="5" borderId="9" xfId="0" applyFont="1" applyFill="1" applyBorder="1" applyAlignment="1">
      <alignment horizontal="left"/>
    </xf>
    <xf numFmtId="167" fontId="85" fillId="5" borderId="14" xfId="0" applyNumberFormat="1" applyFont="1" applyFill="1" applyBorder="1" applyAlignment="1">
      <alignment horizontal="center"/>
    </xf>
    <xf numFmtId="3" fontId="85" fillId="5" borderId="9" xfId="0" applyNumberFormat="1" applyFont="1" applyFill="1" applyBorder="1" applyAlignment="1">
      <alignment horizontal="center"/>
    </xf>
    <xf numFmtId="0" fontId="123" fillId="5" borderId="9" xfId="0" applyFont="1" applyFill="1" applyBorder="1" applyAlignment="1">
      <alignment horizontal="center"/>
    </xf>
    <xf numFmtId="0" fontId="85" fillId="5" borderId="11" xfId="0" applyFont="1" applyFill="1" applyBorder="1" applyAlignment="1">
      <alignment horizontal="center"/>
    </xf>
    <xf numFmtId="3" fontId="85" fillId="6" borderId="1" xfId="0" applyNumberFormat="1" applyFont="1" applyFill="1" applyBorder="1" applyAlignment="1">
      <alignment horizontal="center"/>
    </xf>
    <xf numFmtId="0" fontId="85" fillId="6" borderId="11" xfId="0" applyFont="1" applyFill="1" applyBorder="1" applyAlignment="1">
      <alignment horizontal="center"/>
    </xf>
    <xf numFmtId="0" fontId="85" fillId="6" borderId="4" xfId="0" applyFont="1" applyFill="1" applyBorder="1" applyAlignment="1">
      <alignment horizontal="center"/>
    </xf>
    <xf numFmtId="0" fontId="85" fillId="6" borderId="1" xfId="0" applyFont="1" applyFill="1" applyBorder="1" applyAlignment="1">
      <alignment horizontal="center" vertical="center"/>
    </xf>
    <xf numFmtId="0" fontId="85" fillId="6" borderId="15" xfId="0" applyFont="1" applyFill="1" applyBorder="1" applyAlignment="1">
      <alignment horizontal="center" vertical="center"/>
    </xf>
    <xf numFmtId="0" fontId="85" fillId="6" borderId="14" xfId="0" applyFont="1" applyFill="1" applyBorder="1" applyAlignment="1">
      <alignment horizontal="left"/>
    </xf>
    <xf numFmtId="167" fontId="85" fillId="6" borderId="9" xfId="0" applyNumberFormat="1" applyFont="1" applyFill="1" applyBorder="1" applyAlignment="1">
      <alignment horizontal="center"/>
    </xf>
    <xf numFmtId="3" fontId="85" fillId="6" borderId="9" xfId="0" applyNumberFormat="1" applyFont="1" applyFill="1" applyBorder="1" applyAlignment="1">
      <alignment horizontal="center"/>
    </xf>
    <xf numFmtId="0" fontId="85" fillId="6" borderId="9" xfId="0" applyFont="1" applyFill="1" applyBorder="1" applyAlignment="1">
      <alignment horizontal="center" vertical="center"/>
    </xf>
    <xf numFmtId="0" fontId="85" fillId="6" borderId="13" xfId="0" applyFont="1" applyFill="1" applyBorder="1" applyAlignment="1">
      <alignment horizontal="center"/>
    </xf>
    <xf numFmtId="0" fontId="85" fillId="6" borderId="15" xfId="0" applyFont="1" applyFill="1" applyBorder="1" applyAlignment="1">
      <alignment horizontal="center"/>
    </xf>
    <xf numFmtId="0" fontId="123" fillId="6" borderId="1" xfId="0" applyFont="1" applyFill="1" applyBorder="1" applyAlignment="1">
      <alignment horizontal="center"/>
    </xf>
    <xf numFmtId="0" fontId="85" fillId="5" borderId="8" xfId="0" applyFont="1" applyFill="1" applyBorder="1" applyAlignment="1">
      <alignment horizontal="center"/>
    </xf>
    <xf numFmtId="0" fontId="85" fillId="5" borderId="14" xfId="0" applyFont="1" applyFill="1" applyBorder="1" applyAlignment="1">
      <alignment horizontal="left"/>
    </xf>
    <xf numFmtId="167" fontId="85" fillId="5" borderId="9" xfId="0" applyNumberFormat="1" applyFont="1" applyFill="1" applyBorder="1" applyAlignment="1">
      <alignment horizontal="center"/>
    </xf>
    <xf numFmtId="167" fontId="85" fillId="5" borderId="9" xfId="0" applyNumberFormat="1" applyFont="1" applyFill="1" applyBorder="1" applyAlignment="1">
      <alignment horizontal="center" vertical="center"/>
    </xf>
    <xf numFmtId="3" fontId="85" fillId="5" borderId="9" xfId="0" applyNumberFormat="1" applyFont="1" applyFill="1" applyBorder="1" applyAlignment="1">
      <alignment horizontal="center" vertical="center"/>
    </xf>
    <xf numFmtId="0" fontId="123" fillId="5" borderId="9" xfId="0" applyFont="1" applyFill="1" applyBorder="1" applyAlignment="1">
      <alignment horizontal="center" vertical="center"/>
    </xf>
    <xf numFmtId="0" fontId="85" fillId="5" borderId="12" xfId="0" applyFont="1" applyFill="1" applyBorder="1" applyAlignment="1">
      <alignment horizontal="center" vertical="center"/>
    </xf>
    <xf numFmtId="167" fontId="56" fillId="10" borderId="8" xfId="0" applyNumberFormat="1" applyFont="1" applyFill="1" applyBorder="1"/>
    <xf numFmtId="167" fontId="56" fillId="6" borderId="10" xfId="0" applyNumberFormat="1" applyFont="1" applyFill="1" applyBorder="1"/>
    <xf numFmtId="167" fontId="57" fillId="11" borderId="2" xfId="0" applyNumberFormat="1" applyFont="1" applyFill="1" applyBorder="1" applyAlignment="1">
      <alignment horizontal="right"/>
    </xf>
    <xf numFmtId="167" fontId="57" fillId="6" borderId="10" xfId="0" applyNumberFormat="1" applyFont="1" applyFill="1" applyBorder="1" applyAlignment="1">
      <alignment horizontal="right"/>
    </xf>
    <xf numFmtId="3" fontId="57" fillId="9" borderId="3" xfId="0" applyNumberFormat="1" applyFont="1" applyFill="1" applyBorder="1" applyAlignment="1">
      <alignment horizontal="center"/>
    </xf>
    <xf numFmtId="167" fontId="57" fillId="35" borderId="2" xfId="0" applyNumberFormat="1" applyFont="1" applyFill="1" applyBorder="1" applyAlignment="1">
      <alignment horizontal="right"/>
    </xf>
    <xf numFmtId="3" fontId="57" fillId="6" borderId="3" xfId="0" applyNumberFormat="1" applyFont="1" applyFill="1" applyBorder="1" applyAlignment="1">
      <alignment horizontal="center"/>
    </xf>
    <xf numFmtId="169" fontId="57" fillId="26" borderId="0" xfId="0" applyNumberFormat="1" applyFont="1" applyFill="1" applyAlignment="1">
      <alignment horizontal="right"/>
    </xf>
    <xf numFmtId="3" fontId="57" fillId="9" borderId="2" xfId="0" applyNumberFormat="1" applyFont="1" applyFill="1" applyBorder="1" applyAlignment="1">
      <alignment horizontal="center"/>
    </xf>
    <xf numFmtId="0" fontId="56" fillId="0" borderId="11" xfId="0" applyFont="1" applyBorder="1" applyAlignment="1">
      <alignment horizontal="center" vertical="center" wrapText="1"/>
    </xf>
    <xf numFmtId="167" fontId="56" fillId="6" borderId="1" xfId="0" applyNumberFormat="1" applyFont="1" applyFill="1" applyBorder="1"/>
    <xf numFmtId="167" fontId="5" fillId="6" borderId="1" xfId="0" applyNumberFormat="1" applyFont="1" applyFill="1" applyBorder="1" applyAlignment="1">
      <alignment horizontal="right"/>
    </xf>
    <xf numFmtId="167" fontId="41" fillId="16" borderId="8" xfId="0" applyNumberFormat="1" applyFont="1" applyFill="1" applyBorder="1" applyAlignment="1">
      <alignment wrapText="1"/>
    </xf>
    <xf numFmtId="167" fontId="56" fillId="14" borderId="4" xfId="0" applyNumberFormat="1" applyFont="1" applyFill="1" applyBorder="1" applyAlignment="1">
      <alignment horizontal="center" vertical="center"/>
    </xf>
    <xf numFmtId="9" fontId="54" fillId="6" borderId="8" xfId="0" applyNumberFormat="1" applyFont="1" applyFill="1" applyBorder="1" applyAlignment="1">
      <alignment horizontal="center" vertical="center"/>
    </xf>
    <xf numFmtId="0" fontId="56" fillId="7" borderId="8" xfId="0" applyFont="1" applyFill="1" applyBorder="1" applyAlignment="1">
      <alignment horizontal="center"/>
    </xf>
    <xf numFmtId="9" fontId="3" fillId="6" borderId="8" xfId="0" applyNumberFormat="1" applyFont="1" applyFill="1" applyBorder="1" applyAlignment="1">
      <alignment horizontal="center"/>
    </xf>
    <xf numFmtId="0" fontId="55" fillId="6" borderId="6" xfId="0" applyFont="1" applyFill="1" applyBorder="1" applyAlignment="1">
      <alignment horizontal="center"/>
    </xf>
    <xf numFmtId="0" fontId="54" fillId="6" borderId="6" xfId="0" applyFont="1" applyFill="1" applyBorder="1" applyAlignment="1">
      <alignment horizontal="left"/>
    </xf>
    <xf numFmtId="0" fontId="41" fillId="16" borderId="8" xfId="0" applyFont="1" applyFill="1" applyBorder="1"/>
    <xf numFmtId="0" fontId="0" fillId="16" borderId="8" xfId="0" applyFill="1" applyBorder="1"/>
    <xf numFmtId="0" fontId="41" fillId="16" borderId="7" xfId="0" applyFont="1" applyFill="1" applyBorder="1"/>
    <xf numFmtId="3" fontId="85" fillId="6" borderId="9" xfId="0" applyNumberFormat="1" applyFont="1" applyFill="1" applyBorder="1" applyAlignment="1">
      <alignment horizontal="center" vertical="center"/>
    </xf>
    <xf numFmtId="0" fontId="56" fillId="6" borderId="9" xfId="0" applyFont="1" applyFill="1" applyBorder="1" applyAlignment="1">
      <alignment horizontal="center"/>
    </xf>
    <xf numFmtId="0" fontId="54" fillId="6" borderId="9" xfId="0" applyFont="1" applyFill="1" applyBorder="1" applyAlignment="1">
      <alignment horizontal="left"/>
    </xf>
    <xf numFmtId="0" fontId="56" fillId="6" borderId="11" xfId="0" applyFont="1" applyFill="1" applyBorder="1" applyAlignment="1">
      <alignment horizontal="center"/>
    </xf>
    <xf numFmtId="174" fontId="77" fillId="6" borderId="1" xfId="0" applyNumberFormat="1" applyFont="1" applyFill="1" applyBorder="1" applyAlignment="1">
      <alignment horizontal="center"/>
    </xf>
    <xf numFmtId="174" fontId="59" fillId="6" borderId="1" xfId="0" applyNumberFormat="1" applyFont="1" applyFill="1" applyBorder="1" applyAlignment="1">
      <alignment horizontal="center"/>
    </xf>
    <xf numFmtId="171" fontId="56" fillId="6" borderId="1" xfId="0" applyNumberFormat="1" applyFont="1" applyFill="1" applyBorder="1" applyAlignment="1">
      <alignment horizontal="center"/>
    </xf>
    <xf numFmtId="174" fontId="77" fillId="6" borderId="13" xfId="0" applyNumberFormat="1" applyFont="1" applyFill="1" applyBorder="1" applyAlignment="1">
      <alignment horizontal="center"/>
    </xf>
    <xf numFmtId="174" fontId="59" fillId="6" borderId="6" xfId="0" applyNumberFormat="1" applyFont="1" applyFill="1" applyBorder="1" applyAlignment="1">
      <alignment horizontal="center"/>
    </xf>
    <xf numFmtId="174" fontId="77" fillId="6" borderId="6" xfId="0" applyNumberFormat="1" applyFont="1" applyFill="1" applyBorder="1" applyAlignment="1">
      <alignment horizontal="center"/>
    </xf>
    <xf numFmtId="0" fontId="54" fillId="6" borderId="3" xfId="0" applyFont="1" applyFill="1" applyBorder="1" applyAlignment="1">
      <alignment horizontal="left"/>
    </xf>
    <xf numFmtId="9" fontId="136" fillId="14" borderId="1" xfId="0" applyNumberFormat="1" applyFont="1" applyFill="1" applyBorder="1" applyAlignment="1">
      <alignment horizontal="center" vertical="center"/>
    </xf>
    <xf numFmtId="9" fontId="6" fillId="14" borderId="1" xfId="0" applyNumberFormat="1" applyFon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9" fontId="6" fillId="14" borderId="9" xfId="0" applyNumberFormat="1" applyFont="1" applyFill="1" applyBorder="1" applyAlignment="1">
      <alignment horizontal="center" vertical="center"/>
    </xf>
    <xf numFmtId="171" fontId="57" fillId="6" borderId="9" xfId="0" applyNumberFormat="1" applyFont="1" applyFill="1" applyBorder="1" applyAlignment="1">
      <alignment horizontal="right"/>
    </xf>
    <xf numFmtId="9" fontId="59" fillId="6" borderId="9" xfId="0" applyNumberFormat="1" applyFont="1" applyFill="1" applyBorder="1" applyAlignment="1">
      <alignment horizontal="center" vertical="center"/>
    </xf>
    <xf numFmtId="167" fontId="13" fillId="17" borderId="1" xfId="0" applyNumberFormat="1" applyFont="1" applyFill="1" applyBorder="1"/>
    <xf numFmtId="9" fontId="85" fillId="6" borderId="8" xfId="0" applyNumberFormat="1" applyFont="1" applyFill="1" applyBorder="1" applyAlignment="1">
      <alignment horizontal="center"/>
    </xf>
    <xf numFmtId="9" fontId="107" fillId="6" borderId="9" xfId="0" applyNumberFormat="1" applyFont="1" applyFill="1" applyBorder="1" applyAlignment="1">
      <alignment horizontal="center"/>
    </xf>
    <xf numFmtId="171" fontId="0" fillId="6" borderId="9" xfId="0" applyNumberFormat="1" applyFill="1" applyBorder="1" applyAlignment="1">
      <alignment horizontal="center"/>
    </xf>
    <xf numFmtId="0" fontId="57" fillId="6" borderId="5" xfId="0" applyFont="1" applyFill="1" applyBorder="1" applyAlignment="1">
      <alignment horizontal="left"/>
    </xf>
    <xf numFmtId="9" fontId="74" fillId="16" borderId="1" xfId="0" applyNumberFormat="1" applyFont="1" applyFill="1" applyBorder="1" applyAlignment="1">
      <alignment horizontal="center"/>
    </xf>
    <xf numFmtId="167" fontId="56" fillId="9" borderId="1" xfId="0" applyNumberFormat="1" applyFont="1" applyFill="1" applyBorder="1" applyAlignment="1">
      <alignment horizontal="right"/>
    </xf>
    <xf numFmtId="0" fontId="57" fillId="8" borderId="7" xfId="0" applyFont="1" applyFill="1" applyBorder="1" applyAlignment="1">
      <alignment horizontal="left"/>
    </xf>
    <xf numFmtId="0" fontId="54" fillId="0" borderId="9" xfId="0" applyFont="1" applyBorder="1" applyAlignment="1">
      <alignment horizontal="center"/>
    </xf>
    <xf numFmtId="171" fontId="57" fillId="6" borderId="1" xfId="0" applyNumberFormat="1" applyFont="1" applyFill="1" applyBorder="1" applyAlignment="1">
      <alignment horizontal="center"/>
    </xf>
    <xf numFmtId="9" fontId="54" fillId="6" borderId="6" xfId="0" applyNumberFormat="1" applyFont="1" applyFill="1" applyBorder="1" applyAlignment="1">
      <alignment horizontal="center"/>
    </xf>
    <xf numFmtId="0" fontId="0" fillId="16" borderId="7" xfId="0" applyFill="1" applyBorder="1"/>
    <xf numFmtId="0" fontId="15" fillId="16" borderId="7" xfId="0" applyFont="1" applyFill="1" applyBorder="1"/>
    <xf numFmtId="9" fontId="56" fillId="14" borderId="3" xfId="0" applyNumberFormat="1" applyFont="1" applyFill="1" applyBorder="1" applyAlignment="1">
      <alignment horizontal="center"/>
    </xf>
    <xf numFmtId="0" fontId="54" fillId="16" borderId="6" xfId="0" applyFont="1" applyFill="1" applyBorder="1" applyAlignment="1">
      <alignment horizontal="center" vertical="center"/>
    </xf>
    <xf numFmtId="0" fontId="0" fillId="16" borderId="3" xfId="0" applyFill="1" applyBorder="1"/>
    <xf numFmtId="0" fontId="0" fillId="6" borderId="7" xfId="0" applyFill="1" applyBorder="1"/>
    <xf numFmtId="0" fontId="0" fillId="6" borderId="3" xfId="0" applyFill="1" applyBorder="1"/>
    <xf numFmtId="0" fontId="54" fillId="6" borderId="6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 vertical="center"/>
    </xf>
    <xf numFmtId="0" fontId="41" fillId="6" borderId="5" xfId="0" applyFont="1" applyFill="1" applyBorder="1" applyAlignment="1">
      <alignment horizontal="center"/>
    </xf>
    <xf numFmtId="9" fontId="131" fillId="14" borderId="9" xfId="0" applyNumberFormat="1" applyFont="1" applyFill="1" applyBorder="1" applyAlignment="1">
      <alignment horizontal="center"/>
    </xf>
    <xf numFmtId="9" fontId="77" fillId="6" borderId="9" xfId="0" applyNumberFormat="1" applyFont="1" applyFill="1" applyBorder="1" applyAlignment="1">
      <alignment horizontal="center"/>
    </xf>
    <xf numFmtId="0" fontId="123" fillId="6" borderId="8" xfId="0" applyFont="1" applyFill="1" applyBorder="1" applyAlignment="1">
      <alignment horizontal="center"/>
    </xf>
    <xf numFmtId="0" fontId="57" fillId="7" borderId="5" xfId="0" applyFont="1" applyFill="1" applyBorder="1"/>
    <xf numFmtId="0" fontId="56" fillId="9" borderId="8" xfId="0" applyFont="1" applyFill="1" applyBorder="1" applyAlignment="1">
      <alignment horizontal="center"/>
    </xf>
    <xf numFmtId="0" fontId="59" fillId="0" borderId="10" xfId="0" applyFont="1" applyBorder="1"/>
    <xf numFmtId="0" fontId="55" fillId="6" borderId="4" xfId="0" applyFont="1" applyFill="1" applyBorder="1"/>
    <xf numFmtId="0" fontId="60" fillId="6" borderId="1" xfId="0" applyFont="1" applyFill="1" applyBorder="1" applyAlignment="1">
      <alignment horizontal="center" vertical="center" wrapText="1"/>
    </xf>
    <xf numFmtId="0" fontId="60" fillId="6" borderId="4" xfId="0" applyFont="1" applyFill="1" applyBorder="1" applyAlignment="1">
      <alignment horizontal="center" vertical="center"/>
    </xf>
    <xf numFmtId="0" fontId="57" fillId="9" borderId="7" xfId="0" applyFont="1" applyFill="1" applyBorder="1" applyAlignment="1">
      <alignment horizontal="center" vertical="center"/>
    </xf>
    <xf numFmtId="171" fontId="57" fillId="6" borderId="3" xfId="0" applyNumberFormat="1" applyFont="1" applyFill="1" applyBorder="1" applyAlignment="1">
      <alignment horizontal="center"/>
    </xf>
    <xf numFmtId="0" fontId="85" fillId="5" borderId="1" xfId="0" applyFont="1" applyFill="1" applyBorder="1" applyAlignment="1">
      <alignment horizontal="center" vertical="center"/>
    </xf>
    <xf numFmtId="0" fontId="85" fillId="5" borderId="14" xfId="0" applyFont="1" applyFill="1" applyBorder="1" applyAlignment="1">
      <alignment horizontal="center" vertical="center"/>
    </xf>
    <xf numFmtId="171" fontId="56" fillId="8" borderId="1" xfId="0" applyNumberFormat="1" applyFont="1" applyFill="1" applyBorder="1" applyAlignment="1">
      <alignment horizontal="right"/>
    </xf>
    <xf numFmtId="0" fontId="54" fillId="11" borderId="5" xfId="0" applyFont="1" applyFill="1" applyBorder="1" applyAlignment="1">
      <alignment horizontal="center" vertical="center"/>
    </xf>
    <xf numFmtId="0" fontId="75" fillId="16" borderId="1" xfId="0" applyFont="1" applyFill="1" applyBorder="1" applyAlignment="1">
      <alignment wrapText="1"/>
    </xf>
    <xf numFmtId="0" fontId="38" fillId="16" borderId="1" xfId="0" applyFont="1" applyFill="1" applyBorder="1" applyAlignment="1">
      <alignment wrapText="1"/>
    </xf>
    <xf numFmtId="170" fontId="39" fillId="16" borderId="1" xfId="0" applyNumberFormat="1" applyFont="1" applyFill="1" applyBorder="1" applyAlignment="1">
      <alignment wrapText="1"/>
    </xf>
    <xf numFmtId="0" fontId="123" fillId="6" borderId="1" xfId="0" applyFont="1" applyFill="1" applyBorder="1" applyAlignment="1">
      <alignment horizontal="center" wrapText="1"/>
    </xf>
    <xf numFmtId="0" fontId="0" fillId="16" borderId="2" xfId="0" applyFill="1" applyBorder="1"/>
    <xf numFmtId="0" fontId="0" fillId="14" borderId="2" xfId="0" applyFill="1" applyBorder="1"/>
    <xf numFmtId="0" fontId="0" fillId="16" borderId="6" xfId="0" applyFill="1" applyBorder="1"/>
    <xf numFmtId="0" fontId="123" fillId="6" borderId="12" xfId="0" applyFont="1" applyFill="1" applyBorder="1" applyAlignment="1">
      <alignment horizontal="center"/>
    </xf>
    <xf numFmtId="0" fontId="59" fillId="6" borderId="9" xfId="0" applyFont="1" applyFill="1" applyBorder="1" applyAlignment="1">
      <alignment horizontal="center" vertical="center"/>
    </xf>
    <xf numFmtId="0" fontId="55" fillId="6" borderId="12" xfId="0" applyFont="1" applyFill="1" applyBorder="1" applyAlignment="1">
      <alignment horizontal="center" vertical="center"/>
    </xf>
    <xf numFmtId="171" fontId="57" fillId="6" borderId="5" xfId="0" applyNumberFormat="1" applyFont="1" applyFill="1" applyBorder="1" applyAlignment="1">
      <alignment horizontal="right"/>
    </xf>
    <xf numFmtId="0" fontId="55" fillId="6" borderId="7" xfId="0" applyFont="1" applyFill="1" applyBorder="1" applyAlignment="1">
      <alignment horizontal="center" vertical="center"/>
    </xf>
    <xf numFmtId="0" fontId="0" fillId="26" borderId="0" xfId="0" applyFill="1"/>
    <xf numFmtId="0" fontId="36" fillId="0" borderId="28" xfId="0" applyFont="1" applyBorder="1" applyAlignment="1">
      <alignment wrapText="1"/>
    </xf>
    <xf numFmtId="0" fontId="78" fillId="24" borderId="19" xfId="0" applyFont="1" applyFill="1" applyBorder="1" applyAlignment="1">
      <alignment horizontal="right" wrapText="1"/>
    </xf>
    <xf numFmtId="0" fontId="78" fillId="24" borderId="28" xfId="0" applyFont="1" applyFill="1" applyBorder="1" applyAlignment="1">
      <alignment horizontal="left" wrapText="1"/>
    </xf>
    <xf numFmtId="0" fontId="78" fillId="24" borderId="26" xfId="0" applyFont="1" applyFill="1" applyBorder="1" applyAlignment="1">
      <alignment wrapText="1"/>
    </xf>
    <xf numFmtId="0" fontId="36" fillId="24" borderId="1" xfId="0" applyFont="1" applyFill="1" applyBorder="1" applyAlignment="1">
      <alignment wrapText="1"/>
    </xf>
    <xf numFmtId="0" fontId="36" fillId="0" borderId="28" xfId="0" applyFont="1" applyBorder="1" applyAlignment="1">
      <alignment horizontal="left" wrapText="1"/>
    </xf>
    <xf numFmtId="14" fontId="78" fillId="24" borderId="19" xfId="0" applyNumberFormat="1" applyFont="1" applyFill="1" applyBorder="1" applyAlignment="1">
      <alignment horizontal="right" wrapText="1"/>
    </xf>
    <xf numFmtId="0" fontId="36" fillId="24" borderId="28" xfId="0" applyFont="1" applyFill="1" applyBorder="1" applyAlignment="1">
      <alignment wrapText="1"/>
    </xf>
    <xf numFmtId="0" fontId="78" fillId="24" borderId="28" xfId="0" applyFont="1" applyFill="1" applyBorder="1" applyAlignment="1">
      <alignment wrapText="1"/>
    </xf>
    <xf numFmtId="0" fontId="85" fillId="6" borderId="8" xfId="0" applyFont="1" applyFill="1" applyBorder="1" applyAlignment="1">
      <alignment horizontal="center" vertical="center"/>
    </xf>
    <xf numFmtId="0" fontId="85" fillId="6" borderId="8" xfId="0" applyFont="1" applyFill="1" applyBorder="1" applyAlignment="1">
      <alignment horizontal="left"/>
    </xf>
    <xf numFmtId="171" fontId="59" fillId="6" borderId="8" xfId="0" applyNumberFormat="1" applyFont="1" applyFill="1" applyBorder="1" applyAlignment="1">
      <alignment horizontal="left"/>
    </xf>
    <xf numFmtId="0" fontId="57" fillId="7" borderId="8" xfId="0" applyFont="1" applyFill="1" applyBorder="1"/>
    <xf numFmtId="0" fontId="123" fillId="6" borderId="7" xfId="0" applyFont="1" applyFill="1" applyBorder="1" applyAlignment="1">
      <alignment horizontal="center"/>
    </xf>
    <xf numFmtId="0" fontId="56" fillId="9" borderId="8" xfId="0" applyFont="1" applyFill="1" applyBorder="1" applyAlignment="1">
      <alignment horizontal="center" vertical="center"/>
    </xf>
    <xf numFmtId="0" fontId="55" fillId="6" borderId="5" xfId="0" applyFont="1" applyFill="1" applyBorder="1"/>
    <xf numFmtId="171" fontId="0" fillId="0" borderId="14" xfId="0" applyNumberFormat="1" applyBorder="1" applyAlignment="1">
      <alignment horizontal="center"/>
    </xf>
    <xf numFmtId="171" fontId="59" fillId="6" borderId="3" xfId="0" applyNumberFormat="1" applyFont="1" applyFill="1" applyBorder="1" applyAlignment="1">
      <alignment horizontal="right"/>
    </xf>
    <xf numFmtId="9" fontId="56" fillId="6" borderId="6" xfId="0" applyNumberFormat="1" applyFont="1" applyFill="1" applyBorder="1" applyAlignment="1">
      <alignment horizontal="center"/>
    </xf>
    <xf numFmtId="0" fontId="54" fillId="16" borderId="9" xfId="0" applyFont="1" applyFill="1" applyBorder="1" applyAlignment="1">
      <alignment horizontal="center" vertical="center"/>
    </xf>
    <xf numFmtId="0" fontId="39" fillId="16" borderId="1" xfId="0" applyFont="1" applyFill="1" applyBorder="1" applyAlignment="1">
      <alignment wrapText="1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14" borderId="3" xfId="0" applyFill="1" applyBorder="1" applyAlignment="1">
      <alignment wrapText="1"/>
    </xf>
    <xf numFmtId="0" fontId="0" fillId="14" borderId="1" xfId="0" applyFill="1" applyBorder="1" applyAlignment="1">
      <alignment horizontal="center" vertical="top"/>
    </xf>
    <xf numFmtId="171" fontId="57" fillId="6" borderId="6" xfId="0" applyNumberFormat="1" applyFont="1" applyFill="1" applyBorder="1" applyAlignment="1">
      <alignment horizontal="right"/>
    </xf>
    <xf numFmtId="9" fontId="0" fillId="14" borderId="1" xfId="0" applyNumberFormat="1" applyFill="1" applyBorder="1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6" fillId="16" borderId="1" xfId="0" applyFont="1" applyFill="1" applyBorder="1"/>
    <xf numFmtId="0" fontId="59" fillId="0" borderId="0" xfId="0" applyFont="1" applyAlignment="1">
      <alignment horizontal="left"/>
    </xf>
    <xf numFmtId="167" fontId="85" fillId="5" borderId="14" xfId="0" applyNumberFormat="1" applyFont="1" applyFill="1" applyBorder="1" applyAlignment="1">
      <alignment horizontal="center" vertical="center"/>
    </xf>
    <xf numFmtId="9" fontId="15" fillId="14" borderId="1" xfId="0" applyNumberFormat="1" applyFont="1" applyFill="1" applyBorder="1" applyAlignment="1">
      <alignment horizontal="center" vertical="center"/>
    </xf>
    <xf numFmtId="167" fontId="85" fillId="6" borderId="14" xfId="0" applyNumberFormat="1" applyFont="1" applyFill="1" applyBorder="1" applyAlignment="1">
      <alignment horizontal="center"/>
    </xf>
    <xf numFmtId="170" fontId="0" fillId="0" borderId="17" xfId="0" applyNumberFormat="1" applyBorder="1"/>
    <xf numFmtId="0" fontId="69" fillId="6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42" fillId="0" borderId="1" xfId="0" applyFont="1" applyBorder="1"/>
    <xf numFmtId="175" fontId="0" fillId="6" borderId="1" xfId="0" applyNumberFormat="1" applyFill="1" applyBorder="1" applyAlignment="1">
      <alignment horizontal="center"/>
    </xf>
    <xf numFmtId="0" fontId="85" fillId="5" borderId="1" xfId="0" applyFont="1" applyFill="1" applyBorder="1" applyAlignment="1">
      <alignment horizontal="center"/>
    </xf>
    <xf numFmtId="0" fontId="85" fillId="5" borderId="1" xfId="0" applyFont="1" applyFill="1" applyBorder="1" applyAlignment="1">
      <alignment horizontal="left"/>
    </xf>
    <xf numFmtId="175" fontId="85" fillId="6" borderId="1" xfId="0" applyNumberFormat="1" applyFon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15" fillId="16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 vertical="center"/>
    </xf>
    <xf numFmtId="0" fontId="15" fillId="16" borderId="1" xfId="0" applyFont="1" applyFill="1" applyBorder="1"/>
    <xf numFmtId="9" fontId="89" fillId="14" borderId="1" xfId="0" applyNumberFormat="1" applyFont="1" applyFill="1" applyBorder="1" applyAlignment="1">
      <alignment horizontal="center" vertical="center"/>
    </xf>
    <xf numFmtId="171" fontId="0" fillId="0" borderId="6" xfId="0" applyNumberFormat="1" applyBorder="1"/>
    <xf numFmtId="175" fontId="0" fillId="0" borderId="1" xfId="0" applyNumberFormat="1" applyBorder="1"/>
    <xf numFmtId="0" fontId="54" fillId="16" borderId="3" xfId="0" applyFont="1" applyFill="1" applyBorder="1" applyAlignment="1">
      <alignment horizontal="center" vertical="center"/>
    </xf>
    <xf numFmtId="9" fontId="0" fillId="0" borderId="0" xfId="0" applyNumberFormat="1"/>
    <xf numFmtId="174" fontId="0" fillId="0" borderId="1" xfId="0" applyNumberFormat="1" applyBorder="1" applyAlignment="1">
      <alignment horizontal="center"/>
    </xf>
    <xf numFmtId="9" fontId="56" fillId="6" borderId="12" xfId="0" applyNumberFormat="1" applyFont="1" applyFill="1" applyBorder="1" applyAlignment="1">
      <alignment horizontal="center" vertical="center"/>
    </xf>
    <xf numFmtId="165" fontId="60" fillId="6" borderId="1" xfId="0" applyNumberFormat="1" applyFont="1" applyFill="1" applyBorder="1"/>
    <xf numFmtId="0" fontId="85" fillId="6" borderId="9" xfId="0" applyFont="1" applyFill="1" applyBorder="1" applyAlignment="1">
      <alignment horizontal="left"/>
    </xf>
    <xf numFmtId="0" fontId="55" fillId="6" borderId="5" xfId="0" applyFont="1" applyFill="1" applyBorder="1" applyAlignment="1">
      <alignment horizontal="center"/>
    </xf>
    <xf numFmtId="0" fontId="142" fillId="0" borderId="5" xfId="0" applyFont="1" applyBorder="1"/>
    <xf numFmtId="0" fontId="85" fillId="6" borderId="5" xfId="0" applyFont="1" applyFill="1" applyBorder="1" applyAlignment="1">
      <alignment horizontal="center"/>
    </xf>
    <xf numFmtId="9" fontId="85" fillId="6" borderId="5" xfId="0" applyNumberFormat="1" applyFont="1" applyFill="1" applyBorder="1" applyAlignment="1">
      <alignment horizontal="center"/>
    </xf>
    <xf numFmtId="175" fontId="0" fillId="6" borderId="5" xfId="0" applyNumberFormat="1" applyFill="1" applyBorder="1" applyAlignment="1">
      <alignment horizontal="center"/>
    </xf>
    <xf numFmtId="165" fontId="0" fillId="0" borderId="1" xfId="0" applyNumberFormat="1" applyBorder="1"/>
    <xf numFmtId="9" fontId="89" fillId="0" borderId="1" xfId="0" applyNumberFormat="1" applyFont="1" applyBorder="1" applyAlignment="1">
      <alignment horizontal="center"/>
    </xf>
    <xf numFmtId="9" fontId="143" fillId="6" borderId="1" xfId="0" applyNumberFormat="1" applyFont="1" applyFill="1" applyBorder="1" applyAlignment="1">
      <alignment horizontal="center"/>
    </xf>
    <xf numFmtId="0" fontId="54" fillId="6" borderId="14" xfId="0" applyFont="1" applyFill="1" applyBorder="1" applyAlignment="1">
      <alignment horizontal="left"/>
    </xf>
    <xf numFmtId="175" fontId="0" fillId="0" borderId="1" xfId="0" applyNumberFormat="1" applyBorder="1" applyAlignment="1">
      <alignment horizontal="left"/>
    </xf>
    <xf numFmtId="0" fontId="85" fillId="14" borderId="3" xfId="0" applyFont="1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16" borderId="3" xfId="0" applyFill="1" applyBorder="1" applyAlignment="1">
      <alignment wrapText="1"/>
    </xf>
    <xf numFmtId="167" fontId="56" fillId="10" borderId="56" xfId="0" applyNumberFormat="1" applyFont="1" applyFill="1" applyBorder="1"/>
    <xf numFmtId="167" fontId="57" fillId="11" borderId="57" xfId="0" applyNumberFormat="1" applyFont="1" applyFill="1" applyBorder="1" applyAlignment="1">
      <alignment horizontal="right"/>
    </xf>
    <xf numFmtId="167" fontId="57" fillId="35" borderId="57" xfId="0" applyNumberFormat="1" applyFont="1" applyFill="1" applyBorder="1" applyAlignment="1">
      <alignment horizontal="right"/>
    </xf>
    <xf numFmtId="0" fontId="41" fillId="16" borderId="59" xfId="0" applyFont="1" applyFill="1" applyBorder="1" applyAlignment="1">
      <alignment wrapText="1"/>
    </xf>
    <xf numFmtId="167" fontId="41" fillId="16" borderId="59" xfId="0" applyNumberFormat="1" applyFont="1" applyFill="1" applyBorder="1" applyAlignment="1">
      <alignment wrapText="1"/>
    </xf>
    <xf numFmtId="167" fontId="56" fillId="6" borderId="60" xfId="0" applyNumberFormat="1" applyFont="1" applyFill="1" applyBorder="1"/>
    <xf numFmtId="3" fontId="57" fillId="6" borderId="2" xfId="0" applyNumberFormat="1" applyFont="1" applyFill="1" applyBorder="1" applyAlignment="1">
      <alignment horizontal="center"/>
    </xf>
    <xf numFmtId="0" fontId="57" fillId="9" borderId="2" xfId="0" applyFont="1" applyFill="1" applyBorder="1" applyAlignment="1">
      <alignment horizontal="center"/>
    </xf>
    <xf numFmtId="165" fontId="60" fillId="6" borderId="6" xfId="0" applyNumberFormat="1" applyFont="1" applyFill="1" applyBorder="1"/>
    <xf numFmtId="165" fontId="57" fillId="7" borderId="1" xfId="0" applyNumberFormat="1" applyFont="1" applyFill="1" applyBorder="1" applyAlignment="1">
      <alignment horizontal="right"/>
    </xf>
    <xf numFmtId="165" fontId="59" fillId="6" borderId="1" xfId="0" applyNumberFormat="1" applyFont="1" applyFill="1" applyBorder="1" applyAlignment="1">
      <alignment horizontal="right"/>
    </xf>
    <xf numFmtId="165" fontId="57" fillId="6" borderId="1" xfId="0" applyNumberFormat="1" applyFont="1" applyFill="1" applyBorder="1" applyAlignment="1">
      <alignment horizontal="right"/>
    </xf>
    <xf numFmtId="175" fontId="85" fillId="6" borderId="14" xfId="0" applyNumberFormat="1" applyFont="1" applyFill="1" applyBorder="1" applyAlignment="1">
      <alignment horizontal="center"/>
    </xf>
    <xf numFmtId="175" fontId="59" fillId="6" borderId="1" xfId="0" applyNumberFormat="1" applyFont="1" applyFill="1" applyBorder="1" applyAlignment="1">
      <alignment horizontal="right"/>
    </xf>
    <xf numFmtId="173" fontId="57" fillId="26" borderId="58" xfId="0" applyNumberFormat="1" applyFont="1" applyFill="1" applyBorder="1" applyAlignment="1">
      <alignment horizontal="right"/>
    </xf>
    <xf numFmtId="0" fontId="56" fillId="14" borderId="7" xfId="0" applyFont="1" applyFill="1" applyBorder="1" applyAlignment="1">
      <alignment horizontal="center" vertical="center"/>
    </xf>
    <xf numFmtId="171" fontId="57" fillId="9" borderId="9" xfId="0" applyNumberFormat="1" applyFont="1" applyFill="1" applyBorder="1" applyAlignment="1">
      <alignment horizontal="center" vertical="center"/>
    </xf>
    <xf numFmtId="9" fontId="74" fillId="14" borderId="12" xfId="0" applyNumberFormat="1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9" xfId="0" applyFont="1" applyFill="1" applyBorder="1"/>
    <xf numFmtId="0" fontId="15" fillId="6" borderId="9" xfId="0" applyFont="1" applyFill="1" applyBorder="1" applyAlignment="1">
      <alignment horizontal="center"/>
    </xf>
    <xf numFmtId="9" fontId="0" fillId="16" borderId="1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  <xf numFmtId="167" fontId="9" fillId="6" borderId="0" xfId="0" applyNumberFormat="1" applyFont="1" applyFill="1"/>
    <xf numFmtId="0" fontId="85" fillId="16" borderId="3" xfId="0" applyFont="1" applyFill="1" applyBorder="1" applyAlignment="1">
      <alignment horizontal="left"/>
    </xf>
    <xf numFmtId="175" fontId="60" fillId="6" borderId="6" xfId="0" applyNumberFormat="1" applyFont="1" applyFill="1" applyBorder="1"/>
    <xf numFmtId="175" fontId="57" fillId="6" borderId="1" xfId="0" applyNumberFormat="1" applyFont="1" applyFill="1" applyBorder="1" applyAlignment="1">
      <alignment horizontal="right"/>
    </xf>
    <xf numFmtId="175" fontId="57" fillId="7" borderId="1" xfId="0" applyNumberFormat="1" applyFont="1" applyFill="1" applyBorder="1" applyAlignment="1">
      <alignment horizontal="right"/>
    </xf>
    <xf numFmtId="0" fontId="23" fillId="16" borderId="1" xfId="0" applyFont="1" applyFill="1" applyBorder="1"/>
    <xf numFmtId="0" fontId="144" fillId="0" borderId="1" xfId="0" applyFont="1" applyBorder="1"/>
    <xf numFmtId="0" fontId="85" fillId="16" borderId="1" xfId="0" applyFont="1" applyFill="1" applyBorder="1" applyAlignment="1">
      <alignment horizontal="center"/>
    </xf>
    <xf numFmtId="175" fontId="0" fillId="6" borderId="1" xfId="0" applyNumberFormat="1" applyFill="1" applyBorder="1"/>
    <xf numFmtId="165" fontId="60" fillId="6" borderId="13" xfId="0" applyNumberFormat="1" applyFont="1" applyFill="1" applyBorder="1"/>
    <xf numFmtId="9" fontId="0" fillId="0" borderId="6" xfId="0" applyNumberFormat="1" applyBorder="1" applyAlignment="1">
      <alignment horizontal="center"/>
    </xf>
    <xf numFmtId="0" fontId="15" fillId="16" borderId="1" xfId="0" applyFont="1" applyFill="1" applyBorder="1" applyAlignment="1">
      <alignment horizontal="left"/>
    </xf>
    <xf numFmtId="0" fontId="0" fillId="14" borderId="3" xfId="0" applyFill="1" applyBorder="1" applyAlignment="1">
      <alignment horizontal="left"/>
    </xf>
    <xf numFmtId="0" fontId="0" fillId="16" borderId="9" xfId="0" applyFill="1" applyBorder="1" applyAlignment="1">
      <alignment horizontal="center" vertical="center"/>
    </xf>
    <xf numFmtId="9" fontId="0" fillId="6" borderId="9" xfId="0" applyNumberFormat="1" applyFill="1" applyBorder="1" applyAlignment="1">
      <alignment horizontal="center"/>
    </xf>
    <xf numFmtId="9" fontId="0" fillId="16" borderId="5" xfId="0" applyNumberForma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/>
    </xf>
    <xf numFmtId="175" fontId="60" fillId="6" borderId="1" xfId="0" applyNumberFormat="1" applyFont="1" applyFill="1" applyBorder="1"/>
    <xf numFmtId="175" fontId="59" fillId="6" borderId="14" xfId="0" applyNumberFormat="1" applyFont="1" applyFill="1" applyBorder="1" applyAlignment="1">
      <alignment horizontal="right"/>
    </xf>
    <xf numFmtId="0" fontId="15" fillId="14" borderId="3" xfId="0" applyFont="1" applyFill="1" applyBorder="1" applyAlignment="1">
      <alignment horizontal="left"/>
    </xf>
    <xf numFmtId="0" fontId="54" fillId="14" borderId="4" xfId="0" applyFont="1" applyFill="1" applyBorder="1" applyAlignment="1">
      <alignment horizontal="center" vertical="center"/>
    </xf>
    <xf numFmtId="9" fontId="0" fillId="14" borderId="9" xfId="0" applyNumberFormat="1" applyFill="1" applyBorder="1" applyAlignment="1">
      <alignment horizontal="center" vertical="center"/>
    </xf>
    <xf numFmtId="0" fontId="0" fillId="0" borderId="55" xfId="0" applyBorder="1"/>
    <xf numFmtId="0" fontId="85" fillId="16" borderId="1" xfId="0" applyFont="1" applyFill="1" applyBorder="1" applyAlignment="1">
      <alignment horizontal="left"/>
    </xf>
    <xf numFmtId="0" fontId="83" fillId="0" borderId="0" xfId="0" applyFont="1"/>
    <xf numFmtId="9" fontId="54" fillId="16" borderId="4" xfId="0" applyNumberFormat="1" applyFont="1" applyFill="1" applyBorder="1" applyAlignment="1">
      <alignment horizontal="center"/>
    </xf>
    <xf numFmtId="167" fontId="85" fillId="5" borderId="1" xfId="0" applyNumberFormat="1" applyFont="1" applyFill="1" applyBorder="1" applyAlignment="1">
      <alignment horizontal="center"/>
    </xf>
    <xf numFmtId="3" fontId="85" fillId="5" borderId="1" xfId="0" applyNumberFormat="1" applyFont="1" applyFill="1" applyBorder="1" applyAlignment="1">
      <alignment horizontal="center"/>
    </xf>
    <xf numFmtId="0" fontId="123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11" borderId="1" xfId="0" applyFill="1" applyBorder="1"/>
    <xf numFmtId="0" fontId="85" fillId="14" borderId="1" xfId="0" applyFont="1" applyFill="1" applyBorder="1" applyAlignment="1">
      <alignment horizontal="left"/>
    </xf>
    <xf numFmtId="9" fontId="85" fillId="14" borderId="5" xfId="0" applyNumberFormat="1" applyFont="1" applyFill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1" fontId="85" fillId="6" borderId="5" xfId="0" applyNumberFormat="1" applyFont="1" applyFill="1" applyBorder="1" applyAlignment="1">
      <alignment horizontal="center"/>
    </xf>
    <xf numFmtId="171" fontId="0" fillId="6" borderId="1" xfId="0" applyNumberFormat="1" applyFill="1" applyBorder="1" applyAlignment="1">
      <alignment horizontal="left"/>
    </xf>
    <xf numFmtId="171" fontId="85" fillId="6" borderId="1" xfId="0" applyNumberFormat="1" applyFont="1" applyFill="1" applyBorder="1" applyAlignment="1">
      <alignment horizontal="center"/>
    </xf>
    <xf numFmtId="9" fontId="136" fillId="0" borderId="1" xfId="0" applyNumberFormat="1" applyFont="1" applyBorder="1" applyAlignment="1">
      <alignment horizontal="center"/>
    </xf>
    <xf numFmtId="9" fontId="136" fillId="0" borderId="9" xfId="0" applyNumberFormat="1" applyFont="1" applyBorder="1" applyAlignment="1">
      <alignment horizontal="center"/>
    </xf>
    <xf numFmtId="0" fontId="0" fillId="14" borderId="8" xfId="0" applyFill="1" applyBorder="1" applyAlignment="1">
      <alignment horizontal="left"/>
    </xf>
    <xf numFmtId="0" fontId="0" fillId="14" borderId="7" xfId="0" applyFill="1" applyBorder="1" applyAlignment="1">
      <alignment horizontal="left"/>
    </xf>
    <xf numFmtId="0" fontId="15" fillId="14" borderId="7" xfId="0" applyFont="1" applyFill="1" applyBorder="1" applyAlignment="1">
      <alignment horizontal="left"/>
    </xf>
    <xf numFmtId="0" fontId="85" fillId="14" borderId="8" xfId="0" applyFont="1" applyFill="1" applyBorder="1" applyAlignment="1">
      <alignment horizontal="left"/>
    </xf>
    <xf numFmtId="0" fontId="85" fillId="14" borderId="2" xfId="0" applyFont="1" applyFill="1" applyBorder="1" applyAlignment="1">
      <alignment horizontal="left"/>
    </xf>
    <xf numFmtId="0" fontId="15" fillId="14" borderId="2" xfId="0" applyFont="1" applyFill="1" applyBorder="1" applyAlignment="1">
      <alignment horizontal="left"/>
    </xf>
    <xf numFmtId="0" fontId="0" fillId="14" borderId="2" xfId="0" applyFill="1" applyBorder="1" applyAlignment="1">
      <alignment horizontal="left"/>
    </xf>
    <xf numFmtId="9" fontId="123" fillId="14" borderId="1" xfId="0" applyNumberFormat="1" applyFont="1" applyFill="1" applyBorder="1" applyAlignment="1">
      <alignment horizontal="center"/>
    </xf>
    <xf numFmtId="9" fontId="123" fillId="14" borderId="5" xfId="0" applyNumberFormat="1" applyFont="1" applyFill="1" applyBorder="1" applyAlignment="1">
      <alignment horizontal="center"/>
    </xf>
    <xf numFmtId="0" fontId="142" fillId="6" borderId="1" xfId="0" applyFont="1" applyFill="1" applyBorder="1"/>
    <xf numFmtId="9" fontId="89" fillId="14" borderId="1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14" borderId="4" xfId="0" applyNumberFormat="1" applyFill="1" applyBorder="1" applyAlignment="1">
      <alignment horizontal="center" vertical="center"/>
    </xf>
    <xf numFmtId="168" fontId="56" fillId="8" borderId="1" xfId="0" applyNumberFormat="1" applyFont="1" applyFill="1" applyBorder="1" applyAlignment="1">
      <alignment horizontal="right"/>
    </xf>
    <xf numFmtId="168" fontId="55" fillId="8" borderId="5" xfId="0" applyNumberFormat="1" applyFont="1" applyFill="1" applyBorder="1" applyAlignment="1">
      <alignment horizontal="center"/>
    </xf>
    <xf numFmtId="14" fontId="0" fillId="11" borderId="1" xfId="0" applyNumberForma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83" fillId="11" borderId="1" xfId="0" applyFont="1" applyFill="1" applyBorder="1"/>
    <xf numFmtId="171" fontId="0" fillId="11" borderId="1" xfId="0" applyNumberFormat="1" applyFill="1" applyBorder="1" applyAlignment="1">
      <alignment horizontal="left"/>
    </xf>
    <xf numFmtId="170" fontId="0" fillId="11" borderId="1" xfId="0" applyNumberFormat="1" applyFill="1" applyBorder="1" applyAlignment="1">
      <alignment horizontal="left"/>
    </xf>
    <xf numFmtId="175" fontId="0" fillId="11" borderId="1" xfId="0" applyNumberFormat="1" applyFill="1" applyBorder="1" applyAlignment="1">
      <alignment horizontal="left"/>
    </xf>
    <xf numFmtId="0" fontId="75" fillId="6" borderId="0" xfId="0" applyFont="1" applyFill="1" applyAlignment="1">
      <alignment horizontal="center" wrapText="1"/>
    </xf>
    <xf numFmtId="170" fontId="76" fillId="6" borderId="0" xfId="0" applyNumberFormat="1" applyFont="1" applyFill="1" applyAlignment="1">
      <alignment wrapText="1"/>
    </xf>
    <xf numFmtId="9" fontId="136" fillId="16" borderId="1" xfId="0" applyNumberFormat="1" applyFont="1" applyFill="1" applyBorder="1" applyAlignment="1">
      <alignment horizontal="center"/>
    </xf>
    <xf numFmtId="9" fontId="54" fillId="14" borderId="5" xfId="0" applyNumberFormat="1" applyFont="1" applyFill="1" applyBorder="1" applyAlignment="1">
      <alignment horizontal="center" vertical="center"/>
    </xf>
    <xf numFmtId="9" fontId="143" fillId="14" borderId="1" xfId="0" applyNumberFormat="1" applyFont="1" applyFill="1" applyBorder="1" applyAlignment="1">
      <alignment horizontal="center"/>
    </xf>
    <xf numFmtId="0" fontId="56" fillId="6" borderId="1" xfId="0" applyFont="1" applyFill="1" applyBorder="1" applyAlignment="1">
      <alignment horizontal="left"/>
    </xf>
    <xf numFmtId="175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56" fillId="14" borderId="8" xfId="0" applyFont="1" applyFill="1" applyBorder="1" applyAlignment="1">
      <alignment horizontal="left"/>
    </xf>
    <xf numFmtId="0" fontId="6" fillId="1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166" fontId="132" fillId="14" borderId="0" xfId="0" applyNumberFormat="1" applyFont="1" applyFill="1" applyAlignment="1">
      <alignment horizontal="center"/>
    </xf>
    <xf numFmtId="0" fontId="71" fillId="14" borderId="9" xfId="0" applyFont="1" applyFill="1" applyBorder="1" applyAlignment="1">
      <alignment horizontal="center"/>
    </xf>
    <xf numFmtId="0" fontId="71" fillId="14" borderId="1" xfId="0" applyFont="1" applyFill="1" applyBorder="1" applyAlignment="1">
      <alignment horizontal="center"/>
    </xf>
    <xf numFmtId="0" fontId="71" fillId="14" borderId="8" xfId="0" applyFont="1" applyFill="1" applyBorder="1" applyAlignment="1">
      <alignment horizontal="center"/>
    </xf>
    <xf numFmtId="0" fontId="71" fillId="14" borderId="6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166" fontId="1" fillId="14" borderId="0" xfId="0" applyNumberFormat="1" applyFont="1" applyFill="1" applyAlignment="1">
      <alignment horizontal="center"/>
    </xf>
    <xf numFmtId="0" fontId="12" fillId="40" borderId="8" xfId="0" applyFont="1" applyFill="1" applyBorder="1" applyAlignment="1">
      <alignment horizontal="center"/>
    </xf>
    <xf numFmtId="0" fontId="12" fillId="40" borderId="8" xfId="0" applyFont="1" applyFill="1" applyBorder="1" applyAlignment="1">
      <alignment horizontal="center" vertical="center"/>
    </xf>
    <xf numFmtId="166" fontId="1" fillId="15" borderId="0" xfId="0" applyNumberFormat="1" applyFont="1" applyFill="1" applyAlignment="1">
      <alignment horizontal="center"/>
    </xf>
    <xf numFmtId="0" fontId="12" fillId="40" borderId="9" xfId="0" applyFont="1" applyFill="1" applyBorder="1" applyAlignment="1">
      <alignment horizontal="center"/>
    </xf>
    <xf numFmtId="0" fontId="123" fillId="6" borderId="14" xfId="0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0" fontId="12" fillId="14" borderId="0" xfId="0" applyFont="1" applyFill="1" applyAlignment="1">
      <alignment horizontal="center"/>
    </xf>
    <xf numFmtId="0" fontId="12" fillId="40" borderId="2" xfId="0" applyFont="1" applyFill="1" applyBorder="1" applyAlignment="1">
      <alignment horizontal="center"/>
    </xf>
    <xf numFmtId="0" fontId="12" fillId="40" borderId="0" xfId="0" applyFont="1" applyFill="1" applyAlignment="1">
      <alignment horizontal="center"/>
    </xf>
    <xf numFmtId="0" fontId="60" fillId="6" borderId="3" xfId="0" applyFont="1" applyFill="1" applyBorder="1" applyAlignment="1">
      <alignment horizontal="center" vertical="center"/>
    </xf>
    <xf numFmtId="0" fontId="60" fillId="6" borderId="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/>
    </xf>
    <xf numFmtId="0" fontId="71" fillId="14" borderId="2" xfId="0" applyFont="1" applyFill="1" applyBorder="1" applyAlignment="1">
      <alignment horizontal="center"/>
    </xf>
    <xf numFmtId="0" fontId="71" fillId="14" borderId="0" xfId="0" applyFont="1" applyFill="1" applyAlignment="1">
      <alignment horizontal="center"/>
    </xf>
    <xf numFmtId="0" fontId="123" fillId="6" borderId="11" xfId="0" applyFont="1" applyFill="1" applyBorder="1" applyAlignment="1">
      <alignment horizontal="center"/>
    </xf>
    <xf numFmtId="0" fontId="123" fillId="6" borderId="14" xfId="0" applyFont="1" applyFill="1" applyBorder="1" applyAlignment="1">
      <alignment horizontal="center" wrapText="1"/>
    </xf>
    <xf numFmtId="0" fontId="71" fillId="14" borderId="0" xfId="0" applyFont="1" applyFill="1" applyAlignment="1">
      <alignment horizontal="center" vertical="center"/>
    </xf>
    <xf numFmtId="0" fontId="85" fillId="5" borderId="0" xfId="0" applyFont="1" applyFill="1" applyAlignment="1">
      <alignment horizontal="center" vertical="center"/>
    </xf>
    <xf numFmtId="0" fontId="57" fillId="9" borderId="0" xfId="0" applyFont="1" applyFill="1" applyAlignment="1">
      <alignment horizontal="center" vertical="center"/>
    </xf>
    <xf numFmtId="0" fontId="85" fillId="5" borderId="4" xfId="0" applyFont="1" applyFill="1" applyBorder="1" applyAlignment="1">
      <alignment horizontal="center"/>
    </xf>
    <xf numFmtId="0" fontId="85" fillId="5" borderId="5" xfId="0" applyFont="1" applyFill="1" applyBorder="1" applyAlignment="1">
      <alignment horizontal="center"/>
    </xf>
    <xf numFmtId="175" fontId="56" fillId="6" borderId="1" xfId="0" applyNumberFormat="1" applyFont="1" applyFill="1" applyBorder="1" applyAlignment="1">
      <alignment horizontal="center"/>
    </xf>
    <xf numFmtId="9" fontId="74" fillId="14" borderId="1" xfId="0" applyNumberFormat="1" applyFont="1" applyFill="1" applyBorder="1" applyAlignment="1">
      <alignment horizontal="center" vertical="center"/>
    </xf>
    <xf numFmtId="0" fontId="0" fillId="11" borderId="17" xfId="0" applyFill="1" applyBorder="1"/>
    <xf numFmtId="0" fontId="0" fillId="11" borderId="1" xfId="0" applyFill="1" applyBorder="1" applyAlignment="1">
      <alignment horizontal="center"/>
    </xf>
    <xf numFmtId="0" fontId="6" fillId="14" borderId="9" xfId="0" applyFont="1" applyFill="1" applyBorder="1" applyAlignment="1">
      <alignment horizontal="center" vertical="center"/>
    </xf>
    <xf numFmtId="9" fontId="6" fillId="14" borderId="9" xfId="0" applyNumberFormat="1" applyFont="1" applyFill="1" applyBorder="1" applyAlignment="1">
      <alignment horizontal="center"/>
    </xf>
    <xf numFmtId="0" fontId="0" fillId="0" borderId="40" xfId="0" applyBorder="1"/>
    <xf numFmtId="175" fontId="0" fillId="0" borderId="9" xfId="0" applyNumberFormat="1" applyBorder="1"/>
    <xf numFmtId="165" fontId="0" fillId="11" borderId="1" xfId="0" applyNumberFormat="1" applyFill="1" applyBorder="1" applyAlignment="1">
      <alignment horizontal="left"/>
    </xf>
    <xf numFmtId="0" fontId="123" fillId="6" borderId="5" xfId="0" applyFont="1" applyFill="1" applyBorder="1" applyAlignment="1">
      <alignment horizontal="center"/>
    </xf>
    <xf numFmtId="164" fontId="0" fillId="6" borderId="1" xfId="0" applyNumberFormat="1" applyFill="1" applyBorder="1"/>
    <xf numFmtId="0" fontId="85" fillId="6" borderId="2" xfId="0" applyFont="1" applyFill="1" applyBorder="1" applyAlignment="1">
      <alignment horizontal="center"/>
    </xf>
    <xf numFmtId="0" fontId="145" fillId="6" borderId="1" xfId="0" applyFont="1" applyFill="1" applyBorder="1" applyAlignment="1">
      <alignment horizontal="center" vertical="center"/>
    </xf>
    <xf numFmtId="9" fontId="145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/>
    </xf>
    <xf numFmtId="0" fontId="85" fillId="6" borderId="5" xfId="0" applyFont="1" applyFill="1" applyBorder="1" applyAlignment="1">
      <alignment horizontal="center" vertical="center"/>
    </xf>
    <xf numFmtId="0" fontId="85" fillId="6" borderId="11" xfId="0" applyFont="1" applyFill="1" applyBorder="1" applyAlignment="1">
      <alignment horizontal="center" vertical="center"/>
    </xf>
    <xf numFmtId="0" fontId="123" fillId="5" borderId="4" xfId="0" applyFont="1" applyFill="1" applyBorder="1" applyAlignment="1">
      <alignment horizontal="center"/>
    </xf>
    <xf numFmtId="0" fontId="123" fillId="5" borderId="1" xfId="0" applyFont="1" applyFill="1" applyBorder="1" applyAlignment="1">
      <alignment horizontal="center" vertical="center"/>
    </xf>
    <xf numFmtId="0" fontId="123" fillId="5" borderId="1" xfId="0" applyFont="1" applyFill="1" applyBorder="1" applyAlignment="1">
      <alignment horizontal="left"/>
    </xf>
    <xf numFmtId="167" fontId="123" fillId="5" borderId="1" xfId="0" applyNumberFormat="1" applyFont="1" applyFill="1" applyBorder="1" applyAlignment="1">
      <alignment horizontal="center"/>
    </xf>
    <xf numFmtId="3" fontId="123" fillId="5" borderId="1" xfId="0" applyNumberFormat="1" applyFont="1" applyFill="1" applyBorder="1" applyAlignment="1">
      <alignment horizontal="center"/>
    </xf>
    <xf numFmtId="0" fontId="54" fillId="14" borderId="5" xfId="0" applyFont="1" applyFill="1" applyBorder="1" applyAlignment="1">
      <alignment horizontal="left" vertical="center"/>
    </xf>
    <xf numFmtId="171" fontId="6" fillId="0" borderId="1" xfId="0" applyNumberFormat="1" applyFont="1" applyBorder="1"/>
    <xf numFmtId="9" fontId="55" fillId="6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/>
    </xf>
    <xf numFmtId="0" fontId="6" fillId="16" borderId="9" xfId="0" applyFont="1" applyFill="1" applyBorder="1"/>
    <xf numFmtId="171" fontId="6" fillId="0" borderId="9" xfId="0" applyNumberFormat="1" applyFont="1" applyBorder="1"/>
    <xf numFmtId="0" fontId="6" fillId="0" borderId="9" xfId="0" applyFont="1" applyBorder="1" applyAlignment="1">
      <alignment horizontal="center" vertical="center"/>
    </xf>
    <xf numFmtId="0" fontId="56" fillId="8" borderId="1" xfId="0" applyFont="1" applyFill="1" applyBorder="1" applyAlignment="1">
      <alignment horizontal="left"/>
    </xf>
    <xf numFmtId="175" fontId="6" fillId="0" borderId="1" xfId="0" applyNumberFormat="1" applyFont="1" applyBorder="1"/>
    <xf numFmtId="0" fontId="123" fillId="14" borderId="3" xfId="0" applyFont="1" applyFill="1" applyBorder="1" applyAlignment="1">
      <alignment horizontal="left"/>
    </xf>
    <xf numFmtId="175" fontId="123" fillId="6" borderId="14" xfId="0" applyNumberFormat="1" applyFont="1" applyFill="1" applyBorder="1" applyAlignment="1">
      <alignment horizontal="center"/>
    </xf>
    <xf numFmtId="171" fontId="6" fillId="0" borderId="14" xfId="0" applyNumberFormat="1" applyFont="1" applyBorder="1"/>
    <xf numFmtId="9" fontId="123" fillId="6" borderId="1" xfId="0" applyNumberFormat="1" applyFont="1" applyFill="1" applyBorder="1" applyAlignment="1">
      <alignment horizontal="center"/>
    </xf>
    <xf numFmtId="9" fontId="123" fillId="16" borderId="1" xfId="0" applyNumberFormat="1" applyFont="1" applyFill="1" applyBorder="1" applyAlignment="1">
      <alignment horizontal="center"/>
    </xf>
    <xf numFmtId="0" fontId="123" fillId="16" borderId="3" xfId="0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54" fillId="16" borderId="4" xfId="0" applyFont="1" applyFill="1" applyBorder="1" applyAlignment="1">
      <alignment horizontal="center" vertical="center"/>
    </xf>
    <xf numFmtId="0" fontId="123" fillId="16" borderId="9" xfId="0" applyFont="1" applyFill="1" applyBorder="1" applyAlignment="1">
      <alignment horizontal="center"/>
    </xf>
    <xf numFmtId="0" fontId="123" fillId="16" borderId="11" xfId="0" applyFont="1" applyFill="1" applyBorder="1" applyAlignment="1">
      <alignment horizontal="left"/>
    </xf>
    <xf numFmtId="175" fontId="6" fillId="0" borderId="9" xfId="0" applyNumberFormat="1" applyFont="1" applyBorder="1"/>
    <xf numFmtId="0" fontId="6" fillId="0" borderId="9" xfId="0" applyFont="1" applyBorder="1" applyAlignment="1">
      <alignment horizontal="center"/>
    </xf>
    <xf numFmtId="0" fontId="11" fillId="14" borderId="3" xfId="0" applyFont="1" applyFill="1" applyBorder="1"/>
    <xf numFmtId="175" fontId="56" fillId="6" borderId="1" xfId="0" applyNumberFormat="1" applyFont="1" applyFill="1" applyBorder="1" applyAlignment="1">
      <alignment horizontal="right"/>
    </xf>
    <xf numFmtId="171" fontId="55" fillId="6" borderId="1" xfId="0" applyNumberFormat="1" applyFont="1" applyFill="1" applyBorder="1" applyAlignment="1">
      <alignment horizontal="center" vertical="center"/>
    </xf>
    <xf numFmtId="0" fontId="123" fillId="6" borderId="12" xfId="0" applyFont="1" applyFill="1" applyBorder="1" applyAlignment="1">
      <alignment horizontal="left"/>
    </xf>
    <xf numFmtId="0" fontId="123" fillId="6" borderId="13" xfId="0" applyFont="1" applyFill="1" applyBorder="1" applyAlignment="1">
      <alignment horizontal="center"/>
    </xf>
    <xf numFmtId="0" fontId="147" fillId="0" borderId="1" xfId="0" applyFont="1" applyBorder="1"/>
    <xf numFmtId="175" fontId="6" fillId="6" borderId="1" xfId="0" applyNumberFormat="1" applyFont="1" applyFill="1" applyBorder="1" applyAlignment="1">
      <alignment horizontal="center"/>
    </xf>
    <xf numFmtId="0" fontId="6" fillId="14" borderId="3" xfId="0" applyFont="1" applyFill="1" applyBorder="1"/>
    <xf numFmtId="0" fontId="6" fillId="0" borderId="8" xfId="0" applyFont="1" applyBorder="1"/>
    <xf numFmtId="0" fontId="6" fillId="0" borderId="6" xfId="0" applyFont="1" applyBorder="1"/>
    <xf numFmtId="9" fontId="56" fillId="14" borderId="5" xfId="0" applyNumberFormat="1" applyFont="1" applyFill="1" applyBorder="1" applyAlignment="1">
      <alignment horizontal="left"/>
    </xf>
    <xf numFmtId="0" fontId="6" fillId="16" borderId="3" xfId="0" applyFont="1" applyFill="1" applyBorder="1"/>
    <xf numFmtId="175" fontId="56" fillId="6" borderId="9" xfId="0" applyNumberFormat="1" applyFont="1" applyFill="1" applyBorder="1" applyAlignment="1">
      <alignment horizontal="right"/>
    </xf>
    <xf numFmtId="0" fontId="6" fillId="0" borderId="6" xfId="0" applyFont="1" applyBorder="1" applyAlignment="1">
      <alignment horizontal="center" vertical="center"/>
    </xf>
    <xf numFmtId="175" fontId="56" fillId="14" borderId="1" xfId="0" applyNumberFormat="1" applyFont="1" applyFill="1" applyBorder="1" applyAlignment="1">
      <alignment horizontal="right"/>
    </xf>
    <xf numFmtId="0" fontId="123" fillId="5" borderId="8" xfId="0" applyFont="1" applyFill="1" applyBorder="1" applyAlignment="1">
      <alignment horizontal="center"/>
    </xf>
    <xf numFmtId="0" fontId="123" fillId="5" borderId="6" xfId="0" applyFont="1" applyFill="1" applyBorder="1" applyAlignment="1">
      <alignment horizontal="center"/>
    </xf>
    <xf numFmtId="9" fontId="54" fillId="14" borderId="1" xfId="0" applyNumberFormat="1" applyFont="1" applyFill="1" applyBorder="1" applyAlignment="1">
      <alignment horizontal="center" vertical="center"/>
    </xf>
    <xf numFmtId="0" fontId="54" fillId="14" borderId="1" xfId="0" applyFont="1" applyFill="1" applyBorder="1" applyAlignment="1">
      <alignment horizontal="left" vertical="center"/>
    </xf>
    <xf numFmtId="0" fontId="123" fillId="14" borderId="1" xfId="0" applyFont="1" applyFill="1" applyBorder="1" applyAlignment="1">
      <alignment horizontal="left"/>
    </xf>
    <xf numFmtId="175" fontId="123" fillId="6" borderId="1" xfId="0" applyNumberFormat="1" applyFont="1" applyFill="1" applyBorder="1" applyAlignment="1">
      <alignment horizontal="center"/>
    </xf>
    <xf numFmtId="9" fontId="56" fillId="14" borderId="1" xfId="0" applyNumberFormat="1" applyFont="1" applyFill="1" applyBorder="1" applyAlignment="1">
      <alignment horizontal="left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9" fontId="123" fillId="14" borderId="9" xfId="0" applyNumberFormat="1" applyFont="1" applyFill="1" applyBorder="1" applyAlignment="1">
      <alignment horizontal="center"/>
    </xf>
    <xf numFmtId="0" fontId="123" fillId="14" borderId="9" xfId="0" applyFont="1" applyFill="1" applyBorder="1" applyAlignment="1">
      <alignment horizontal="left"/>
    </xf>
    <xf numFmtId="9" fontId="54" fillId="6" borderId="9" xfId="0" applyNumberFormat="1" applyFont="1" applyFill="1" applyBorder="1" applyAlignment="1">
      <alignment horizontal="center"/>
    </xf>
    <xf numFmtId="175" fontId="56" fillId="6" borderId="5" xfId="0" applyNumberFormat="1" applyFont="1" applyFill="1" applyBorder="1" applyAlignment="1">
      <alignment horizontal="right"/>
    </xf>
    <xf numFmtId="9" fontId="54" fillId="6" borderId="5" xfId="0" applyNumberFormat="1" applyFont="1" applyFill="1" applyBorder="1" applyAlignment="1">
      <alignment horizontal="center"/>
    </xf>
    <xf numFmtId="171" fontId="11" fillId="6" borderId="1" xfId="0" applyNumberFormat="1" applyFont="1" applyFill="1" applyBorder="1"/>
    <xf numFmtId="0" fontId="54" fillId="15" borderId="1" xfId="0" applyFont="1" applyFill="1" applyBorder="1" applyAlignment="1">
      <alignment horizontal="center" vertical="center"/>
    </xf>
    <xf numFmtId="9" fontId="56" fillId="15" borderId="1" xfId="0" applyNumberFormat="1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175" fontId="56" fillId="15" borderId="1" xfId="0" applyNumberFormat="1" applyFont="1" applyFill="1" applyBorder="1" applyAlignment="1">
      <alignment horizontal="right"/>
    </xf>
    <xf numFmtId="9" fontId="6" fillId="15" borderId="1" xfId="0" applyNumberFormat="1" applyFont="1" applyFill="1" applyBorder="1" applyAlignment="1">
      <alignment horizontal="center"/>
    </xf>
    <xf numFmtId="171" fontId="6" fillId="15" borderId="1" xfId="0" applyNumberFormat="1" applyFont="1" applyFill="1" applyBorder="1"/>
    <xf numFmtId="0" fontId="6" fillId="15" borderId="1" xfId="0" applyFont="1" applyFill="1" applyBorder="1"/>
    <xf numFmtId="175" fontId="11" fillId="6" borderId="1" xfId="0" applyNumberFormat="1" applyFont="1" applyFill="1" applyBorder="1"/>
    <xf numFmtId="171" fontId="6" fillId="0" borderId="1" xfId="0" applyNumberFormat="1" applyFont="1" applyBorder="1" applyAlignment="1">
      <alignment horizontal="left"/>
    </xf>
    <xf numFmtId="175" fontId="123" fillId="6" borderId="1" xfId="0" applyNumberFormat="1" applyFont="1" applyFill="1" applyBorder="1" applyAlignment="1">
      <alignment horizontal="left"/>
    </xf>
    <xf numFmtId="171" fontId="6" fillId="0" borderId="9" xfId="0" applyNumberFormat="1" applyFont="1" applyBorder="1" applyAlignment="1">
      <alignment horizontal="left"/>
    </xf>
    <xf numFmtId="3" fontId="148" fillId="5" borderId="1" xfId="0" applyNumberFormat="1" applyFont="1" applyFill="1" applyBorder="1" applyAlignment="1">
      <alignment horizontal="center"/>
    </xf>
    <xf numFmtId="175" fontId="123" fillId="6" borderId="14" xfId="0" applyNumberFormat="1" applyFont="1" applyFill="1" applyBorder="1" applyAlignment="1">
      <alignment horizontal="left"/>
    </xf>
    <xf numFmtId="0" fontId="123" fillId="16" borderId="1" xfId="0" applyFont="1" applyFill="1" applyBorder="1" applyAlignment="1">
      <alignment horizontal="left"/>
    </xf>
    <xf numFmtId="9" fontId="74" fillId="6" borderId="1" xfId="0" applyNumberFormat="1" applyFont="1" applyFill="1" applyBorder="1" applyAlignment="1">
      <alignment horizontal="center" vertical="center"/>
    </xf>
    <xf numFmtId="0" fontId="40" fillId="14" borderId="1" xfId="0" applyFont="1" applyFill="1" applyBorder="1"/>
    <xf numFmtId="164" fontId="40" fillId="14" borderId="1" xfId="0" applyNumberFormat="1" applyFont="1" applyFill="1" applyBorder="1"/>
    <xf numFmtId="0" fontId="6" fillId="0" borderId="5" xfId="0" applyFont="1" applyBorder="1" applyAlignment="1">
      <alignment horizontal="center"/>
    </xf>
    <xf numFmtId="164" fontId="6" fillId="14" borderId="1" xfId="0" applyNumberFormat="1" applyFont="1" applyFill="1" applyBorder="1"/>
    <xf numFmtId="164" fontId="6" fillId="0" borderId="1" xfId="0" applyNumberFormat="1" applyFont="1" applyBorder="1"/>
    <xf numFmtId="0" fontId="6" fillId="11" borderId="1" xfId="0" applyFont="1" applyFill="1" applyBorder="1"/>
    <xf numFmtId="164" fontId="6" fillId="11" borderId="1" xfId="0" applyNumberFormat="1" applyFont="1" applyFill="1" applyBorder="1"/>
    <xf numFmtId="0" fontId="147" fillId="14" borderId="1" xfId="0" applyFont="1" applyFill="1" applyBorder="1"/>
    <xf numFmtId="175" fontId="6" fillId="14" borderId="1" xfId="0" applyNumberFormat="1" applyFont="1" applyFill="1" applyBorder="1" applyAlignment="1">
      <alignment horizontal="center"/>
    </xf>
    <xf numFmtId="0" fontId="123" fillId="14" borderId="1" xfId="0" applyFont="1" applyFill="1" applyBorder="1" applyAlignment="1">
      <alignment horizontal="center"/>
    </xf>
    <xf numFmtId="164" fontId="130" fillId="14" borderId="1" xfId="0" applyNumberFormat="1" applyFont="1" applyFill="1" applyBorder="1"/>
    <xf numFmtId="0" fontId="123" fillId="6" borderId="2" xfId="0" applyFont="1" applyFill="1" applyBorder="1" applyAlignment="1">
      <alignment horizontal="center"/>
    </xf>
    <xf numFmtId="0" fontId="147" fillId="0" borderId="5" xfId="0" applyFont="1" applyBorder="1"/>
    <xf numFmtId="9" fontId="123" fillId="6" borderId="5" xfId="0" applyNumberFormat="1" applyFont="1" applyFill="1" applyBorder="1" applyAlignment="1">
      <alignment horizontal="center"/>
    </xf>
    <xf numFmtId="175" fontId="6" fillId="6" borderId="5" xfId="0" applyNumberFormat="1" applyFont="1" applyFill="1" applyBorder="1" applyAlignment="1">
      <alignment horizontal="center"/>
    </xf>
    <xf numFmtId="175" fontId="6" fillId="11" borderId="1" xfId="0" applyNumberFormat="1" applyFont="1" applyFill="1" applyBorder="1"/>
    <xf numFmtId="164" fontId="0" fillId="0" borderId="0" xfId="0" applyNumberFormat="1"/>
    <xf numFmtId="175" fontId="6" fillId="14" borderId="1" xfId="0" applyNumberFormat="1" applyFont="1" applyFill="1" applyBorder="1"/>
    <xf numFmtId="0" fontId="56" fillId="0" borderId="0" xfId="0" applyFont="1" applyAlignment="1">
      <alignment horizontal="center" vertical="center" wrapText="1"/>
    </xf>
    <xf numFmtId="167" fontId="56" fillId="6" borderId="0" xfId="0" applyNumberFormat="1" applyFont="1" applyFill="1"/>
    <xf numFmtId="175" fontId="6" fillId="6" borderId="1" xfId="0" applyNumberFormat="1" applyFont="1" applyFill="1" applyBorder="1"/>
    <xf numFmtId="0" fontId="0" fillId="6" borderId="0" xfId="0" applyFill="1" applyAlignment="1">
      <alignment horizontal="center"/>
    </xf>
    <xf numFmtId="0" fontId="56" fillId="6" borderId="0" xfId="0" applyFont="1" applyFill="1" applyAlignment="1">
      <alignment horizontal="left"/>
    </xf>
    <xf numFmtId="175" fontId="0" fillId="6" borderId="0" xfId="0" applyNumberFormat="1" applyFill="1"/>
    <xf numFmtId="9" fontId="74" fillId="14" borderId="3" xfId="0" applyNumberFormat="1" applyFont="1" applyFill="1" applyBorder="1" applyAlignment="1">
      <alignment horizontal="center"/>
    </xf>
    <xf numFmtId="9" fontId="143" fillId="16" borderId="1" xfId="0" applyNumberFormat="1" applyFont="1" applyFill="1" applyBorder="1" applyAlignment="1">
      <alignment horizontal="center"/>
    </xf>
    <xf numFmtId="0" fontId="85" fillId="5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3" fontId="85" fillId="5" borderId="8" xfId="0" applyNumberFormat="1" applyFont="1" applyFill="1" applyBorder="1" applyAlignment="1">
      <alignment horizontal="center"/>
    </xf>
    <xf numFmtId="0" fontId="85" fillId="5" borderId="3" xfId="0" applyFont="1" applyFill="1" applyBorder="1" applyAlignment="1">
      <alignment horizontal="center"/>
    </xf>
    <xf numFmtId="0" fontId="6" fillId="0" borderId="7" xfId="0" applyFont="1" applyBorder="1"/>
    <xf numFmtId="0" fontId="0" fillId="11" borderId="9" xfId="0" applyFill="1" applyBorder="1" applyAlignment="1">
      <alignment horizontal="center"/>
    </xf>
    <xf numFmtId="0" fontId="0" fillId="11" borderId="9" xfId="0" applyFill="1" applyBorder="1" applyAlignment="1">
      <alignment horizontal="left"/>
    </xf>
    <xf numFmtId="0" fontId="83" fillId="11" borderId="9" xfId="0" applyFont="1" applyFill="1" applyBorder="1"/>
    <xf numFmtId="175" fontId="0" fillId="11" borderId="9" xfId="0" applyNumberFormat="1" applyFill="1" applyBorder="1" applyAlignment="1">
      <alignment horizontal="left"/>
    </xf>
    <xf numFmtId="0" fontId="0" fillId="11" borderId="9" xfId="0" applyFill="1" applyBorder="1"/>
    <xf numFmtId="0" fontId="54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71" fontId="59" fillId="6" borderId="13" xfId="0" applyNumberFormat="1" applyFont="1" applyFill="1" applyBorder="1" applyAlignment="1">
      <alignment horizontal="center"/>
    </xf>
    <xf numFmtId="0" fontId="57" fillId="6" borderId="10" xfId="0" applyFont="1" applyFill="1" applyBorder="1" applyAlignment="1">
      <alignment horizontal="center"/>
    </xf>
    <xf numFmtId="171" fontId="59" fillId="6" borderId="4" xfId="0" applyNumberFormat="1" applyFont="1" applyFill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57" fillId="6" borderId="8" xfId="0" applyFont="1" applyFill="1" applyBorder="1" applyAlignment="1">
      <alignment horizontal="center"/>
    </xf>
    <xf numFmtId="0" fontId="57" fillId="6" borderId="14" xfId="0" applyFont="1" applyFill="1" applyBorder="1" applyAlignment="1">
      <alignment horizontal="center"/>
    </xf>
    <xf numFmtId="0" fontId="59" fillId="6" borderId="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85" fillId="6" borderId="7" xfId="0" applyFont="1" applyFill="1" applyBorder="1" applyAlignment="1">
      <alignment horizontal="center"/>
    </xf>
    <xf numFmtId="171" fontId="59" fillId="6" borderId="8" xfId="0" applyNumberFormat="1" applyFont="1" applyFill="1" applyBorder="1" applyAlignment="1">
      <alignment horizontal="center"/>
    </xf>
    <xf numFmtId="0" fontId="57" fillId="7" borderId="8" xfId="0" applyFont="1" applyFill="1" applyBorder="1" applyAlignment="1">
      <alignment horizontal="center"/>
    </xf>
    <xf numFmtId="0" fontId="57" fillId="6" borderId="1" xfId="0" applyFont="1" applyFill="1" applyBorder="1" applyAlignment="1">
      <alignment horizontal="center" wrapText="1"/>
    </xf>
    <xf numFmtId="0" fontId="57" fillId="6" borderId="12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57" fillId="7" borderId="6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71" fontId="59" fillId="6" borderId="7" xfId="0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9" fontId="11" fillId="16" borderId="1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176" fontId="0" fillId="0" borderId="1" xfId="0" applyNumberFormat="1" applyBorder="1"/>
    <xf numFmtId="0" fontId="0" fillId="0" borderId="13" xfId="0" applyBorder="1"/>
    <xf numFmtId="0" fontId="55" fillId="6" borderId="9" xfId="0" applyFont="1" applyFill="1" applyBorder="1" applyAlignment="1">
      <alignment horizontal="center"/>
    </xf>
    <xf numFmtId="171" fontId="0" fillId="6" borderId="0" xfId="0" applyNumberFormat="1" applyFill="1"/>
    <xf numFmtId="0" fontId="54" fillId="0" borderId="1" xfId="0" applyFont="1" applyBorder="1" applyAlignment="1">
      <alignment horizontal="left"/>
    </xf>
    <xf numFmtId="0" fontId="60" fillId="0" borderId="7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94" fillId="6" borderId="5" xfId="0" applyFont="1" applyFill="1" applyBorder="1" applyAlignment="1">
      <alignment horizontal="center"/>
    </xf>
    <xf numFmtId="0" fontId="93" fillId="0" borderId="0" xfId="0" applyFont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15" fillId="16" borderId="5" xfId="0" applyFont="1" applyFill="1" applyBorder="1" applyAlignment="1">
      <alignment horizontal="center"/>
    </xf>
    <xf numFmtId="0" fontId="41" fillId="0" borderId="3" xfId="0" applyFont="1" applyBorder="1" applyAlignment="1">
      <alignment horizontal="left"/>
    </xf>
    <xf numFmtId="0" fontId="56" fillId="6" borderId="4" xfId="0" applyFont="1" applyFill="1" applyBorder="1" applyAlignment="1">
      <alignment horizontal="left"/>
    </xf>
    <xf numFmtId="0" fontId="23" fillId="14" borderId="1" xfId="0" applyFont="1" applyFill="1" applyBorder="1" applyAlignment="1">
      <alignment horizontal="left"/>
    </xf>
    <xf numFmtId="0" fontId="56" fillId="6" borderId="5" xfId="0" applyFont="1" applyFill="1" applyBorder="1" applyAlignment="1">
      <alignment horizontal="left"/>
    </xf>
    <xf numFmtId="0" fontId="41" fillId="29" borderId="1" xfId="0" applyFont="1" applyFill="1" applyBorder="1" applyAlignment="1">
      <alignment horizontal="left"/>
    </xf>
    <xf numFmtId="0" fontId="93" fillId="0" borderId="5" xfId="0" applyFont="1" applyBorder="1" applyAlignment="1">
      <alignment horizontal="left"/>
    </xf>
    <xf numFmtId="0" fontId="65" fillId="0" borderId="9" xfId="0" applyFont="1" applyBorder="1" applyAlignment="1">
      <alignment horizontal="left"/>
    </xf>
    <xf numFmtId="0" fontId="6" fillId="14" borderId="1" xfId="0" applyFont="1" applyFill="1" applyBorder="1" applyAlignment="1">
      <alignment horizontal="left"/>
    </xf>
    <xf numFmtId="0" fontId="0" fillId="6" borderId="0" xfId="0" applyFill="1" applyAlignment="1">
      <alignment horizontal="left"/>
    </xf>
    <xf numFmtId="0" fontId="41" fillId="16" borderId="6" xfId="0" applyFont="1" applyFill="1" applyBorder="1" applyAlignment="1">
      <alignment horizontal="left"/>
    </xf>
    <xf numFmtId="0" fontId="41" fillId="14" borderId="3" xfId="0" applyFont="1" applyFill="1" applyBorder="1" applyAlignment="1">
      <alignment horizontal="left"/>
    </xf>
    <xf numFmtId="0" fontId="41" fillId="16" borderId="3" xfId="0" applyFont="1" applyFill="1" applyBorder="1" applyAlignment="1">
      <alignment horizontal="left"/>
    </xf>
    <xf numFmtId="0" fontId="41" fillId="14" borderId="14" xfId="0" applyFont="1" applyFill="1" applyBorder="1" applyAlignment="1">
      <alignment horizontal="left"/>
    </xf>
    <xf numFmtId="0" fontId="41" fillId="16" borderId="8" xfId="0" applyFont="1" applyFill="1" applyBorder="1" applyAlignment="1">
      <alignment horizontal="left"/>
    </xf>
    <xf numFmtId="0" fontId="0" fillId="16" borderId="8" xfId="0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89" fillId="14" borderId="1" xfId="0" applyFont="1" applyFill="1" applyBorder="1" applyAlignment="1">
      <alignment horizontal="left"/>
    </xf>
    <xf numFmtId="0" fontId="56" fillId="6" borderId="9" xfId="0" applyFont="1" applyFill="1" applyBorder="1" applyAlignment="1">
      <alignment horizontal="left"/>
    </xf>
    <xf numFmtId="0" fontId="6" fillId="14" borderId="9" xfId="0" applyFont="1" applyFill="1" applyBorder="1" applyAlignment="1">
      <alignment horizontal="left"/>
    </xf>
    <xf numFmtId="0" fontId="41" fillId="14" borderId="2" xfId="0" applyFont="1" applyFill="1" applyBorder="1" applyAlignment="1">
      <alignment horizontal="left"/>
    </xf>
    <xf numFmtId="0" fontId="41" fillId="14" borderId="15" xfId="0" applyFont="1" applyFill="1" applyBorder="1" applyAlignment="1">
      <alignment horizontal="left"/>
    </xf>
    <xf numFmtId="0" fontId="15" fillId="16" borderId="7" xfId="0" applyFont="1" applyFill="1" applyBorder="1" applyAlignment="1">
      <alignment horizontal="left"/>
    </xf>
    <xf numFmtId="0" fontId="0" fillId="16" borderId="7" xfId="0" applyFill="1" applyBorder="1" applyAlignment="1">
      <alignment horizontal="left"/>
    </xf>
    <xf numFmtId="0" fontId="0" fillId="16" borderId="2" xfId="0" applyFill="1" applyBorder="1" applyAlignment="1">
      <alignment horizontal="left"/>
    </xf>
    <xf numFmtId="0" fontId="0" fillId="16" borderId="6" xfId="0" applyFill="1" applyBorder="1" applyAlignment="1">
      <alignment horizontal="left"/>
    </xf>
    <xf numFmtId="0" fontId="6" fillId="14" borderId="5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46" fillId="15" borderId="1" xfId="0" applyFont="1" applyFill="1" applyBorder="1" applyAlignment="1">
      <alignment horizontal="left"/>
    </xf>
    <xf numFmtId="0" fontId="11" fillId="14" borderId="1" xfId="0" applyFont="1" applyFill="1" applyBorder="1" applyAlignment="1">
      <alignment horizontal="left"/>
    </xf>
    <xf numFmtId="0" fontId="11" fillId="14" borderId="3" xfId="0" applyFont="1" applyFill="1" applyBorder="1" applyAlignment="1">
      <alignment horizontal="left"/>
    </xf>
    <xf numFmtId="0" fontId="6" fillId="14" borderId="3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71" fontId="6" fillId="14" borderId="1" xfId="0" applyNumberFormat="1" applyFont="1" applyFill="1" applyBorder="1" applyAlignment="1">
      <alignment horizontal="left"/>
    </xf>
    <xf numFmtId="171" fontId="113" fillId="32" borderId="9" xfId="0" applyNumberFormat="1" applyFont="1" applyFill="1" applyBorder="1" applyAlignment="1">
      <alignment horizontal="left"/>
    </xf>
    <xf numFmtId="171" fontId="113" fillId="6" borderId="0" xfId="0" applyNumberFormat="1" applyFont="1" applyFill="1" applyAlignment="1">
      <alignment horizontal="left"/>
    </xf>
    <xf numFmtId="171" fontId="56" fillId="0" borderId="1" xfId="0" applyNumberFormat="1" applyFont="1" applyBorder="1" applyAlignment="1">
      <alignment horizontal="center"/>
    </xf>
    <xf numFmtId="9" fontId="6" fillId="6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55" fillId="0" borderId="1" xfId="0" applyFont="1" applyBorder="1" applyAlignment="1">
      <alignment horizontal="left"/>
    </xf>
    <xf numFmtId="171" fontId="6" fillId="8" borderId="1" xfId="0" applyNumberFormat="1" applyFont="1" applyFill="1" applyBorder="1" applyAlignment="1">
      <alignment horizontal="left"/>
    </xf>
    <xf numFmtId="171" fontId="6" fillId="6" borderId="1" xfId="0" applyNumberFormat="1" applyFont="1" applyFill="1" applyBorder="1"/>
    <xf numFmtId="171" fontId="6" fillId="6" borderId="1" xfId="0" applyNumberFormat="1" applyFont="1" applyFill="1" applyBorder="1" applyAlignment="1">
      <alignment horizontal="left"/>
    </xf>
    <xf numFmtId="9" fontId="6" fillId="6" borderId="5" xfId="0" applyNumberFormat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left"/>
    </xf>
    <xf numFmtId="9" fontId="74" fillId="6" borderId="9" xfId="0" applyNumberFormat="1" applyFont="1" applyFill="1" applyBorder="1" applyAlignment="1">
      <alignment horizontal="center"/>
    </xf>
    <xf numFmtId="171" fontId="56" fillId="6" borderId="9" xfId="0" applyNumberFormat="1" applyFont="1" applyFill="1" applyBorder="1" applyAlignment="1">
      <alignment horizontal="center"/>
    </xf>
    <xf numFmtId="0" fontId="54" fillId="0" borderId="4" xfId="0" applyFont="1" applyBorder="1" applyAlignment="1">
      <alignment horizontal="center"/>
    </xf>
    <xf numFmtId="9" fontId="56" fillId="6" borderId="10" xfId="0" applyNumberFormat="1" applyFont="1" applyFill="1" applyBorder="1" applyAlignment="1">
      <alignment horizontal="center" vertical="center"/>
    </xf>
    <xf numFmtId="0" fontId="54" fillId="6" borderId="4" xfId="0" applyFont="1" applyFill="1" applyBorder="1" applyAlignment="1">
      <alignment horizontal="center"/>
    </xf>
    <xf numFmtId="0" fontId="55" fillId="0" borderId="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4" fillId="6" borderId="9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/>
    <xf numFmtId="0" fontId="6" fillId="0" borderId="8" xfId="0" applyFont="1" applyBorder="1" applyAlignment="1">
      <alignment horizontal="center" vertical="center"/>
    </xf>
    <xf numFmtId="171" fontId="6" fillId="6" borderId="14" xfId="0" applyNumberFormat="1" applyFont="1" applyFill="1" applyBorder="1"/>
    <xf numFmtId="9" fontId="123" fillId="11" borderId="1" xfId="0" applyNumberFormat="1" applyFont="1" applyFill="1" applyBorder="1" applyAlignment="1">
      <alignment horizontal="center"/>
    </xf>
    <xf numFmtId="0" fontId="123" fillId="11" borderId="3" xfId="0" applyFont="1" applyFill="1" applyBorder="1" applyAlignment="1">
      <alignment horizontal="left"/>
    </xf>
    <xf numFmtId="175" fontId="123" fillId="6" borderId="6" xfId="0" applyNumberFormat="1" applyFont="1" applyFill="1" applyBorder="1" applyAlignment="1">
      <alignment horizontal="center"/>
    </xf>
    <xf numFmtId="175" fontId="6" fillId="0" borderId="0" xfId="0" applyNumberFormat="1" applyFont="1"/>
    <xf numFmtId="0" fontId="6" fillId="16" borderId="9" xfId="0" applyFont="1" applyFill="1" applyBorder="1" applyAlignment="1">
      <alignment horizontal="center" vertical="center"/>
    </xf>
    <xf numFmtId="9" fontId="6" fillId="16" borderId="9" xfId="0" applyNumberFormat="1" applyFont="1" applyFill="1" applyBorder="1" applyAlignment="1">
      <alignment horizontal="center"/>
    </xf>
    <xf numFmtId="171" fontId="123" fillId="14" borderId="3" xfId="0" applyNumberFormat="1" applyFont="1" applyFill="1" applyBorder="1" applyAlignment="1">
      <alignment horizontal="left"/>
    </xf>
    <xf numFmtId="0" fontId="154" fillId="0" borderId="0" xfId="0" applyFont="1" applyAlignment="1">
      <alignment horizontal="center" wrapText="1"/>
    </xf>
    <xf numFmtId="171" fontId="6" fillId="0" borderId="6" xfId="0" applyNumberFormat="1" applyFont="1" applyBorder="1"/>
    <xf numFmtId="171" fontId="6" fillId="14" borderId="3" xfId="0" applyNumberFormat="1" applyFont="1" applyFill="1" applyBorder="1"/>
    <xf numFmtId="0" fontId="6" fillId="11" borderId="9" xfId="0" applyFont="1" applyFill="1" applyBorder="1"/>
    <xf numFmtId="9" fontId="0" fillId="0" borderId="0" xfId="0" applyNumberFormat="1" applyAlignment="1">
      <alignment horizontal="center"/>
    </xf>
    <xf numFmtId="9" fontId="3" fillId="5" borderId="0" xfId="0" applyNumberFormat="1" applyFont="1" applyFill="1" applyAlignment="1">
      <alignment horizontal="center"/>
    </xf>
    <xf numFmtId="9" fontId="65" fillId="0" borderId="15" xfId="0" applyNumberFormat="1" applyFont="1" applyBorder="1" applyAlignment="1">
      <alignment horizontal="center"/>
    </xf>
    <xf numFmtId="9" fontId="65" fillId="0" borderId="0" xfId="0" applyNumberFormat="1" applyFont="1" applyAlignment="1">
      <alignment horizontal="center"/>
    </xf>
    <xf numFmtId="9" fontId="65" fillId="0" borderId="1" xfId="0" applyNumberFormat="1" applyFont="1" applyBorder="1" applyAlignment="1">
      <alignment horizontal="center"/>
    </xf>
    <xf numFmtId="9" fontId="60" fillId="6" borderId="10" xfId="0" applyNumberFormat="1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14" xfId="0" applyNumberFormat="1" applyFont="1" applyFill="1" applyBorder="1" applyAlignment="1">
      <alignment horizontal="center"/>
    </xf>
    <xf numFmtId="9" fontId="85" fillId="5" borderId="0" xfId="0" applyNumberFormat="1" applyFont="1" applyFill="1" applyAlignment="1">
      <alignment horizontal="center"/>
    </xf>
    <xf numFmtId="9" fontId="55" fillId="6" borderId="4" xfId="0" applyNumberFormat="1" applyFont="1" applyFill="1" applyBorder="1" applyAlignment="1">
      <alignment horizontal="center"/>
    </xf>
    <xf numFmtId="9" fontId="85" fillId="6" borderId="14" xfId="0" applyNumberFormat="1" applyFont="1" applyFill="1" applyBorder="1" applyAlignment="1">
      <alignment horizontal="center"/>
    </xf>
    <xf numFmtId="9" fontId="85" fillId="6" borderId="11" xfId="0" applyNumberFormat="1" applyFont="1" applyFill="1" applyBorder="1" applyAlignment="1">
      <alignment horizontal="center"/>
    </xf>
    <xf numFmtId="9" fontId="55" fillId="6" borderId="5" xfId="0" applyNumberFormat="1" applyFont="1" applyFill="1" applyBorder="1" applyAlignment="1">
      <alignment horizontal="center"/>
    </xf>
    <xf numFmtId="9" fontId="123" fillId="5" borderId="4" xfId="0" applyNumberFormat="1" applyFont="1" applyFill="1" applyBorder="1" applyAlignment="1">
      <alignment horizontal="center"/>
    </xf>
    <xf numFmtId="9" fontId="6" fillId="0" borderId="5" xfId="0" applyNumberFormat="1" applyFont="1" applyBorder="1" applyAlignment="1">
      <alignment horizontal="center"/>
    </xf>
    <xf numFmtId="9" fontId="6" fillId="0" borderId="9" xfId="0" applyNumberFormat="1" applyFont="1" applyBorder="1" applyAlignment="1">
      <alignment horizontal="center"/>
    </xf>
    <xf numFmtId="9" fontId="6" fillId="11" borderId="1" xfId="0" applyNumberFormat="1" applyFont="1" applyFill="1" applyBorder="1" applyAlignment="1">
      <alignment horizontal="center"/>
    </xf>
    <xf numFmtId="9" fontId="123" fillId="5" borderId="1" xfId="0" applyNumberFormat="1" applyFont="1" applyFill="1" applyBorder="1" applyAlignment="1">
      <alignment horizontal="center"/>
    </xf>
    <xf numFmtId="9" fontId="85" fillId="5" borderId="5" xfId="0" applyNumberFormat="1" applyFont="1" applyFill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6" borderId="0" xfId="0" applyNumberFormat="1" applyFill="1" applyAlignment="1">
      <alignment horizontal="center"/>
    </xf>
    <xf numFmtId="9" fontId="85" fillId="5" borderId="1" xfId="0" applyNumberFormat="1" applyFont="1" applyFill="1" applyBorder="1" applyAlignment="1">
      <alignment horizontal="center"/>
    </xf>
    <xf numFmtId="0" fontId="6" fillId="0" borderId="13" xfId="0" applyFont="1" applyBorder="1"/>
    <xf numFmtId="0" fontId="6" fillId="16" borderId="11" xfId="0" applyFont="1" applyFill="1" applyBorder="1"/>
    <xf numFmtId="175" fontId="6" fillId="0" borderId="6" xfId="0" applyNumberFormat="1" applyFont="1" applyBorder="1"/>
    <xf numFmtId="9" fontId="136" fillId="6" borderId="1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23" fillId="6" borderId="6" xfId="0" applyFont="1" applyFill="1" applyBorder="1" applyAlignment="1">
      <alignment horizontal="center"/>
    </xf>
    <xf numFmtId="0" fontId="6" fillId="0" borderId="14" xfId="0" applyFont="1" applyBorder="1"/>
    <xf numFmtId="175" fontId="6" fillId="0" borderId="5" xfId="0" applyNumberFormat="1" applyFont="1" applyBorder="1"/>
    <xf numFmtId="0" fontId="56" fillId="14" borderId="6" xfId="0" applyFont="1" applyFill="1" applyBorder="1" applyAlignment="1">
      <alignment horizontal="left"/>
    </xf>
    <xf numFmtId="0" fontId="54" fillId="0" borderId="3" xfId="0" applyFont="1" applyBorder="1" applyAlignment="1">
      <alignment horizontal="center" vertical="center"/>
    </xf>
    <xf numFmtId="171" fontId="123" fillId="0" borderId="3" xfId="0" applyNumberFormat="1" applyFont="1" applyBorder="1" applyAlignment="1">
      <alignment horizontal="left"/>
    </xf>
    <xf numFmtId="0" fontId="6" fillId="6" borderId="3" xfId="0" applyFont="1" applyFill="1" applyBorder="1"/>
    <xf numFmtId="171" fontId="6" fillId="6" borderId="3" xfId="0" applyNumberFormat="1" applyFont="1" applyFill="1" applyBorder="1"/>
    <xf numFmtId="171" fontId="56" fillId="6" borderId="1" xfId="0" applyNumberFormat="1" applyFont="1" applyFill="1" applyBorder="1" applyAlignment="1">
      <alignment horizontal="left"/>
    </xf>
    <xf numFmtId="171" fontId="123" fillId="6" borderId="14" xfId="0" applyNumberFormat="1" applyFont="1" applyFill="1" applyBorder="1" applyAlignment="1">
      <alignment horizontal="left"/>
    </xf>
    <xf numFmtId="171" fontId="6" fillId="6" borderId="14" xfId="0" applyNumberFormat="1" applyFont="1" applyFill="1" applyBorder="1" applyAlignment="1">
      <alignment horizontal="left"/>
    </xf>
    <xf numFmtId="171" fontId="56" fillId="6" borderId="1" xfId="0" applyNumberFormat="1" applyFont="1" applyFill="1" applyBorder="1"/>
    <xf numFmtId="171" fontId="56" fillId="6" borderId="5" xfId="0" applyNumberFormat="1" applyFont="1" applyFill="1" applyBorder="1" applyAlignment="1">
      <alignment horizontal="left"/>
    </xf>
    <xf numFmtId="171" fontId="55" fillId="0" borderId="1" xfId="0" applyNumberFormat="1" applyFont="1" applyBorder="1" applyAlignment="1">
      <alignment horizontal="left"/>
    </xf>
    <xf numFmtId="171" fontId="56" fillId="6" borderId="9" xfId="0" applyNumberFormat="1" applyFont="1" applyFill="1" applyBorder="1" applyAlignment="1">
      <alignment horizontal="left"/>
    </xf>
    <xf numFmtId="171" fontId="56" fillId="6" borderId="14" xfId="0" applyNumberFormat="1" applyFont="1" applyFill="1" applyBorder="1" applyAlignment="1">
      <alignment horizontal="left"/>
    </xf>
    <xf numFmtId="171" fontId="123" fillId="6" borderId="1" xfId="0" applyNumberFormat="1" applyFont="1" applyFill="1" applyBorder="1" applyAlignment="1">
      <alignment horizontal="left"/>
    </xf>
    <xf numFmtId="171" fontId="56" fillId="15" borderId="1" xfId="0" applyNumberFormat="1" applyFont="1" applyFill="1" applyBorder="1" applyAlignment="1">
      <alignment horizontal="left"/>
    </xf>
    <xf numFmtId="171" fontId="56" fillId="6" borderId="4" xfId="0" applyNumberFormat="1" applyFont="1" applyFill="1" applyBorder="1" applyAlignment="1">
      <alignment horizontal="left"/>
    </xf>
    <xf numFmtId="171" fontId="6" fillId="0" borderId="0" xfId="0" applyNumberFormat="1" applyFont="1" applyAlignment="1">
      <alignment horizontal="left"/>
    </xf>
    <xf numFmtId="171" fontId="54" fillId="6" borderId="1" xfId="0" applyNumberFormat="1" applyFont="1" applyFill="1" applyBorder="1" applyAlignment="1">
      <alignment horizontal="left"/>
    </xf>
    <xf numFmtId="171" fontId="55" fillId="6" borderId="1" xfId="0" applyNumberFormat="1" applyFont="1" applyFill="1" applyBorder="1" applyAlignment="1">
      <alignment horizontal="left"/>
    </xf>
    <xf numFmtId="171" fontId="55" fillId="0" borderId="3" xfId="0" applyNumberFormat="1" applyFont="1" applyBorder="1" applyAlignment="1">
      <alignment horizontal="left"/>
    </xf>
    <xf numFmtId="171" fontId="54" fillId="6" borderId="3" xfId="0" applyNumberFormat="1" applyFont="1" applyFill="1" applyBorder="1" applyAlignment="1">
      <alignment horizontal="left"/>
    </xf>
    <xf numFmtId="171" fontId="54" fillId="6" borderId="6" xfId="0" applyNumberFormat="1" applyFont="1" applyFill="1" applyBorder="1" applyAlignment="1">
      <alignment horizontal="left"/>
    </xf>
    <xf numFmtId="171" fontId="54" fillId="6" borderId="5" xfId="0" applyNumberFormat="1" applyFont="1" applyFill="1" applyBorder="1" applyAlignment="1">
      <alignment horizontal="left"/>
    </xf>
    <xf numFmtId="171" fontId="6" fillId="6" borderId="5" xfId="0" applyNumberFormat="1" applyFont="1" applyFill="1" applyBorder="1" applyAlignment="1">
      <alignment horizontal="left"/>
    </xf>
    <xf numFmtId="171" fontId="55" fillId="6" borderId="6" xfId="0" applyNumberFormat="1" applyFont="1" applyFill="1" applyBorder="1" applyAlignment="1">
      <alignment horizontal="left"/>
    </xf>
    <xf numFmtId="171" fontId="54" fillId="6" borderId="14" xfId="0" applyNumberFormat="1" applyFont="1" applyFill="1" applyBorder="1" applyAlignment="1">
      <alignment horizontal="left"/>
    </xf>
    <xf numFmtId="171" fontId="6" fillId="6" borderId="9" xfId="0" applyNumberFormat="1" applyFont="1" applyFill="1" applyBorder="1" applyAlignment="1">
      <alignment horizontal="left"/>
    </xf>
    <xf numFmtId="171" fontId="54" fillId="6" borderId="4" xfId="0" applyNumberFormat="1" applyFont="1" applyFill="1" applyBorder="1" applyAlignment="1">
      <alignment horizontal="left"/>
    </xf>
    <xf numFmtId="171" fontId="54" fillId="6" borderId="8" xfId="0" applyNumberFormat="1" applyFont="1" applyFill="1" applyBorder="1" applyAlignment="1">
      <alignment horizontal="left"/>
    </xf>
    <xf numFmtId="171" fontId="6" fillId="6" borderId="7" xfId="0" applyNumberFormat="1" applyFont="1" applyFill="1" applyBorder="1" applyAlignment="1">
      <alignment horizontal="left"/>
    </xf>
    <xf numFmtId="171" fontId="6" fillId="6" borderId="8" xfId="0" applyNumberFormat="1" applyFont="1" applyFill="1" applyBorder="1" applyAlignment="1">
      <alignment horizontal="left"/>
    </xf>
    <xf numFmtId="171" fontId="6" fillId="6" borderId="12" xfId="0" applyNumberFormat="1" applyFont="1" applyFill="1" applyBorder="1" applyAlignment="1">
      <alignment horizontal="left"/>
    </xf>
    <xf numFmtId="171" fontId="54" fillId="6" borderId="2" xfId="0" applyNumberFormat="1" applyFont="1" applyFill="1" applyBorder="1" applyAlignment="1">
      <alignment horizontal="left"/>
    </xf>
    <xf numFmtId="171" fontId="6" fillId="6" borderId="10" xfId="0" applyNumberFormat="1" applyFont="1" applyFill="1" applyBorder="1" applyAlignment="1">
      <alignment horizontal="left"/>
    </xf>
    <xf numFmtId="171" fontId="55" fillId="6" borderId="14" xfId="0" applyNumberFormat="1" applyFont="1" applyFill="1" applyBorder="1" applyAlignment="1">
      <alignment horizontal="left"/>
    </xf>
    <xf numFmtId="171" fontId="55" fillId="6" borderId="9" xfId="0" applyNumberFormat="1" applyFont="1" applyFill="1" applyBorder="1" applyAlignment="1">
      <alignment horizontal="left"/>
    </xf>
    <xf numFmtId="171" fontId="56" fillId="9" borderId="1" xfId="0" applyNumberFormat="1" applyFont="1" applyFill="1" applyBorder="1" applyAlignment="1">
      <alignment horizontal="left"/>
    </xf>
    <xf numFmtId="171" fontId="54" fillId="0" borderId="1" xfId="0" applyNumberFormat="1" applyFont="1" applyBorder="1" applyAlignment="1">
      <alignment horizontal="left"/>
    </xf>
    <xf numFmtId="171" fontId="54" fillId="0" borderId="5" xfId="0" applyNumberFormat="1" applyFont="1" applyBorder="1" applyAlignment="1">
      <alignment horizontal="left"/>
    </xf>
    <xf numFmtId="171" fontId="54" fillId="0" borderId="4" xfId="0" applyNumberFormat="1" applyFont="1" applyBorder="1" applyAlignment="1">
      <alignment horizontal="left"/>
    </xf>
    <xf numFmtId="171" fontId="6" fillId="0" borderId="5" xfId="0" applyNumberFormat="1" applyFont="1" applyBorder="1" applyAlignment="1">
      <alignment horizontal="left"/>
    </xf>
    <xf numFmtId="171" fontId="56" fillId="9" borderId="5" xfId="0" applyNumberFormat="1" applyFont="1" applyFill="1" applyBorder="1" applyAlignment="1">
      <alignment horizontal="left"/>
    </xf>
    <xf numFmtId="171" fontId="6" fillId="0" borderId="8" xfId="0" applyNumberFormat="1" applyFont="1" applyBorder="1" applyAlignment="1">
      <alignment horizontal="left"/>
    </xf>
    <xf numFmtId="171" fontId="6" fillId="11" borderId="1" xfId="0" applyNumberFormat="1" applyFont="1" applyFill="1" applyBorder="1" applyAlignment="1">
      <alignment horizontal="left"/>
    </xf>
    <xf numFmtId="171" fontId="6" fillId="6" borderId="0" xfId="0" applyNumberFormat="1" applyFont="1" applyFill="1" applyAlignment="1">
      <alignment horizontal="left"/>
    </xf>
    <xf numFmtId="171" fontId="6" fillId="8" borderId="5" xfId="0" applyNumberFormat="1" applyFont="1" applyFill="1" applyBorder="1" applyAlignment="1">
      <alignment horizontal="left"/>
    </xf>
    <xf numFmtId="171" fontId="11" fillId="6" borderId="9" xfId="0" applyNumberFormat="1" applyFont="1" applyFill="1" applyBorder="1" applyAlignment="1">
      <alignment horizontal="left"/>
    </xf>
    <xf numFmtId="171" fontId="11" fillId="6" borderId="1" xfId="0" applyNumberFormat="1" applyFont="1" applyFill="1" applyBorder="1" applyAlignment="1">
      <alignment horizontal="left"/>
    </xf>
    <xf numFmtId="0" fontId="55" fillId="0" borderId="1" xfId="0" applyFont="1" applyBorder="1" applyAlignment="1">
      <alignment horizontal="center" vertical="center"/>
    </xf>
    <xf numFmtId="171" fontId="55" fillId="0" borderId="1" xfId="0" applyNumberFormat="1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5" fontId="6" fillId="8" borderId="1" xfId="0" applyNumberFormat="1" applyFont="1" applyFill="1" applyBorder="1"/>
    <xf numFmtId="175" fontId="6" fillId="8" borderId="6" xfId="0" applyNumberFormat="1" applyFont="1" applyFill="1" applyBorder="1"/>
    <xf numFmtId="9" fontId="11" fillId="11" borderId="1" xfId="0" applyNumberFormat="1" applyFont="1" applyFill="1" applyBorder="1" applyAlignment="1">
      <alignment horizontal="center"/>
    </xf>
    <xf numFmtId="0" fontId="54" fillId="11" borderId="3" xfId="0" applyFont="1" applyFill="1" applyBorder="1" applyAlignment="1">
      <alignment horizontal="center" vertical="center"/>
    </xf>
    <xf numFmtId="9" fontId="56" fillId="11" borderId="5" xfId="0" applyNumberFormat="1" applyFont="1" applyFill="1" applyBorder="1" applyAlignment="1">
      <alignment horizontal="center"/>
    </xf>
    <xf numFmtId="0" fontId="123" fillId="14" borderId="3" xfId="0" applyFont="1" applyFill="1" applyBorder="1" applyAlignment="1">
      <alignment horizontal="center" vertical="center"/>
    </xf>
    <xf numFmtId="3" fontId="123" fillId="6" borderId="1" xfId="0" applyNumberFormat="1" applyFont="1" applyFill="1" applyBorder="1" applyAlignment="1">
      <alignment horizontal="center"/>
    </xf>
    <xf numFmtId="0" fontId="6" fillId="11" borderId="3" xfId="0" applyFont="1" applyFill="1" applyBorder="1"/>
    <xf numFmtId="0" fontId="123" fillId="6" borderId="1" xfId="0" applyFont="1" applyFill="1" applyBorder="1" applyAlignment="1">
      <alignment horizontal="left"/>
    </xf>
    <xf numFmtId="3" fontId="123" fillId="6" borderId="1" xfId="0" applyNumberFormat="1" applyFont="1" applyFill="1" applyBorder="1" applyAlignment="1">
      <alignment horizontal="left"/>
    </xf>
    <xf numFmtId="0" fontId="123" fillId="6" borderId="8" xfId="0" applyFont="1" applyFill="1" applyBorder="1" applyAlignment="1">
      <alignment horizontal="left"/>
    </xf>
    <xf numFmtId="0" fontId="6" fillId="14" borderId="8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171" fontId="123" fillId="6" borderId="9" xfId="0" applyNumberFormat="1" applyFont="1" applyFill="1" applyBorder="1" applyAlignment="1">
      <alignment horizontal="left"/>
    </xf>
    <xf numFmtId="170" fontId="6" fillId="0" borderId="1" xfId="0" applyNumberFormat="1" applyFont="1" applyBorder="1"/>
    <xf numFmtId="0" fontId="6" fillId="11" borderId="1" xfId="0" applyFont="1" applyFill="1" applyBorder="1" applyAlignment="1">
      <alignment horizontal="center"/>
    </xf>
    <xf numFmtId="0" fontId="6" fillId="29" borderId="1" xfId="0" applyFont="1" applyFill="1" applyBorder="1"/>
    <xf numFmtId="16" fontId="6" fillId="0" borderId="1" xfId="0" applyNumberFormat="1" applyFont="1" applyBorder="1"/>
    <xf numFmtId="0" fontId="6" fillId="29" borderId="1" xfId="0" applyFont="1" applyFill="1" applyBorder="1" applyAlignment="1">
      <alignment horizontal="center"/>
    </xf>
    <xf numFmtId="0" fontId="123" fillId="6" borderId="8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18" borderId="16" xfId="0" applyNumberFormat="1" applyFill="1" applyBorder="1" applyAlignment="1">
      <alignment horizontal="center"/>
    </xf>
    <xf numFmtId="14" fontId="0" fillId="18" borderId="17" xfId="0" applyNumberFormat="1" applyFill="1" applyBorder="1" applyAlignment="1">
      <alignment horizontal="center"/>
    </xf>
    <xf numFmtId="14" fontId="0" fillId="18" borderId="1" xfId="0" applyNumberFormat="1" applyFill="1" applyBorder="1" applyAlignment="1">
      <alignment horizontal="center"/>
    </xf>
    <xf numFmtId="14" fontId="0" fillId="18" borderId="0" xfId="0" applyNumberFormat="1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14" fontId="0" fillId="18" borderId="5" xfId="0" applyNumberFormat="1" applyFill="1" applyBorder="1" applyAlignment="1">
      <alignment horizontal="center"/>
    </xf>
    <xf numFmtId="0" fontId="0" fillId="18" borderId="19" xfId="0" applyFill="1" applyBorder="1" applyAlignment="1">
      <alignment horizontal="center"/>
    </xf>
    <xf numFmtId="14" fontId="0" fillId="18" borderId="9" xfId="0" applyNumberFormat="1" applyFill="1" applyBorder="1" applyAlignment="1">
      <alignment horizontal="center"/>
    </xf>
    <xf numFmtId="14" fontId="0" fillId="6" borderId="16" xfId="0" applyNumberFormat="1" applyFill="1" applyBorder="1" applyAlignment="1">
      <alignment horizontal="center"/>
    </xf>
    <xf numFmtId="0" fontId="108" fillId="0" borderId="6" xfId="0" applyFont="1" applyBorder="1" applyAlignment="1">
      <alignment horizontal="center"/>
    </xf>
    <xf numFmtId="14" fontId="0" fillId="30" borderId="16" xfId="0" applyNumberFormat="1" applyFill="1" applyBorder="1" applyAlignment="1">
      <alignment horizontal="center"/>
    </xf>
    <xf numFmtId="14" fontId="0" fillId="30" borderId="37" xfId="0" applyNumberFormat="1" applyFill="1" applyBorder="1" applyAlignment="1">
      <alignment horizontal="center"/>
    </xf>
    <xf numFmtId="14" fontId="0" fillId="30" borderId="1" xfId="0" applyNumberFormat="1" applyFill="1" applyBorder="1" applyAlignment="1">
      <alignment horizontal="center"/>
    </xf>
    <xf numFmtId="0" fontId="0" fillId="30" borderId="3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14" fontId="0" fillId="30" borderId="17" xfId="0" applyNumberFormat="1" applyFill="1" applyBorder="1" applyAlignment="1">
      <alignment horizontal="center"/>
    </xf>
    <xf numFmtId="0" fontId="108" fillId="30" borderId="6" xfId="0" applyFont="1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14" fontId="0" fillId="30" borderId="9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11" borderId="17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14" fontId="0" fillId="11" borderId="9" xfId="0" applyNumberFormat="1" applyFill="1" applyBorder="1" applyAlignment="1">
      <alignment horizontal="center"/>
    </xf>
    <xf numFmtId="171" fontId="0" fillId="0" borderId="1" xfId="0" applyNumberFormat="1" applyBorder="1" applyAlignment="1">
      <alignment horizontal="left"/>
    </xf>
    <xf numFmtId="0" fontId="6" fillId="11" borderId="8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center"/>
    </xf>
    <xf numFmtId="9" fontId="54" fillId="11" borderId="1" xfId="0" applyNumberFormat="1" applyFont="1" applyFill="1" applyBorder="1" applyAlignment="1">
      <alignment horizontal="center"/>
    </xf>
    <xf numFmtId="9" fontId="11" fillId="29" borderId="1" xfId="0" applyNumberFormat="1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16" borderId="8" xfId="0" applyFont="1" applyFill="1" applyBorder="1" applyAlignment="1">
      <alignment horizontal="left"/>
    </xf>
    <xf numFmtId="0" fontId="6" fillId="14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29" borderId="6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6" fillId="16" borderId="8" xfId="0" applyFont="1" applyFill="1" applyBorder="1" applyAlignment="1">
      <alignment horizontal="left"/>
    </xf>
    <xf numFmtId="0" fontId="156" fillId="14" borderId="3" xfId="0" applyFont="1" applyFill="1" applyBorder="1"/>
    <xf numFmtId="0" fontId="6" fillId="29" borderId="8" xfId="0" applyFont="1" applyFill="1" applyBorder="1" applyAlignment="1">
      <alignment horizontal="left"/>
    </xf>
    <xf numFmtId="9" fontId="123" fillId="11" borderId="5" xfId="0" applyNumberFormat="1" applyFont="1" applyFill="1" applyBorder="1" applyAlignment="1">
      <alignment horizontal="center"/>
    </xf>
    <xf numFmtId="9" fontId="123" fillId="16" borderId="5" xfId="0" applyNumberFormat="1" applyFont="1" applyFill="1" applyBorder="1" applyAlignment="1">
      <alignment horizontal="center"/>
    </xf>
    <xf numFmtId="0" fontId="11" fillId="14" borderId="1" xfId="0" applyFont="1" applyFill="1" applyBorder="1"/>
    <xf numFmtId="175" fontId="56" fillId="6" borderId="1" xfId="0" applyNumberFormat="1" applyFont="1" applyFill="1" applyBorder="1"/>
    <xf numFmtId="0" fontId="0" fillId="0" borderId="9" xfId="0" applyBorder="1" applyAlignment="1">
      <alignment horizontal="center" vertical="center"/>
    </xf>
    <xf numFmtId="0" fontId="156" fillId="14" borderId="1" xfId="0" applyFont="1" applyFill="1" applyBorder="1"/>
    <xf numFmtId="0" fontId="6" fillId="35" borderId="1" xfId="0" applyFont="1" applyFill="1" applyBorder="1" applyAlignment="1">
      <alignment horizontal="center"/>
    </xf>
    <xf numFmtId="0" fontId="54" fillId="29" borderId="3" xfId="0" applyFont="1" applyFill="1" applyBorder="1" applyAlignment="1">
      <alignment horizontal="center" vertical="center"/>
    </xf>
    <xf numFmtId="9" fontId="56" fillId="29" borderId="5" xfId="0" applyNumberFormat="1" applyFont="1" applyFill="1" applyBorder="1" applyAlignment="1">
      <alignment horizontal="center"/>
    </xf>
    <xf numFmtId="0" fontId="6" fillId="29" borderId="3" xfId="0" applyFont="1" applyFill="1" applyBorder="1"/>
    <xf numFmtId="0" fontId="156" fillId="11" borderId="3" xfId="0" applyFont="1" applyFill="1" applyBorder="1"/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right"/>
    </xf>
    <xf numFmtId="9" fontId="123" fillId="35" borderId="5" xfId="0" applyNumberFormat="1" applyFont="1" applyFill="1" applyBorder="1" applyAlignment="1">
      <alignment horizontal="center"/>
    </xf>
    <xf numFmtId="0" fontId="6" fillId="35" borderId="8" xfId="0" applyFont="1" applyFill="1" applyBorder="1" applyAlignment="1">
      <alignment horizontal="left"/>
    </xf>
    <xf numFmtId="0" fontId="156" fillId="16" borderId="3" xfId="0" applyFont="1" applyFill="1" applyBorder="1"/>
    <xf numFmtId="0" fontId="0" fillId="43" borderId="1" xfId="0" applyFill="1" applyBorder="1"/>
    <xf numFmtId="0" fontId="0" fillId="43" borderId="14" xfId="0" applyFill="1" applyBorder="1"/>
    <xf numFmtId="0" fontId="0" fillId="43" borderId="9" xfId="0" applyFill="1" applyBorder="1"/>
    <xf numFmtId="0" fontId="6" fillId="6" borderId="6" xfId="0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/>
    </xf>
    <xf numFmtId="16" fontId="6" fillId="6" borderId="1" xfId="0" applyNumberFormat="1" applyFont="1" applyFill="1" applyBorder="1"/>
    <xf numFmtId="0" fontId="156" fillId="6" borderId="1" xfId="0" applyFont="1" applyFill="1" applyBorder="1"/>
    <xf numFmtId="9" fontId="85" fillId="5" borderId="9" xfId="0" applyNumberFormat="1" applyFont="1" applyFill="1" applyBorder="1" applyAlignment="1">
      <alignment horizontal="center"/>
    </xf>
    <xf numFmtId="0" fontId="6" fillId="16" borderId="6" xfId="0" applyFont="1" applyFill="1" applyBorder="1" applyAlignment="1">
      <alignment horizontal="left"/>
    </xf>
    <xf numFmtId="0" fontId="156" fillId="16" borderId="1" xfId="0" applyFont="1" applyFill="1" applyBorder="1"/>
    <xf numFmtId="0" fontId="25" fillId="39" borderId="16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/>
    </xf>
    <xf numFmtId="0" fontId="82" fillId="0" borderId="16" xfId="0" applyFont="1" applyBorder="1" applyAlignment="1">
      <alignment horizontal="center"/>
    </xf>
    <xf numFmtId="17" fontId="24" fillId="15" borderId="0" xfId="0" applyNumberFormat="1" applyFont="1" applyFill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17" fontId="137" fillId="14" borderId="0" xfId="0" applyNumberFormat="1" applyFont="1" applyFill="1" applyAlignment="1">
      <alignment horizontal="center" vertical="center"/>
    </xf>
    <xf numFmtId="0" fontId="137" fillId="14" borderId="0" xfId="0" applyFont="1" applyFill="1" applyAlignment="1">
      <alignment horizontal="center" vertical="center"/>
    </xf>
    <xf numFmtId="0" fontId="25" fillId="14" borderId="16" xfId="0" applyFont="1" applyFill="1" applyBorder="1" applyAlignment="1">
      <alignment horizontal="center" vertical="center"/>
    </xf>
    <xf numFmtId="17" fontId="24" fillId="14" borderId="0" xfId="0" applyNumberFormat="1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5" fillId="31" borderId="16" xfId="0" applyFont="1" applyFill="1" applyBorder="1" applyAlignment="1">
      <alignment horizontal="center" vertical="center"/>
    </xf>
    <xf numFmtId="17" fontId="24" fillId="31" borderId="0" xfId="0" applyNumberFormat="1" applyFont="1" applyFill="1" applyAlignment="1">
      <alignment horizontal="center" vertical="center"/>
    </xf>
    <xf numFmtId="0" fontId="24" fillId="31" borderId="0" xfId="0" applyFont="1" applyFill="1" applyAlignment="1">
      <alignment horizontal="center" vertical="center"/>
    </xf>
    <xf numFmtId="0" fontId="0" fillId="0" borderId="16" xfId="0" applyBorder="1" applyAlignment="1">
      <alignment horizontal="center"/>
    </xf>
    <xf numFmtId="0" fontId="25" fillId="27" borderId="16" xfId="0" applyFont="1" applyFill="1" applyBorder="1" applyAlignment="1">
      <alignment horizontal="center" vertical="center"/>
    </xf>
    <xf numFmtId="0" fontId="25" fillId="8" borderId="16" xfId="0" applyFont="1" applyFill="1" applyBorder="1" applyAlignment="1">
      <alignment horizontal="center" vertical="center"/>
    </xf>
    <xf numFmtId="17" fontId="24" fillId="28" borderId="0" xfId="0" applyNumberFormat="1" applyFont="1" applyFill="1" applyAlignment="1">
      <alignment horizontal="center" vertical="center"/>
    </xf>
    <xf numFmtId="0" fontId="24" fillId="28" borderId="0" xfId="0" applyFont="1" applyFill="1" applyAlignment="1">
      <alignment horizontal="center" vertical="center"/>
    </xf>
    <xf numFmtId="0" fontId="25" fillId="29" borderId="16" xfId="0" applyFont="1" applyFill="1" applyBorder="1" applyAlignment="1">
      <alignment horizontal="center" vertical="center"/>
    </xf>
    <xf numFmtId="0" fontId="25" fillId="15" borderId="16" xfId="0" applyFont="1" applyFill="1" applyBorder="1" applyAlignment="1">
      <alignment horizontal="center" vertical="center"/>
    </xf>
    <xf numFmtId="17" fontId="24" fillId="16" borderId="0" xfId="0" applyNumberFormat="1" applyFont="1" applyFill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25" fillId="11" borderId="16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17" fontId="24" fillId="26" borderId="0" xfId="0" applyNumberFormat="1" applyFont="1" applyFill="1" applyAlignment="1">
      <alignment horizontal="center" vertical="center"/>
    </xf>
    <xf numFmtId="0" fontId="24" fillId="26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25" fillId="30" borderId="16" xfId="0" applyFont="1" applyFill="1" applyBorder="1" applyAlignment="1">
      <alignment horizontal="center" vertical="center"/>
    </xf>
    <xf numFmtId="17" fontId="24" fillId="29" borderId="0" xfId="0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center" vertical="center"/>
    </xf>
    <xf numFmtId="17" fontId="24" fillId="30" borderId="0" xfId="0" applyNumberFormat="1" applyFont="1" applyFill="1" applyAlignment="1">
      <alignment horizontal="center" vertical="center"/>
    </xf>
    <xf numFmtId="0" fontId="24" fillId="30" borderId="0" xfId="0" applyFont="1" applyFill="1" applyAlignment="1">
      <alignment horizontal="center" vertical="center"/>
    </xf>
    <xf numFmtId="0" fontId="132" fillId="6" borderId="1" xfId="0" applyFont="1" applyFill="1" applyBorder="1" applyAlignment="1">
      <alignment horizontal="center" vertical="center"/>
    </xf>
    <xf numFmtId="0" fontId="71" fillId="14" borderId="9" xfId="0" applyFont="1" applyFill="1" applyBorder="1" applyAlignment="1">
      <alignment horizontal="center"/>
    </xf>
    <xf numFmtId="0" fontId="85" fillId="4" borderId="9" xfId="0" applyFont="1" applyFill="1" applyBorder="1" applyAlignment="1">
      <alignment horizontal="center"/>
    </xf>
    <xf numFmtId="166" fontId="132" fillId="14" borderId="8" xfId="0" applyNumberFormat="1" applyFont="1" applyFill="1" applyBorder="1" applyAlignment="1">
      <alignment horizontal="center"/>
    </xf>
    <xf numFmtId="166" fontId="132" fillId="14" borderId="13" xfId="0" applyNumberFormat="1" applyFont="1" applyFill="1" applyBorder="1" applyAlignment="1">
      <alignment horizontal="center"/>
    </xf>
    <xf numFmtId="166" fontId="132" fillId="14" borderId="6" xfId="0" applyNumberFormat="1" applyFont="1" applyFill="1" applyBorder="1" applyAlignment="1">
      <alignment horizontal="center"/>
    </xf>
    <xf numFmtId="0" fontId="56" fillId="10" borderId="8" xfId="0" applyFont="1" applyFill="1" applyBorder="1" applyAlignment="1">
      <alignment horizontal="center"/>
    </xf>
    <xf numFmtId="0" fontId="56" fillId="10" borderId="6" xfId="0" applyFont="1" applyFill="1" applyBorder="1" applyAlignment="1">
      <alignment horizontal="center"/>
    </xf>
    <xf numFmtId="0" fontId="155" fillId="11" borderId="8" xfId="0" applyFont="1" applyFill="1" applyBorder="1" applyAlignment="1">
      <alignment horizontal="center"/>
    </xf>
    <xf numFmtId="0" fontId="155" fillId="11" borderId="13" xfId="0" applyFont="1" applyFill="1" applyBorder="1" applyAlignment="1">
      <alignment horizontal="center"/>
    </xf>
    <xf numFmtId="0" fontId="56" fillId="12" borderId="8" xfId="0" applyFont="1" applyFill="1" applyBorder="1" applyAlignment="1">
      <alignment horizontal="center"/>
    </xf>
    <xf numFmtId="0" fontId="56" fillId="12" borderId="13" xfId="0" applyFont="1" applyFill="1" applyBorder="1" applyAlignment="1">
      <alignment horizontal="center"/>
    </xf>
    <xf numFmtId="0" fontId="56" fillId="26" borderId="8" xfId="0" applyFont="1" applyFill="1" applyBorder="1" applyAlignment="1">
      <alignment horizontal="center"/>
    </xf>
    <xf numFmtId="0" fontId="56" fillId="26" borderId="13" xfId="0" applyFont="1" applyFill="1" applyBorder="1" applyAlignment="1">
      <alignment horizontal="center"/>
    </xf>
    <xf numFmtId="0" fontId="56" fillId="13" borderId="8" xfId="0" applyFont="1" applyFill="1" applyBorder="1" applyAlignment="1">
      <alignment horizontal="center"/>
    </xf>
    <xf numFmtId="0" fontId="56" fillId="13" borderId="13" xfId="0" applyFont="1" applyFill="1" applyBorder="1" applyAlignment="1">
      <alignment horizontal="center"/>
    </xf>
    <xf numFmtId="0" fontId="54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4" fillId="6" borderId="12" xfId="0" applyFont="1" applyFill="1" applyBorder="1" applyAlignment="1">
      <alignment horizontal="center" vertical="center"/>
    </xf>
    <xf numFmtId="0" fontId="54" fillId="6" borderId="14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 vertical="center"/>
    </xf>
    <xf numFmtId="0" fontId="54" fillId="6" borderId="3" xfId="0" applyFont="1" applyFill="1" applyBorder="1" applyAlignment="1">
      <alignment horizontal="center" vertical="center"/>
    </xf>
    <xf numFmtId="0" fontId="54" fillId="6" borderId="15" xfId="0" applyFont="1" applyFill="1" applyBorder="1" applyAlignment="1">
      <alignment horizontal="center" vertical="center"/>
    </xf>
    <xf numFmtId="0" fontId="54" fillId="6" borderId="2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/>
    </xf>
    <xf numFmtId="0" fontId="54" fillId="6" borderId="2" xfId="0" applyFont="1" applyFill="1" applyBorder="1" applyAlignment="1">
      <alignment horizontal="center"/>
    </xf>
    <xf numFmtId="0" fontId="54" fillId="6" borderId="3" xfId="0" applyFont="1" applyFill="1" applyBorder="1" applyAlignment="1">
      <alignment horizontal="center"/>
    </xf>
    <xf numFmtId="0" fontId="54" fillId="6" borderId="1" xfId="0" applyFont="1" applyFill="1" applyBorder="1" applyAlignment="1">
      <alignment horizontal="center" vertical="center"/>
    </xf>
    <xf numFmtId="0" fontId="85" fillId="6" borderId="1" xfId="0" applyFont="1" applyFill="1" applyBorder="1" applyAlignment="1">
      <alignment horizontal="center"/>
    </xf>
    <xf numFmtId="0" fontId="85" fillId="4" borderId="8" xfId="0" applyFont="1" applyFill="1" applyBorder="1" applyAlignment="1">
      <alignment horizontal="center"/>
    </xf>
    <xf numFmtId="0" fontId="85" fillId="4" borderId="13" xfId="0" applyFont="1" applyFill="1" applyBorder="1" applyAlignment="1">
      <alignment horizontal="center"/>
    </xf>
    <xf numFmtId="0" fontId="85" fillId="4" borderId="6" xfId="0" applyFont="1" applyFill="1" applyBorder="1" applyAlignment="1">
      <alignment horizontal="center"/>
    </xf>
    <xf numFmtId="0" fontId="85" fillId="6" borderId="9" xfId="0" applyFont="1" applyFill="1" applyBorder="1" applyAlignment="1">
      <alignment horizontal="center"/>
    </xf>
    <xf numFmtId="0" fontId="85" fillId="6" borderId="4" xfId="0" applyFont="1" applyFill="1" applyBorder="1" applyAlignment="1">
      <alignment horizontal="center"/>
    </xf>
    <xf numFmtId="0" fontId="85" fillId="6" borderId="5" xfId="0" applyFont="1" applyFill="1" applyBorder="1" applyAlignment="1">
      <alignment horizontal="center"/>
    </xf>
    <xf numFmtId="0" fontId="60" fillId="11" borderId="3" xfId="0" applyFont="1" applyFill="1" applyBorder="1" applyAlignment="1">
      <alignment horizontal="center"/>
    </xf>
    <xf numFmtId="0" fontId="60" fillId="11" borderId="5" xfId="0" applyFont="1" applyFill="1" applyBorder="1" applyAlignment="1">
      <alignment horizontal="center"/>
    </xf>
    <xf numFmtId="0" fontId="71" fillId="14" borderId="8" xfId="0" applyFont="1" applyFill="1" applyBorder="1" applyAlignment="1">
      <alignment horizontal="center" vertical="center"/>
    </xf>
    <xf numFmtId="0" fontId="71" fillId="14" borderId="13" xfId="0" applyFont="1" applyFill="1" applyBorder="1" applyAlignment="1">
      <alignment horizontal="center" vertical="center"/>
    </xf>
    <xf numFmtId="0" fontId="138" fillId="6" borderId="9" xfId="0" applyFont="1" applyFill="1" applyBorder="1" applyAlignment="1">
      <alignment horizontal="center" vertical="center"/>
    </xf>
    <xf numFmtId="0" fontId="138" fillId="6" borderId="4" xfId="0" applyFont="1" applyFill="1" applyBorder="1" applyAlignment="1">
      <alignment horizontal="center" vertical="center"/>
    </xf>
    <xf numFmtId="0" fontId="138" fillId="6" borderId="5" xfId="0" applyFont="1" applyFill="1" applyBorder="1" applyAlignment="1">
      <alignment horizontal="center" vertical="center"/>
    </xf>
    <xf numFmtId="0" fontId="85" fillId="4" borderId="1" xfId="0" applyFont="1" applyFill="1" applyBorder="1" applyAlignment="1">
      <alignment horizontal="center"/>
    </xf>
    <xf numFmtId="0" fontId="137" fillId="0" borderId="9" xfId="0" applyFont="1" applyBorder="1" applyAlignment="1">
      <alignment horizontal="center" vertical="center"/>
    </xf>
    <xf numFmtId="0" fontId="137" fillId="0" borderId="4" xfId="0" applyFont="1" applyBorder="1" applyAlignment="1">
      <alignment horizontal="center" vertical="center"/>
    </xf>
    <xf numFmtId="0" fontId="137" fillId="0" borderId="10" xfId="0" applyFont="1" applyBorder="1" applyAlignment="1">
      <alignment horizontal="center" vertical="center"/>
    </xf>
    <xf numFmtId="0" fontId="137" fillId="0" borderId="7" xfId="0" applyFont="1" applyBorder="1" applyAlignment="1">
      <alignment horizontal="center" vertical="center"/>
    </xf>
    <xf numFmtId="0" fontId="137" fillId="0" borderId="5" xfId="0" applyFont="1" applyBorder="1" applyAlignment="1">
      <alignment horizontal="center" vertical="center"/>
    </xf>
    <xf numFmtId="0" fontId="149" fillId="41" borderId="9" xfId="0" applyFont="1" applyFill="1" applyBorder="1" applyAlignment="1"/>
    <xf numFmtId="0" fontId="149" fillId="41" borderId="5" xfId="0" applyFont="1" applyFill="1" applyBorder="1" applyAlignment="1"/>
    <xf numFmtId="0" fontId="149" fillId="41" borderId="9" xfId="0" applyFont="1" applyFill="1" applyBorder="1" applyAlignment="1">
      <alignment horizontal="center"/>
    </xf>
    <xf numFmtId="0" fontId="149" fillId="41" borderId="5" xfId="0" applyFont="1" applyFill="1" applyBorder="1" applyAlignment="1">
      <alignment horizontal="center"/>
    </xf>
    <xf numFmtId="0" fontId="150" fillId="0" borderId="9" xfId="0" applyFont="1" applyBorder="1" applyAlignment="1">
      <alignment wrapText="1"/>
    </xf>
    <xf numFmtId="0" fontId="150" fillId="0" borderId="5" xfId="0" applyFont="1" applyBorder="1" applyAlignment="1">
      <alignment wrapText="1"/>
    </xf>
    <xf numFmtId="0" fontId="151" fillId="0" borderId="9" xfId="0" applyFont="1" applyBorder="1" applyAlignment="1">
      <alignment horizontal="center"/>
    </xf>
    <xf numFmtId="0" fontId="151" fillId="0" borderId="5" xfId="0" applyFont="1" applyBorder="1" applyAlignment="1">
      <alignment horizontal="center"/>
    </xf>
    <xf numFmtId="0" fontId="57" fillId="26" borderId="8" xfId="0" applyFont="1" applyFill="1" applyBorder="1" applyAlignment="1">
      <alignment horizontal="center"/>
    </xf>
    <xf numFmtId="0" fontId="57" fillId="26" borderId="13" xfId="0" applyFont="1" applyFill="1" applyBorder="1" applyAlignment="1">
      <alignment horizontal="center"/>
    </xf>
    <xf numFmtId="0" fontId="153" fillId="0" borderId="1" xfId="0" applyFont="1" applyBorder="1" applyAlignment="1">
      <alignment horizontal="center" vertical="center"/>
    </xf>
    <xf numFmtId="0" fontId="60" fillId="11" borderId="1" xfId="0" applyFont="1" applyFill="1" applyBorder="1" applyAlignment="1">
      <alignment horizontal="center"/>
    </xf>
    <xf numFmtId="0" fontId="71" fillId="14" borderId="1" xfId="0" applyFont="1" applyFill="1" applyBorder="1" applyAlignment="1">
      <alignment horizontal="center"/>
    </xf>
    <xf numFmtId="0" fontId="85" fillId="4" borderId="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23" fillId="4" borderId="1" xfId="0" applyFont="1" applyFill="1" applyBorder="1" applyAlignment="1">
      <alignment horizontal="center"/>
    </xf>
    <xf numFmtId="0" fontId="123" fillId="4" borderId="8" xfId="0" applyFont="1" applyFill="1" applyBorder="1" applyAlignment="1">
      <alignment horizontal="center"/>
    </xf>
    <xf numFmtId="0" fontId="123" fillId="4" borderId="13" xfId="0" applyFont="1" applyFill="1" applyBorder="1" applyAlignment="1">
      <alignment horizontal="center"/>
    </xf>
    <xf numFmtId="0" fontId="123" fillId="4" borderId="6" xfId="0" applyFont="1" applyFill="1" applyBorder="1" applyAlignment="1">
      <alignment horizontal="center"/>
    </xf>
    <xf numFmtId="0" fontId="54" fillId="6" borderId="8" xfId="0" applyFont="1" applyFill="1" applyBorder="1" applyAlignment="1">
      <alignment horizontal="center"/>
    </xf>
    <xf numFmtId="0" fontId="54" fillId="6" borderId="13" xfId="0" applyFont="1" applyFill="1" applyBorder="1" applyAlignment="1">
      <alignment horizontal="center"/>
    </xf>
    <xf numFmtId="0" fontId="54" fillId="6" borderId="6" xfId="0" applyFont="1" applyFill="1" applyBorder="1" applyAlignment="1">
      <alignment horizontal="center"/>
    </xf>
    <xf numFmtId="0" fontId="57" fillId="10" borderId="8" xfId="0" applyFont="1" applyFill="1" applyBorder="1" applyAlignment="1">
      <alignment horizontal="center"/>
    </xf>
    <xf numFmtId="0" fontId="57" fillId="10" borderId="6" xfId="0" applyFont="1" applyFill="1" applyBorder="1" applyAlignment="1">
      <alignment horizontal="center"/>
    </xf>
    <xf numFmtId="0" fontId="139" fillId="11" borderId="8" xfId="0" applyFont="1" applyFill="1" applyBorder="1" applyAlignment="1">
      <alignment horizontal="center"/>
    </xf>
    <xf numFmtId="0" fontId="139" fillId="11" borderId="13" xfId="0" applyFont="1" applyFill="1" applyBorder="1" applyAlignment="1">
      <alignment horizontal="center"/>
    </xf>
    <xf numFmtId="0" fontId="57" fillId="12" borderId="8" xfId="0" applyFont="1" applyFill="1" applyBorder="1" applyAlignment="1">
      <alignment horizontal="center"/>
    </xf>
    <xf numFmtId="0" fontId="57" fillId="12" borderId="13" xfId="0" applyFont="1" applyFill="1" applyBorder="1" applyAlignment="1">
      <alignment horizontal="center"/>
    </xf>
    <xf numFmtId="0" fontId="57" fillId="13" borderId="8" xfId="0" applyFont="1" applyFill="1" applyBorder="1" applyAlignment="1">
      <alignment horizontal="center"/>
    </xf>
    <xf numFmtId="0" fontId="57" fillId="13" borderId="13" xfId="0" applyFont="1" applyFill="1" applyBorder="1" applyAlignment="1">
      <alignment horizontal="center"/>
    </xf>
    <xf numFmtId="0" fontId="56" fillId="13" borderId="15" xfId="0" applyFont="1" applyFill="1" applyBorder="1" applyAlignment="1">
      <alignment horizontal="center" vertical="center"/>
    </xf>
    <xf numFmtId="0" fontId="71" fillId="14" borderId="8" xfId="0" applyFont="1" applyFill="1" applyBorder="1" applyAlignment="1">
      <alignment horizontal="center"/>
    </xf>
    <xf numFmtId="0" fontId="71" fillId="14" borderId="13" xfId="0" applyFont="1" applyFill="1" applyBorder="1" applyAlignment="1">
      <alignment horizontal="center"/>
    </xf>
    <xf numFmtId="0" fontId="71" fillId="14" borderId="6" xfId="0" applyFont="1" applyFill="1" applyBorder="1" applyAlignment="1">
      <alignment horizontal="center"/>
    </xf>
    <xf numFmtId="0" fontId="54" fillId="11" borderId="8" xfId="0" applyFont="1" applyFill="1" applyBorder="1" applyAlignment="1">
      <alignment horizontal="center"/>
    </xf>
    <xf numFmtId="0" fontId="54" fillId="11" borderId="13" xfId="0" applyFont="1" applyFill="1" applyBorder="1" applyAlignment="1">
      <alignment horizontal="center"/>
    </xf>
    <xf numFmtId="0" fontId="54" fillId="11" borderId="6" xfId="0" applyFont="1" applyFill="1" applyBorder="1" applyAlignment="1">
      <alignment horizontal="center"/>
    </xf>
    <xf numFmtId="0" fontId="9" fillId="13" borderId="15" xfId="0" applyFont="1" applyFill="1" applyBorder="1" applyAlignment="1">
      <alignment horizontal="center" vertical="center"/>
    </xf>
    <xf numFmtId="0" fontId="152" fillId="42" borderId="9" xfId="0" applyFont="1" applyFill="1" applyBorder="1" applyAlignment="1"/>
    <xf numFmtId="0" fontId="152" fillId="42" borderId="5" xfId="0" applyFont="1" applyFill="1" applyBorder="1" applyAlignment="1"/>
    <xf numFmtId="0" fontId="150" fillId="0" borderId="9" xfId="0" applyFont="1" applyBorder="1" applyAlignment="1"/>
    <xf numFmtId="0" fontId="150" fillId="0" borderId="5" xfId="0" applyFont="1" applyBorder="1" applyAlignment="1"/>
    <xf numFmtId="166" fontId="132" fillId="14" borderId="0" xfId="0" applyNumberFormat="1" applyFont="1" applyFill="1" applyAlignment="1">
      <alignment horizontal="center"/>
    </xf>
    <xf numFmtId="0" fontId="69" fillId="6" borderId="9" xfId="0" applyFont="1" applyFill="1" applyBorder="1" applyAlignment="1">
      <alignment horizontal="center" vertical="center"/>
    </xf>
    <xf numFmtId="0" fontId="69" fillId="6" borderId="4" xfId="0" applyFont="1" applyFill="1" applyBorder="1" applyAlignment="1">
      <alignment horizontal="center" vertical="center"/>
    </xf>
    <xf numFmtId="0" fontId="137" fillId="0" borderId="9" xfId="0" applyFont="1" applyBorder="1" applyAlignment="1">
      <alignment vertical="center"/>
    </xf>
    <xf numFmtId="0" fontId="137" fillId="0" borderId="4" xfId="0" applyFont="1" applyBorder="1" applyAlignment="1">
      <alignment vertical="center"/>
    </xf>
    <xf numFmtId="0" fontId="60" fillId="8" borderId="8" xfId="0" applyFont="1" applyFill="1" applyBorder="1" applyAlignment="1">
      <alignment horizontal="center"/>
    </xf>
    <xf numFmtId="0" fontId="60" fillId="8" borderId="2" xfId="0" applyFont="1" applyFill="1" applyBorder="1" applyAlignment="1">
      <alignment horizontal="center"/>
    </xf>
    <xf numFmtId="0" fontId="60" fillId="8" borderId="3" xfId="0" applyFont="1" applyFill="1" applyBorder="1" applyAlignment="1">
      <alignment horizontal="center"/>
    </xf>
    <xf numFmtId="0" fontId="60" fillId="8" borderId="13" xfId="0" applyFont="1" applyFill="1" applyBorder="1" applyAlignment="1">
      <alignment horizontal="center"/>
    </xf>
    <xf numFmtId="0" fontId="60" fillId="8" borderId="6" xfId="0" applyFont="1" applyFill="1" applyBorder="1" applyAlignment="1">
      <alignment horizontal="center"/>
    </xf>
    <xf numFmtId="0" fontId="69" fillId="6" borderId="5" xfId="0" applyFont="1" applyFill="1" applyBorder="1" applyAlignment="1">
      <alignment horizontal="center" vertical="center"/>
    </xf>
    <xf numFmtId="0" fontId="141" fillId="6" borderId="9" xfId="0" applyFont="1" applyFill="1" applyBorder="1" applyAlignment="1">
      <alignment horizontal="center" vertical="center"/>
    </xf>
    <xf numFmtId="0" fontId="141" fillId="6" borderId="4" xfId="0" applyFont="1" applyFill="1" applyBorder="1" applyAlignment="1">
      <alignment horizontal="center" vertical="center"/>
    </xf>
    <xf numFmtId="0" fontId="141" fillId="6" borderId="5" xfId="0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/>
    </xf>
    <xf numFmtId="0" fontId="71" fillId="14" borderId="10" xfId="0" applyFont="1" applyFill="1" applyBorder="1" applyAlignment="1">
      <alignment horizontal="center"/>
    </xf>
    <xf numFmtId="0" fontId="85" fillId="4" borderId="0" xfId="0" applyFont="1" applyFill="1" applyAlignment="1">
      <alignment horizontal="center"/>
    </xf>
    <xf numFmtId="0" fontId="60" fillId="8" borderId="1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0" fontId="5" fillId="26" borderId="8" xfId="0" applyFont="1" applyFill="1" applyBorder="1" applyAlignment="1">
      <alignment horizontal="center"/>
    </xf>
    <xf numFmtId="0" fontId="5" fillId="26" borderId="13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0" fontId="132" fillId="6" borderId="9" xfId="0" applyFont="1" applyFill="1" applyBorder="1" applyAlignment="1">
      <alignment horizontal="center" vertical="center"/>
    </xf>
    <xf numFmtId="0" fontId="132" fillId="6" borderId="4" xfId="0" applyFont="1" applyFill="1" applyBorder="1" applyAlignment="1">
      <alignment horizontal="center" vertical="center"/>
    </xf>
    <xf numFmtId="0" fontId="132" fillId="6" borderId="5" xfId="0" applyFont="1" applyFill="1" applyBorder="1" applyAlignment="1">
      <alignment horizontal="center" vertical="center"/>
    </xf>
    <xf numFmtId="0" fontId="60" fillId="6" borderId="3" xfId="0" applyFont="1" applyFill="1" applyBorder="1" applyAlignment="1">
      <alignment horizontal="center"/>
    </xf>
    <xf numFmtId="0" fontId="60" fillId="6" borderId="5" xfId="0" applyFont="1" applyFill="1" applyBorder="1" applyAlignment="1">
      <alignment horizontal="center"/>
    </xf>
    <xf numFmtId="0" fontId="12" fillId="14" borderId="8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166" fontId="1" fillId="14" borderId="0" xfId="0" applyNumberFormat="1" applyFont="1" applyFill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2" fillId="40" borderId="8" xfId="0" applyFont="1" applyFill="1" applyBorder="1" applyAlignment="1">
      <alignment horizontal="center"/>
    </xf>
    <xf numFmtId="0" fontId="71" fillId="40" borderId="8" xfId="0" applyFont="1" applyFill="1" applyBorder="1" applyAlignment="1">
      <alignment horizontal="center"/>
    </xf>
    <xf numFmtId="0" fontId="56" fillId="14" borderId="8" xfId="0" applyFont="1" applyFill="1" applyBorder="1" applyAlignment="1">
      <alignment horizontal="left" vertical="center"/>
    </xf>
    <xf numFmtId="0" fontId="56" fillId="14" borderId="13" xfId="0" applyFont="1" applyFill="1" applyBorder="1" applyAlignment="1">
      <alignment horizontal="left" vertical="center"/>
    </xf>
    <xf numFmtId="0" fontId="12" fillId="40" borderId="8" xfId="0" applyFont="1" applyFill="1" applyBorder="1" applyAlignment="1">
      <alignment horizontal="center" vertical="center"/>
    </xf>
    <xf numFmtId="0" fontId="71" fillId="40" borderId="8" xfId="0" applyFont="1" applyFill="1" applyBorder="1" applyAlignment="1">
      <alignment horizontal="center" vertical="center"/>
    </xf>
    <xf numFmtId="0" fontId="12" fillId="40" borderId="9" xfId="0" applyFont="1" applyFill="1" applyBorder="1" applyAlignment="1">
      <alignment horizontal="center"/>
    </xf>
    <xf numFmtId="0" fontId="71" fillId="40" borderId="9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32" fillId="6" borderId="12" xfId="0" applyFont="1" applyFill="1" applyBorder="1" applyAlignment="1">
      <alignment horizontal="center" vertical="center"/>
    </xf>
    <xf numFmtId="0" fontId="132" fillId="6" borderId="10" xfId="0" applyFont="1" applyFill="1" applyBorder="1" applyAlignment="1">
      <alignment horizontal="center" vertical="center"/>
    </xf>
    <xf numFmtId="0" fontId="132" fillId="6" borderId="7" xfId="0" applyFont="1" applyFill="1" applyBorder="1" applyAlignment="1">
      <alignment horizontal="center" vertical="center"/>
    </xf>
    <xf numFmtId="0" fontId="60" fillId="8" borderId="7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2" fillId="1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2" fillId="40" borderId="10" xfId="0" applyFont="1" applyFill="1" applyBorder="1" applyAlignment="1">
      <alignment horizontal="center"/>
    </xf>
    <xf numFmtId="0" fontId="71" fillId="40" borderId="10" xfId="0" applyFont="1" applyFill="1" applyBorder="1" applyAlignment="1">
      <alignment horizontal="center"/>
    </xf>
    <xf numFmtId="0" fontId="56" fillId="14" borderId="6" xfId="0" applyFont="1" applyFill="1" applyBorder="1" applyAlignment="1">
      <alignment horizontal="left" vertical="center"/>
    </xf>
    <xf numFmtId="0" fontId="132" fillId="5" borderId="10" xfId="0" applyFont="1" applyFill="1" applyBorder="1" applyAlignment="1">
      <alignment horizontal="center" vertical="center"/>
    </xf>
    <xf numFmtId="166" fontId="1" fillId="15" borderId="0" xfId="0" applyNumberFormat="1" applyFont="1" applyFill="1" applyAlignment="1">
      <alignment horizontal="center"/>
    </xf>
    <xf numFmtId="166" fontId="132" fillId="15" borderId="0" xfId="0" applyNumberFormat="1" applyFont="1" applyFill="1" applyAlignment="1">
      <alignment horizontal="center"/>
    </xf>
    <xf numFmtId="0" fontId="60" fillId="8" borderId="10" xfId="0" applyFont="1" applyFill="1" applyBorder="1" applyAlignment="1">
      <alignment horizontal="center"/>
    </xf>
    <xf numFmtId="0" fontId="12" fillId="40" borderId="1" xfId="0" applyFont="1" applyFill="1" applyBorder="1" applyAlignment="1">
      <alignment horizontal="center"/>
    </xf>
    <xf numFmtId="0" fontId="71" fillId="40" borderId="1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0" fontId="5" fillId="38" borderId="8" xfId="0" applyFont="1" applyFill="1" applyBorder="1" applyAlignment="1">
      <alignment horizontal="center"/>
    </xf>
    <xf numFmtId="0" fontId="5" fillId="38" borderId="13" xfId="0" applyFont="1" applyFill="1" applyBorder="1" applyAlignment="1">
      <alignment horizontal="center"/>
    </xf>
    <xf numFmtId="0" fontId="132" fillId="5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135" fillId="15" borderId="1" xfId="0" applyFont="1" applyFill="1" applyBorder="1" applyAlignment="1">
      <alignment horizontal="center" vertical="center"/>
    </xf>
    <xf numFmtId="166" fontId="1" fillId="30" borderId="1" xfId="0" applyNumberFormat="1" applyFont="1" applyFill="1" applyBorder="1" applyAlignment="1">
      <alignment horizontal="center"/>
    </xf>
    <xf numFmtId="0" fontId="20" fillId="36" borderId="1" xfId="0" applyFont="1" applyFill="1" applyBorder="1" applyAlignment="1">
      <alignment horizontal="center" vertical="center"/>
    </xf>
    <xf numFmtId="0" fontId="68" fillId="0" borderId="12" xfId="0" applyFont="1" applyBorder="1" applyAlignment="1">
      <alignment horizontal="center" vertical="center" wrapText="1"/>
    </xf>
    <xf numFmtId="0" fontId="28" fillId="36" borderId="1" xfId="0" applyFont="1" applyFill="1" applyBorder="1" applyAlignment="1">
      <alignment horizontal="center" vertical="center"/>
    </xf>
    <xf numFmtId="166" fontId="1" fillId="15" borderId="5" xfId="0" applyNumberFormat="1" applyFont="1" applyFill="1" applyBorder="1" applyAlignment="1">
      <alignment horizontal="center"/>
    </xf>
    <xf numFmtId="0" fontId="27" fillId="15" borderId="1" xfId="0" applyFont="1" applyFill="1" applyBorder="1" applyAlignment="1">
      <alignment horizontal="center" vertical="center"/>
    </xf>
    <xf numFmtId="0" fontId="27" fillId="15" borderId="9" xfId="0" applyFont="1" applyFill="1" applyBorder="1" applyAlignment="1">
      <alignment horizontal="center" vertical="center"/>
    </xf>
    <xf numFmtId="0" fontId="135" fillId="15" borderId="10" xfId="0" applyFont="1" applyFill="1" applyBorder="1" applyAlignment="1">
      <alignment horizontal="center" vertical="center"/>
    </xf>
    <xf numFmtId="0" fontId="135" fillId="15" borderId="0" xfId="0" applyFont="1" applyFill="1" applyAlignment="1">
      <alignment horizontal="center" vertical="center"/>
    </xf>
    <xf numFmtId="0" fontId="135" fillId="15" borderId="7" xfId="0" applyFont="1" applyFill="1" applyBorder="1" applyAlignment="1">
      <alignment horizontal="center" vertical="center"/>
    </xf>
    <xf numFmtId="0" fontId="135" fillId="15" borderId="2" xfId="0" applyFont="1" applyFill="1" applyBorder="1" applyAlignment="1">
      <alignment horizontal="center" vertical="center"/>
    </xf>
    <xf numFmtId="166" fontId="1" fillId="30" borderId="10" xfId="0" applyNumberFormat="1" applyFont="1" applyFill="1" applyBorder="1" applyAlignment="1">
      <alignment horizontal="center"/>
    </xf>
    <xf numFmtId="166" fontId="1" fillId="30" borderId="0" xfId="0" applyNumberFormat="1" applyFont="1" applyFill="1" applyAlignment="1">
      <alignment horizontal="center"/>
    </xf>
    <xf numFmtId="0" fontId="135" fillId="15" borderId="9" xfId="0" applyFont="1" applyFill="1" applyBorder="1" applyAlignment="1">
      <alignment horizontal="center" vertical="center"/>
    </xf>
    <xf numFmtId="0" fontId="140" fillId="29" borderId="12" xfId="0" applyFont="1" applyFill="1" applyBorder="1" applyAlignment="1">
      <alignment horizontal="center" vertical="center"/>
    </xf>
    <xf numFmtId="0" fontId="140" fillId="29" borderId="15" xfId="0" applyFont="1" applyFill="1" applyBorder="1" applyAlignment="1">
      <alignment horizontal="center" vertical="center"/>
    </xf>
    <xf numFmtId="0" fontId="140" fillId="29" borderId="14" xfId="0" applyFont="1" applyFill="1" applyBorder="1" applyAlignment="1">
      <alignment horizontal="center" vertical="center"/>
    </xf>
    <xf numFmtId="0" fontId="65" fillId="0" borderId="8" xfId="0" applyFont="1" applyBorder="1" applyAlignment="1">
      <alignment horizontal="center"/>
    </xf>
    <xf numFmtId="0" fontId="65" fillId="0" borderId="13" xfId="0" applyFont="1" applyBorder="1" applyAlignment="1">
      <alignment horizontal="center"/>
    </xf>
    <xf numFmtId="0" fontId="65" fillId="0" borderId="6" xfId="0" applyFont="1" applyBorder="1" applyAlignment="1">
      <alignment horizontal="center"/>
    </xf>
    <xf numFmtId="0" fontId="75" fillId="6" borderId="1" xfId="0" applyFont="1" applyFill="1" applyBorder="1" applyAlignment="1">
      <alignment horizontal="center" wrapText="1"/>
    </xf>
    <xf numFmtId="0" fontId="134" fillId="15" borderId="0" xfId="0" applyFont="1" applyFill="1" applyAlignment="1">
      <alignment horizontal="center" vertical="center"/>
    </xf>
    <xf numFmtId="0" fontId="118" fillId="35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113" fillId="17" borderId="1" xfId="0" applyFont="1" applyFill="1" applyBorder="1" applyAlignment="1">
      <alignment horizontal="center"/>
    </xf>
    <xf numFmtId="0" fontId="23" fillId="0" borderId="0" xfId="0" applyFont="1" applyAlignment="1">
      <alignment wrapText="1"/>
    </xf>
    <xf numFmtId="0" fontId="23" fillId="0" borderId="24" xfId="0" applyFont="1" applyBorder="1" applyAlignment="1">
      <alignment wrapText="1"/>
    </xf>
    <xf numFmtId="0" fontId="23" fillId="0" borderId="25" xfId="0" applyFont="1" applyBorder="1" applyAlignment="1">
      <alignment wrapText="1"/>
    </xf>
    <xf numFmtId="0" fontId="23" fillId="0" borderId="26" xfId="0" applyFont="1" applyBorder="1" applyAlignment="1">
      <alignment wrapText="1"/>
    </xf>
    <xf numFmtId="0" fontId="23" fillId="0" borderId="28" xfId="0" applyFont="1" applyBorder="1" applyAlignment="1">
      <alignment wrapText="1"/>
    </xf>
    <xf numFmtId="0" fontId="36" fillId="0" borderId="26" xfId="0" applyFont="1" applyBorder="1" applyAlignment="1">
      <alignment wrapText="1"/>
    </xf>
    <xf numFmtId="0" fontId="36" fillId="0" borderId="28" xfId="0" applyFont="1" applyBorder="1" applyAlignment="1">
      <alignment wrapText="1"/>
    </xf>
    <xf numFmtId="0" fontId="40" fillId="0" borderId="25" xfId="0" applyFont="1" applyBorder="1" applyAlignment="1">
      <alignment wrapText="1"/>
    </xf>
    <xf numFmtId="0" fontId="40" fillId="0" borderId="26" xfId="0" applyFont="1" applyBorder="1" applyAlignment="1">
      <alignment wrapText="1"/>
    </xf>
    <xf numFmtId="0" fontId="40" fillId="0" borderId="28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24" xfId="0" applyFont="1" applyBorder="1" applyAlignment="1">
      <alignment wrapText="1"/>
    </xf>
    <xf numFmtId="0" fontId="34" fillId="0" borderId="20" xfId="0" applyFont="1" applyBorder="1" applyAlignment="1">
      <alignment wrapText="1"/>
    </xf>
    <xf numFmtId="0" fontId="34" fillId="0" borderId="21" xfId="0" applyFont="1" applyBorder="1" applyAlignment="1">
      <alignment wrapText="1"/>
    </xf>
    <xf numFmtId="0" fontId="34" fillId="0" borderId="22" xfId="0" applyFont="1" applyBorder="1" applyAlignment="1">
      <alignment wrapText="1"/>
    </xf>
    <xf numFmtId="0" fontId="34" fillId="0" borderId="23" xfId="0" applyFont="1" applyBorder="1" applyAlignment="1">
      <alignment wrapText="1"/>
    </xf>
    <xf numFmtId="0" fontId="34" fillId="0" borderId="0" xfId="0" applyFont="1" applyAlignment="1">
      <alignment wrapText="1"/>
    </xf>
    <xf numFmtId="0" fontId="34" fillId="0" borderId="24" xfId="0" applyFont="1" applyBorder="1" applyAlignment="1">
      <alignment wrapText="1"/>
    </xf>
    <xf numFmtId="0" fontId="35" fillId="0" borderId="23" xfId="0" applyFont="1" applyBorder="1" applyAlignment="1">
      <alignment wrapText="1"/>
    </xf>
    <xf numFmtId="0" fontId="35" fillId="0" borderId="0" xfId="0" applyFont="1" applyAlignment="1">
      <alignment wrapText="1"/>
    </xf>
    <xf numFmtId="0" fontId="35" fillId="0" borderId="24" xfId="0" applyFont="1" applyBorder="1" applyAlignment="1">
      <alignment wrapText="1"/>
    </xf>
    <xf numFmtId="0" fontId="36" fillId="0" borderId="27" xfId="0" applyFont="1" applyBorder="1" applyAlignment="1">
      <alignment wrapText="1"/>
    </xf>
    <xf numFmtId="0" fontId="54" fillId="8" borderId="12" xfId="0" applyFont="1" applyFill="1" applyBorder="1" applyAlignment="1">
      <alignment horizontal="center"/>
    </xf>
    <xf numFmtId="0" fontId="63" fillId="21" borderId="4" xfId="0" applyFont="1" applyFill="1" applyBorder="1" applyAlignment="1">
      <alignment horizontal="center"/>
    </xf>
    <xf numFmtId="0" fontId="60" fillId="4" borderId="2" xfId="0" applyFont="1" applyFill="1" applyBorder="1" applyAlignment="1">
      <alignment horizontal="center"/>
    </xf>
    <xf numFmtId="0" fontId="69" fillId="0" borderId="9" xfId="0" applyFont="1" applyBorder="1" applyAlignment="1">
      <alignment horizontal="center" vertical="center"/>
    </xf>
    <xf numFmtId="166" fontId="1" fillId="26" borderId="0" xfId="0" applyNumberFormat="1" applyFont="1" applyFill="1" applyAlignment="1">
      <alignment horizontal="center"/>
    </xf>
    <xf numFmtId="0" fontId="55" fillId="8" borderId="9" xfId="0" applyFont="1" applyFill="1" applyBorder="1" applyAlignment="1">
      <alignment horizontal="center"/>
    </xf>
    <xf numFmtId="0" fontId="12" fillId="19" borderId="10" xfId="0" applyFont="1" applyFill="1" applyBorder="1" applyAlignment="1">
      <alignment horizontal="center" wrapText="1"/>
    </xf>
    <xf numFmtId="0" fontId="28" fillId="15" borderId="12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70" fillId="6" borderId="9" xfId="0" applyFont="1" applyFill="1" applyBorder="1" applyAlignment="1">
      <alignment horizontal="center" vertical="center"/>
    </xf>
    <xf numFmtId="0" fontId="67" fillId="0" borderId="15" xfId="0" applyFont="1" applyBorder="1" applyAlignment="1">
      <alignment horizontal="left"/>
    </xf>
    <xf numFmtId="0" fontId="5" fillId="13" borderId="7" xfId="0" applyFont="1" applyFill="1" applyBorder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12" fillId="21" borderId="7" xfId="0" applyFont="1" applyFill="1" applyBorder="1" applyAlignment="1">
      <alignment horizontal="center"/>
    </xf>
    <xf numFmtId="0" fontId="20" fillId="15" borderId="12" xfId="0" applyFont="1" applyFill="1" applyBorder="1" applyAlignment="1">
      <alignment horizontal="center" vertical="center"/>
    </xf>
    <xf numFmtId="166" fontId="1" fillId="19" borderId="0" xfId="0" applyNumberFormat="1" applyFont="1" applyFill="1" applyAlignment="1">
      <alignment horizontal="center"/>
    </xf>
    <xf numFmtId="0" fontId="12" fillId="21" borderId="1" xfId="0" applyFont="1" applyFill="1" applyBorder="1" applyAlignment="1">
      <alignment horizontal="center"/>
    </xf>
    <xf numFmtId="0" fontId="54" fillId="8" borderId="10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17" fillId="6" borderId="14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/>
    </xf>
    <xf numFmtId="0" fontId="12" fillId="26" borderId="1" xfId="0" applyFont="1" applyFill="1" applyBorder="1" applyAlignment="1">
      <alignment horizontal="center"/>
    </xf>
    <xf numFmtId="0" fontId="28" fillId="26" borderId="12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70" fillId="6" borderId="1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/>
    </xf>
    <xf numFmtId="0" fontId="28" fillId="26" borderId="10" xfId="0" applyFont="1" applyFill="1" applyBorder="1" applyAlignment="1">
      <alignment horizontal="center" vertical="center"/>
    </xf>
    <xf numFmtId="0" fontId="12" fillId="26" borderId="7" xfId="0" applyFont="1" applyFill="1" applyBorder="1" applyAlignment="1">
      <alignment horizontal="center"/>
    </xf>
    <xf numFmtId="0" fontId="67" fillId="8" borderId="10" xfId="0" applyFont="1" applyFill="1" applyBorder="1" applyAlignment="1">
      <alignment horizontal="center"/>
    </xf>
    <xf numFmtId="0" fontId="71" fillId="26" borderId="4" xfId="0" applyFont="1" applyFill="1" applyBorder="1" applyAlignment="1">
      <alignment horizontal="center"/>
    </xf>
    <xf numFmtId="0" fontId="60" fillId="4" borderId="0" xfId="0" applyFont="1" applyFill="1" applyAlignment="1">
      <alignment horizontal="center"/>
    </xf>
    <xf numFmtId="0" fontId="12" fillId="15" borderId="7" xfId="0" applyFont="1" applyFill="1" applyBorder="1" applyAlignment="1">
      <alignment horizontal="center"/>
    </xf>
    <xf numFmtId="0" fontId="69" fillId="0" borderId="4" xfId="0" applyFont="1" applyBorder="1" applyAlignment="1">
      <alignment horizontal="center" vertical="center"/>
    </xf>
    <xf numFmtId="0" fontId="60" fillId="8" borderId="12" xfId="0" applyFont="1" applyFill="1" applyBorder="1" applyAlignment="1">
      <alignment horizontal="center"/>
    </xf>
    <xf numFmtId="0" fontId="71" fillId="15" borderId="4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0" fillId="5" borderId="9" xfId="0" applyFont="1" applyFill="1" applyBorder="1" applyAlignment="1">
      <alignment horizontal="center" vertical="center" wrapText="1"/>
    </xf>
    <xf numFmtId="0" fontId="120" fillId="6" borderId="9" xfId="0" applyFont="1" applyFill="1" applyBorder="1" applyAlignment="1">
      <alignment vertical="center"/>
    </xf>
    <xf numFmtId="0" fontId="59" fillId="8" borderId="1" xfId="0" applyFont="1" applyFill="1" applyBorder="1" applyAlignment="1">
      <alignment horizontal="center"/>
    </xf>
    <xf numFmtId="0" fontId="28" fillId="15" borderId="10" xfId="0" applyFont="1" applyFill="1" applyBorder="1" applyAlignment="1">
      <alignment horizontal="center" vertical="center"/>
    </xf>
    <xf numFmtId="0" fontId="12" fillId="27" borderId="7" xfId="0" applyFont="1" applyFill="1" applyBorder="1" applyAlignment="1">
      <alignment horizontal="center"/>
    </xf>
    <xf numFmtId="0" fontId="12" fillId="27" borderId="1" xfId="0" applyFont="1" applyFill="1" applyBorder="1" applyAlignment="1">
      <alignment horizontal="center"/>
    </xf>
    <xf numFmtId="166" fontId="1" fillId="27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20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1" fillId="11" borderId="0" xfId="0" applyNumberFormat="1" applyFont="1" applyFill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1" fillId="6" borderId="4" xfId="0" applyFont="1" applyFill="1" applyBorder="1" applyAlignment="1">
      <alignment vertical="center"/>
    </xf>
    <xf numFmtId="0" fontId="12" fillId="11" borderId="7" xfId="0" applyFont="1" applyFill="1" applyBorder="1" applyAlignment="1">
      <alignment horizontal="center"/>
    </xf>
    <xf numFmtId="0" fontId="28" fillId="27" borderId="10" xfId="0" applyFont="1" applyFill="1" applyBorder="1" applyAlignment="1">
      <alignment horizontal="center" vertical="center"/>
    </xf>
    <xf numFmtId="0" fontId="28" fillId="27" borderId="12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/>
    </xf>
    <xf numFmtId="0" fontId="121" fillId="6" borderId="1" xfId="0" applyFont="1" applyFill="1" applyBorder="1" applyAlignment="1">
      <alignment horizontal="center" vertical="center" wrapText="1"/>
    </xf>
    <xf numFmtId="0" fontId="28" fillId="11" borderId="10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21" fillId="6" borderId="9" xfId="0" applyFont="1" applyFill="1" applyBorder="1" applyAlignment="1">
      <alignment vertical="center"/>
    </xf>
    <xf numFmtId="0" fontId="121" fillId="6" borderId="4" xfId="0" applyFont="1" applyFill="1" applyBorder="1" applyAlignment="1">
      <alignment horizontal="center" vertical="center"/>
    </xf>
    <xf numFmtId="0" fontId="121" fillId="6" borderId="9" xfId="0" applyFont="1" applyFill="1" applyBorder="1" applyAlignment="1">
      <alignment horizontal="center"/>
    </xf>
    <xf numFmtId="0" fontId="12" fillId="14" borderId="7" xfId="0" applyFont="1" applyFill="1" applyBorder="1" applyAlignment="1">
      <alignment horizontal="center"/>
    </xf>
    <xf numFmtId="0" fontId="121" fillId="6" borderId="12" xfId="0" applyFont="1" applyFill="1" applyBorder="1" applyAlignment="1">
      <alignment horizontal="center" vertical="center"/>
    </xf>
    <xf numFmtId="0" fontId="28" fillId="14" borderId="12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121" fillId="6" borderId="9" xfId="0" applyFont="1" applyFill="1" applyBorder="1" applyAlignment="1">
      <alignment horizontal="center" vertical="center"/>
    </xf>
    <xf numFmtId="0" fontId="12" fillId="30" borderId="10" xfId="0" applyFont="1" applyFill="1" applyBorder="1" applyAlignment="1">
      <alignment horizontal="center"/>
    </xf>
    <xf numFmtId="0" fontId="12" fillId="30" borderId="1" xfId="0" applyFont="1" applyFill="1" applyBorder="1" applyAlignment="1">
      <alignment horizontal="center"/>
    </xf>
    <xf numFmtId="166" fontId="1" fillId="29" borderId="0" xfId="0" applyNumberFormat="1" applyFont="1" applyFill="1" applyAlignment="1">
      <alignment horizontal="center"/>
    </xf>
    <xf numFmtId="0" fontId="12" fillId="29" borderId="1" xfId="0" applyFont="1" applyFill="1" applyBorder="1" applyAlignment="1">
      <alignment horizontal="center"/>
    </xf>
    <xf numFmtId="0" fontId="12" fillId="29" borderId="7" xfId="0" applyFont="1" applyFill="1" applyBorder="1" applyAlignment="1">
      <alignment horizontal="center"/>
    </xf>
    <xf numFmtId="0" fontId="12" fillId="29" borderId="8" xfId="0" applyFont="1" applyFill="1" applyBorder="1" applyAlignment="1">
      <alignment horizontal="center"/>
    </xf>
    <xf numFmtId="0" fontId="28" fillId="29" borderId="12" xfId="0" applyFont="1" applyFill="1" applyBorder="1" applyAlignment="1">
      <alignment horizontal="center" vertical="center"/>
    </xf>
    <xf numFmtId="0" fontId="5" fillId="12" borderId="3" xfId="0" applyFont="1" applyFill="1" applyBorder="1" applyAlignment="1"/>
    <xf numFmtId="0" fontId="5" fillId="26" borderId="6" xfId="0" applyFont="1" applyFill="1" applyBorder="1" applyAlignment="1">
      <alignment horizontal="center"/>
    </xf>
    <xf numFmtId="0" fontId="5" fillId="0" borderId="3" xfId="0" applyFont="1" applyBorder="1" applyAlignment="1"/>
    <xf numFmtId="0" fontId="12" fillId="30" borderId="8" xfId="0" applyFont="1" applyFill="1" applyBorder="1" applyAlignment="1">
      <alignment horizontal="center"/>
    </xf>
    <xf numFmtId="0" fontId="5" fillId="13" borderId="15" xfId="0" applyFont="1" applyFill="1" applyBorder="1" applyAlignment="1">
      <alignment horizontal="center"/>
    </xf>
    <xf numFmtId="0" fontId="127" fillId="6" borderId="9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5" fillId="0" borderId="1" xfId="0" applyFont="1" applyBorder="1" applyAlignment="1"/>
    <xf numFmtId="0" fontId="5" fillId="11" borderId="3" xfId="0" applyFont="1" applyFill="1" applyBorder="1" applyAlignment="1"/>
    <xf numFmtId="166" fontId="1" fillId="31" borderId="0" xfId="0" applyNumberFormat="1" applyFont="1" applyFill="1" applyAlignment="1">
      <alignment horizontal="center"/>
    </xf>
    <xf numFmtId="0" fontId="12" fillId="31" borderId="1" xfId="0" applyFont="1" applyFill="1" applyBorder="1" applyAlignment="1">
      <alignment horizontal="center"/>
    </xf>
    <xf numFmtId="0" fontId="12" fillId="31" borderId="9" xfId="0" applyFont="1" applyFill="1" applyBorder="1" applyAlignment="1">
      <alignment horizontal="center"/>
    </xf>
    <xf numFmtId="0" fontId="12" fillId="31" borderId="10" xfId="0" applyFont="1" applyFill="1" applyBorder="1" applyAlignment="1">
      <alignment horizontal="center"/>
    </xf>
    <xf numFmtId="0" fontId="127" fillId="6" borderId="12" xfId="0" applyFont="1" applyFill="1" applyBorder="1" applyAlignment="1">
      <alignment horizontal="center" vertical="center"/>
    </xf>
    <xf numFmtId="0" fontId="127" fillId="6" borderId="9" xfId="0" applyFont="1" applyFill="1" applyBorder="1" applyAlignment="1">
      <alignment horizontal="center" vertical="center"/>
    </xf>
    <xf numFmtId="0" fontId="128" fillId="6" borderId="4" xfId="0" applyFont="1" applyFill="1" applyBorder="1" applyAlignment="1">
      <alignment horizontal="center" vertical="center"/>
    </xf>
    <xf numFmtId="0" fontId="128" fillId="6" borderId="9" xfId="0" applyFont="1" applyFill="1" applyBorder="1" applyAlignment="1">
      <alignment horizontal="center" vertical="center"/>
    </xf>
    <xf numFmtId="0" fontId="28" fillId="30" borderId="1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8" xfId="0" applyFont="1" applyFill="1" applyBorder="1" applyAlignment="1">
      <alignment horizontal="center" vertical="center"/>
    </xf>
    <xf numFmtId="0" fontId="20" fillId="30" borderId="9" xfId="0" applyFont="1" applyFill="1" applyBorder="1" applyAlignment="1">
      <alignment horizontal="center" vertical="center"/>
    </xf>
    <xf numFmtId="0" fontId="20" fillId="30" borderId="12" xfId="0" applyFont="1" applyFill="1" applyBorder="1" applyAlignment="1">
      <alignment horizontal="center" vertical="center"/>
    </xf>
    <xf numFmtId="0" fontId="13" fillId="30" borderId="8" xfId="0" applyFont="1" applyFill="1" applyBorder="1" applyAlignment="1">
      <alignment horizontal="center"/>
    </xf>
    <xf numFmtId="0" fontId="13" fillId="30" borderId="13" xfId="0" applyFont="1" applyFill="1" applyBorder="1" applyAlignment="1">
      <alignment horizontal="center"/>
    </xf>
    <xf numFmtId="0" fontId="20" fillId="29" borderId="1" xfId="0" applyFont="1" applyFill="1" applyBorder="1" applyAlignment="1">
      <alignment horizontal="center" vertical="center"/>
    </xf>
    <xf numFmtId="0" fontId="12" fillId="31" borderId="8" xfId="0" applyFont="1" applyFill="1" applyBorder="1" applyAlignment="1">
      <alignment horizontal="center"/>
    </xf>
    <xf numFmtId="0" fontId="12" fillId="31" borderId="13" xfId="0" applyFont="1" applyFill="1" applyBorder="1" applyAlignment="1">
      <alignment horizontal="center"/>
    </xf>
    <xf numFmtId="0" fontId="12" fillId="31" borderId="6" xfId="0" applyFont="1" applyFill="1" applyBorder="1" applyAlignment="1">
      <alignment horizontal="center"/>
    </xf>
    <xf numFmtId="0" fontId="12" fillId="31" borderId="8" xfId="0" applyFont="1" applyFill="1" applyBorder="1" applyAlignment="1">
      <alignment horizontal="center" vertical="center"/>
    </xf>
    <xf numFmtId="0" fontId="12" fillId="31" borderId="13" xfId="0" applyFont="1" applyFill="1" applyBorder="1" applyAlignment="1">
      <alignment horizontal="center" vertical="center"/>
    </xf>
    <xf numFmtId="0" fontId="12" fillId="31" borderId="6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28" fillId="31" borderId="12" xfId="0" applyFont="1" applyFill="1" applyBorder="1" applyAlignment="1">
      <alignment horizontal="center" vertical="center"/>
    </xf>
    <xf numFmtId="0" fontId="20" fillId="31" borderId="15" xfId="0" applyFont="1" applyFill="1" applyBorder="1" applyAlignment="1">
      <alignment horizontal="center" vertical="center"/>
    </xf>
    <xf numFmtId="0" fontId="20" fillId="31" borderId="14" xfId="0" applyFont="1" applyFill="1" applyBorder="1" applyAlignment="1">
      <alignment horizontal="center" vertical="center"/>
    </xf>
    <xf numFmtId="0" fontId="20" fillId="31" borderId="10" xfId="0" applyFont="1" applyFill="1" applyBorder="1" applyAlignment="1">
      <alignment horizontal="center" vertical="center"/>
    </xf>
    <xf numFmtId="0" fontId="20" fillId="31" borderId="0" xfId="0" applyFont="1" applyFill="1" applyAlignment="1">
      <alignment horizontal="center" vertical="center"/>
    </xf>
    <xf numFmtId="0" fontId="20" fillId="31" borderId="11" xfId="0" applyFont="1" applyFill="1" applyBorder="1" applyAlignment="1">
      <alignment horizontal="center" vertical="center"/>
    </xf>
    <xf numFmtId="0" fontId="20" fillId="31" borderId="7" xfId="0" applyFont="1" applyFill="1" applyBorder="1" applyAlignment="1">
      <alignment horizontal="center" vertical="center"/>
    </xf>
    <xf numFmtId="0" fontId="20" fillId="31" borderId="2" xfId="0" applyFont="1" applyFill="1" applyBorder="1" applyAlignment="1">
      <alignment horizontal="center" vertical="center"/>
    </xf>
    <xf numFmtId="0" fontId="20" fillId="31" borderId="3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/>
    </xf>
    <xf numFmtId="0" fontId="20" fillId="31" borderId="8" xfId="0" applyFont="1" applyFill="1" applyBorder="1" applyAlignment="1">
      <alignment horizontal="center" vertical="center"/>
    </xf>
    <xf numFmtId="0" fontId="20" fillId="31" borderId="9" xfId="0" applyFont="1" applyFill="1" applyBorder="1" applyAlignment="1">
      <alignment horizontal="center" vertical="center"/>
    </xf>
    <xf numFmtId="0" fontId="20" fillId="31" borderId="1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23" fillId="6" borderId="9" xfId="0" applyFont="1" applyFill="1" applyBorder="1" applyAlignment="1">
      <alignment horizontal="center"/>
    </xf>
    <xf numFmtId="0" fontId="123" fillId="6" borderId="4" xfId="0" applyFont="1" applyFill="1" applyBorder="1" applyAlignment="1">
      <alignment horizontal="center"/>
    </xf>
    <xf numFmtId="0" fontId="123" fillId="6" borderId="5" xfId="0" applyFont="1" applyFill="1" applyBorder="1" applyAlignment="1">
      <alignment horizontal="center"/>
    </xf>
    <xf numFmtId="0" fontId="20" fillId="14" borderId="15" xfId="0" applyFont="1" applyFill="1" applyBorder="1" applyAlignment="1">
      <alignment horizontal="center" vertical="center"/>
    </xf>
    <xf numFmtId="0" fontId="20" fillId="14" borderId="14" xfId="0" applyFont="1" applyFill="1" applyBorder="1" applyAlignment="1">
      <alignment horizontal="center" vertical="center"/>
    </xf>
    <xf numFmtId="0" fontId="20" fillId="14" borderId="10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0" fillId="14" borderId="11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0" fontId="20" fillId="14" borderId="9" xfId="0" applyFont="1" applyFill="1" applyBorder="1" applyAlignment="1">
      <alignment horizontal="center" vertical="center"/>
    </xf>
    <xf numFmtId="0" fontId="20" fillId="14" borderId="12" xfId="0" applyFont="1" applyFill="1" applyBorder="1" applyAlignment="1">
      <alignment horizontal="center" vertical="center"/>
    </xf>
    <xf numFmtId="0" fontId="12" fillId="14" borderId="13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center"/>
    </xf>
    <xf numFmtId="0" fontId="12" fillId="14" borderId="13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53" fillId="0" borderId="18" xfId="0" applyFont="1" applyBorder="1" applyAlignment="1">
      <alignment wrapText="1"/>
    </xf>
    <xf numFmtId="0" fontId="53" fillId="0" borderId="31" xfId="0" applyFont="1" applyBorder="1" applyAlignment="1">
      <alignment wrapText="1"/>
    </xf>
    <xf numFmtId="0" fontId="42" fillId="25" borderId="39" xfId="0" applyFont="1" applyFill="1" applyBorder="1" applyAlignment="1">
      <alignment wrapText="1"/>
    </xf>
    <xf numFmtId="0" fontId="42" fillId="25" borderId="41" xfId="0" applyFont="1" applyFill="1" applyBorder="1" applyAlignment="1">
      <alignment wrapText="1"/>
    </xf>
    <xf numFmtId="0" fontId="42" fillId="0" borderId="39" xfId="0" applyFont="1" applyBorder="1" applyAlignment="1">
      <alignment wrapText="1"/>
    </xf>
    <xf numFmtId="0" fontId="42" fillId="0" borderId="49" xfId="0" applyFont="1" applyBorder="1" applyAlignment="1">
      <alignment wrapText="1"/>
    </xf>
    <xf numFmtId="0" fontId="50" fillId="0" borderId="50" xfId="0" applyFont="1" applyBorder="1" applyAlignment="1">
      <alignment wrapText="1"/>
    </xf>
    <xf numFmtId="0" fontId="50" fillId="0" borderId="36" xfId="0" applyFont="1" applyBorder="1" applyAlignment="1">
      <alignment wrapText="1"/>
    </xf>
    <xf numFmtId="0" fontId="50" fillId="0" borderId="37" xfId="0" applyFont="1" applyBorder="1" applyAlignment="1">
      <alignment wrapText="1"/>
    </xf>
    <xf numFmtId="0" fontId="50" fillId="0" borderId="52" xfId="0" applyFont="1" applyBorder="1" applyAlignment="1">
      <alignment wrapText="1"/>
    </xf>
    <xf numFmtId="0" fontId="50" fillId="0" borderId="42" xfId="0" applyFont="1" applyBorder="1" applyAlignment="1">
      <alignment wrapText="1"/>
    </xf>
    <xf numFmtId="0" fontId="50" fillId="0" borderId="43" xfId="0" applyFont="1" applyBorder="1" applyAlignment="1">
      <alignment wrapText="1"/>
    </xf>
    <xf numFmtId="0" fontId="53" fillId="0" borderId="40" xfId="0" applyFont="1" applyBorder="1" applyAlignment="1">
      <alignment wrapText="1"/>
    </xf>
    <xf numFmtId="0" fontId="53" fillId="0" borderId="37" xfId="0" applyFont="1" applyBorder="1" applyAlignment="1">
      <alignment wrapText="1"/>
    </xf>
    <xf numFmtId="0" fontId="53" fillId="0" borderId="38" xfId="0" applyFont="1" applyBorder="1" applyAlignment="1">
      <alignment wrapText="1"/>
    </xf>
    <xf numFmtId="0" fontId="53" fillId="0" borderId="30" xfId="0" applyFont="1" applyBorder="1" applyAlignment="1">
      <alignment wrapText="1"/>
    </xf>
    <xf numFmtId="0" fontId="42" fillId="25" borderId="40" xfId="0" applyFont="1" applyFill="1" applyBorder="1" applyAlignment="1">
      <alignment wrapText="1"/>
    </xf>
    <xf numFmtId="0" fontId="42" fillId="25" borderId="36" xfId="0" applyFont="1" applyFill="1" applyBorder="1" applyAlignment="1">
      <alignment wrapText="1"/>
    </xf>
    <xf numFmtId="0" fontId="42" fillId="25" borderId="47" xfId="0" applyFont="1" applyFill="1" applyBorder="1" applyAlignment="1">
      <alignment wrapText="1"/>
    </xf>
    <xf numFmtId="0" fontId="42" fillId="25" borderId="38" xfId="0" applyFont="1" applyFill="1" applyBorder="1" applyAlignment="1">
      <alignment wrapText="1"/>
    </xf>
    <xf numFmtId="0" fontId="42" fillId="25" borderId="0" xfId="0" applyFont="1" applyFill="1" applyAlignment="1">
      <alignment wrapText="1"/>
    </xf>
    <xf numFmtId="0" fontId="42" fillId="25" borderId="11" xfId="0" applyFont="1" applyFill="1" applyBorder="1" applyAlignment="1">
      <alignment wrapText="1"/>
    </xf>
    <xf numFmtId="0" fontId="49" fillId="0" borderId="53" xfId="0" applyFont="1" applyBorder="1" applyAlignment="1">
      <alignment wrapText="1"/>
    </xf>
    <xf numFmtId="0" fontId="49" fillId="0" borderId="35" xfId="0" applyFont="1" applyBorder="1" applyAlignment="1">
      <alignment wrapText="1"/>
    </xf>
    <xf numFmtId="0" fontId="49" fillId="0" borderId="54" xfId="0" applyFont="1" applyBorder="1" applyAlignment="1">
      <alignment wrapText="1"/>
    </xf>
    <xf numFmtId="0" fontId="49" fillId="0" borderId="7" xfId="0" applyFont="1" applyBorder="1" applyAlignment="1">
      <alignment wrapText="1"/>
    </xf>
    <xf numFmtId="0" fontId="49" fillId="0" borderId="2" xfId="0" applyFont="1" applyBorder="1" applyAlignment="1">
      <alignment wrapText="1"/>
    </xf>
    <xf numFmtId="0" fontId="49" fillId="0" borderId="3" xfId="0" applyFont="1" applyBorder="1" applyAlignment="1">
      <alignment wrapText="1"/>
    </xf>
    <xf numFmtId="0" fontId="52" fillId="6" borderId="39" xfId="0" applyFont="1" applyFill="1" applyBorder="1" applyAlignment="1">
      <alignment wrapText="1"/>
    </xf>
    <xf numFmtId="0" fontId="52" fillId="6" borderId="18" xfId="0" applyFont="1" applyFill="1" applyBorder="1" applyAlignment="1">
      <alignment wrapText="1"/>
    </xf>
    <xf numFmtId="0" fontId="52" fillId="6" borderId="31" xfId="0" applyFont="1" applyFill="1" applyBorder="1" applyAlignment="1">
      <alignment wrapText="1"/>
    </xf>
    <xf numFmtId="0" fontId="52" fillId="6" borderId="49" xfId="0" applyFont="1" applyFill="1" applyBorder="1" applyAlignment="1">
      <alignment wrapText="1"/>
    </xf>
    <xf numFmtId="0" fontId="52" fillId="0" borderId="18" xfId="0" applyFont="1" applyBorder="1" applyAlignment="1">
      <alignment wrapText="1"/>
    </xf>
    <xf numFmtId="0" fontId="52" fillId="0" borderId="31" xfId="0" applyFont="1" applyBorder="1" applyAlignment="1">
      <alignment wrapText="1"/>
    </xf>
    <xf numFmtId="0" fontId="52" fillId="0" borderId="39" xfId="0" applyFont="1" applyBorder="1" applyAlignment="1">
      <alignment wrapText="1"/>
    </xf>
    <xf numFmtId="0" fontId="52" fillId="0" borderId="49" xfId="0" applyFont="1" applyBorder="1" applyAlignment="1">
      <alignment wrapText="1"/>
    </xf>
    <xf numFmtId="0" fontId="43" fillId="0" borderId="15" xfId="0" applyFont="1" applyBorder="1" applyAlignment="1">
      <alignment wrapText="1"/>
    </xf>
    <xf numFmtId="0" fontId="43" fillId="0" borderId="44" xfId="0" applyFont="1" applyBorder="1" applyAlignment="1">
      <alignment wrapText="1"/>
    </xf>
    <xf numFmtId="0" fontId="43" fillId="0" borderId="0" xfId="0" applyFont="1" applyAlignment="1">
      <alignment wrapText="1"/>
    </xf>
    <xf numFmtId="0" fontId="43" fillId="0" borderId="30" xfId="0" applyFont="1" applyBorder="1" applyAlignment="1">
      <alignment wrapText="1"/>
    </xf>
    <xf numFmtId="0" fontId="45" fillId="0" borderId="0" xfId="0" applyFont="1" applyAlignment="1">
      <alignment wrapText="1"/>
    </xf>
    <xf numFmtId="0" fontId="45" fillId="0" borderId="26" xfId="0" applyFont="1" applyBorder="1" applyAlignment="1">
      <alignment wrapText="1"/>
    </xf>
    <xf numFmtId="0" fontId="47" fillId="0" borderId="0" xfId="0" applyFont="1" applyAlignment="1">
      <alignment wrapText="1"/>
    </xf>
    <xf numFmtId="0" fontId="47" fillId="0" borderId="30" xfId="0" applyFont="1" applyBorder="1" applyAlignment="1">
      <alignment wrapText="1"/>
    </xf>
    <xf numFmtId="0" fontId="49" fillId="0" borderId="0" xfId="0" applyFont="1" applyAlignment="1">
      <alignment wrapText="1"/>
    </xf>
    <xf numFmtId="0" fontId="49" fillId="0" borderId="30" xfId="0" applyFont="1" applyBorder="1" applyAlignment="1">
      <alignment wrapText="1"/>
    </xf>
    <xf numFmtId="0" fontId="50" fillId="6" borderId="8" xfId="0" applyFont="1" applyFill="1" applyBorder="1" applyAlignment="1">
      <alignment horizontal="center" wrapText="1"/>
    </xf>
    <xf numFmtId="0" fontId="50" fillId="6" borderId="13" xfId="0" applyFont="1" applyFill="1" applyBorder="1" applyAlignment="1">
      <alignment horizontal="center" wrapText="1"/>
    </xf>
    <xf numFmtId="0" fontId="50" fillId="6" borderId="6" xfId="0" applyFont="1" applyFill="1" applyBorder="1" applyAlignment="1">
      <alignment horizontal="center" wrapText="1"/>
    </xf>
    <xf numFmtId="0" fontId="50" fillId="6" borderId="10" xfId="0" applyFont="1" applyFill="1" applyBorder="1" applyAlignment="1">
      <alignment wrapText="1"/>
    </xf>
    <xf numFmtId="0" fontId="50" fillId="6" borderId="0" xfId="0" applyFont="1" applyFill="1" applyAlignment="1">
      <alignment wrapText="1"/>
    </xf>
    <xf numFmtId="0" fontId="50" fillId="6" borderId="30" xfId="0" applyFont="1" applyFill="1" applyBorder="1" applyAlignment="1">
      <alignment wrapText="1"/>
    </xf>
    <xf numFmtId="0" fontId="50" fillId="6" borderId="26" xfId="0" applyFont="1" applyFill="1" applyBorder="1" applyAlignment="1">
      <alignment wrapText="1"/>
    </xf>
    <xf numFmtId="0" fontId="50" fillId="6" borderId="28" xfId="0" applyFont="1" applyFill="1" applyBorder="1" applyAlignment="1">
      <alignment wrapText="1"/>
    </xf>
    <xf numFmtId="0" fontId="51" fillId="6" borderId="46" xfId="0" applyFont="1" applyFill="1" applyBorder="1" applyAlignment="1">
      <alignment wrapText="1"/>
    </xf>
    <xf numFmtId="0" fontId="51" fillId="6" borderId="39" xfId="0" applyFont="1" applyFill="1" applyBorder="1" applyAlignment="1">
      <alignment wrapText="1"/>
    </xf>
    <xf numFmtId="0" fontId="51" fillId="6" borderId="31" xfId="0" applyFont="1" applyFill="1" applyBorder="1" applyAlignment="1">
      <alignment wrapText="1"/>
    </xf>
    <xf numFmtId="0" fontId="50" fillId="6" borderId="45" xfId="0" applyFont="1" applyFill="1" applyBorder="1" applyAlignment="1">
      <alignment wrapText="1"/>
    </xf>
    <xf numFmtId="0" fontId="50" fillId="6" borderId="39" xfId="0" applyFont="1" applyFill="1" applyBorder="1" applyAlignment="1">
      <alignment wrapText="1"/>
    </xf>
    <xf numFmtId="0" fontId="50" fillId="6" borderId="31" xfId="0" applyFont="1" applyFill="1" applyBorder="1" applyAlignment="1">
      <alignment wrapText="1"/>
    </xf>
    <xf numFmtId="0" fontId="51" fillId="6" borderId="8" xfId="0" applyFont="1" applyFill="1" applyBorder="1" applyAlignment="1">
      <alignment horizontal="left" wrapText="1"/>
    </xf>
    <xf numFmtId="0" fontId="51" fillId="6" borderId="6" xfId="0" applyFont="1" applyFill="1" applyBorder="1" applyAlignment="1">
      <alignment horizontal="left" wrapText="1"/>
    </xf>
    <xf numFmtId="0" fontId="51" fillId="6" borderId="13" xfId="0" applyFont="1" applyFill="1" applyBorder="1" applyAlignment="1">
      <alignment horizontal="left" wrapText="1"/>
    </xf>
    <xf numFmtId="0" fontId="50" fillId="6" borderId="1" xfId="0" applyFont="1" applyFill="1" applyBorder="1" applyAlignment="1">
      <alignment wrapText="1"/>
    </xf>
    <xf numFmtId="0" fontId="50" fillId="6" borderId="6" xfId="0" applyFont="1" applyFill="1" applyBorder="1" applyAlignment="1">
      <alignment wrapText="1"/>
    </xf>
    <xf numFmtId="0" fontId="50" fillId="6" borderId="1" xfId="0" applyFont="1" applyFill="1" applyBorder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D14F9F"/>
      <color rgb="FFEB660E"/>
      <color rgb="FF3AEB0E"/>
      <color rgb="FFEB9A0E"/>
      <color rgb="FF0C03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81447153-20C2-4746-A0DA-39A38B85B2DC}" userId="S::directoraarriendos@portadainmobiliaria.com::d25df4f4-b7a4-46be-966d-3ee9c0c18e5c" providerId="AD"/>
  <person displayName="Administración Bello" id="{7D62BD28-4CF0-4397-8F24-1D03AF9CBE4A}" userId="S::administracionbello@portadainmobiliaria.com::63ad75e0-b1f6-4e44-ab4b-843c4a09077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75" dT="2021-12-30T15:04:04.13" personId="{81447153-20C2-4746-A0DA-39A38B85B2DC}" id="{99D7C82A-DDB0-49E0-9C4B-C0326870866E}">
    <text xml:space="preserve">este seria el valor para sumar a la meta de la sede, del presente asesor. ya que un negocio solo le suma al asesor
</text>
  </threadedComment>
  <threadedComment ref="D903" dT="2022-08-29T23:42:49.55" personId="{7D62BD28-4CF0-4397-8F24-1D03AF9CBE4A}" id="{85087A0A-B4DD-433C-B88A-FBEFD4019A5D}">
    <text xml:space="preserve">Este negocio se le pago en julio.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22" dT="2021-11-29T23:16:18.60" personId="{81447153-20C2-4746-A0DA-39A38B85B2DC}" id="{4190346C-2A3B-4C53-84FC-3F924FD7C0D6}">
    <text xml:space="preserve">SE SUMAN AMBAS METAS POR EL 3%
</text>
  </threadedComment>
  <threadedComment ref="E256" dT="2022-01-29T22:08:53.53" personId="{81447153-20C2-4746-A0DA-39A38B85B2DC}" id="{F1104CC4-BC59-4B1F-ADC3-03CE43F859A6}">
    <text xml:space="preserve">ojo se LIQUIDA EN LAURELES
</text>
  </threadedComment>
  <threadedComment ref="C1090" dT="2022-08-29T23:42:49.55" personId="{7D62BD28-4CF0-4397-8F24-1D03AF9CBE4A}" id="{8AF6DDB2-5B68-408C-B21B-EEB86159A324}">
    <text xml:space="preserve">Este negocio se le pago en julio.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641" dT="2021-06-29T22:07:42.56" personId="{81447153-20C2-4746-A0DA-39A38B85B2DC}" id="{5ABFB805-7D41-4F15-B137-4EBED671FD57}">
    <text xml:space="preserve">YA SE PAGO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maderasilvestreph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5271-C0DE-4B33-BBB0-F318B833AC31}">
  <sheetPr>
    <tabColor rgb="FF3AEB0E"/>
  </sheetPr>
  <dimension ref="A1:L3324"/>
  <sheetViews>
    <sheetView topLeftCell="A3232" workbookViewId="0">
      <selection activeCell="D3242" sqref="D3242"/>
    </sheetView>
  </sheetViews>
  <sheetFormatPr baseColWidth="10" defaultColWidth="11.44140625" defaultRowHeight="14.4" x14ac:dyDescent="0.3"/>
  <cols>
    <col min="1" max="1" width="4.33203125" customWidth="1"/>
    <col min="2" max="2" width="20.44140625" style="1" customWidth="1"/>
    <col min="3" max="3" width="15.88671875" customWidth="1"/>
    <col min="4" max="4" width="42.5546875" customWidth="1"/>
    <col min="5" max="5" width="27.88671875" customWidth="1"/>
    <col min="6" max="6" width="17.6640625" customWidth="1"/>
    <col min="7" max="7" width="20" customWidth="1"/>
  </cols>
  <sheetData>
    <row r="1" spans="1:11" hidden="1" x14ac:dyDescent="0.3">
      <c r="A1" s="3486" t="s">
        <v>0</v>
      </c>
      <c r="B1" s="3486"/>
      <c r="C1" s="3486"/>
      <c r="D1" s="3486"/>
      <c r="E1" s="3486"/>
      <c r="F1" s="3486"/>
      <c r="G1" s="3486"/>
      <c r="H1" s="3486"/>
      <c r="I1" s="3486"/>
      <c r="J1" s="3486"/>
    </row>
    <row r="2" spans="1:11" hidden="1" x14ac:dyDescent="0.3">
      <c r="A2" s="3486"/>
      <c r="B2" s="3486"/>
      <c r="C2" s="3486"/>
      <c r="D2" s="3486"/>
      <c r="E2" s="3486"/>
      <c r="F2" s="3486"/>
      <c r="G2" s="3486"/>
      <c r="H2" s="3486"/>
      <c r="I2" s="3486"/>
      <c r="J2" s="3486"/>
    </row>
    <row r="3" spans="1:11" ht="46.2" hidden="1" x14ac:dyDescent="0.3">
      <c r="B3" s="136"/>
      <c r="C3" s="136"/>
      <c r="D3" s="136"/>
      <c r="E3" s="136"/>
      <c r="F3" s="136"/>
      <c r="G3" s="136"/>
      <c r="H3" s="136"/>
      <c r="I3" s="136"/>
      <c r="J3" s="136"/>
    </row>
    <row r="4" spans="1:11" ht="23.4" hidden="1" x14ac:dyDescent="0.3">
      <c r="A4" s="3483" t="s">
        <v>1</v>
      </c>
      <c r="B4" s="3483"/>
      <c r="C4" s="3483"/>
      <c r="D4" s="3483"/>
      <c r="E4" s="3483"/>
      <c r="F4" s="3483"/>
      <c r="G4" s="3483"/>
      <c r="H4" s="3483"/>
      <c r="I4" s="3483"/>
      <c r="J4" s="3483"/>
    </row>
    <row r="5" spans="1:11" ht="15.6" hidden="1" x14ac:dyDescent="0.3">
      <c r="A5" s="3461" t="s">
        <v>2</v>
      </c>
      <c r="B5" s="3461"/>
      <c r="C5" s="3461"/>
      <c r="D5" s="3461"/>
      <c r="E5" s="3461"/>
      <c r="F5" s="3461"/>
      <c r="G5" s="3461"/>
      <c r="H5" s="3461"/>
      <c r="I5" s="3461"/>
      <c r="J5" s="3461"/>
    </row>
    <row r="6" spans="1:11" hidden="1" x14ac:dyDescent="0.3">
      <c r="A6" s="137" t="s">
        <v>3</v>
      </c>
      <c r="B6" s="1781" t="s">
        <v>4</v>
      </c>
      <c r="C6" s="137" t="s">
        <v>5</v>
      </c>
      <c r="D6" s="137" t="s">
        <v>6</v>
      </c>
      <c r="E6" s="137" t="s">
        <v>7</v>
      </c>
      <c r="F6" s="137" t="s">
        <v>8</v>
      </c>
      <c r="G6" s="137" t="s">
        <v>9</v>
      </c>
      <c r="H6" s="137" t="s">
        <v>10</v>
      </c>
      <c r="I6" s="137" t="s">
        <v>11</v>
      </c>
      <c r="J6" s="137" t="s">
        <v>12</v>
      </c>
    </row>
    <row r="7" spans="1:11" hidden="1" x14ac:dyDescent="0.3">
      <c r="A7" s="150">
        <v>1</v>
      </c>
      <c r="B7" s="3392">
        <v>44193</v>
      </c>
      <c r="C7" s="150" t="s">
        <v>13</v>
      </c>
      <c r="D7" s="150" t="s">
        <v>14</v>
      </c>
      <c r="E7" s="150" t="s">
        <v>15</v>
      </c>
      <c r="F7" s="151">
        <v>1200000</v>
      </c>
      <c r="G7" s="150" t="s">
        <v>16</v>
      </c>
      <c r="H7" s="150" t="s">
        <v>17</v>
      </c>
      <c r="I7" s="150" t="s">
        <v>17</v>
      </c>
      <c r="J7" s="137">
        <v>1</v>
      </c>
    </row>
    <row r="8" spans="1:11" hidden="1" x14ac:dyDescent="0.3">
      <c r="A8" s="150">
        <v>2</v>
      </c>
      <c r="B8" s="3392">
        <v>44193</v>
      </c>
      <c r="C8" s="150" t="s">
        <v>13</v>
      </c>
      <c r="D8" s="150" t="s">
        <v>18</v>
      </c>
      <c r="E8" s="150" t="s">
        <v>19</v>
      </c>
      <c r="F8" s="151">
        <v>1300000</v>
      </c>
      <c r="G8" s="150" t="s">
        <v>20</v>
      </c>
      <c r="H8" s="150" t="s">
        <v>17</v>
      </c>
      <c r="I8" s="150" t="s">
        <v>17</v>
      </c>
      <c r="J8" s="137">
        <v>1</v>
      </c>
    </row>
    <row r="9" spans="1:11" hidden="1" x14ac:dyDescent="0.3">
      <c r="A9" s="150">
        <v>3</v>
      </c>
      <c r="B9" s="3392">
        <v>44193</v>
      </c>
      <c r="C9" s="150" t="s">
        <v>13</v>
      </c>
      <c r="D9" s="150" t="s">
        <v>21</v>
      </c>
      <c r="E9" s="150" t="s">
        <v>19</v>
      </c>
      <c r="F9" s="151">
        <v>1200000</v>
      </c>
      <c r="G9" s="150" t="s">
        <v>20</v>
      </c>
      <c r="H9" s="150" t="s">
        <v>17</v>
      </c>
      <c r="I9" s="150" t="s">
        <v>17</v>
      </c>
      <c r="J9" s="137">
        <v>1</v>
      </c>
    </row>
    <row r="10" spans="1:11" hidden="1" x14ac:dyDescent="0.3">
      <c r="A10" s="150">
        <v>4</v>
      </c>
      <c r="B10" s="3392">
        <v>44531</v>
      </c>
      <c r="C10" s="150" t="s">
        <v>13</v>
      </c>
      <c r="D10" s="150" t="s">
        <v>22</v>
      </c>
      <c r="E10" s="150" t="s">
        <v>19</v>
      </c>
      <c r="F10" s="151">
        <v>1350000</v>
      </c>
      <c r="G10" s="150" t="s">
        <v>23</v>
      </c>
      <c r="H10" s="150" t="s">
        <v>24</v>
      </c>
      <c r="I10" s="150" t="s">
        <v>24</v>
      </c>
      <c r="J10" s="137">
        <v>1</v>
      </c>
    </row>
    <row r="11" spans="1:11" hidden="1" x14ac:dyDescent="0.3">
      <c r="A11" s="150">
        <v>5</v>
      </c>
      <c r="B11" s="1781" t="s">
        <v>25</v>
      </c>
      <c r="C11" s="150" t="s">
        <v>13</v>
      </c>
      <c r="D11" s="150" t="s">
        <v>26</v>
      </c>
      <c r="E11" s="150" t="s">
        <v>19</v>
      </c>
      <c r="F11" s="151">
        <v>1150000</v>
      </c>
      <c r="G11" s="150" t="s">
        <v>23</v>
      </c>
      <c r="H11" s="150" t="s">
        <v>17</v>
      </c>
      <c r="I11" s="150" t="s">
        <v>17</v>
      </c>
      <c r="J11" s="137">
        <v>1</v>
      </c>
      <c r="K11" t="s">
        <v>27</v>
      </c>
    </row>
    <row r="12" spans="1:11" hidden="1" x14ac:dyDescent="0.3">
      <c r="A12" s="150">
        <v>6</v>
      </c>
      <c r="B12" s="1781" t="s">
        <v>25</v>
      </c>
      <c r="C12" s="150" t="s">
        <v>13</v>
      </c>
      <c r="D12" s="150" t="s">
        <v>28</v>
      </c>
      <c r="E12" s="150" t="s">
        <v>19</v>
      </c>
      <c r="F12" s="151">
        <v>1350000</v>
      </c>
      <c r="G12" s="150" t="s">
        <v>23</v>
      </c>
      <c r="H12" s="150" t="s">
        <v>17</v>
      </c>
      <c r="I12" s="150" t="s">
        <v>17</v>
      </c>
      <c r="J12" s="137">
        <v>1</v>
      </c>
      <c r="K12" t="s">
        <v>27</v>
      </c>
    </row>
    <row r="13" spans="1:11" hidden="1" x14ac:dyDescent="0.3">
      <c r="A13" s="150">
        <v>7</v>
      </c>
      <c r="B13" s="1781" t="s">
        <v>25</v>
      </c>
      <c r="C13" s="150" t="s">
        <v>13</v>
      </c>
      <c r="D13" s="150" t="s">
        <v>29</v>
      </c>
      <c r="E13" s="150" t="s">
        <v>30</v>
      </c>
      <c r="F13" s="151">
        <v>850000</v>
      </c>
      <c r="G13" s="150" t="s">
        <v>31</v>
      </c>
      <c r="H13" s="150" t="s">
        <v>17</v>
      </c>
      <c r="I13" s="150" t="s">
        <v>17</v>
      </c>
      <c r="J13" s="137">
        <v>1</v>
      </c>
      <c r="K13" t="s">
        <v>32</v>
      </c>
    </row>
    <row r="14" spans="1:11" hidden="1" x14ac:dyDescent="0.3">
      <c r="A14" s="150">
        <v>8</v>
      </c>
      <c r="B14" s="1781"/>
      <c r="C14" s="150"/>
      <c r="D14" s="150"/>
      <c r="E14" s="150"/>
      <c r="F14" s="151"/>
      <c r="G14" s="150"/>
      <c r="H14" s="150"/>
      <c r="I14" s="150"/>
      <c r="J14" s="137"/>
    </row>
    <row r="15" spans="1:11" hidden="1" x14ac:dyDescent="0.3">
      <c r="A15" s="137">
        <v>9</v>
      </c>
      <c r="B15" s="1781"/>
      <c r="C15" s="137"/>
      <c r="D15" s="137"/>
      <c r="E15" s="137"/>
      <c r="F15" s="138"/>
      <c r="G15" s="137"/>
      <c r="H15" s="137"/>
      <c r="I15" s="137"/>
      <c r="J15" s="137"/>
    </row>
    <row r="16" spans="1:11" hidden="1" x14ac:dyDescent="0.3">
      <c r="A16" s="137">
        <v>10</v>
      </c>
      <c r="B16" s="1781"/>
      <c r="C16" s="137"/>
      <c r="D16" s="137"/>
      <c r="E16" s="137"/>
      <c r="F16" s="138"/>
      <c r="G16" s="137"/>
      <c r="H16" s="137"/>
      <c r="I16" s="137"/>
      <c r="J16" s="137"/>
    </row>
    <row r="17" spans="1:11" hidden="1" x14ac:dyDescent="0.3">
      <c r="A17" s="137">
        <v>11</v>
      </c>
      <c r="B17" s="1781"/>
      <c r="C17" s="137"/>
      <c r="D17" s="137"/>
      <c r="E17" s="137"/>
      <c r="F17" s="138"/>
      <c r="G17" s="137"/>
      <c r="H17" s="137"/>
      <c r="I17" s="137"/>
      <c r="J17" s="137"/>
    </row>
    <row r="18" spans="1:11" hidden="1" x14ac:dyDescent="0.3">
      <c r="A18" s="137">
        <v>12</v>
      </c>
      <c r="B18" s="1781"/>
      <c r="C18" s="137"/>
      <c r="D18" s="137"/>
      <c r="E18" s="137"/>
      <c r="F18" s="138"/>
      <c r="G18" s="137"/>
      <c r="H18" s="137"/>
      <c r="I18" s="137"/>
      <c r="J18" s="137"/>
    </row>
    <row r="19" spans="1:11" hidden="1" x14ac:dyDescent="0.3">
      <c r="A19" s="137">
        <v>13</v>
      </c>
      <c r="B19" s="1781"/>
      <c r="C19" s="137"/>
      <c r="D19" s="137"/>
      <c r="E19" s="137"/>
      <c r="F19" s="138"/>
      <c r="G19" s="137"/>
      <c r="H19" s="137"/>
      <c r="I19" s="137"/>
      <c r="J19" s="137"/>
    </row>
    <row r="20" spans="1:11" hidden="1" x14ac:dyDescent="0.3">
      <c r="A20" s="137">
        <v>14</v>
      </c>
      <c r="B20" s="1781"/>
      <c r="C20" s="137"/>
      <c r="D20" s="137"/>
      <c r="E20" s="137"/>
      <c r="F20" s="138"/>
      <c r="G20" s="137"/>
      <c r="H20" s="137"/>
      <c r="I20" s="137"/>
      <c r="J20" s="137"/>
    </row>
    <row r="21" spans="1:11" hidden="1" x14ac:dyDescent="0.3">
      <c r="A21" s="137">
        <v>15</v>
      </c>
      <c r="B21" s="1781"/>
      <c r="C21" s="137"/>
      <c r="D21" s="137"/>
      <c r="E21" s="137"/>
      <c r="F21" s="138"/>
      <c r="G21" s="137"/>
      <c r="H21" s="137"/>
      <c r="I21" s="137"/>
      <c r="J21" s="137"/>
    </row>
    <row r="22" spans="1:11" hidden="1" x14ac:dyDescent="0.3">
      <c r="A22" s="137">
        <v>16</v>
      </c>
      <c r="B22" s="1781"/>
      <c r="C22" s="137"/>
      <c r="D22" s="137"/>
      <c r="E22" s="137"/>
      <c r="F22" s="138"/>
      <c r="G22" s="137"/>
      <c r="H22" s="137"/>
      <c r="I22" s="137"/>
      <c r="J22" s="137"/>
    </row>
    <row r="23" spans="1:11" hidden="1" x14ac:dyDescent="0.3">
      <c r="A23" s="137">
        <v>17</v>
      </c>
      <c r="B23" s="1781"/>
      <c r="C23" s="137"/>
      <c r="D23" s="137"/>
      <c r="E23" s="137"/>
      <c r="F23" s="138"/>
      <c r="G23" s="137"/>
      <c r="H23" s="137"/>
      <c r="I23" s="137"/>
      <c r="J23" s="137"/>
    </row>
    <row r="24" spans="1:11" hidden="1" x14ac:dyDescent="0.3">
      <c r="A24" s="137">
        <v>18</v>
      </c>
      <c r="B24" s="1781"/>
      <c r="C24" s="137"/>
      <c r="D24" s="137"/>
      <c r="E24" s="137"/>
      <c r="F24" s="138"/>
      <c r="G24" s="137"/>
      <c r="H24" s="137"/>
      <c r="I24" s="137"/>
      <c r="J24" s="137"/>
    </row>
    <row r="25" spans="1:11" hidden="1" x14ac:dyDescent="0.3">
      <c r="A25" s="137">
        <v>19</v>
      </c>
      <c r="B25" s="1781"/>
      <c r="C25" s="137"/>
      <c r="D25" s="137"/>
      <c r="E25" s="137"/>
      <c r="F25" s="138"/>
      <c r="G25" s="137"/>
      <c r="H25" s="137"/>
      <c r="I25" s="137"/>
      <c r="J25" s="137"/>
    </row>
    <row r="26" spans="1:11" hidden="1" x14ac:dyDescent="0.3">
      <c r="A26" s="137">
        <v>20</v>
      </c>
      <c r="B26" s="1781"/>
      <c r="C26" s="137"/>
      <c r="D26" s="137"/>
      <c r="E26" s="137"/>
      <c r="F26" s="138"/>
      <c r="G26" s="137"/>
      <c r="H26" s="137"/>
      <c r="I26" s="137"/>
      <c r="J26" s="137"/>
    </row>
    <row r="27" spans="1:11" ht="21" hidden="1" x14ac:dyDescent="0.4">
      <c r="A27" s="137"/>
      <c r="B27" s="1781"/>
      <c r="C27" s="137"/>
      <c r="D27" s="137"/>
      <c r="E27" s="137"/>
      <c r="F27" s="138"/>
      <c r="G27" s="137"/>
      <c r="H27" s="137"/>
      <c r="I27" s="137"/>
      <c r="J27" s="139">
        <f>SUM(J7:J26)</f>
        <v>7</v>
      </c>
    </row>
    <row r="28" spans="1:11" hidden="1" x14ac:dyDescent="0.3">
      <c r="A28" s="3473" t="s">
        <v>33</v>
      </c>
      <c r="B28" s="3473"/>
      <c r="C28" s="3473"/>
      <c r="D28" s="3473"/>
      <c r="E28" s="3473"/>
      <c r="F28" s="3473"/>
      <c r="G28" s="3473"/>
      <c r="H28" s="3473"/>
      <c r="I28" s="3473"/>
      <c r="J28" s="3473"/>
    </row>
    <row r="29" spans="1:11" hidden="1" x14ac:dyDescent="0.3">
      <c r="A29" s="137" t="s">
        <v>3</v>
      </c>
      <c r="B29" s="1781" t="s">
        <v>4</v>
      </c>
      <c r="C29" s="137" t="s">
        <v>5</v>
      </c>
      <c r="D29" s="137" t="s">
        <v>6</v>
      </c>
      <c r="E29" s="137" t="s">
        <v>7</v>
      </c>
      <c r="F29" s="137" t="s">
        <v>8</v>
      </c>
      <c r="G29" s="137" t="s">
        <v>9</v>
      </c>
      <c r="H29" s="137" t="s">
        <v>10</v>
      </c>
      <c r="I29" s="137" t="s">
        <v>11</v>
      </c>
      <c r="J29" s="137" t="s">
        <v>12</v>
      </c>
    </row>
    <row r="30" spans="1:11" hidden="1" x14ac:dyDescent="0.3">
      <c r="A30" s="152">
        <v>1</v>
      </c>
      <c r="B30" s="3393">
        <v>44409</v>
      </c>
      <c r="C30" s="152" t="s">
        <v>13</v>
      </c>
      <c r="D30" s="152" t="s">
        <v>34</v>
      </c>
      <c r="E30" s="152" t="s">
        <v>30</v>
      </c>
      <c r="F30" s="152" t="s">
        <v>35</v>
      </c>
      <c r="G30" s="152" t="s">
        <v>16</v>
      </c>
      <c r="H30" s="152" t="s">
        <v>36</v>
      </c>
      <c r="I30" s="152" t="s">
        <v>17</v>
      </c>
      <c r="J30" s="140">
        <v>1</v>
      </c>
      <c r="K30" t="s">
        <v>27</v>
      </c>
    </row>
    <row r="31" spans="1:11" hidden="1" x14ac:dyDescent="0.3">
      <c r="A31" s="152">
        <v>2</v>
      </c>
      <c r="B31" s="3393" t="s">
        <v>25</v>
      </c>
      <c r="C31" s="152" t="s">
        <v>37</v>
      </c>
      <c r="D31" s="152" t="s">
        <v>38</v>
      </c>
      <c r="E31" s="152" t="s">
        <v>39</v>
      </c>
      <c r="F31" s="152"/>
      <c r="G31" s="152" t="s">
        <v>40</v>
      </c>
      <c r="H31" s="152" t="s">
        <v>36</v>
      </c>
      <c r="I31" s="152" t="s">
        <v>36</v>
      </c>
      <c r="J31" s="140">
        <v>1</v>
      </c>
      <c r="K31" t="s">
        <v>32</v>
      </c>
    </row>
    <row r="32" spans="1:11" hidden="1" x14ac:dyDescent="0.3">
      <c r="A32" s="152">
        <v>3</v>
      </c>
      <c r="B32" s="3393" t="s">
        <v>41</v>
      </c>
      <c r="C32" s="152" t="s">
        <v>37</v>
      </c>
      <c r="D32" s="152" t="s">
        <v>42</v>
      </c>
      <c r="E32" s="152" t="s">
        <v>39</v>
      </c>
      <c r="F32" s="152">
        <v>217000000</v>
      </c>
      <c r="G32" s="152" t="s">
        <v>43</v>
      </c>
      <c r="H32" s="152" t="s">
        <v>44</v>
      </c>
      <c r="I32" s="152" t="s">
        <v>36</v>
      </c>
      <c r="J32" s="140">
        <v>1</v>
      </c>
      <c r="K32" t="s">
        <v>32</v>
      </c>
    </row>
    <row r="33" spans="1:11" hidden="1" x14ac:dyDescent="0.3">
      <c r="A33" s="152">
        <v>4</v>
      </c>
      <c r="B33" s="3393" t="s">
        <v>45</v>
      </c>
      <c r="C33" s="152" t="s">
        <v>37</v>
      </c>
      <c r="D33" s="152" t="s">
        <v>46</v>
      </c>
      <c r="E33" s="152" t="s">
        <v>39</v>
      </c>
      <c r="F33" s="152">
        <v>130000000</v>
      </c>
      <c r="G33" s="152" t="s">
        <v>43</v>
      </c>
      <c r="H33" s="152" t="s">
        <v>44</v>
      </c>
      <c r="I33" s="152" t="s">
        <v>36</v>
      </c>
      <c r="J33" s="140">
        <v>1</v>
      </c>
      <c r="K33" t="s">
        <v>27</v>
      </c>
    </row>
    <row r="34" spans="1:11" hidden="1" x14ac:dyDescent="0.3">
      <c r="A34" s="152">
        <v>5</v>
      </c>
      <c r="B34" s="3393"/>
      <c r="C34" s="152"/>
      <c r="D34" s="152"/>
      <c r="E34" s="152"/>
      <c r="F34" s="152"/>
      <c r="G34" s="152"/>
      <c r="H34" s="152"/>
      <c r="I34" s="152"/>
      <c r="J34" s="140"/>
    </row>
    <row r="35" spans="1:11" hidden="1" x14ac:dyDescent="0.3">
      <c r="A35" s="152">
        <v>6</v>
      </c>
      <c r="B35" s="549"/>
      <c r="C35" s="152"/>
      <c r="D35" s="152"/>
      <c r="E35" s="152"/>
      <c r="F35" s="152"/>
      <c r="G35" s="152"/>
      <c r="H35" s="152"/>
      <c r="I35" s="152"/>
      <c r="J35" s="140"/>
    </row>
    <row r="36" spans="1:11" hidden="1" x14ac:dyDescent="0.3">
      <c r="A36" s="152">
        <v>7</v>
      </c>
      <c r="B36" s="549"/>
      <c r="C36" s="152"/>
      <c r="D36" s="152"/>
      <c r="E36" s="152"/>
      <c r="F36" s="152"/>
      <c r="G36" s="152"/>
      <c r="H36" s="152"/>
      <c r="I36" s="152"/>
      <c r="J36" s="140"/>
    </row>
    <row r="37" spans="1:11" hidden="1" x14ac:dyDescent="0.3">
      <c r="A37" s="152">
        <v>8</v>
      </c>
      <c r="B37" s="549"/>
      <c r="C37" s="152"/>
      <c r="D37" s="152"/>
      <c r="E37" s="152"/>
      <c r="F37" s="152"/>
      <c r="G37" s="152"/>
      <c r="H37" s="152"/>
      <c r="I37" s="152"/>
      <c r="J37" s="140"/>
    </row>
    <row r="38" spans="1:11" hidden="1" x14ac:dyDescent="0.3">
      <c r="A38" s="152">
        <v>9</v>
      </c>
      <c r="B38" s="549"/>
      <c r="C38" s="152"/>
      <c r="D38" s="152"/>
      <c r="E38" s="152"/>
      <c r="F38" s="152"/>
      <c r="G38" s="152"/>
      <c r="H38" s="152"/>
      <c r="I38" s="152"/>
      <c r="J38" s="140"/>
    </row>
    <row r="39" spans="1:11" hidden="1" x14ac:dyDescent="0.3">
      <c r="A39" s="152">
        <v>10</v>
      </c>
      <c r="B39" s="549"/>
      <c r="C39" s="152"/>
      <c r="D39" s="152"/>
      <c r="E39" s="152"/>
      <c r="F39" s="152"/>
      <c r="G39" s="152"/>
      <c r="H39" s="152"/>
      <c r="I39" s="152"/>
      <c r="J39" s="140"/>
    </row>
    <row r="40" spans="1:11" ht="20.399999999999999" hidden="1" x14ac:dyDescent="0.35">
      <c r="A40" s="141"/>
      <c r="B40" s="886"/>
      <c r="C40" s="141"/>
      <c r="D40" s="141"/>
      <c r="E40" s="141"/>
      <c r="F40" s="141"/>
      <c r="G40" s="141"/>
      <c r="H40" s="141"/>
      <c r="I40" s="141"/>
      <c r="J40" s="142">
        <f>SUM(J30:J39)</f>
        <v>4</v>
      </c>
    </row>
    <row r="41" spans="1:11" hidden="1" x14ac:dyDescent="0.3"/>
    <row r="42" spans="1:11" ht="23.4" hidden="1" x14ac:dyDescent="0.3">
      <c r="A42" s="3483" t="s">
        <v>47</v>
      </c>
      <c r="B42" s="3483"/>
      <c r="C42" s="3483"/>
      <c r="D42" s="3483"/>
      <c r="E42" s="3483"/>
      <c r="F42" s="3483"/>
      <c r="G42" s="3483"/>
      <c r="H42" s="3483"/>
      <c r="I42" s="3483"/>
      <c r="J42" s="3483"/>
    </row>
    <row r="43" spans="1:11" ht="15.6" hidden="1" x14ac:dyDescent="0.3">
      <c r="A43" s="3461" t="s">
        <v>2</v>
      </c>
      <c r="B43" s="3461"/>
      <c r="C43" s="3461"/>
      <c r="D43" s="3461"/>
      <c r="E43" s="3461"/>
      <c r="F43" s="3461"/>
      <c r="G43" s="3461"/>
      <c r="H43" s="3461"/>
      <c r="I43" s="3461"/>
      <c r="J43" s="3461"/>
    </row>
    <row r="44" spans="1:11" hidden="1" x14ac:dyDescent="0.3">
      <c r="A44" s="137" t="s">
        <v>3</v>
      </c>
      <c r="B44" s="1781" t="s">
        <v>4</v>
      </c>
      <c r="C44" s="137" t="s">
        <v>5</v>
      </c>
      <c r="D44" s="137" t="s">
        <v>6</v>
      </c>
      <c r="E44" s="137" t="s">
        <v>7</v>
      </c>
      <c r="F44" s="137" t="s">
        <v>8</v>
      </c>
      <c r="G44" s="137" t="s">
        <v>9</v>
      </c>
      <c r="H44" s="137" t="s">
        <v>10</v>
      </c>
      <c r="I44" s="137" t="s">
        <v>11</v>
      </c>
      <c r="J44" s="137" t="s">
        <v>12</v>
      </c>
    </row>
    <row r="45" spans="1:11" hidden="1" x14ac:dyDescent="0.3">
      <c r="A45" s="150">
        <v>1</v>
      </c>
      <c r="B45" s="3392">
        <v>44202</v>
      </c>
      <c r="C45" s="150" t="s">
        <v>48</v>
      </c>
      <c r="D45" s="150" t="s">
        <v>49</v>
      </c>
      <c r="E45" s="150" t="s">
        <v>30</v>
      </c>
      <c r="F45" s="151">
        <v>1200000</v>
      </c>
      <c r="G45" s="150" t="s">
        <v>50</v>
      </c>
      <c r="H45" s="150" t="s">
        <v>51</v>
      </c>
      <c r="I45" s="150" t="s">
        <v>17</v>
      </c>
      <c r="J45" s="137">
        <v>1</v>
      </c>
    </row>
    <row r="46" spans="1:11" hidden="1" x14ac:dyDescent="0.3">
      <c r="A46" s="150">
        <v>2</v>
      </c>
      <c r="B46" s="3392">
        <v>44217</v>
      </c>
      <c r="C46" s="150" t="s">
        <v>37</v>
      </c>
      <c r="D46" s="150" t="s">
        <v>52</v>
      </c>
      <c r="E46" s="150" t="s">
        <v>39</v>
      </c>
      <c r="F46" s="150">
        <v>1200000</v>
      </c>
      <c r="G46" s="150" t="s">
        <v>53</v>
      </c>
      <c r="H46" s="150" t="s">
        <v>36</v>
      </c>
      <c r="I46" s="150" t="s">
        <v>36</v>
      </c>
      <c r="J46" s="137">
        <v>1</v>
      </c>
      <c r="K46" t="s">
        <v>32</v>
      </c>
    </row>
    <row r="47" spans="1:11" hidden="1" x14ac:dyDescent="0.3">
      <c r="A47" s="150">
        <v>3</v>
      </c>
      <c r="B47" s="3392">
        <v>44217</v>
      </c>
      <c r="C47" s="150" t="s">
        <v>37</v>
      </c>
      <c r="D47" s="150" t="s">
        <v>54</v>
      </c>
      <c r="E47" s="150" t="s">
        <v>39</v>
      </c>
      <c r="F47" s="150">
        <v>1200000</v>
      </c>
      <c r="G47" s="150" t="s">
        <v>55</v>
      </c>
      <c r="H47" s="150" t="s">
        <v>36</v>
      </c>
      <c r="I47" s="150" t="s">
        <v>36</v>
      </c>
      <c r="J47" s="137">
        <v>1</v>
      </c>
      <c r="K47" t="s">
        <v>27</v>
      </c>
    </row>
    <row r="48" spans="1:11" hidden="1" x14ac:dyDescent="0.3">
      <c r="A48" s="150">
        <v>4</v>
      </c>
      <c r="B48" s="1781"/>
      <c r="C48" s="150"/>
      <c r="D48" s="150"/>
      <c r="E48" s="150"/>
      <c r="F48" s="150"/>
      <c r="G48" s="150"/>
      <c r="H48" s="150"/>
      <c r="I48" s="150"/>
      <c r="J48" s="137"/>
    </row>
    <row r="49" spans="1:10" hidden="1" x14ac:dyDescent="0.3">
      <c r="A49" s="150">
        <v>5</v>
      </c>
      <c r="B49" s="1781"/>
      <c r="C49" s="150"/>
      <c r="D49" s="150"/>
      <c r="E49" s="150"/>
      <c r="F49" s="150"/>
      <c r="G49" s="150"/>
      <c r="H49" s="150"/>
      <c r="I49" s="150"/>
      <c r="J49" s="137"/>
    </row>
    <row r="50" spans="1:10" hidden="1" x14ac:dyDescent="0.3">
      <c r="A50" s="150">
        <v>6</v>
      </c>
      <c r="B50" s="1781"/>
      <c r="C50" s="150"/>
      <c r="D50" s="150"/>
      <c r="E50" s="150"/>
      <c r="F50" s="150"/>
      <c r="G50" s="150"/>
      <c r="H50" s="150"/>
      <c r="I50" s="150"/>
      <c r="J50" s="137"/>
    </row>
    <row r="51" spans="1:10" hidden="1" x14ac:dyDescent="0.3">
      <c r="A51" s="137">
        <v>7</v>
      </c>
      <c r="B51" s="1781"/>
      <c r="C51" s="137"/>
      <c r="D51" s="137"/>
      <c r="E51" s="137"/>
      <c r="F51" s="137"/>
      <c r="G51" s="137"/>
      <c r="H51" s="137"/>
      <c r="I51" s="137"/>
      <c r="J51" s="137"/>
    </row>
    <row r="52" spans="1:10" hidden="1" x14ac:dyDescent="0.3">
      <c r="A52" s="137">
        <v>8</v>
      </c>
      <c r="B52" s="1781"/>
      <c r="C52" s="137"/>
      <c r="D52" s="137"/>
      <c r="E52" s="137"/>
      <c r="F52" s="137"/>
      <c r="G52" s="137"/>
      <c r="H52" s="137"/>
      <c r="I52" s="137"/>
      <c r="J52" s="137"/>
    </row>
    <row r="53" spans="1:10" hidden="1" x14ac:dyDescent="0.3">
      <c r="A53" s="137">
        <v>9</v>
      </c>
      <c r="B53" s="1781"/>
      <c r="C53" s="137"/>
      <c r="D53" s="137"/>
      <c r="E53" s="137"/>
      <c r="F53" s="137"/>
      <c r="G53" s="137"/>
      <c r="H53" s="137"/>
      <c r="I53" s="137"/>
      <c r="J53" s="137"/>
    </row>
    <row r="54" spans="1:10" hidden="1" x14ac:dyDescent="0.3">
      <c r="A54" s="137">
        <v>10</v>
      </c>
      <c r="B54" s="1781"/>
      <c r="C54" s="137"/>
      <c r="D54" s="137"/>
      <c r="E54" s="137"/>
      <c r="F54" s="137"/>
      <c r="G54" s="137"/>
      <c r="H54" s="137"/>
      <c r="I54" s="137"/>
      <c r="J54" s="137"/>
    </row>
    <row r="55" spans="1:10" hidden="1" x14ac:dyDescent="0.3">
      <c r="A55" s="137">
        <v>11</v>
      </c>
      <c r="B55" s="1781"/>
      <c r="C55" s="137"/>
      <c r="D55" s="137"/>
      <c r="E55" s="137"/>
      <c r="F55" s="137"/>
      <c r="G55" s="137"/>
      <c r="H55" s="137"/>
      <c r="I55" s="137"/>
      <c r="J55" s="137"/>
    </row>
    <row r="56" spans="1:10" hidden="1" x14ac:dyDescent="0.3">
      <c r="A56" s="137">
        <v>12</v>
      </c>
      <c r="B56" s="1781"/>
      <c r="C56" s="137"/>
      <c r="D56" s="137"/>
      <c r="E56" s="137"/>
      <c r="F56" s="137"/>
      <c r="G56" s="137"/>
      <c r="H56" s="137"/>
      <c r="I56" s="137"/>
      <c r="J56" s="137"/>
    </row>
    <row r="57" spans="1:10" hidden="1" x14ac:dyDescent="0.3">
      <c r="A57" s="137">
        <v>13</v>
      </c>
      <c r="B57" s="1781"/>
      <c r="C57" s="137"/>
      <c r="D57" s="137"/>
      <c r="E57" s="137"/>
      <c r="F57" s="137"/>
      <c r="G57" s="137"/>
      <c r="H57" s="137"/>
      <c r="I57" s="137"/>
      <c r="J57" s="137"/>
    </row>
    <row r="58" spans="1:10" hidden="1" x14ac:dyDescent="0.3">
      <c r="A58" s="137">
        <v>14</v>
      </c>
      <c r="B58" s="1781"/>
      <c r="C58" s="137"/>
      <c r="D58" s="137"/>
      <c r="E58" s="137"/>
      <c r="F58" s="137"/>
      <c r="G58" s="137"/>
      <c r="H58" s="137"/>
      <c r="I58" s="137"/>
      <c r="J58" s="137"/>
    </row>
    <row r="59" spans="1:10" hidden="1" x14ac:dyDescent="0.3">
      <c r="A59" s="137">
        <v>15</v>
      </c>
      <c r="B59" s="1781"/>
      <c r="C59" s="137"/>
      <c r="D59" s="137"/>
      <c r="E59" s="137"/>
      <c r="F59" s="137"/>
      <c r="G59" s="137"/>
      <c r="H59" s="137"/>
      <c r="I59" s="137"/>
      <c r="J59" s="137"/>
    </row>
    <row r="60" spans="1:10" hidden="1" x14ac:dyDescent="0.3">
      <c r="A60" s="137">
        <v>16</v>
      </c>
      <c r="B60" s="1781"/>
      <c r="C60" s="137"/>
      <c r="D60" s="137"/>
      <c r="E60" s="137"/>
      <c r="F60" s="137"/>
      <c r="G60" s="137"/>
      <c r="H60" s="137"/>
      <c r="I60" s="137"/>
      <c r="J60" s="137"/>
    </row>
    <row r="61" spans="1:10" hidden="1" x14ac:dyDescent="0.3">
      <c r="A61" s="137">
        <v>17</v>
      </c>
      <c r="B61" s="1781"/>
      <c r="C61" s="137"/>
      <c r="D61" s="137"/>
      <c r="E61" s="137"/>
      <c r="F61" s="137"/>
      <c r="G61" s="137"/>
      <c r="H61" s="137"/>
      <c r="I61" s="137"/>
      <c r="J61" s="137"/>
    </row>
    <row r="62" spans="1:10" hidden="1" x14ac:dyDescent="0.3">
      <c r="A62" s="137">
        <v>18</v>
      </c>
      <c r="B62" s="1781"/>
      <c r="C62" s="137"/>
      <c r="D62" s="137"/>
      <c r="E62" s="137"/>
      <c r="F62" s="137"/>
      <c r="G62" s="137"/>
      <c r="H62" s="137"/>
      <c r="I62" s="137"/>
      <c r="J62" s="137"/>
    </row>
    <row r="63" spans="1:10" hidden="1" x14ac:dyDescent="0.3">
      <c r="A63" s="137">
        <v>19</v>
      </c>
      <c r="B63" s="1781"/>
      <c r="C63" s="137"/>
      <c r="D63" s="137"/>
      <c r="E63" s="137"/>
      <c r="F63" s="137"/>
      <c r="G63" s="137"/>
      <c r="H63" s="137"/>
      <c r="I63" s="137"/>
      <c r="J63" s="137"/>
    </row>
    <row r="64" spans="1:10" hidden="1" x14ac:dyDescent="0.3">
      <c r="A64" s="137">
        <v>20</v>
      </c>
      <c r="B64" s="1781"/>
      <c r="C64" s="137"/>
      <c r="D64" s="137"/>
      <c r="E64" s="137"/>
      <c r="F64" s="137"/>
      <c r="G64" s="137"/>
      <c r="H64" s="137"/>
      <c r="I64" s="137"/>
      <c r="J64" s="137"/>
    </row>
    <row r="65" spans="1:11" ht="21" hidden="1" x14ac:dyDescent="0.4">
      <c r="A65" s="137"/>
      <c r="B65" s="1781"/>
      <c r="C65" s="137"/>
      <c r="D65" s="137"/>
      <c r="E65" s="137"/>
      <c r="F65" s="137"/>
      <c r="G65" s="137"/>
      <c r="H65" s="137"/>
      <c r="I65" s="137"/>
      <c r="J65" s="139">
        <f>SUM(J45:J64)</f>
        <v>3</v>
      </c>
    </row>
    <row r="66" spans="1:11" hidden="1" x14ac:dyDescent="0.3">
      <c r="A66" s="3473" t="s">
        <v>33</v>
      </c>
      <c r="B66" s="3473"/>
      <c r="C66" s="3473"/>
      <c r="D66" s="3473"/>
      <c r="E66" s="3473"/>
      <c r="F66" s="3473"/>
      <c r="G66" s="3473"/>
      <c r="H66" s="3473"/>
      <c r="I66" s="3473"/>
      <c r="J66" s="3473"/>
    </row>
    <row r="67" spans="1:11" hidden="1" x14ac:dyDescent="0.3">
      <c r="A67" s="137" t="s">
        <v>3</v>
      </c>
      <c r="B67" s="1781" t="s">
        <v>4</v>
      </c>
      <c r="C67" s="137" t="s">
        <v>5</v>
      </c>
      <c r="D67" s="137" t="s">
        <v>6</v>
      </c>
      <c r="E67" s="137" t="s">
        <v>7</v>
      </c>
      <c r="F67" s="137" t="s">
        <v>8</v>
      </c>
      <c r="G67" s="137" t="s">
        <v>9</v>
      </c>
      <c r="H67" s="137" t="s">
        <v>10</v>
      </c>
      <c r="I67" s="137" t="s">
        <v>11</v>
      </c>
      <c r="J67" s="137" t="s">
        <v>12</v>
      </c>
    </row>
    <row r="68" spans="1:11" hidden="1" x14ac:dyDescent="0.3">
      <c r="A68" s="152">
        <v>1</v>
      </c>
      <c r="B68" s="3393">
        <v>44194</v>
      </c>
      <c r="C68" s="152" t="s">
        <v>13</v>
      </c>
      <c r="D68" s="152" t="s">
        <v>56</v>
      </c>
      <c r="E68" s="152" t="s">
        <v>57</v>
      </c>
      <c r="F68" s="153">
        <v>380000000</v>
      </c>
      <c r="G68" s="152" t="s">
        <v>16</v>
      </c>
      <c r="H68" s="152" t="s">
        <v>51</v>
      </c>
      <c r="I68" s="152" t="s">
        <v>17</v>
      </c>
      <c r="J68" s="140">
        <v>1</v>
      </c>
    </row>
    <row r="69" spans="1:11" hidden="1" x14ac:dyDescent="0.3">
      <c r="A69" s="152">
        <v>2</v>
      </c>
      <c r="B69" s="3393">
        <v>44195</v>
      </c>
      <c r="C69" s="152" t="s">
        <v>48</v>
      </c>
      <c r="D69" s="152" t="s">
        <v>58</v>
      </c>
      <c r="E69" s="152" t="s">
        <v>59</v>
      </c>
      <c r="F69" s="153">
        <v>250000000</v>
      </c>
      <c r="G69" s="152" t="s">
        <v>50</v>
      </c>
      <c r="H69" s="152" t="s">
        <v>51</v>
      </c>
      <c r="I69" s="152" t="s">
        <v>17</v>
      </c>
      <c r="J69" s="140">
        <v>1</v>
      </c>
    </row>
    <row r="70" spans="1:11" hidden="1" x14ac:dyDescent="0.3">
      <c r="A70" s="152">
        <v>3</v>
      </c>
      <c r="B70" s="3393">
        <v>44195</v>
      </c>
      <c r="C70" s="152" t="s">
        <v>13</v>
      </c>
      <c r="D70" s="152" t="s">
        <v>60</v>
      </c>
      <c r="E70" s="152" t="s">
        <v>59</v>
      </c>
      <c r="F70" s="153">
        <v>211000000</v>
      </c>
      <c r="G70" s="152" t="s">
        <v>16</v>
      </c>
      <c r="H70" s="152" t="s">
        <v>36</v>
      </c>
      <c r="I70" s="152" t="s">
        <v>36</v>
      </c>
      <c r="J70" s="140">
        <v>1</v>
      </c>
    </row>
    <row r="71" spans="1:11" hidden="1" x14ac:dyDescent="0.3">
      <c r="A71" s="152">
        <v>4</v>
      </c>
      <c r="B71" s="3393">
        <v>44409</v>
      </c>
      <c r="C71" s="152" t="s">
        <v>13</v>
      </c>
      <c r="D71" s="152" t="s">
        <v>61</v>
      </c>
      <c r="E71" s="152" t="s">
        <v>39</v>
      </c>
      <c r="F71" s="153">
        <v>200000000</v>
      </c>
      <c r="G71" s="152" t="s">
        <v>62</v>
      </c>
      <c r="H71" s="152" t="s">
        <v>36</v>
      </c>
      <c r="I71" s="152" t="s">
        <v>17</v>
      </c>
      <c r="J71" s="140">
        <v>1</v>
      </c>
    </row>
    <row r="72" spans="1:11" hidden="1" x14ac:dyDescent="0.3">
      <c r="A72" s="154">
        <v>5</v>
      </c>
      <c r="B72" s="3394">
        <v>44044</v>
      </c>
      <c r="C72" s="154" t="s">
        <v>13</v>
      </c>
      <c r="D72" s="154" t="s">
        <v>63</v>
      </c>
      <c r="E72" s="154" t="s">
        <v>64</v>
      </c>
      <c r="F72" s="155">
        <v>150000000</v>
      </c>
      <c r="G72" s="154" t="s">
        <v>65</v>
      </c>
      <c r="H72" s="154" t="s">
        <v>51</v>
      </c>
      <c r="I72" s="154" t="s">
        <v>36</v>
      </c>
      <c r="J72" s="143">
        <v>1</v>
      </c>
      <c r="K72" t="s">
        <v>27</v>
      </c>
    </row>
    <row r="73" spans="1:11" hidden="1" x14ac:dyDescent="0.3">
      <c r="A73" s="156">
        <v>6</v>
      </c>
      <c r="B73" s="3395" t="s">
        <v>66</v>
      </c>
      <c r="C73" s="156" t="s">
        <v>37</v>
      </c>
      <c r="D73" s="156" t="s">
        <v>67</v>
      </c>
      <c r="E73" s="156" t="s">
        <v>68</v>
      </c>
      <c r="F73" s="157">
        <v>230000000</v>
      </c>
      <c r="G73" s="156" t="s">
        <v>69</v>
      </c>
      <c r="H73" s="156" t="s">
        <v>44</v>
      </c>
      <c r="I73" s="156" t="s">
        <v>36</v>
      </c>
      <c r="J73" s="144">
        <v>1</v>
      </c>
      <c r="K73" t="s">
        <v>32</v>
      </c>
    </row>
    <row r="74" spans="1:11" hidden="1" x14ac:dyDescent="0.3">
      <c r="A74" s="156">
        <v>7</v>
      </c>
      <c r="B74" s="3395" t="s">
        <v>70</v>
      </c>
      <c r="C74" s="156" t="s">
        <v>37</v>
      </c>
      <c r="D74" s="156" t="s">
        <v>71</v>
      </c>
      <c r="E74" s="156" t="s">
        <v>68</v>
      </c>
      <c r="F74" s="157">
        <v>220000000</v>
      </c>
      <c r="G74" s="156" t="s">
        <v>72</v>
      </c>
      <c r="H74" s="156" t="s">
        <v>44</v>
      </c>
      <c r="I74" s="156" t="s">
        <v>36</v>
      </c>
      <c r="J74" s="144">
        <v>1</v>
      </c>
      <c r="K74" t="s">
        <v>27</v>
      </c>
    </row>
    <row r="75" spans="1:11" hidden="1" x14ac:dyDescent="0.3">
      <c r="A75" s="156">
        <v>8</v>
      </c>
      <c r="B75" s="3395" t="s">
        <v>73</v>
      </c>
      <c r="C75" s="156" t="s">
        <v>74</v>
      </c>
      <c r="D75" s="156" t="s">
        <v>75</v>
      </c>
      <c r="E75" s="156" t="s">
        <v>76</v>
      </c>
      <c r="F75" s="157">
        <v>270000000</v>
      </c>
      <c r="G75" s="156" t="s">
        <v>43</v>
      </c>
      <c r="H75" s="156" t="s">
        <v>44</v>
      </c>
      <c r="I75" s="156" t="s">
        <v>36</v>
      </c>
      <c r="J75" s="144">
        <v>1</v>
      </c>
    </row>
    <row r="76" spans="1:11" hidden="1" x14ac:dyDescent="0.3">
      <c r="A76" s="156">
        <v>9</v>
      </c>
      <c r="B76" s="3395" t="s">
        <v>41</v>
      </c>
      <c r="C76" s="156" t="s">
        <v>37</v>
      </c>
      <c r="D76" s="156" t="s">
        <v>77</v>
      </c>
      <c r="E76" s="156" t="s">
        <v>78</v>
      </c>
      <c r="F76" s="157">
        <v>185000000</v>
      </c>
      <c r="G76" s="156" t="s">
        <v>79</v>
      </c>
      <c r="H76" s="156" t="s">
        <v>36</v>
      </c>
      <c r="I76" s="156" t="s">
        <v>36</v>
      </c>
      <c r="J76" s="144">
        <v>1</v>
      </c>
    </row>
    <row r="77" spans="1:11" hidden="1" x14ac:dyDescent="0.3">
      <c r="A77" s="156">
        <v>10</v>
      </c>
      <c r="B77" s="3395"/>
      <c r="C77" s="156"/>
      <c r="D77" s="156"/>
      <c r="E77" s="156"/>
      <c r="F77" s="157"/>
      <c r="G77" s="156"/>
      <c r="H77" s="156"/>
      <c r="I77" s="156"/>
      <c r="J77" s="144"/>
    </row>
    <row r="78" spans="1:11" ht="21" hidden="1" x14ac:dyDescent="0.4">
      <c r="A78" s="141"/>
      <c r="B78" s="3396"/>
      <c r="C78" s="141"/>
      <c r="D78" s="141"/>
      <c r="E78" s="141"/>
      <c r="F78" s="145"/>
      <c r="G78" s="141"/>
      <c r="H78" s="141"/>
      <c r="I78" s="141"/>
      <c r="J78" s="146">
        <f>SUM(J68:J77)</f>
        <v>9</v>
      </c>
    </row>
    <row r="79" spans="1:11" hidden="1" x14ac:dyDescent="0.3"/>
    <row r="80" spans="1:11" ht="23.4" hidden="1" x14ac:dyDescent="0.3">
      <c r="A80" s="3483" t="s">
        <v>80</v>
      </c>
      <c r="B80" s="3483"/>
      <c r="C80" s="3483"/>
      <c r="D80" s="3483"/>
      <c r="E80" s="3483"/>
      <c r="F80" s="3483"/>
      <c r="G80" s="3483"/>
      <c r="H80" s="3483"/>
      <c r="I80" s="3483"/>
      <c r="J80" s="3483"/>
    </row>
    <row r="81" spans="1:11" ht="15.6" hidden="1" x14ac:dyDescent="0.3">
      <c r="A81" s="3461" t="s">
        <v>2</v>
      </c>
      <c r="B81" s="3461"/>
      <c r="C81" s="3461"/>
      <c r="D81" s="3461"/>
      <c r="E81" s="3461"/>
      <c r="F81" s="3461"/>
      <c r="G81" s="3461"/>
      <c r="H81" s="3461"/>
      <c r="I81" s="3461"/>
      <c r="J81" s="3461"/>
    </row>
    <row r="82" spans="1:11" hidden="1" x14ac:dyDescent="0.3">
      <c r="A82" s="150" t="s">
        <v>3</v>
      </c>
      <c r="B82" s="1781" t="s">
        <v>4</v>
      </c>
      <c r="C82" s="150" t="s">
        <v>5</v>
      </c>
      <c r="D82" s="150" t="s">
        <v>6</v>
      </c>
      <c r="E82" s="150" t="s">
        <v>7</v>
      </c>
      <c r="F82" s="150" t="s">
        <v>8</v>
      </c>
      <c r="G82" s="150" t="s">
        <v>9</v>
      </c>
      <c r="H82" s="150" t="s">
        <v>10</v>
      </c>
      <c r="I82" s="150" t="s">
        <v>11</v>
      </c>
      <c r="J82" s="137" t="s">
        <v>12</v>
      </c>
    </row>
    <row r="83" spans="1:11" hidden="1" x14ac:dyDescent="0.3">
      <c r="A83" s="150">
        <v>1</v>
      </c>
      <c r="B83" s="1781" t="s">
        <v>81</v>
      </c>
      <c r="C83" s="150" t="s">
        <v>13</v>
      </c>
      <c r="D83" s="150" t="s">
        <v>82</v>
      </c>
      <c r="E83" s="150" t="s">
        <v>19</v>
      </c>
      <c r="F83" s="150">
        <v>1100000</v>
      </c>
      <c r="G83" s="150" t="s">
        <v>16</v>
      </c>
      <c r="H83" s="150" t="s">
        <v>24</v>
      </c>
      <c r="I83" s="150" t="s">
        <v>24</v>
      </c>
      <c r="J83" s="137">
        <v>1</v>
      </c>
    </row>
    <row r="84" spans="1:11" hidden="1" x14ac:dyDescent="0.3">
      <c r="A84" s="150">
        <v>2</v>
      </c>
      <c r="B84" s="1781" t="s">
        <v>83</v>
      </c>
      <c r="C84" s="150" t="s">
        <v>13</v>
      </c>
      <c r="D84" s="150" t="s">
        <v>84</v>
      </c>
      <c r="E84" s="150" t="s">
        <v>59</v>
      </c>
      <c r="F84" s="150">
        <v>1350000</v>
      </c>
      <c r="G84" s="150" t="s">
        <v>85</v>
      </c>
      <c r="H84" s="150" t="s">
        <v>24</v>
      </c>
      <c r="I84" s="150" t="s">
        <v>24</v>
      </c>
      <c r="J84" s="137">
        <v>1</v>
      </c>
    </row>
    <row r="85" spans="1:11" hidden="1" x14ac:dyDescent="0.3">
      <c r="A85" s="150">
        <v>3</v>
      </c>
      <c r="B85" s="3392">
        <v>44409</v>
      </c>
      <c r="C85" s="150" t="s">
        <v>13</v>
      </c>
      <c r="D85" s="150" t="s">
        <v>86</v>
      </c>
      <c r="E85" s="150" t="s">
        <v>87</v>
      </c>
      <c r="F85" s="150">
        <v>1150000</v>
      </c>
      <c r="G85" s="150" t="s">
        <v>88</v>
      </c>
      <c r="H85" s="150" t="s">
        <v>24</v>
      </c>
      <c r="I85" s="150" t="s">
        <v>24</v>
      </c>
      <c r="J85" s="137">
        <v>1</v>
      </c>
    </row>
    <row r="86" spans="1:11" hidden="1" x14ac:dyDescent="0.3">
      <c r="A86" s="150">
        <v>4</v>
      </c>
      <c r="B86" s="3397" t="s">
        <v>89</v>
      </c>
      <c r="C86" s="158" t="s">
        <v>13</v>
      </c>
      <c r="D86" s="158" t="s">
        <v>90</v>
      </c>
      <c r="E86" s="158" t="s">
        <v>59</v>
      </c>
      <c r="F86" s="158">
        <v>1100000</v>
      </c>
      <c r="G86" s="158" t="s">
        <v>91</v>
      </c>
      <c r="H86" s="158" t="s">
        <v>24</v>
      </c>
      <c r="I86" s="158" t="s">
        <v>24</v>
      </c>
      <c r="J86" s="147">
        <v>1</v>
      </c>
    </row>
    <row r="87" spans="1:11" hidden="1" x14ac:dyDescent="0.3">
      <c r="A87" s="159">
        <v>5</v>
      </c>
      <c r="B87" s="2" t="s">
        <v>25</v>
      </c>
      <c r="C87" s="160" t="s">
        <v>92</v>
      </c>
      <c r="D87" s="160" t="s">
        <v>93</v>
      </c>
      <c r="E87" s="160" t="s">
        <v>39</v>
      </c>
      <c r="F87" s="160">
        <v>1200000</v>
      </c>
      <c r="G87" s="160" t="s">
        <v>94</v>
      </c>
      <c r="H87" s="160" t="s">
        <v>36</v>
      </c>
      <c r="I87" s="160" t="s">
        <v>36</v>
      </c>
      <c r="J87" s="11">
        <v>1</v>
      </c>
      <c r="K87" t="s">
        <v>32</v>
      </c>
    </row>
    <row r="88" spans="1:11" hidden="1" x14ac:dyDescent="0.3">
      <c r="A88" s="159">
        <v>6</v>
      </c>
      <c r="B88" s="2" t="s">
        <v>95</v>
      </c>
      <c r="C88" s="160" t="s">
        <v>92</v>
      </c>
      <c r="D88" s="160" t="s">
        <v>96</v>
      </c>
      <c r="E88" s="160" t="s">
        <v>39</v>
      </c>
      <c r="F88" s="160">
        <v>950000</v>
      </c>
      <c r="G88" s="160" t="s">
        <v>43</v>
      </c>
      <c r="H88" s="160" t="s">
        <v>36</v>
      </c>
      <c r="I88" s="160" t="s">
        <v>36</v>
      </c>
      <c r="J88" s="11">
        <v>1</v>
      </c>
      <c r="K88" t="s">
        <v>32</v>
      </c>
    </row>
    <row r="89" spans="1:11" hidden="1" x14ac:dyDescent="0.3">
      <c r="A89" s="159">
        <v>7</v>
      </c>
      <c r="B89" s="2" t="s">
        <v>97</v>
      </c>
      <c r="C89" s="160" t="s">
        <v>74</v>
      </c>
      <c r="D89" s="160" t="s">
        <v>98</v>
      </c>
      <c r="E89" s="160" t="s">
        <v>39</v>
      </c>
      <c r="F89" s="160">
        <v>700000</v>
      </c>
      <c r="G89" s="160" t="s">
        <v>43</v>
      </c>
      <c r="H89" s="160" t="s">
        <v>36</v>
      </c>
      <c r="I89" s="160" t="s">
        <v>36</v>
      </c>
      <c r="J89" s="11">
        <v>1</v>
      </c>
      <c r="K89" t="s">
        <v>27</v>
      </c>
    </row>
    <row r="90" spans="1:11" hidden="1" x14ac:dyDescent="0.3">
      <c r="A90" s="159">
        <v>8</v>
      </c>
      <c r="B90" s="2" t="s">
        <v>99</v>
      </c>
      <c r="C90" s="160" t="s">
        <v>100</v>
      </c>
      <c r="D90" s="160" t="s">
        <v>101</v>
      </c>
      <c r="E90" s="160" t="s">
        <v>39</v>
      </c>
      <c r="F90" s="160">
        <v>1200000</v>
      </c>
      <c r="G90" s="160" t="s">
        <v>102</v>
      </c>
      <c r="H90" s="160" t="s">
        <v>36</v>
      </c>
      <c r="I90" s="160" t="s">
        <v>36</v>
      </c>
      <c r="J90" s="11">
        <v>1</v>
      </c>
      <c r="K90" t="s">
        <v>27</v>
      </c>
    </row>
    <row r="91" spans="1:11" hidden="1" x14ac:dyDescent="0.3">
      <c r="A91" s="150">
        <v>9</v>
      </c>
      <c r="B91" s="3398" t="s">
        <v>103</v>
      </c>
      <c r="C91" s="161" t="s">
        <v>92</v>
      </c>
      <c r="D91" s="161" t="s">
        <v>104</v>
      </c>
      <c r="E91" s="161" t="s">
        <v>105</v>
      </c>
      <c r="F91" s="161">
        <v>2200000</v>
      </c>
      <c r="G91" s="161" t="s">
        <v>94</v>
      </c>
      <c r="H91" s="161" t="s">
        <v>36</v>
      </c>
      <c r="I91" s="161" t="s">
        <v>36</v>
      </c>
      <c r="J91" s="148">
        <v>1</v>
      </c>
      <c r="K91" t="s">
        <v>32</v>
      </c>
    </row>
    <row r="92" spans="1:11" hidden="1" x14ac:dyDescent="0.3">
      <c r="A92" s="150">
        <v>10</v>
      </c>
      <c r="B92" s="1781" t="s">
        <v>106</v>
      </c>
      <c r="C92" s="150" t="s">
        <v>92</v>
      </c>
      <c r="D92" s="150" t="s">
        <v>107</v>
      </c>
      <c r="E92" s="150" t="s">
        <v>39</v>
      </c>
      <c r="F92" s="150">
        <v>1100000</v>
      </c>
      <c r="G92" s="150" t="s">
        <v>108</v>
      </c>
      <c r="H92" s="150" t="s">
        <v>36</v>
      </c>
      <c r="I92" s="150" t="s">
        <v>36</v>
      </c>
      <c r="J92" s="137">
        <v>1</v>
      </c>
      <c r="K92" t="s">
        <v>32</v>
      </c>
    </row>
    <row r="93" spans="1:11" hidden="1" x14ac:dyDescent="0.3">
      <c r="A93" s="150">
        <v>11</v>
      </c>
      <c r="B93" s="1781" t="s">
        <v>109</v>
      </c>
      <c r="C93" s="150" t="s">
        <v>37</v>
      </c>
      <c r="D93" s="150" t="s">
        <v>110</v>
      </c>
      <c r="E93" s="150" t="s">
        <v>39</v>
      </c>
      <c r="F93" s="150">
        <v>1500000</v>
      </c>
      <c r="G93" s="150" t="s">
        <v>111</v>
      </c>
      <c r="H93" s="150" t="s">
        <v>36</v>
      </c>
      <c r="I93" s="150" t="s">
        <v>36</v>
      </c>
      <c r="J93" s="137">
        <v>1</v>
      </c>
      <c r="K93" t="s">
        <v>27</v>
      </c>
    </row>
    <row r="94" spans="1:11" hidden="1" x14ac:dyDescent="0.3">
      <c r="A94" s="150">
        <v>12</v>
      </c>
      <c r="B94" s="1781"/>
      <c r="C94" s="150"/>
      <c r="D94" s="150"/>
      <c r="E94" s="150"/>
      <c r="F94" s="150"/>
      <c r="G94" s="150"/>
      <c r="H94" s="150"/>
      <c r="I94" s="150"/>
      <c r="J94" s="137"/>
    </row>
    <row r="95" spans="1:11" hidden="1" x14ac:dyDescent="0.3">
      <c r="A95" s="150">
        <v>13</v>
      </c>
      <c r="B95" s="1781"/>
      <c r="C95" s="150"/>
      <c r="D95" s="150"/>
      <c r="E95" s="150"/>
      <c r="F95" s="150"/>
      <c r="G95" s="150"/>
      <c r="H95" s="150"/>
      <c r="I95" s="150"/>
      <c r="J95" s="137"/>
    </row>
    <row r="96" spans="1:11" hidden="1" x14ac:dyDescent="0.3">
      <c r="A96" s="137">
        <v>14</v>
      </c>
      <c r="B96" s="1781"/>
      <c r="C96" s="137"/>
      <c r="D96" s="137"/>
      <c r="E96" s="137"/>
      <c r="F96" s="137"/>
      <c r="G96" s="137"/>
      <c r="H96" s="137"/>
      <c r="I96" s="137"/>
      <c r="J96" s="137"/>
    </row>
    <row r="97" spans="1:11" hidden="1" x14ac:dyDescent="0.3">
      <c r="A97" s="137">
        <v>15</v>
      </c>
      <c r="B97" s="1781"/>
      <c r="C97" s="137"/>
      <c r="D97" s="137"/>
      <c r="E97" s="137"/>
      <c r="F97" s="137"/>
      <c r="G97" s="137"/>
      <c r="H97" s="137"/>
      <c r="I97" s="137"/>
      <c r="J97" s="137"/>
    </row>
    <row r="98" spans="1:11" hidden="1" x14ac:dyDescent="0.3">
      <c r="A98" s="137">
        <v>16</v>
      </c>
      <c r="B98" s="1781"/>
      <c r="C98" s="137"/>
      <c r="D98" s="137"/>
      <c r="E98" s="137"/>
      <c r="F98" s="137"/>
      <c r="G98" s="137"/>
      <c r="H98" s="137"/>
      <c r="I98" s="137"/>
      <c r="J98" s="137"/>
    </row>
    <row r="99" spans="1:11" hidden="1" x14ac:dyDescent="0.3">
      <c r="A99" s="137">
        <v>17</v>
      </c>
      <c r="B99" s="1781"/>
      <c r="C99" s="137"/>
      <c r="D99" s="137"/>
      <c r="E99" s="137"/>
      <c r="F99" s="137"/>
      <c r="G99" s="137"/>
      <c r="H99" s="137"/>
      <c r="I99" s="137"/>
      <c r="J99" s="137"/>
    </row>
    <row r="100" spans="1:11" hidden="1" x14ac:dyDescent="0.3">
      <c r="A100" s="137">
        <v>18</v>
      </c>
      <c r="B100" s="1781"/>
      <c r="C100" s="137"/>
      <c r="D100" s="137"/>
      <c r="E100" s="137"/>
      <c r="F100" s="137"/>
      <c r="G100" s="137"/>
      <c r="H100" s="137"/>
      <c r="I100" s="137"/>
      <c r="J100" s="137"/>
    </row>
    <row r="101" spans="1:11" hidden="1" x14ac:dyDescent="0.3">
      <c r="A101" s="137">
        <v>19</v>
      </c>
      <c r="B101" s="1781"/>
      <c r="C101" s="137"/>
      <c r="D101" s="137"/>
      <c r="E101" s="137"/>
      <c r="F101" s="137"/>
      <c r="G101" s="137"/>
      <c r="H101" s="137"/>
      <c r="I101" s="137"/>
      <c r="J101" s="137"/>
    </row>
    <row r="102" spans="1:11" hidden="1" x14ac:dyDescent="0.3">
      <c r="A102" s="137">
        <v>20</v>
      </c>
      <c r="B102" s="1781"/>
      <c r="C102" s="137"/>
      <c r="D102" s="137"/>
      <c r="E102" s="137"/>
      <c r="F102" s="137"/>
      <c r="G102" s="137"/>
      <c r="H102" s="137"/>
      <c r="I102" s="137"/>
      <c r="J102" s="137"/>
    </row>
    <row r="103" spans="1:11" ht="21" hidden="1" x14ac:dyDescent="0.4">
      <c r="A103" s="137"/>
      <c r="B103" s="1781"/>
      <c r="C103" s="137"/>
      <c r="D103" s="137"/>
      <c r="E103" s="137"/>
      <c r="F103" s="137"/>
      <c r="G103" s="137"/>
      <c r="H103" s="137"/>
      <c r="I103" s="137"/>
      <c r="J103" s="139">
        <f>SUM(J83:J102)</f>
        <v>11</v>
      </c>
    </row>
    <row r="104" spans="1:11" hidden="1" x14ac:dyDescent="0.3">
      <c r="A104" s="3473" t="s">
        <v>33</v>
      </c>
      <c r="B104" s="3473"/>
      <c r="C104" s="3473"/>
      <c r="D104" s="3473"/>
      <c r="E104" s="3473"/>
      <c r="F104" s="3473"/>
      <c r="G104" s="3473"/>
      <c r="H104" s="3473"/>
      <c r="I104" s="3473"/>
      <c r="J104" s="3473"/>
    </row>
    <row r="105" spans="1:11" hidden="1" x14ac:dyDescent="0.3">
      <c r="A105" s="150" t="s">
        <v>3</v>
      </c>
      <c r="B105" s="1781" t="s">
        <v>4</v>
      </c>
      <c r="C105" s="150" t="s">
        <v>5</v>
      </c>
      <c r="D105" s="150" t="s">
        <v>6</v>
      </c>
      <c r="E105" s="150" t="s">
        <v>7</v>
      </c>
      <c r="F105" s="150" t="s">
        <v>8</v>
      </c>
      <c r="G105" s="150" t="s">
        <v>9</v>
      </c>
      <c r="H105" s="150" t="s">
        <v>10</v>
      </c>
      <c r="I105" s="150" t="s">
        <v>11</v>
      </c>
      <c r="J105" s="137" t="s">
        <v>12</v>
      </c>
    </row>
    <row r="106" spans="1:11" hidden="1" x14ac:dyDescent="0.3">
      <c r="A106" s="152">
        <v>1</v>
      </c>
      <c r="B106" s="3393">
        <v>44348</v>
      </c>
      <c r="C106" s="152" t="s">
        <v>13</v>
      </c>
      <c r="D106" s="152" t="s">
        <v>112</v>
      </c>
      <c r="E106" s="152" t="s">
        <v>113</v>
      </c>
      <c r="F106" s="162">
        <v>220500000</v>
      </c>
      <c r="G106" s="152" t="s">
        <v>16</v>
      </c>
      <c r="H106" s="152" t="s">
        <v>24</v>
      </c>
      <c r="I106" s="152" t="s">
        <v>24</v>
      </c>
      <c r="J106" s="140">
        <v>1</v>
      </c>
      <c r="K106" t="s">
        <v>32</v>
      </c>
    </row>
    <row r="107" spans="1:11" hidden="1" x14ac:dyDescent="0.3">
      <c r="A107" s="152">
        <v>2</v>
      </c>
      <c r="B107" s="3393">
        <v>44348</v>
      </c>
      <c r="C107" s="152" t="s">
        <v>13</v>
      </c>
      <c r="D107" s="152" t="s">
        <v>114</v>
      </c>
      <c r="E107" s="152" t="s">
        <v>113</v>
      </c>
      <c r="F107" s="162">
        <v>198500000</v>
      </c>
      <c r="G107" s="152" t="s">
        <v>88</v>
      </c>
      <c r="H107" s="152" t="s">
        <v>24</v>
      </c>
      <c r="I107" s="152" t="s">
        <v>24</v>
      </c>
      <c r="J107" s="140">
        <v>1</v>
      </c>
      <c r="K107" t="s">
        <v>115</v>
      </c>
    </row>
    <row r="108" spans="1:11" hidden="1" x14ac:dyDescent="0.3">
      <c r="A108" s="152">
        <v>3</v>
      </c>
      <c r="B108" s="3393">
        <v>44348</v>
      </c>
      <c r="C108" s="152" t="s">
        <v>13</v>
      </c>
      <c r="D108" s="152" t="s">
        <v>116</v>
      </c>
      <c r="E108" s="152" t="s">
        <v>113</v>
      </c>
      <c r="F108" s="162">
        <v>195500000</v>
      </c>
      <c r="G108" s="152" t="s">
        <v>88</v>
      </c>
      <c r="H108" s="152" t="s">
        <v>24</v>
      </c>
      <c r="I108" s="152" t="s">
        <v>24</v>
      </c>
      <c r="J108" s="140">
        <v>1</v>
      </c>
      <c r="K108" t="s">
        <v>32</v>
      </c>
    </row>
    <row r="109" spans="1:11" hidden="1" x14ac:dyDescent="0.3">
      <c r="A109" s="152">
        <v>4</v>
      </c>
      <c r="B109" s="3393">
        <v>44348</v>
      </c>
      <c r="C109" s="152" t="s">
        <v>13</v>
      </c>
      <c r="D109" s="152" t="s">
        <v>117</v>
      </c>
      <c r="E109" s="152" t="s">
        <v>113</v>
      </c>
      <c r="F109" s="162">
        <v>207500000</v>
      </c>
      <c r="G109" s="152" t="s">
        <v>16</v>
      </c>
      <c r="H109" s="152" t="s">
        <v>24</v>
      </c>
      <c r="I109" s="152" t="s">
        <v>24</v>
      </c>
      <c r="J109" s="140">
        <v>1</v>
      </c>
      <c r="K109" t="s">
        <v>115</v>
      </c>
    </row>
    <row r="110" spans="1:11" hidden="1" x14ac:dyDescent="0.3">
      <c r="A110" s="152">
        <v>5</v>
      </c>
      <c r="B110" s="3393"/>
      <c r="C110" s="152"/>
      <c r="D110" s="152"/>
      <c r="E110" s="152"/>
      <c r="F110" s="162"/>
      <c r="G110" s="152"/>
      <c r="H110" s="152"/>
      <c r="I110" s="152"/>
      <c r="J110" s="140"/>
    </row>
    <row r="111" spans="1:11" hidden="1" x14ac:dyDescent="0.3">
      <c r="A111" s="152">
        <v>6</v>
      </c>
      <c r="B111" s="3393"/>
      <c r="C111" s="152"/>
      <c r="D111" s="152"/>
      <c r="E111" s="152"/>
      <c r="F111" s="162"/>
      <c r="G111" s="152"/>
      <c r="H111" s="152"/>
      <c r="I111" s="152"/>
      <c r="J111" s="140"/>
    </row>
    <row r="112" spans="1:11" hidden="1" x14ac:dyDescent="0.3">
      <c r="A112" s="152">
        <v>7</v>
      </c>
      <c r="B112" s="3393"/>
      <c r="C112" s="152"/>
      <c r="D112" s="152"/>
      <c r="E112" s="152"/>
      <c r="F112" s="162"/>
      <c r="G112" s="152"/>
      <c r="H112" s="152"/>
      <c r="I112" s="152"/>
      <c r="J112" s="140"/>
    </row>
    <row r="113" spans="1:11" hidden="1" x14ac:dyDescent="0.3">
      <c r="A113" s="152">
        <v>8</v>
      </c>
      <c r="B113" s="3393"/>
      <c r="C113" s="152"/>
      <c r="D113" s="152"/>
      <c r="E113" s="152"/>
      <c r="F113" s="162"/>
      <c r="G113" s="152"/>
      <c r="H113" s="152"/>
      <c r="I113" s="152"/>
      <c r="J113" s="140"/>
    </row>
    <row r="114" spans="1:11" hidden="1" x14ac:dyDescent="0.3">
      <c r="A114" s="140">
        <v>9</v>
      </c>
      <c r="B114" s="3393"/>
      <c r="C114" s="140"/>
      <c r="D114" s="140"/>
      <c r="E114" s="140"/>
      <c r="F114" s="149"/>
      <c r="G114" s="140"/>
      <c r="H114" s="140"/>
      <c r="I114" s="140"/>
      <c r="J114" s="140"/>
    </row>
    <row r="115" spans="1:11" hidden="1" x14ac:dyDescent="0.3">
      <c r="A115" s="140">
        <v>10</v>
      </c>
      <c r="B115" s="549"/>
      <c r="C115" s="140"/>
      <c r="D115" s="140"/>
      <c r="E115" s="140"/>
      <c r="F115" s="149"/>
      <c r="G115" s="140"/>
      <c r="H115" s="140"/>
      <c r="I115" s="140"/>
      <c r="J115" s="140"/>
    </row>
    <row r="116" spans="1:11" ht="21" hidden="1" x14ac:dyDescent="0.4">
      <c r="A116" s="140"/>
      <c r="B116" s="549"/>
      <c r="C116" s="140"/>
      <c r="D116" s="140"/>
      <c r="E116" s="140"/>
      <c r="F116" s="149"/>
      <c r="G116" s="140"/>
      <c r="H116" s="140"/>
      <c r="I116" s="140"/>
      <c r="J116" s="139">
        <f>SUM(J106:J115)</f>
        <v>4</v>
      </c>
    </row>
    <row r="117" spans="1:11" ht="23.4" hidden="1" x14ac:dyDescent="0.3">
      <c r="A117" s="3483" t="s">
        <v>118</v>
      </c>
      <c r="B117" s="3483"/>
      <c r="C117" s="3483"/>
      <c r="D117" s="3483"/>
      <c r="E117" s="3483"/>
      <c r="F117" s="3483"/>
      <c r="G117" s="3483"/>
      <c r="H117" s="3483"/>
      <c r="I117" s="3483"/>
      <c r="J117" s="3483"/>
    </row>
    <row r="118" spans="1:11" ht="15.6" hidden="1" x14ac:dyDescent="0.3">
      <c r="A118" s="3461" t="s">
        <v>2</v>
      </c>
      <c r="B118" s="3461"/>
      <c r="C118" s="3461"/>
      <c r="D118" s="3461"/>
      <c r="E118" s="3461"/>
      <c r="F118" s="3461"/>
      <c r="G118" s="3461"/>
      <c r="H118" s="3461"/>
      <c r="I118" s="3461"/>
      <c r="J118" s="3461"/>
    </row>
    <row r="119" spans="1:11" hidden="1" x14ac:dyDescent="0.3">
      <c r="A119" s="137" t="s">
        <v>3</v>
      </c>
      <c r="B119" s="1781" t="s">
        <v>4</v>
      </c>
      <c r="C119" s="137" t="s">
        <v>5</v>
      </c>
      <c r="D119" s="137" t="s">
        <v>6</v>
      </c>
      <c r="E119" s="137" t="s">
        <v>7</v>
      </c>
      <c r="F119" s="137" t="s">
        <v>8</v>
      </c>
      <c r="G119" s="137" t="s">
        <v>9</v>
      </c>
      <c r="H119" s="137" t="s">
        <v>10</v>
      </c>
      <c r="I119" s="137" t="s">
        <v>11</v>
      </c>
      <c r="J119" s="137" t="s">
        <v>12</v>
      </c>
    </row>
    <row r="120" spans="1:11" hidden="1" x14ac:dyDescent="0.3">
      <c r="A120" s="150">
        <v>1</v>
      </c>
      <c r="B120" s="3392">
        <v>44348</v>
      </c>
      <c r="C120" s="150" t="s">
        <v>119</v>
      </c>
      <c r="D120" s="150" t="s">
        <v>120</v>
      </c>
      <c r="E120" s="150" t="s">
        <v>121</v>
      </c>
      <c r="F120" s="151">
        <v>1100000</v>
      </c>
      <c r="G120" s="150" t="s">
        <v>88</v>
      </c>
      <c r="H120" s="150" t="s">
        <v>24</v>
      </c>
      <c r="I120" s="150" t="s">
        <v>24</v>
      </c>
      <c r="J120" s="137">
        <v>1</v>
      </c>
    </row>
    <row r="121" spans="1:11" hidden="1" x14ac:dyDescent="0.3">
      <c r="A121" s="150">
        <v>2</v>
      </c>
      <c r="B121" s="3392" t="s">
        <v>99</v>
      </c>
      <c r="C121" s="150" t="s">
        <v>37</v>
      </c>
      <c r="D121" s="150" t="s">
        <v>122</v>
      </c>
      <c r="E121" s="150" t="s">
        <v>39</v>
      </c>
      <c r="F121" s="151">
        <v>1750000</v>
      </c>
      <c r="G121" s="150" t="s">
        <v>123</v>
      </c>
      <c r="H121" s="150" t="s">
        <v>36</v>
      </c>
      <c r="I121" s="150" t="s">
        <v>36</v>
      </c>
      <c r="J121" s="137">
        <v>1</v>
      </c>
      <c r="K121" t="s">
        <v>32</v>
      </c>
    </row>
    <row r="122" spans="1:11" hidden="1" x14ac:dyDescent="0.3">
      <c r="A122" s="150">
        <v>3</v>
      </c>
      <c r="B122" s="3392">
        <v>44222</v>
      </c>
      <c r="C122" s="150" t="s">
        <v>37</v>
      </c>
      <c r="D122" s="150" t="s">
        <v>124</v>
      </c>
      <c r="E122" s="150" t="s">
        <v>125</v>
      </c>
      <c r="F122" s="151">
        <v>750000</v>
      </c>
      <c r="G122" s="150" t="s">
        <v>43</v>
      </c>
      <c r="H122" s="150" t="s">
        <v>36</v>
      </c>
      <c r="I122" s="150" t="s">
        <v>36</v>
      </c>
      <c r="J122" s="137">
        <v>1</v>
      </c>
    </row>
    <row r="123" spans="1:11" hidden="1" x14ac:dyDescent="0.3">
      <c r="A123" s="150">
        <v>4</v>
      </c>
      <c r="B123" s="1781" t="s">
        <v>126</v>
      </c>
      <c r="C123" s="150" t="s">
        <v>37</v>
      </c>
      <c r="D123" s="150" t="s">
        <v>127</v>
      </c>
      <c r="E123" s="150" t="s">
        <v>128</v>
      </c>
      <c r="F123" s="150">
        <v>1400000</v>
      </c>
      <c r="G123" s="150" t="s">
        <v>43</v>
      </c>
      <c r="H123" s="150" t="s">
        <v>36</v>
      </c>
      <c r="I123" s="150" t="s">
        <v>36</v>
      </c>
      <c r="J123" s="137">
        <v>1</v>
      </c>
    </row>
    <row r="124" spans="1:11" hidden="1" x14ac:dyDescent="0.3">
      <c r="A124" s="137">
        <v>5</v>
      </c>
      <c r="B124" s="1781"/>
      <c r="C124" s="137"/>
      <c r="D124" s="137"/>
      <c r="E124" s="137"/>
      <c r="F124" s="137"/>
      <c r="G124" s="137"/>
      <c r="H124" s="137"/>
      <c r="I124" s="137"/>
      <c r="J124" s="137"/>
    </row>
    <row r="125" spans="1:11" hidden="1" x14ac:dyDescent="0.3">
      <c r="A125" s="137">
        <v>6</v>
      </c>
      <c r="B125" s="1781"/>
      <c r="C125" s="137"/>
      <c r="D125" s="137"/>
      <c r="E125" s="137"/>
      <c r="F125" s="137"/>
      <c r="G125" s="137"/>
      <c r="H125" s="137"/>
      <c r="I125" s="137"/>
      <c r="J125" s="137"/>
    </row>
    <row r="126" spans="1:11" hidden="1" x14ac:dyDescent="0.3">
      <c r="A126" s="137">
        <v>7</v>
      </c>
      <c r="B126" s="1781"/>
      <c r="C126" s="137"/>
      <c r="D126" s="137"/>
      <c r="E126" s="137"/>
      <c r="F126" s="137"/>
      <c r="G126" s="137"/>
      <c r="H126" s="137"/>
      <c r="I126" s="137"/>
      <c r="J126" s="137"/>
    </row>
    <row r="127" spans="1:11" hidden="1" x14ac:dyDescent="0.3">
      <c r="A127" s="137">
        <v>8</v>
      </c>
      <c r="B127" s="1781"/>
      <c r="C127" s="137"/>
      <c r="D127" s="137"/>
      <c r="E127" s="137"/>
      <c r="F127" s="137"/>
      <c r="G127" s="137"/>
      <c r="H127" s="137"/>
      <c r="I127" s="137"/>
      <c r="J127" s="137"/>
    </row>
    <row r="128" spans="1:11" hidden="1" x14ac:dyDescent="0.3">
      <c r="A128" s="137">
        <v>9</v>
      </c>
      <c r="B128" s="1781"/>
      <c r="C128" s="137"/>
      <c r="D128" s="137"/>
      <c r="E128" s="137"/>
      <c r="F128" s="137"/>
      <c r="G128" s="137"/>
      <c r="H128" s="137"/>
      <c r="I128" s="137"/>
      <c r="J128" s="137"/>
    </row>
    <row r="129" spans="1:11" ht="21" hidden="1" x14ac:dyDescent="0.4">
      <c r="A129" s="137">
        <v>10</v>
      </c>
      <c r="B129" s="1781"/>
      <c r="C129" s="137"/>
      <c r="D129" s="137"/>
      <c r="E129" s="137"/>
      <c r="F129" s="137"/>
      <c r="G129" s="137"/>
      <c r="H129" s="137"/>
      <c r="I129" s="137"/>
      <c r="J129" s="139">
        <f>SUM(J120:J128)</f>
        <v>4</v>
      </c>
    </row>
    <row r="130" spans="1:11" hidden="1" x14ac:dyDescent="0.3"/>
    <row r="131" spans="1:11" hidden="1" x14ac:dyDescent="0.3"/>
    <row r="132" spans="1:11" hidden="1" x14ac:dyDescent="0.3"/>
    <row r="133" spans="1:11" hidden="1" x14ac:dyDescent="0.3"/>
    <row r="134" spans="1:11" hidden="1" x14ac:dyDescent="0.3">
      <c r="A134" s="3468" t="s">
        <v>129</v>
      </c>
      <c r="B134" s="3469"/>
      <c r="C134" s="3469"/>
      <c r="D134" s="3469"/>
      <c r="E134" s="3469"/>
      <c r="F134" s="3469"/>
      <c r="G134" s="3469"/>
      <c r="H134" s="3469"/>
      <c r="I134" s="3469"/>
      <c r="J134" s="3469"/>
    </row>
    <row r="135" spans="1:11" hidden="1" x14ac:dyDescent="0.3">
      <c r="A135" s="3469"/>
      <c r="B135" s="3469"/>
      <c r="C135" s="3469"/>
      <c r="D135" s="3469"/>
      <c r="E135" s="3469"/>
      <c r="F135" s="3469"/>
      <c r="G135" s="3469"/>
      <c r="H135" s="3469"/>
      <c r="I135" s="3469"/>
      <c r="J135" s="3469"/>
    </row>
    <row r="136" spans="1:11" ht="46.2" hidden="1" x14ac:dyDescent="0.3">
      <c r="B136" s="136"/>
      <c r="C136" s="136"/>
      <c r="D136" s="136"/>
      <c r="E136" s="136"/>
      <c r="F136" s="136"/>
      <c r="G136" s="136"/>
      <c r="H136" s="136"/>
      <c r="I136" s="136"/>
      <c r="J136" s="136"/>
    </row>
    <row r="137" spans="1:11" ht="23.4" hidden="1" x14ac:dyDescent="0.3">
      <c r="A137" s="3483" t="s">
        <v>1</v>
      </c>
      <c r="B137" s="3483"/>
      <c r="C137" s="3483"/>
      <c r="D137" s="3483"/>
      <c r="E137" s="3483"/>
      <c r="F137" s="3483"/>
      <c r="G137" s="3483"/>
      <c r="H137" s="3483"/>
      <c r="I137" s="3483"/>
      <c r="J137" s="3483"/>
    </row>
    <row r="138" spans="1:11" ht="15.6" hidden="1" x14ac:dyDescent="0.3">
      <c r="A138" s="3461" t="s">
        <v>2</v>
      </c>
      <c r="B138" s="3461"/>
      <c r="C138" s="3461"/>
      <c r="D138" s="3461"/>
      <c r="E138" s="3461"/>
      <c r="F138" s="3461"/>
      <c r="G138" s="3461"/>
      <c r="H138" s="3461"/>
      <c r="I138" s="3461"/>
      <c r="J138" s="3461"/>
    </row>
    <row r="139" spans="1:11" hidden="1" x14ac:dyDescent="0.3">
      <c r="A139" s="137" t="s">
        <v>3</v>
      </c>
      <c r="B139" s="1781" t="s">
        <v>4</v>
      </c>
      <c r="C139" s="137" t="s">
        <v>5</v>
      </c>
      <c r="D139" s="137" t="s">
        <v>6</v>
      </c>
      <c r="E139" s="137" t="s">
        <v>7</v>
      </c>
      <c r="F139" s="137" t="s">
        <v>8</v>
      </c>
      <c r="G139" s="137" t="s">
        <v>9</v>
      </c>
      <c r="H139" s="137" t="s">
        <v>10</v>
      </c>
      <c r="I139" s="137" t="s">
        <v>11</v>
      </c>
      <c r="J139" s="137" t="s">
        <v>12</v>
      </c>
    </row>
    <row r="140" spans="1:11" hidden="1" x14ac:dyDescent="0.3">
      <c r="A140" s="150">
        <v>1</v>
      </c>
      <c r="B140" s="3392" t="s">
        <v>130</v>
      </c>
      <c r="C140" s="150" t="s">
        <v>131</v>
      </c>
      <c r="D140" s="150" t="s">
        <v>132</v>
      </c>
      <c r="E140" s="150" t="s">
        <v>39</v>
      </c>
      <c r="F140" s="151">
        <v>5000000</v>
      </c>
      <c r="G140" s="150" t="s">
        <v>43</v>
      </c>
      <c r="H140" s="150" t="s">
        <v>44</v>
      </c>
      <c r="I140" s="150" t="s">
        <v>36</v>
      </c>
      <c r="J140" s="137">
        <v>1</v>
      </c>
      <c r="K140" t="s">
        <v>133</v>
      </c>
    </row>
    <row r="141" spans="1:11" hidden="1" x14ac:dyDescent="0.3">
      <c r="A141" s="150">
        <v>2</v>
      </c>
      <c r="B141" s="3392" t="s">
        <v>134</v>
      </c>
      <c r="C141" s="150" t="s">
        <v>135</v>
      </c>
      <c r="D141" s="150" t="s">
        <v>136</v>
      </c>
      <c r="E141" s="150" t="s">
        <v>39</v>
      </c>
      <c r="F141" s="151">
        <v>1200000</v>
      </c>
      <c r="G141" s="150" t="s">
        <v>43</v>
      </c>
      <c r="H141" s="150" t="s">
        <v>36</v>
      </c>
      <c r="I141" s="150" t="s">
        <v>36</v>
      </c>
      <c r="J141" s="137">
        <v>1</v>
      </c>
      <c r="K141" t="s">
        <v>32</v>
      </c>
    </row>
    <row r="142" spans="1:11" hidden="1" x14ac:dyDescent="0.3">
      <c r="A142" s="150">
        <v>3</v>
      </c>
      <c r="B142" s="3392" t="s">
        <v>137</v>
      </c>
      <c r="C142" s="150" t="s">
        <v>138</v>
      </c>
      <c r="D142" s="150" t="s">
        <v>139</v>
      </c>
      <c r="E142" s="150" t="s">
        <v>39</v>
      </c>
      <c r="F142" s="151">
        <v>1200000</v>
      </c>
      <c r="G142" s="150" t="s">
        <v>140</v>
      </c>
      <c r="H142" s="150" t="s">
        <v>36</v>
      </c>
      <c r="I142" s="150" t="s">
        <v>36</v>
      </c>
      <c r="J142" s="137">
        <v>1</v>
      </c>
      <c r="K142" t="s">
        <v>133</v>
      </c>
    </row>
    <row r="143" spans="1:11" hidden="1" x14ac:dyDescent="0.3">
      <c r="A143" s="150">
        <v>4</v>
      </c>
      <c r="B143" s="3392" t="s">
        <v>141</v>
      </c>
      <c r="C143" s="150" t="s">
        <v>138</v>
      </c>
      <c r="D143" s="150" t="s">
        <v>142</v>
      </c>
      <c r="E143" s="150" t="s">
        <v>39</v>
      </c>
      <c r="F143" s="151">
        <v>1350000</v>
      </c>
      <c r="G143" s="150" t="s">
        <v>40</v>
      </c>
      <c r="H143" s="150" t="s">
        <v>36</v>
      </c>
      <c r="I143" s="150" t="s">
        <v>36</v>
      </c>
      <c r="J143" s="137">
        <v>1</v>
      </c>
      <c r="K143" t="s">
        <v>133</v>
      </c>
    </row>
    <row r="144" spans="1:11" hidden="1" x14ac:dyDescent="0.3">
      <c r="A144" s="150">
        <v>5</v>
      </c>
      <c r="B144" s="1781" t="s">
        <v>141</v>
      </c>
      <c r="C144" s="150" t="s">
        <v>138</v>
      </c>
      <c r="D144" s="150" t="s">
        <v>143</v>
      </c>
      <c r="E144" s="150" t="s">
        <v>39</v>
      </c>
      <c r="F144" s="151">
        <v>1200000</v>
      </c>
      <c r="G144" s="150" t="s">
        <v>144</v>
      </c>
      <c r="H144" s="150" t="s">
        <v>36</v>
      </c>
      <c r="I144" s="150" t="s">
        <v>36</v>
      </c>
      <c r="J144" s="137">
        <v>1</v>
      </c>
      <c r="K144" t="s">
        <v>133</v>
      </c>
    </row>
    <row r="145" spans="1:11" hidden="1" x14ac:dyDescent="0.3">
      <c r="A145" s="150">
        <v>6</v>
      </c>
      <c r="B145" s="1781" t="s">
        <v>145</v>
      </c>
      <c r="C145" s="150" t="s">
        <v>146</v>
      </c>
      <c r="D145" s="150" t="s">
        <v>147</v>
      </c>
      <c r="E145" s="150" t="s">
        <v>148</v>
      </c>
      <c r="F145" s="151">
        <v>800000</v>
      </c>
      <c r="G145" s="150" t="s">
        <v>43</v>
      </c>
      <c r="H145" s="150" t="s">
        <v>44</v>
      </c>
      <c r="I145" s="150" t="s">
        <v>36</v>
      </c>
      <c r="J145" s="137">
        <v>1</v>
      </c>
      <c r="K145" t="s">
        <v>133</v>
      </c>
    </row>
    <row r="146" spans="1:11" hidden="1" x14ac:dyDescent="0.3">
      <c r="A146" s="150">
        <v>7</v>
      </c>
      <c r="B146" s="1781" t="s">
        <v>145</v>
      </c>
      <c r="C146" s="150" t="s">
        <v>138</v>
      </c>
      <c r="D146" s="150" t="s">
        <v>149</v>
      </c>
      <c r="E146" s="150" t="s">
        <v>39</v>
      </c>
      <c r="F146" s="151">
        <v>1400000</v>
      </c>
      <c r="G146" s="150" t="s">
        <v>144</v>
      </c>
      <c r="H146" s="150" t="s">
        <v>36</v>
      </c>
      <c r="I146" s="150" t="s">
        <v>36</v>
      </c>
      <c r="J146" s="137">
        <v>1</v>
      </c>
      <c r="K146" t="s">
        <v>133</v>
      </c>
    </row>
    <row r="147" spans="1:11" hidden="1" x14ac:dyDescent="0.3">
      <c r="A147" s="150">
        <v>8</v>
      </c>
      <c r="B147" s="1781" t="s">
        <v>150</v>
      </c>
      <c r="C147" s="150" t="s">
        <v>138</v>
      </c>
      <c r="D147" s="150" t="s">
        <v>151</v>
      </c>
      <c r="E147" s="150" t="s">
        <v>39</v>
      </c>
      <c r="F147" s="151">
        <v>850000</v>
      </c>
      <c r="G147" s="150" t="s">
        <v>43</v>
      </c>
      <c r="H147" s="150" t="s">
        <v>36</v>
      </c>
      <c r="I147" s="150" t="s">
        <v>36</v>
      </c>
      <c r="J147" s="137">
        <v>1</v>
      </c>
      <c r="K147" t="s">
        <v>133</v>
      </c>
    </row>
    <row r="148" spans="1:11" hidden="1" x14ac:dyDescent="0.3">
      <c r="A148" s="137">
        <v>9</v>
      </c>
      <c r="B148" s="1781" t="s">
        <v>152</v>
      </c>
      <c r="C148" s="137" t="s">
        <v>138</v>
      </c>
      <c r="D148" s="137" t="s">
        <v>153</v>
      </c>
      <c r="E148" s="137" t="s">
        <v>39</v>
      </c>
      <c r="F148" s="151">
        <v>1200000</v>
      </c>
      <c r="G148" s="137" t="s">
        <v>144</v>
      </c>
      <c r="H148" s="137" t="s">
        <v>36</v>
      </c>
      <c r="I148" s="137" t="s">
        <v>36</v>
      </c>
      <c r="J148" s="137">
        <v>1</v>
      </c>
      <c r="K148" t="s">
        <v>133</v>
      </c>
    </row>
    <row r="149" spans="1:11" hidden="1" x14ac:dyDescent="0.3">
      <c r="A149" s="137">
        <v>10</v>
      </c>
      <c r="B149" s="1781" t="s">
        <v>154</v>
      </c>
      <c r="C149" s="137" t="s">
        <v>138</v>
      </c>
      <c r="D149" s="137" t="s">
        <v>155</v>
      </c>
      <c r="E149" s="137" t="s">
        <v>39</v>
      </c>
      <c r="F149" s="151">
        <v>720000</v>
      </c>
      <c r="G149" s="137" t="s">
        <v>43</v>
      </c>
      <c r="H149" s="137" t="s">
        <v>36</v>
      </c>
      <c r="I149" s="137" t="s">
        <v>36</v>
      </c>
      <c r="J149" s="137">
        <v>1</v>
      </c>
      <c r="K149" t="s">
        <v>133</v>
      </c>
    </row>
    <row r="150" spans="1:11" hidden="1" x14ac:dyDescent="0.3">
      <c r="A150" s="137">
        <v>11</v>
      </c>
      <c r="B150" s="1781" t="s">
        <v>156</v>
      </c>
      <c r="C150" s="137" t="s">
        <v>138</v>
      </c>
      <c r="D150" s="137" t="s">
        <v>157</v>
      </c>
      <c r="E150" s="137" t="s">
        <v>39</v>
      </c>
      <c r="F150" s="151">
        <v>750000</v>
      </c>
      <c r="G150" s="137" t="s">
        <v>43</v>
      </c>
      <c r="H150" s="137" t="s">
        <v>36</v>
      </c>
      <c r="I150" s="137" t="s">
        <v>36</v>
      </c>
      <c r="J150" s="137">
        <v>1</v>
      </c>
      <c r="K150" t="s">
        <v>133</v>
      </c>
    </row>
    <row r="151" spans="1:11" hidden="1" x14ac:dyDescent="0.3">
      <c r="A151" s="137">
        <v>12</v>
      </c>
      <c r="B151" s="1781" t="s">
        <v>158</v>
      </c>
      <c r="C151" s="137" t="s">
        <v>138</v>
      </c>
      <c r="D151" s="137" t="s">
        <v>159</v>
      </c>
      <c r="E151" s="137" t="s">
        <v>39</v>
      </c>
      <c r="F151" s="151">
        <v>1330000</v>
      </c>
      <c r="G151" s="137" t="s">
        <v>43</v>
      </c>
      <c r="H151" s="137" t="s">
        <v>36</v>
      </c>
      <c r="I151" s="137" t="s">
        <v>36</v>
      </c>
      <c r="J151" s="137">
        <v>1</v>
      </c>
      <c r="K151" t="s">
        <v>133</v>
      </c>
    </row>
    <row r="152" spans="1:11" hidden="1" x14ac:dyDescent="0.3">
      <c r="A152" s="137">
        <v>13</v>
      </c>
      <c r="B152" s="1781" t="s">
        <v>160</v>
      </c>
      <c r="C152" s="137" t="s">
        <v>146</v>
      </c>
      <c r="D152" s="137" t="s">
        <v>161</v>
      </c>
      <c r="E152" s="137" t="s">
        <v>148</v>
      </c>
      <c r="F152" s="151">
        <v>900000</v>
      </c>
      <c r="G152" s="137" t="s">
        <v>43</v>
      </c>
      <c r="H152" s="137" t="s">
        <v>36</v>
      </c>
      <c r="I152" s="137" t="s">
        <v>36</v>
      </c>
      <c r="J152" s="137">
        <v>1</v>
      </c>
      <c r="K152" t="s">
        <v>133</v>
      </c>
    </row>
    <row r="153" spans="1:11" hidden="1" x14ac:dyDescent="0.3">
      <c r="A153" s="137">
        <v>14</v>
      </c>
      <c r="B153" s="1781" t="s">
        <v>158</v>
      </c>
      <c r="C153" s="137" t="s">
        <v>138</v>
      </c>
      <c r="D153" s="137" t="s">
        <v>162</v>
      </c>
      <c r="E153" s="137" t="s">
        <v>39</v>
      </c>
      <c r="F153" s="151">
        <v>1030000</v>
      </c>
      <c r="G153" s="137" t="s">
        <v>163</v>
      </c>
      <c r="H153" s="137" t="s">
        <v>36</v>
      </c>
      <c r="I153" s="137" t="s">
        <v>36</v>
      </c>
      <c r="J153" s="137">
        <v>1</v>
      </c>
      <c r="K153" t="s">
        <v>133</v>
      </c>
    </row>
    <row r="154" spans="1:11" hidden="1" x14ac:dyDescent="0.3">
      <c r="A154" s="137">
        <v>15</v>
      </c>
      <c r="B154" s="1781" t="s">
        <v>158</v>
      </c>
      <c r="C154" s="137" t="s">
        <v>138</v>
      </c>
      <c r="D154" s="137" t="s">
        <v>164</v>
      </c>
      <c r="E154" s="137" t="s">
        <v>39</v>
      </c>
      <c r="F154" s="151">
        <v>1200000</v>
      </c>
      <c r="G154" s="137" t="s">
        <v>43</v>
      </c>
      <c r="H154" s="137" t="s">
        <v>44</v>
      </c>
      <c r="I154" s="137" t="s">
        <v>36</v>
      </c>
      <c r="J154" s="137">
        <v>1</v>
      </c>
      <c r="K154" t="s">
        <v>133</v>
      </c>
    </row>
    <row r="155" spans="1:11" hidden="1" x14ac:dyDescent="0.3">
      <c r="A155" s="137">
        <v>16</v>
      </c>
      <c r="B155" s="1781" t="s">
        <v>158</v>
      </c>
      <c r="C155" s="137" t="s">
        <v>138</v>
      </c>
      <c r="D155" s="137" t="s">
        <v>165</v>
      </c>
      <c r="E155" s="137" t="s">
        <v>39</v>
      </c>
      <c r="F155" s="151">
        <v>1100000</v>
      </c>
      <c r="G155" s="137" t="s">
        <v>43</v>
      </c>
      <c r="H155" s="137" t="s">
        <v>44</v>
      </c>
      <c r="I155" s="137" t="s">
        <v>36</v>
      </c>
      <c r="J155" s="137">
        <v>1</v>
      </c>
      <c r="K155" t="s">
        <v>133</v>
      </c>
    </row>
    <row r="156" spans="1:11" hidden="1" x14ac:dyDescent="0.3">
      <c r="A156" s="137">
        <v>17</v>
      </c>
      <c r="B156" s="1781"/>
      <c r="C156" s="137"/>
      <c r="D156" s="137"/>
      <c r="E156" s="137"/>
      <c r="F156" s="138"/>
      <c r="G156" s="137"/>
      <c r="H156" s="137"/>
      <c r="I156" s="137"/>
      <c r="J156" s="137"/>
    </row>
    <row r="157" spans="1:11" hidden="1" x14ac:dyDescent="0.3">
      <c r="A157" s="137">
        <v>18</v>
      </c>
      <c r="B157" s="1781"/>
      <c r="C157" s="137"/>
      <c r="D157" s="137"/>
      <c r="E157" s="137"/>
      <c r="F157" s="138"/>
      <c r="G157" s="137"/>
      <c r="H157" s="137"/>
      <c r="I157" s="137"/>
      <c r="J157" s="137"/>
    </row>
    <row r="158" spans="1:11" hidden="1" x14ac:dyDescent="0.3">
      <c r="A158" s="137">
        <v>19</v>
      </c>
      <c r="B158" s="1781"/>
      <c r="C158" s="137"/>
      <c r="D158" s="137"/>
      <c r="E158" s="137"/>
      <c r="F158" s="138"/>
      <c r="G158" s="137"/>
      <c r="H158" s="137"/>
      <c r="I158" s="137"/>
      <c r="J158" s="137"/>
    </row>
    <row r="159" spans="1:11" hidden="1" x14ac:dyDescent="0.3">
      <c r="A159" s="137">
        <v>20</v>
      </c>
      <c r="B159" s="1781"/>
      <c r="C159" s="137"/>
      <c r="D159" s="137"/>
      <c r="E159" s="137"/>
      <c r="F159" s="138"/>
      <c r="G159" s="137"/>
      <c r="H159" s="137"/>
      <c r="I159" s="137"/>
      <c r="J159" s="137"/>
    </row>
    <row r="160" spans="1:11" ht="21" hidden="1" x14ac:dyDescent="0.4">
      <c r="A160" s="137"/>
      <c r="B160" s="1781"/>
      <c r="C160" s="137"/>
      <c r="D160" s="137"/>
      <c r="E160" s="137"/>
      <c r="F160" s="138"/>
      <c r="G160" s="137"/>
      <c r="H160" s="137"/>
      <c r="I160" s="137"/>
      <c r="J160" s="139">
        <f>SUM(J140:J159)</f>
        <v>16</v>
      </c>
    </row>
    <row r="161" spans="1:11" hidden="1" x14ac:dyDescent="0.3">
      <c r="A161" s="3473" t="s">
        <v>33</v>
      </c>
      <c r="B161" s="3473"/>
      <c r="C161" s="3473"/>
      <c r="D161" s="3473"/>
      <c r="E161" s="3473"/>
      <c r="F161" s="3473"/>
      <c r="G161" s="3473"/>
      <c r="H161" s="3473"/>
      <c r="I161" s="3473"/>
      <c r="J161" s="3473"/>
    </row>
    <row r="162" spans="1:11" hidden="1" x14ac:dyDescent="0.3">
      <c r="A162" s="137" t="s">
        <v>3</v>
      </c>
      <c r="B162" s="1781" t="s">
        <v>4</v>
      </c>
      <c r="C162" s="137" t="s">
        <v>5</v>
      </c>
      <c r="D162" s="137" t="s">
        <v>6</v>
      </c>
      <c r="E162" s="137" t="s">
        <v>7</v>
      </c>
      <c r="F162" s="137" t="s">
        <v>8</v>
      </c>
      <c r="G162" s="137" t="s">
        <v>9</v>
      </c>
      <c r="H162" s="137" t="s">
        <v>10</v>
      </c>
      <c r="I162" s="137" t="s">
        <v>11</v>
      </c>
      <c r="J162" s="137" t="s">
        <v>12</v>
      </c>
    </row>
    <row r="163" spans="1:11" hidden="1" x14ac:dyDescent="0.3">
      <c r="A163" s="152">
        <v>1</v>
      </c>
      <c r="B163" s="3393" t="s">
        <v>166</v>
      </c>
      <c r="C163" s="152" t="s">
        <v>37</v>
      </c>
      <c r="D163" s="152" t="s">
        <v>167</v>
      </c>
      <c r="E163" s="152" t="s">
        <v>125</v>
      </c>
      <c r="F163" s="152">
        <v>275000000</v>
      </c>
      <c r="G163" s="152" t="s">
        <v>168</v>
      </c>
      <c r="H163" s="152" t="s">
        <v>36</v>
      </c>
      <c r="I163" s="152" t="s">
        <v>36</v>
      </c>
      <c r="J163" s="200">
        <v>1</v>
      </c>
      <c r="K163" s="201" t="s">
        <v>27</v>
      </c>
    </row>
    <row r="164" spans="1:11" hidden="1" x14ac:dyDescent="0.3">
      <c r="A164" s="152">
        <v>2</v>
      </c>
      <c r="B164" s="3393" t="s">
        <v>166</v>
      </c>
      <c r="C164" s="152" t="s">
        <v>37</v>
      </c>
      <c r="D164" s="152" t="s">
        <v>169</v>
      </c>
      <c r="E164" s="152" t="s">
        <v>125</v>
      </c>
      <c r="F164" s="152">
        <v>260000000</v>
      </c>
      <c r="G164" s="152" t="s">
        <v>168</v>
      </c>
      <c r="H164" s="152" t="s">
        <v>36</v>
      </c>
      <c r="I164" s="152" t="s">
        <v>36</v>
      </c>
      <c r="J164" s="200">
        <v>1</v>
      </c>
      <c r="K164" s="201" t="s">
        <v>27</v>
      </c>
    </row>
    <row r="165" spans="1:11" hidden="1" x14ac:dyDescent="0.3">
      <c r="A165" s="152">
        <v>3</v>
      </c>
      <c r="B165" s="3393" t="s">
        <v>166</v>
      </c>
      <c r="C165" s="152" t="s">
        <v>37</v>
      </c>
      <c r="D165" s="152" t="s">
        <v>170</v>
      </c>
      <c r="E165" s="152" t="s">
        <v>125</v>
      </c>
      <c r="F165" s="152">
        <v>260000000</v>
      </c>
      <c r="G165" s="152" t="s">
        <v>168</v>
      </c>
      <c r="H165" s="152" t="s">
        <v>36</v>
      </c>
      <c r="I165" s="152" t="s">
        <v>36</v>
      </c>
      <c r="J165" s="200">
        <v>1</v>
      </c>
      <c r="K165" s="201" t="s">
        <v>32</v>
      </c>
    </row>
    <row r="166" spans="1:11" hidden="1" x14ac:dyDescent="0.3">
      <c r="A166" s="152">
        <v>4</v>
      </c>
      <c r="B166" s="3393" t="s">
        <v>166</v>
      </c>
      <c r="C166" s="152" t="s">
        <v>37</v>
      </c>
      <c r="D166" s="152" t="s">
        <v>171</v>
      </c>
      <c r="E166" s="152" t="s">
        <v>125</v>
      </c>
      <c r="F166" s="152">
        <v>260000000</v>
      </c>
      <c r="G166" s="152" t="s">
        <v>168</v>
      </c>
      <c r="H166" s="152" t="s">
        <v>36</v>
      </c>
      <c r="I166" s="152" t="s">
        <v>36</v>
      </c>
      <c r="J166" s="200">
        <v>1</v>
      </c>
      <c r="K166" s="201" t="s">
        <v>32</v>
      </c>
    </row>
    <row r="167" spans="1:11" hidden="1" x14ac:dyDescent="0.3">
      <c r="A167" s="152">
        <v>5</v>
      </c>
      <c r="B167" s="3393" t="s">
        <v>172</v>
      </c>
      <c r="C167" s="152" t="s">
        <v>138</v>
      </c>
      <c r="D167" s="152" t="s">
        <v>173</v>
      </c>
      <c r="E167" s="152" t="s">
        <v>78</v>
      </c>
      <c r="F167" s="152">
        <v>200000000</v>
      </c>
      <c r="G167" s="152" t="s">
        <v>43</v>
      </c>
      <c r="H167" s="152" t="s">
        <v>44</v>
      </c>
      <c r="I167" s="152" t="s">
        <v>36</v>
      </c>
      <c r="J167" s="200">
        <v>1</v>
      </c>
      <c r="K167" s="11" t="s">
        <v>133</v>
      </c>
    </row>
    <row r="168" spans="1:11" hidden="1" x14ac:dyDescent="0.3">
      <c r="A168" s="152">
        <v>6</v>
      </c>
      <c r="B168" s="549" t="s">
        <v>172</v>
      </c>
      <c r="C168" s="152" t="s">
        <v>138</v>
      </c>
      <c r="D168" s="152" t="s">
        <v>174</v>
      </c>
      <c r="E168" s="152" t="s">
        <v>78</v>
      </c>
      <c r="F168" s="152">
        <v>160000000</v>
      </c>
      <c r="G168" s="152" t="s">
        <v>43</v>
      </c>
      <c r="H168" s="152" t="s">
        <v>44</v>
      </c>
      <c r="I168" s="152" t="s">
        <v>36</v>
      </c>
      <c r="J168" s="140">
        <v>1</v>
      </c>
      <c r="K168" t="s">
        <v>133</v>
      </c>
    </row>
    <row r="169" spans="1:11" hidden="1" x14ac:dyDescent="0.3">
      <c r="A169" s="152">
        <v>7</v>
      </c>
      <c r="B169" s="549" t="s">
        <v>172</v>
      </c>
      <c r="C169" s="152" t="s">
        <v>175</v>
      </c>
      <c r="D169" s="152" t="s">
        <v>176</v>
      </c>
      <c r="E169" s="152" t="s">
        <v>78</v>
      </c>
      <c r="F169" s="152">
        <v>100000000</v>
      </c>
      <c r="G169" s="152" t="s">
        <v>43</v>
      </c>
      <c r="H169" s="152" t="s">
        <v>44</v>
      </c>
      <c r="I169" s="152" t="s">
        <v>36</v>
      </c>
      <c r="J169" s="140">
        <v>1</v>
      </c>
      <c r="K169" t="s">
        <v>133</v>
      </c>
    </row>
    <row r="170" spans="1:11" hidden="1" x14ac:dyDescent="0.3">
      <c r="A170" s="152">
        <v>8</v>
      </c>
      <c r="B170" s="549" t="s">
        <v>177</v>
      </c>
      <c r="C170" s="152" t="s">
        <v>135</v>
      </c>
      <c r="D170" s="152" t="s">
        <v>178</v>
      </c>
      <c r="E170" s="152" t="s">
        <v>78</v>
      </c>
      <c r="F170" s="152">
        <v>230000000</v>
      </c>
      <c r="G170" s="152" t="s">
        <v>43</v>
      </c>
      <c r="H170" s="152" t="s">
        <v>44</v>
      </c>
      <c r="I170" s="152" t="s">
        <v>36</v>
      </c>
      <c r="J170" s="140">
        <v>1</v>
      </c>
      <c r="K170" t="s">
        <v>133</v>
      </c>
    </row>
    <row r="171" spans="1:11" hidden="1" x14ac:dyDescent="0.3">
      <c r="A171" s="152">
        <v>9</v>
      </c>
      <c r="B171" s="549" t="s">
        <v>179</v>
      </c>
      <c r="C171" s="152" t="s">
        <v>138</v>
      </c>
      <c r="D171" s="152" t="s">
        <v>139</v>
      </c>
      <c r="E171" s="152" t="s">
        <v>180</v>
      </c>
      <c r="F171" s="152">
        <v>300000000</v>
      </c>
      <c r="G171" s="152" t="s">
        <v>140</v>
      </c>
      <c r="H171" s="152" t="s">
        <v>44</v>
      </c>
      <c r="I171" s="152" t="s">
        <v>36</v>
      </c>
      <c r="J171" s="140">
        <v>1</v>
      </c>
      <c r="K171" t="s">
        <v>181</v>
      </c>
    </row>
    <row r="172" spans="1:11" hidden="1" x14ac:dyDescent="0.3">
      <c r="A172" s="154">
        <v>10</v>
      </c>
      <c r="B172" s="597" t="s">
        <v>182</v>
      </c>
      <c r="C172" s="154" t="s">
        <v>138</v>
      </c>
      <c r="D172" s="154" t="s">
        <v>183</v>
      </c>
      <c r="E172" s="154" t="s">
        <v>180</v>
      </c>
      <c r="F172" s="154">
        <v>260000000</v>
      </c>
      <c r="G172" s="154" t="s">
        <v>43</v>
      </c>
      <c r="H172" s="154" t="s">
        <v>36</v>
      </c>
      <c r="I172" s="154" t="s">
        <v>36</v>
      </c>
      <c r="J172" s="143">
        <v>1</v>
      </c>
      <c r="K172" t="s">
        <v>181</v>
      </c>
    </row>
    <row r="173" spans="1:11" s="11" customFormat="1" hidden="1" x14ac:dyDescent="0.3">
      <c r="A173" s="156">
        <v>11</v>
      </c>
      <c r="B173" s="595" t="s">
        <v>184</v>
      </c>
      <c r="C173" s="156" t="s">
        <v>185</v>
      </c>
      <c r="D173" s="156" t="s">
        <v>151</v>
      </c>
      <c r="E173" s="156" t="s">
        <v>39</v>
      </c>
      <c r="F173" s="156"/>
      <c r="G173" s="156" t="s">
        <v>43</v>
      </c>
      <c r="H173" s="156" t="s">
        <v>36</v>
      </c>
      <c r="I173" s="156" t="s">
        <v>36</v>
      </c>
      <c r="J173" s="144">
        <v>1</v>
      </c>
      <c r="K173" s="11" t="s">
        <v>181</v>
      </c>
    </row>
    <row r="174" spans="1:11" ht="20.399999999999999" hidden="1" x14ac:dyDescent="0.35">
      <c r="A174" s="141"/>
      <c r="B174" s="886"/>
      <c r="C174" s="141"/>
      <c r="D174" s="141"/>
      <c r="E174" s="141"/>
      <c r="F174" s="141"/>
      <c r="G174" s="141"/>
      <c r="H174" s="141"/>
      <c r="I174" s="141"/>
      <c r="J174" s="142">
        <f>SUM(J163:J173)</f>
        <v>11</v>
      </c>
    </row>
    <row r="175" spans="1:11" hidden="1" x14ac:dyDescent="0.3"/>
    <row r="176" spans="1:11" ht="23.4" hidden="1" x14ac:dyDescent="0.3">
      <c r="A176" s="3483" t="s">
        <v>47</v>
      </c>
      <c r="B176" s="3483"/>
      <c r="C176" s="3483"/>
      <c r="D176" s="3483"/>
      <c r="E176" s="3483"/>
      <c r="F176" s="3483"/>
      <c r="G176" s="3483"/>
      <c r="H176" s="3483"/>
      <c r="I176" s="3483"/>
      <c r="J176" s="3483"/>
    </row>
    <row r="177" spans="1:11" ht="15.6" hidden="1" x14ac:dyDescent="0.3">
      <c r="A177" s="3461" t="s">
        <v>2</v>
      </c>
      <c r="B177" s="3461"/>
      <c r="C177" s="3461"/>
      <c r="D177" s="3461"/>
      <c r="E177" s="3461"/>
      <c r="F177" s="3461"/>
      <c r="G177" s="3461"/>
      <c r="H177" s="3461"/>
      <c r="I177" s="3461"/>
      <c r="J177" s="3461"/>
    </row>
    <row r="178" spans="1:11" hidden="1" x14ac:dyDescent="0.3">
      <c r="A178" s="137" t="s">
        <v>3</v>
      </c>
      <c r="B178" s="1781" t="s">
        <v>4</v>
      </c>
      <c r="C178" s="137" t="s">
        <v>5</v>
      </c>
      <c r="D178" s="137" t="s">
        <v>6</v>
      </c>
      <c r="E178" s="137" t="s">
        <v>7</v>
      </c>
      <c r="F178" s="137" t="s">
        <v>8</v>
      </c>
      <c r="G178" s="137" t="s">
        <v>9</v>
      </c>
      <c r="H178" s="137" t="s">
        <v>10</v>
      </c>
      <c r="I178" s="137" t="s">
        <v>11</v>
      </c>
      <c r="J178" s="137" t="s">
        <v>12</v>
      </c>
    </row>
    <row r="179" spans="1:11" hidden="1" x14ac:dyDescent="0.3">
      <c r="A179" s="150">
        <v>1</v>
      </c>
      <c r="B179" s="3392" t="s">
        <v>186</v>
      </c>
      <c r="C179" s="150" t="s">
        <v>138</v>
      </c>
      <c r="D179" s="150" t="s">
        <v>187</v>
      </c>
      <c r="E179" s="150" t="s">
        <v>125</v>
      </c>
      <c r="F179" s="151">
        <v>1200000</v>
      </c>
      <c r="G179" s="150" t="s">
        <v>188</v>
      </c>
      <c r="H179" s="150" t="s">
        <v>36</v>
      </c>
      <c r="I179" s="150" t="s">
        <v>36</v>
      </c>
      <c r="J179" s="272">
        <v>1</v>
      </c>
    </row>
    <row r="180" spans="1:11" hidden="1" x14ac:dyDescent="0.3">
      <c r="A180" s="150">
        <v>2</v>
      </c>
      <c r="B180" s="3392" t="s">
        <v>166</v>
      </c>
      <c r="C180" s="150" t="s">
        <v>138</v>
      </c>
      <c r="D180" s="150" t="s">
        <v>189</v>
      </c>
      <c r="E180" s="150" t="s">
        <v>125</v>
      </c>
      <c r="F180" s="150">
        <v>1200000</v>
      </c>
      <c r="G180" s="150" t="s">
        <v>108</v>
      </c>
      <c r="H180" s="150" t="s">
        <v>36</v>
      </c>
      <c r="I180" s="150" t="s">
        <v>36</v>
      </c>
      <c r="J180" s="272">
        <v>1</v>
      </c>
    </row>
    <row r="181" spans="1:11" hidden="1" x14ac:dyDescent="0.3">
      <c r="A181" s="150">
        <v>3</v>
      </c>
      <c r="B181" s="3392" t="s">
        <v>130</v>
      </c>
      <c r="C181" s="150" t="s">
        <v>138</v>
      </c>
      <c r="D181" s="150" t="s">
        <v>190</v>
      </c>
      <c r="E181" s="150" t="s">
        <v>125</v>
      </c>
      <c r="F181" s="150">
        <v>1200000</v>
      </c>
      <c r="G181" s="150" t="s">
        <v>168</v>
      </c>
      <c r="H181" s="150" t="s">
        <v>36</v>
      </c>
      <c r="I181" s="150" t="s">
        <v>36</v>
      </c>
      <c r="J181" s="272">
        <v>1</v>
      </c>
      <c r="K181" t="s">
        <v>133</v>
      </c>
    </row>
    <row r="182" spans="1:11" hidden="1" x14ac:dyDescent="0.3">
      <c r="A182" s="150">
        <v>4</v>
      </c>
      <c r="B182" s="1781" t="s">
        <v>191</v>
      </c>
      <c r="C182" s="150" t="s">
        <v>138</v>
      </c>
      <c r="D182" s="150" t="s">
        <v>192</v>
      </c>
      <c r="E182" s="150" t="s">
        <v>39</v>
      </c>
      <c r="F182" s="150">
        <v>1320000</v>
      </c>
      <c r="G182" s="150" t="s">
        <v>108</v>
      </c>
      <c r="H182" s="150" t="s">
        <v>36</v>
      </c>
      <c r="I182" s="150" t="s">
        <v>36</v>
      </c>
      <c r="J182" s="272">
        <v>1</v>
      </c>
      <c r="K182" t="s">
        <v>133</v>
      </c>
    </row>
    <row r="183" spans="1:11" hidden="1" x14ac:dyDescent="0.3">
      <c r="A183" s="150">
        <v>5</v>
      </c>
      <c r="B183" s="1781" t="s">
        <v>172</v>
      </c>
      <c r="C183" s="150" t="s">
        <v>138</v>
      </c>
      <c r="D183" s="150" t="s">
        <v>193</v>
      </c>
      <c r="E183" s="150" t="s">
        <v>194</v>
      </c>
      <c r="F183" s="150">
        <v>2000000</v>
      </c>
      <c r="G183" s="150" t="s">
        <v>43</v>
      </c>
      <c r="H183" s="150" t="s">
        <v>36</v>
      </c>
      <c r="I183" s="150" t="s">
        <v>36</v>
      </c>
      <c r="J183" s="272">
        <v>1</v>
      </c>
      <c r="K183" t="s">
        <v>32</v>
      </c>
    </row>
    <row r="184" spans="1:11" hidden="1" x14ac:dyDescent="0.3">
      <c r="A184" s="150">
        <v>6</v>
      </c>
      <c r="B184" s="1781" t="s">
        <v>195</v>
      </c>
      <c r="C184" s="150" t="s">
        <v>138</v>
      </c>
      <c r="D184" s="150" t="s">
        <v>196</v>
      </c>
      <c r="E184" s="150" t="s">
        <v>39</v>
      </c>
      <c r="F184" s="150">
        <v>750000</v>
      </c>
      <c r="G184" s="150" t="s">
        <v>197</v>
      </c>
      <c r="H184" s="150" t="s">
        <v>36</v>
      </c>
      <c r="I184" s="150" t="s">
        <v>36</v>
      </c>
      <c r="J184" s="272">
        <v>1</v>
      </c>
      <c r="K184" t="s">
        <v>133</v>
      </c>
    </row>
    <row r="185" spans="1:11" hidden="1" x14ac:dyDescent="0.3">
      <c r="A185" s="137">
        <v>7</v>
      </c>
      <c r="B185" s="1781" t="s">
        <v>198</v>
      </c>
      <c r="C185" s="150" t="s">
        <v>138</v>
      </c>
      <c r="D185" s="150" t="s">
        <v>199</v>
      </c>
      <c r="E185" s="150" t="s">
        <v>39</v>
      </c>
      <c r="F185" s="150">
        <v>1100000</v>
      </c>
      <c r="G185" s="150" t="s">
        <v>200</v>
      </c>
      <c r="H185" s="150" t="s">
        <v>36</v>
      </c>
      <c r="I185" s="150" t="s">
        <v>36</v>
      </c>
      <c r="J185" s="272">
        <v>1</v>
      </c>
      <c r="K185" t="s">
        <v>133</v>
      </c>
    </row>
    <row r="186" spans="1:11" hidden="1" x14ac:dyDescent="0.3">
      <c r="A186" s="137">
        <v>8</v>
      </c>
      <c r="B186" s="1781" t="s">
        <v>184</v>
      </c>
      <c r="C186" s="150" t="s">
        <v>138</v>
      </c>
      <c r="D186" s="150" t="s">
        <v>201</v>
      </c>
      <c r="E186" s="150" t="s">
        <v>39</v>
      </c>
      <c r="F186" s="150">
        <v>1050000</v>
      </c>
      <c r="G186" s="150" t="s">
        <v>43</v>
      </c>
      <c r="H186" s="150" t="s">
        <v>36</v>
      </c>
      <c r="I186" s="150" t="s">
        <v>36</v>
      </c>
      <c r="J186" s="272">
        <v>1</v>
      </c>
      <c r="K186" t="s">
        <v>133</v>
      </c>
    </row>
    <row r="187" spans="1:11" hidden="1" x14ac:dyDescent="0.3">
      <c r="A187" s="137">
        <v>9</v>
      </c>
      <c r="B187" s="1781" t="s">
        <v>184</v>
      </c>
      <c r="C187" s="137" t="s">
        <v>138</v>
      </c>
      <c r="D187" s="137" t="s">
        <v>202</v>
      </c>
      <c r="E187" s="137" t="s">
        <v>39</v>
      </c>
      <c r="F187" s="150">
        <v>870000</v>
      </c>
      <c r="G187" s="137" t="s">
        <v>203</v>
      </c>
      <c r="H187" s="137" t="s">
        <v>36</v>
      </c>
      <c r="I187" s="137" t="s">
        <v>36</v>
      </c>
      <c r="J187" s="137">
        <v>1</v>
      </c>
      <c r="K187" t="s">
        <v>133</v>
      </c>
    </row>
    <row r="188" spans="1:11" hidden="1" x14ac:dyDescent="0.3">
      <c r="A188" s="137">
        <v>10</v>
      </c>
      <c r="B188" s="1781"/>
      <c r="C188" s="137"/>
      <c r="D188" s="137"/>
      <c r="E188" s="137"/>
      <c r="F188" s="137"/>
      <c r="G188" s="137"/>
      <c r="H188" s="137"/>
      <c r="I188" s="137"/>
      <c r="J188" s="137"/>
    </row>
    <row r="189" spans="1:11" hidden="1" x14ac:dyDescent="0.3">
      <c r="A189" s="137">
        <v>11</v>
      </c>
      <c r="B189" s="1781"/>
      <c r="C189" s="137"/>
      <c r="D189" s="137"/>
      <c r="E189" s="137"/>
      <c r="F189" s="137"/>
      <c r="G189" s="137"/>
      <c r="H189" s="137"/>
      <c r="I189" s="137"/>
      <c r="J189" s="137"/>
    </row>
    <row r="190" spans="1:11" hidden="1" x14ac:dyDescent="0.3">
      <c r="A190" s="137">
        <v>12</v>
      </c>
      <c r="B190" s="1781"/>
      <c r="C190" s="137"/>
      <c r="D190" s="137"/>
      <c r="E190" s="137"/>
      <c r="F190" s="137"/>
      <c r="G190" s="137"/>
      <c r="H190" s="137"/>
      <c r="I190" s="137"/>
      <c r="J190" s="137"/>
    </row>
    <row r="191" spans="1:11" hidden="1" x14ac:dyDescent="0.3">
      <c r="A191" s="137">
        <v>13</v>
      </c>
      <c r="B191" s="1781"/>
      <c r="C191" s="137"/>
      <c r="D191" s="137"/>
      <c r="E191" s="137"/>
      <c r="F191" s="137"/>
      <c r="G191" s="137"/>
      <c r="H191" s="137"/>
      <c r="I191" s="137"/>
      <c r="J191" s="137"/>
    </row>
    <row r="192" spans="1:11" hidden="1" x14ac:dyDescent="0.3">
      <c r="A192" s="137">
        <v>14</v>
      </c>
      <c r="B192" s="1781"/>
      <c r="C192" s="137"/>
      <c r="D192" s="137"/>
      <c r="E192" s="137"/>
      <c r="F192" s="137"/>
      <c r="G192" s="137"/>
      <c r="H192" s="137"/>
      <c r="I192" s="137"/>
      <c r="J192" s="137"/>
    </row>
    <row r="193" spans="1:11" hidden="1" x14ac:dyDescent="0.3">
      <c r="A193" s="137">
        <v>15</v>
      </c>
      <c r="B193" s="1781"/>
      <c r="C193" s="137"/>
      <c r="D193" s="137"/>
      <c r="E193" s="137"/>
      <c r="F193" s="137"/>
      <c r="G193" s="137"/>
      <c r="H193" s="137"/>
      <c r="I193" s="137"/>
      <c r="J193" s="137"/>
    </row>
    <row r="194" spans="1:11" hidden="1" x14ac:dyDescent="0.3">
      <c r="A194" s="137">
        <v>16</v>
      </c>
      <c r="B194" s="1781"/>
      <c r="C194" s="137"/>
      <c r="D194" s="137"/>
      <c r="E194" s="137"/>
      <c r="F194" s="137"/>
      <c r="G194" s="137"/>
      <c r="H194" s="137"/>
      <c r="I194" s="137"/>
      <c r="J194" s="137"/>
    </row>
    <row r="195" spans="1:11" hidden="1" x14ac:dyDescent="0.3">
      <c r="A195" s="137">
        <v>17</v>
      </c>
      <c r="B195" s="1781"/>
      <c r="C195" s="137"/>
      <c r="D195" s="137"/>
      <c r="E195" s="137"/>
      <c r="F195" s="137"/>
      <c r="G195" s="137"/>
      <c r="H195" s="137"/>
      <c r="I195" s="137"/>
      <c r="J195" s="137"/>
    </row>
    <row r="196" spans="1:11" hidden="1" x14ac:dyDescent="0.3">
      <c r="A196" s="137">
        <v>18</v>
      </c>
      <c r="B196" s="1781"/>
      <c r="C196" s="137"/>
      <c r="D196" s="137"/>
      <c r="E196" s="137"/>
      <c r="F196" s="137"/>
      <c r="G196" s="137"/>
      <c r="H196" s="137"/>
      <c r="I196" s="137"/>
      <c r="J196" s="137"/>
    </row>
    <row r="197" spans="1:11" hidden="1" x14ac:dyDescent="0.3">
      <c r="A197" s="137">
        <v>19</v>
      </c>
      <c r="B197" s="1781"/>
      <c r="C197" s="137"/>
      <c r="D197" s="137"/>
      <c r="E197" s="137"/>
      <c r="F197" s="137"/>
      <c r="G197" s="137"/>
      <c r="H197" s="137"/>
      <c r="I197" s="137"/>
      <c r="J197" s="137"/>
    </row>
    <row r="198" spans="1:11" hidden="1" x14ac:dyDescent="0.3">
      <c r="A198" s="137">
        <v>20</v>
      </c>
      <c r="B198" s="1781"/>
      <c r="C198" s="137"/>
      <c r="D198" s="137"/>
      <c r="E198" s="137"/>
      <c r="F198" s="137"/>
      <c r="G198" s="137"/>
      <c r="H198" s="137"/>
      <c r="I198" s="137"/>
      <c r="J198" s="137"/>
    </row>
    <row r="199" spans="1:11" ht="21" hidden="1" x14ac:dyDescent="0.4">
      <c r="A199" s="137"/>
      <c r="B199" s="1781"/>
      <c r="C199" s="137"/>
      <c r="D199" s="137"/>
      <c r="E199" s="137"/>
      <c r="F199" s="137"/>
      <c r="G199" s="137"/>
      <c r="H199" s="137"/>
      <c r="I199" s="137"/>
      <c r="J199" s="139">
        <f>SUM(J179:J198)</f>
        <v>9</v>
      </c>
    </row>
    <row r="200" spans="1:11" hidden="1" x14ac:dyDescent="0.3">
      <c r="A200" s="3473" t="s">
        <v>33</v>
      </c>
      <c r="B200" s="3473"/>
      <c r="C200" s="3473"/>
      <c r="D200" s="3473"/>
      <c r="E200" s="3473"/>
      <c r="F200" s="3473"/>
      <c r="G200" s="3473"/>
      <c r="H200" s="3473"/>
      <c r="I200" s="3473"/>
      <c r="J200" s="3473"/>
    </row>
    <row r="201" spans="1:11" hidden="1" x14ac:dyDescent="0.3">
      <c r="A201" s="137" t="s">
        <v>3</v>
      </c>
      <c r="B201" s="1781" t="s">
        <v>4</v>
      </c>
      <c r="C201" s="137" t="s">
        <v>5</v>
      </c>
      <c r="D201" s="137" t="s">
        <v>6</v>
      </c>
      <c r="E201" s="137" t="s">
        <v>7</v>
      </c>
      <c r="F201" s="137" t="s">
        <v>8</v>
      </c>
      <c r="G201" s="137" t="s">
        <v>9</v>
      </c>
      <c r="H201" s="137" t="s">
        <v>10</v>
      </c>
      <c r="I201" s="137" t="s">
        <v>11</v>
      </c>
      <c r="J201" s="137" t="s">
        <v>12</v>
      </c>
    </row>
    <row r="202" spans="1:11" hidden="1" x14ac:dyDescent="0.3">
      <c r="A202" s="152">
        <v>1</v>
      </c>
      <c r="B202" s="3393" t="s">
        <v>166</v>
      </c>
      <c r="C202" s="152" t="s">
        <v>138</v>
      </c>
      <c r="D202" s="152" t="s">
        <v>204</v>
      </c>
      <c r="E202" s="152" t="s">
        <v>125</v>
      </c>
      <c r="F202" s="153">
        <v>155000000</v>
      </c>
      <c r="G202" s="152" t="s">
        <v>168</v>
      </c>
      <c r="H202" s="152" t="s">
        <v>36</v>
      </c>
      <c r="I202" s="152" t="s">
        <v>36</v>
      </c>
      <c r="J202" s="140">
        <v>1</v>
      </c>
    </row>
    <row r="203" spans="1:11" hidden="1" x14ac:dyDescent="0.3">
      <c r="A203" s="152">
        <v>2</v>
      </c>
      <c r="B203" s="3393" t="s">
        <v>205</v>
      </c>
      <c r="C203" s="152" t="s">
        <v>138</v>
      </c>
      <c r="D203" s="152" t="s">
        <v>206</v>
      </c>
      <c r="E203" s="152" t="s">
        <v>39</v>
      </c>
      <c r="F203" s="153">
        <v>300000000</v>
      </c>
      <c r="G203" s="152" t="s">
        <v>207</v>
      </c>
      <c r="H203" s="152" t="s">
        <v>44</v>
      </c>
      <c r="I203" s="152" t="s">
        <v>36</v>
      </c>
      <c r="J203" s="140">
        <v>1</v>
      </c>
    </row>
    <row r="204" spans="1:11" hidden="1" x14ac:dyDescent="0.3">
      <c r="A204" s="152">
        <v>3</v>
      </c>
      <c r="B204" s="3393" t="s">
        <v>137</v>
      </c>
      <c r="C204" s="152" t="s">
        <v>138</v>
      </c>
      <c r="D204" s="152" t="s">
        <v>208</v>
      </c>
      <c r="E204" s="152" t="s">
        <v>39</v>
      </c>
      <c r="F204" s="153">
        <v>180000000</v>
      </c>
      <c r="G204" s="152" t="s">
        <v>43</v>
      </c>
      <c r="H204" s="152" t="s">
        <v>36</v>
      </c>
      <c r="I204" s="152" t="s">
        <v>36</v>
      </c>
      <c r="J204" s="140">
        <v>1</v>
      </c>
      <c r="K204" t="s">
        <v>181</v>
      </c>
    </row>
    <row r="205" spans="1:11" hidden="1" x14ac:dyDescent="0.3">
      <c r="A205" s="152">
        <v>4</v>
      </c>
      <c r="B205" s="3393" t="s">
        <v>141</v>
      </c>
      <c r="C205" s="152" t="s">
        <v>138</v>
      </c>
      <c r="D205" s="152" t="s">
        <v>209</v>
      </c>
      <c r="E205" s="152" t="s">
        <v>39</v>
      </c>
      <c r="F205" s="153">
        <v>150000000</v>
      </c>
      <c r="G205" s="152" t="s">
        <v>210</v>
      </c>
      <c r="H205" s="152" t="s">
        <v>44</v>
      </c>
      <c r="I205" s="152" t="s">
        <v>36</v>
      </c>
      <c r="J205" s="140">
        <v>1</v>
      </c>
      <c r="K205" t="s">
        <v>181</v>
      </c>
    </row>
    <row r="206" spans="1:11" hidden="1" x14ac:dyDescent="0.3">
      <c r="A206" s="154">
        <v>5</v>
      </c>
      <c r="B206" s="3394"/>
      <c r="C206" s="154"/>
      <c r="D206" s="154"/>
      <c r="E206" s="154"/>
      <c r="F206" s="155"/>
      <c r="G206" s="154"/>
      <c r="H206" s="154"/>
      <c r="I206" s="154"/>
      <c r="J206" s="143"/>
    </row>
    <row r="207" spans="1:11" hidden="1" x14ac:dyDescent="0.3">
      <c r="A207" s="156">
        <v>6</v>
      </c>
      <c r="B207" s="3395"/>
      <c r="C207" s="156"/>
      <c r="D207" s="156"/>
      <c r="E207" s="156"/>
      <c r="F207" s="157"/>
      <c r="G207" s="156"/>
      <c r="H207" s="156"/>
      <c r="I207" s="156"/>
      <c r="J207" s="144"/>
    </row>
    <row r="208" spans="1:11" hidden="1" x14ac:dyDescent="0.3">
      <c r="A208" s="156">
        <v>7</v>
      </c>
      <c r="B208" s="3395"/>
      <c r="C208" s="156"/>
      <c r="D208" s="156"/>
      <c r="E208" s="156"/>
      <c r="F208" s="157"/>
      <c r="G208" s="156"/>
      <c r="H208" s="156"/>
      <c r="I208" s="156"/>
      <c r="J208" s="144"/>
    </row>
    <row r="209" spans="1:11" hidden="1" x14ac:dyDescent="0.3">
      <c r="A209" s="156">
        <v>8</v>
      </c>
      <c r="B209" s="3395"/>
      <c r="C209" s="156"/>
      <c r="D209" s="156"/>
      <c r="E209" s="156"/>
      <c r="F209" s="157"/>
      <c r="G209" s="156"/>
      <c r="H209" s="156"/>
      <c r="I209" s="156"/>
      <c r="J209" s="144"/>
    </row>
    <row r="210" spans="1:11" hidden="1" x14ac:dyDescent="0.3">
      <c r="A210" s="156">
        <v>9</v>
      </c>
      <c r="B210" s="3395"/>
      <c r="C210" s="156"/>
      <c r="D210" s="156"/>
      <c r="E210" s="156"/>
      <c r="F210" s="157"/>
      <c r="G210" s="156"/>
      <c r="H210" s="156"/>
      <c r="I210" s="156"/>
      <c r="J210" s="144"/>
    </row>
    <row r="211" spans="1:11" hidden="1" x14ac:dyDescent="0.3">
      <c r="A211" s="156">
        <v>10</v>
      </c>
      <c r="B211" s="3395"/>
      <c r="C211" s="156"/>
      <c r="D211" s="156"/>
      <c r="E211" s="156"/>
      <c r="F211" s="157"/>
      <c r="G211" s="156"/>
      <c r="H211" s="156"/>
      <c r="I211" s="156"/>
      <c r="J211" s="144"/>
    </row>
    <row r="212" spans="1:11" ht="21" hidden="1" x14ac:dyDescent="0.4">
      <c r="A212" s="141"/>
      <c r="B212" s="3396"/>
      <c r="C212" s="141"/>
      <c r="D212" s="141"/>
      <c r="E212" s="141"/>
      <c r="F212" s="145"/>
      <c r="G212" s="141"/>
      <c r="H212" s="141"/>
      <c r="I212" s="141"/>
      <c r="J212" s="146">
        <f>SUM(J202:J211)</f>
        <v>4</v>
      </c>
    </row>
    <row r="213" spans="1:11" hidden="1" x14ac:dyDescent="0.3"/>
    <row r="214" spans="1:11" ht="23.4" hidden="1" x14ac:dyDescent="0.3">
      <c r="A214" s="3483" t="s">
        <v>80</v>
      </c>
      <c r="B214" s="3483"/>
      <c r="C214" s="3483"/>
      <c r="D214" s="3483"/>
      <c r="E214" s="3483"/>
      <c r="F214" s="3483"/>
      <c r="G214" s="3483"/>
      <c r="H214" s="3483"/>
      <c r="I214" s="3483"/>
      <c r="J214" s="3483"/>
    </row>
    <row r="215" spans="1:11" ht="15.6" hidden="1" x14ac:dyDescent="0.3">
      <c r="A215" s="3461" t="s">
        <v>2</v>
      </c>
      <c r="B215" s="3461"/>
      <c r="C215" s="3461"/>
      <c r="D215" s="3461"/>
      <c r="E215" s="3461"/>
      <c r="F215" s="3461"/>
      <c r="G215" s="3461"/>
      <c r="H215" s="3461"/>
      <c r="I215" s="3461"/>
      <c r="J215" s="3461"/>
    </row>
    <row r="216" spans="1:11" hidden="1" x14ac:dyDescent="0.3">
      <c r="A216" s="150" t="s">
        <v>3</v>
      </c>
      <c r="B216" s="1781" t="s">
        <v>4</v>
      </c>
      <c r="C216" s="150" t="s">
        <v>5</v>
      </c>
      <c r="D216" s="150" t="s">
        <v>6</v>
      </c>
      <c r="E216" s="150" t="s">
        <v>7</v>
      </c>
      <c r="F216" s="150" t="s">
        <v>8</v>
      </c>
      <c r="G216" s="150" t="s">
        <v>9</v>
      </c>
      <c r="H216" s="150" t="s">
        <v>10</v>
      </c>
      <c r="I216" s="150" t="s">
        <v>11</v>
      </c>
      <c r="J216" s="137" t="s">
        <v>12</v>
      </c>
    </row>
    <row r="217" spans="1:11" hidden="1" x14ac:dyDescent="0.3">
      <c r="A217" s="150">
        <v>1</v>
      </c>
      <c r="B217" s="1781" t="s">
        <v>186</v>
      </c>
      <c r="C217" s="137" t="s">
        <v>37</v>
      </c>
      <c r="D217" s="137" t="s">
        <v>211</v>
      </c>
      <c r="E217" s="137" t="s">
        <v>125</v>
      </c>
      <c r="F217" s="137">
        <v>1200000</v>
      </c>
      <c r="G217" s="137" t="s">
        <v>40</v>
      </c>
      <c r="H217" s="137" t="s">
        <v>36</v>
      </c>
      <c r="I217" s="137" t="s">
        <v>36</v>
      </c>
      <c r="J217" s="137">
        <v>1</v>
      </c>
      <c r="K217" t="s">
        <v>32</v>
      </c>
    </row>
    <row r="218" spans="1:11" hidden="1" x14ac:dyDescent="0.3">
      <c r="A218" s="150">
        <v>2</v>
      </c>
      <c r="B218" s="1781" t="s">
        <v>212</v>
      </c>
      <c r="C218" s="137" t="s">
        <v>138</v>
      </c>
      <c r="D218" s="137" t="s">
        <v>213</v>
      </c>
      <c r="E218" s="137" t="s">
        <v>125</v>
      </c>
      <c r="F218" s="137">
        <v>700000</v>
      </c>
      <c r="G218" s="137" t="s">
        <v>168</v>
      </c>
      <c r="H218" s="137" t="s">
        <v>36</v>
      </c>
      <c r="I218" s="137" t="s">
        <v>36</v>
      </c>
      <c r="J218" s="137">
        <v>1</v>
      </c>
      <c r="K218" t="s">
        <v>115</v>
      </c>
    </row>
    <row r="219" spans="1:11" hidden="1" x14ac:dyDescent="0.3">
      <c r="A219" s="150">
        <v>3</v>
      </c>
      <c r="B219" s="3392" t="s">
        <v>186</v>
      </c>
      <c r="C219" s="137" t="s">
        <v>138</v>
      </c>
      <c r="D219" s="137" t="s">
        <v>214</v>
      </c>
      <c r="E219" s="137" t="s">
        <v>125</v>
      </c>
      <c r="F219" s="137">
        <v>750000</v>
      </c>
      <c r="G219" s="137" t="s">
        <v>168</v>
      </c>
      <c r="H219" s="137" t="s">
        <v>36</v>
      </c>
      <c r="I219" s="137" t="s">
        <v>36</v>
      </c>
      <c r="J219" s="137">
        <v>1</v>
      </c>
      <c r="K219" t="s">
        <v>32</v>
      </c>
    </row>
    <row r="220" spans="1:11" hidden="1" x14ac:dyDescent="0.3">
      <c r="A220" s="150">
        <v>4</v>
      </c>
      <c r="B220" s="3397" t="s">
        <v>186</v>
      </c>
      <c r="C220" s="147" t="s">
        <v>138</v>
      </c>
      <c r="D220" s="147" t="s">
        <v>215</v>
      </c>
      <c r="E220" s="147" t="s">
        <v>216</v>
      </c>
      <c r="F220" s="147">
        <v>950000</v>
      </c>
      <c r="G220" s="147" t="s">
        <v>168</v>
      </c>
      <c r="H220" s="147" t="s">
        <v>36</v>
      </c>
      <c r="I220" s="147" t="s">
        <v>36</v>
      </c>
      <c r="J220" s="147">
        <v>1</v>
      </c>
      <c r="K220" t="s">
        <v>217</v>
      </c>
    </row>
    <row r="221" spans="1:11" hidden="1" x14ac:dyDescent="0.3">
      <c r="A221" s="159">
        <v>5</v>
      </c>
      <c r="B221" s="2" t="s">
        <v>166</v>
      </c>
      <c r="C221" s="11" t="s">
        <v>138</v>
      </c>
      <c r="D221" s="11" t="s">
        <v>218</v>
      </c>
      <c r="E221" s="11" t="s">
        <v>125</v>
      </c>
      <c r="F221" s="11">
        <v>1100000</v>
      </c>
      <c r="G221" s="11" t="s">
        <v>188</v>
      </c>
      <c r="H221" s="11" t="s">
        <v>36</v>
      </c>
      <c r="I221" s="11" t="s">
        <v>36</v>
      </c>
      <c r="J221" s="11">
        <v>1</v>
      </c>
      <c r="K221" t="s">
        <v>133</v>
      </c>
    </row>
    <row r="222" spans="1:11" hidden="1" x14ac:dyDescent="0.3">
      <c r="A222" s="159">
        <v>6</v>
      </c>
      <c r="B222" s="2" t="s">
        <v>205</v>
      </c>
      <c r="C222" s="11" t="s">
        <v>219</v>
      </c>
      <c r="D222" s="11" t="s">
        <v>220</v>
      </c>
      <c r="E222" s="11" t="s">
        <v>216</v>
      </c>
      <c r="F222" s="11">
        <v>1100000</v>
      </c>
      <c r="G222" s="11" t="s">
        <v>168</v>
      </c>
      <c r="H222" s="11" t="s">
        <v>36</v>
      </c>
      <c r="I222" s="11" t="s">
        <v>36</v>
      </c>
      <c r="J222" s="11">
        <v>1</v>
      </c>
      <c r="K222" t="s">
        <v>133</v>
      </c>
    </row>
    <row r="223" spans="1:11" hidden="1" x14ac:dyDescent="0.3">
      <c r="A223" s="159">
        <v>7</v>
      </c>
      <c r="B223" s="2" t="s">
        <v>205</v>
      </c>
      <c r="C223" s="11" t="s">
        <v>138</v>
      </c>
      <c r="D223" s="11" t="s">
        <v>221</v>
      </c>
      <c r="E223" s="11" t="s">
        <v>39</v>
      </c>
      <c r="F223" s="11">
        <v>1300000</v>
      </c>
      <c r="G223" s="11" t="s">
        <v>94</v>
      </c>
      <c r="H223" s="11" t="s">
        <v>36</v>
      </c>
      <c r="I223" s="11" t="s">
        <v>36</v>
      </c>
      <c r="J223" s="11">
        <v>1</v>
      </c>
      <c r="K223" t="s">
        <v>133</v>
      </c>
    </row>
    <row r="224" spans="1:11" hidden="1" x14ac:dyDescent="0.3">
      <c r="A224" s="159">
        <v>8</v>
      </c>
      <c r="B224" s="2" t="s">
        <v>172</v>
      </c>
      <c r="C224" s="11" t="s">
        <v>138</v>
      </c>
      <c r="D224" s="11" t="s">
        <v>222</v>
      </c>
      <c r="E224" s="11" t="s">
        <v>39</v>
      </c>
      <c r="F224" s="11">
        <v>1400000</v>
      </c>
      <c r="G224" s="11" t="s">
        <v>108</v>
      </c>
      <c r="H224" s="11" t="s">
        <v>36</v>
      </c>
      <c r="I224" s="11" t="s">
        <v>36</v>
      </c>
      <c r="J224" s="11">
        <v>1</v>
      </c>
      <c r="K224" t="s">
        <v>32</v>
      </c>
    </row>
    <row r="225" spans="1:11" hidden="1" x14ac:dyDescent="0.3">
      <c r="A225" s="150">
        <v>9</v>
      </c>
      <c r="B225" s="3398" t="s">
        <v>172</v>
      </c>
      <c r="C225" s="148" t="s">
        <v>223</v>
      </c>
      <c r="D225" s="148" t="s">
        <v>224</v>
      </c>
      <c r="E225" s="148" t="s">
        <v>39</v>
      </c>
      <c r="F225" s="148">
        <v>1600000</v>
      </c>
      <c r="G225" s="148" t="s">
        <v>43</v>
      </c>
      <c r="H225" s="148" t="s">
        <v>36</v>
      </c>
      <c r="I225" s="148" t="s">
        <v>36</v>
      </c>
      <c r="J225" s="148">
        <v>1</v>
      </c>
      <c r="K225" t="s">
        <v>32</v>
      </c>
    </row>
    <row r="226" spans="1:11" hidden="1" x14ac:dyDescent="0.3">
      <c r="A226" s="150">
        <v>10</v>
      </c>
      <c r="B226" s="1781" t="s">
        <v>172</v>
      </c>
      <c r="C226" s="137" t="s">
        <v>138</v>
      </c>
      <c r="D226" s="137" t="s">
        <v>225</v>
      </c>
      <c r="E226" s="137" t="s">
        <v>39</v>
      </c>
      <c r="F226" s="137">
        <v>1200000</v>
      </c>
      <c r="G226" s="137" t="s">
        <v>108</v>
      </c>
      <c r="H226" s="137" t="s">
        <v>36</v>
      </c>
      <c r="I226" s="137" t="s">
        <v>36</v>
      </c>
      <c r="J226" s="137">
        <v>1</v>
      </c>
      <c r="K226" t="s">
        <v>32</v>
      </c>
    </row>
    <row r="227" spans="1:11" hidden="1" x14ac:dyDescent="0.3">
      <c r="A227" s="150">
        <v>11</v>
      </c>
      <c r="B227" s="1781" t="s">
        <v>195</v>
      </c>
      <c r="C227" s="137" t="s">
        <v>138</v>
      </c>
      <c r="D227" s="137" t="s">
        <v>226</v>
      </c>
      <c r="E227" s="137" t="s">
        <v>39</v>
      </c>
      <c r="F227" s="137">
        <v>1350000</v>
      </c>
      <c r="G227" s="137" t="s">
        <v>40</v>
      </c>
      <c r="H227" s="137" t="s">
        <v>36</v>
      </c>
      <c r="I227" s="137" t="s">
        <v>36</v>
      </c>
      <c r="J227" s="137">
        <v>1</v>
      </c>
      <c r="K227" t="s">
        <v>133</v>
      </c>
    </row>
    <row r="228" spans="1:11" hidden="1" x14ac:dyDescent="0.3">
      <c r="A228" s="150">
        <v>12</v>
      </c>
      <c r="B228" s="1781" t="s">
        <v>195</v>
      </c>
      <c r="C228" s="137" t="s">
        <v>138</v>
      </c>
      <c r="D228" s="137" t="s">
        <v>227</v>
      </c>
      <c r="E228" s="137" t="s">
        <v>39</v>
      </c>
      <c r="F228" s="137">
        <v>1200000</v>
      </c>
      <c r="G228" s="137" t="s">
        <v>40</v>
      </c>
      <c r="H228" s="137" t="s">
        <v>36</v>
      </c>
      <c r="I228" s="137" t="s">
        <v>36</v>
      </c>
      <c r="J228" s="137">
        <v>1</v>
      </c>
      <c r="K228" t="s">
        <v>133</v>
      </c>
    </row>
    <row r="229" spans="1:11" hidden="1" x14ac:dyDescent="0.3">
      <c r="A229" s="150">
        <v>13</v>
      </c>
      <c r="B229" s="1781" t="s">
        <v>195</v>
      </c>
      <c r="C229" s="137" t="s">
        <v>138</v>
      </c>
      <c r="D229" s="137" t="s">
        <v>228</v>
      </c>
      <c r="E229" s="137" t="s">
        <v>39</v>
      </c>
      <c r="F229" s="137">
        <v>1200000</v>
      </c>
      <c r="G229" s="137" t="s">
        <v>40</v>
      </c>
      <c r="H229" s="137" t="s">
        <v>36</v>
      </c>
      <c r="I229" s="137" t="s">
        <v>36</v>
      </c>
      <c r="J229" s="137">
        <v>1</v>
      </c>
      <c r="K229" t="s">
        <v>133</v>
      </c>
    </row>
    <row r="230" spans="1:11" hidden="1" x14ac:dyDescent="0.3">
      <c r="A230" s="137">
        <v>14</v>
      </c>
      <c r="B230" s="1781" t="s">
        <v>229</v>
      </c>
      <c r="C230" s="137" t="s">
        <v>138</v>
      </c>
      <c r="D230" s="137" t="s">
        <v>230</v>
      </c>
      <c r="E230" s="137" t="s">
        <v>39</v>
      </c>
      <c r="F230" s="137">
        <v>1100000</v>
      </c>
      <c r="G230" s="137" t="s">
        <v>231</v>
      </c>
      <c r="H230" s="137" t="s">
        <v>36</v>
      </c>
      <c r="I230" s="137" t="s">
        <v>36</v>
      </c>
      <c r="J230" s="137">
        <v>1</v>
      </c>
      <c r="K230" t="s">
        <v>133</v>
      </c>
    </row>
    <row r="231" spans="1:11" hidden="1" x14ac:dyDescent="0.3">
      <c r="A231" s="137">
        <v>15</v>
      </c>
      <c r="B231" s="1781" t="s">
        <v>137</v>
      </c>
      <c r="C231" s="137" t="s">
        <v>138</v>
      </c>
      <c r="D231" s="137" t="s">
        <v>232</v>
      </c>
      <c r="E231" s="137" t="s">
        <v>128</v>
      </c>
      <c r="F231" s="137">
        <v>800000</v>
      </c>
      <c r="G231" s="137" t="s">
        <v>233</v>
      </c>
      <c r="H231" s="137" t="s">
        <v>36</v>
      </c>
      <c r="I231" s="137" t="s">
        <v>36</v>
      </c>
      <c r="J231" s="137">
        <v>1</v>
      </c>
      <c r="K231" t="s">
        <v>133</v>
      </c>
    </row>
    <row r="232" spans="1:11" hidden="1" x14ac:dyDescent="0.3">
      <c r="A232" s="137">
        <v>16</v>
      </c>
      <c r="B232" s="1781" t="s">
        <v>137</v>
      </c>
      <c r="C232" s="137" t="s">
        <v>138</v>
      </c>
      <c r="D232" s="137" t="s">
        <v>234</v>
      </c>
      <c r="E232" s="137" t="s">
        <v>39</v>
      </c>
      <c r="F232" s="137">
        <v>900000</v>
      </c>
      <c r="G232" s="137" t="s">
        <v>235</v>
      </c>
      <c r="H232" s="137" t="s">
        <v>36</v>
      </c>
      <c r="I232" s="137" t="s">
        <v>36</v>
      </c>
      <c r="J232" s="137">
        <v>1</v>
      </c>
      <c r="K232" t="s">
        <v>133</v>
      </c>
    </row>
    <row r="233" spans="1:11" hidden="1" x14ac:dyDescent="0.3">
      <c r="A233" s="137">
        <v>17</v>
      </c>
      <c r="B233" s="1781" t="s">
        <v>182</v>
      </c>
      <c r="C233" s="137" t="s">
        <v>138</v>
      </c>
      <c r="D233" s="137" t="s">
        <v>236</v>
      </c>
      <c r="E233" s="137" t="s">
        <v>39</v>
      </c>
      <c r="F233" s="137">
        <v>1600000</v>
      </c>
      <c r="G233" s="137" t="s">
        <v>235</v>
      </c>
      <c r="H233" s="137" t="s">
        <v>36</v>
      </c>
      <c r="I233" s="137" t="s">
        <v>36</v>
      </c>
      <c r="J233" s="137">
        <v>1</v>
      </c>
      <c r="K233" t="s">
        <v>133</v>
      </c>
    </row>
    <row r="234" spans="1:11" hidden="1" x14ac:dyDescent="0.3">
      <c r="A234" s="137">
        <v>18</v>
      </c>
      <c r="B234" s="1781" t="s">
        <v>237</v>
      </c>
      <c r="C234" s="137" t="s">
        <v>138</v>
      </c>
      <c r="D234" s="137" t="s">
        <v>238</v>
      </c>
      <c r="E234" s="137" t="s">
        <v>239</v>
      </c>
      <c r="F234" s="137">
        <v>5800000</v>
      </c>
      <c r="G234" s="137" t="s">
        <v>43</v>
      </c>
      <c r="H234" s="137" t="s">
        <v>36</v>
      </c>
      <c r="I234" s="137" t="s">
        <v>36</v>
      </c>
      <c r="J234" s="137">
        <v>1</v>
      </c>
      <c r="K234" t="s">
        <v>133</v>
      </c>
    </row>
    <row r="235" spans="1:11" hidden="1" x14ac:dyDescent="0.3">
      <c r="A235" s="137">
        <v>19</v>
      </c>
      <c r="B235" s="1781" t="s">
        <v>240</v>
      </c>
      <c r="C235" s="137" t="s">
        <v>138</v>
      </c>
      <c r="D235" s="137" t="s">
        <v>241</v>
      </c>
      <c r="E235" s="137" t="s">
        <v>125</v>
      </c>
      <c r="F235" s="137">
        <v>1350000</v>
      </c>
      <c r="G235" s="137" t="s">
        <v>102</v>
      </c>
      <c r="H235" s="137" t="s">
        <v>36</v>
      </c>
      <c r="I235" s="137" t="s">
        <v>36</v>
      </c>
      <c r="J235" s="137">
        <v>1</v>
      </c>
      <c r="K235" t="s">
        <v>133</v>
      </c>
    </row>
    <row r="236" spans="1:11" hidden="1" x14ac:dyDescent="0.3">
      <c r="A236" s="137">
        <v>20</v>
      </c>
      <c r="B236" s="1781" t="s">
        <v>242</v>
      </c>
      <c r="C236" s="137" t="s">
        <v>138</v>
      </c>
      <c r="D236" s="137" t="s">
        <v>243</v>
      </c>
      <c r="E236" s="137" t="s">
        <v>39</v>
      </c>
      <c r="F236" s="137">
        <v>1600000</v>
      </c>
      <c r="G236" s="137" t="s">
        <v>43</v>
      </c>
      <c r="H236" s="137" t="s">
        <v>36</v>
      </c>
      <c r="I236" s="137" t="s">
        <v>36</v>
      </c>
      <c r="J236" s="137">
        <v>1</v>
      </c>
      <c r="K236" t="s">
        <v>133</v>
      </c>
    </row>
    <row r="237" spans="1:11" ht="21" hidden="1" x14ac:dyDescent="0.4">
      <c r="A237" s="137"/>
      <c r="B237" s="1781"/>
      <c r="C237" s="137"/>
      <c r="D237" s="137"/>
      <c r="E237" s="137"/>
      <c r="F237" s="137"/>
      <c r="G237" s="137"/>
      <c r="H237" s="137"/>
      <c r="I237" s="137"/>
      <c r="J237" s="139">
        <f>SUM(J217:J236)</f>
        <v>20</v>
      </c>
    </row>
    <row r="238" spans="1:11" hidden="1" x14ac:dyDescent="0.3">
      <c r="A238" s="3473" t="s">
        <v>33</v>
      </c>
      <c r="B238" s="3473"/>
      <c r="C238" s="3473"/>
      <c r="D238" s="3473"/>
      <c r="E238" s="3473"/>
      <c r="F238" s="3473"/>
      <c r="G238" s="3473"/>
      <c r="H238" s="3473"/>
      <c r="I238" s="3473"/>
      <c r="J238" s="3473"/>
    </row>
    <row r="239" spans="1:11" hidden="1" x14ac:dyDescent="0.3">
      <c r="A239" s="150" t="s">
        <v>3</v>
      </c>
      <c r="B239" s="1781" t="s">
        <v>4</v>
      </c>
      <c r="C239" s="150" t="s">
        <v>5</v>
      </c>
      <c r="D239" s="150" t="s">
        <v>6</v>
      </c>
      <c r="E239" s="150" t="s">
        <v>7</v>
      </c>
      <c r="F239" s="150" t="s">
        <v>8</v>
      </c>
      <c r="G239" s="150" t="s">
        <v>9</v>
      </c>
      <c r="H239" s="150" t="s">
        <v>10</v>
      </c>
      <c r="I239" s="150" t="s">
        <v>11</v>
      </c>
      <c r="J239" s="137" t="s">
        <v>12</v>
      </c>
    </row>
    <row r="240" spans="1:11" hidden="1" x14ac:dyDescent="0.3">
      <c r="A240" s="152">
        <v>1</v>
      </c>
      <c r="B240" s="3393" t="s">
        <v>195</v>
      </c>
      <c r="C240" s="152" t="s">
        <v>138</v>
      </c>
      <c r="D240" s="152" t="s">
        <v>244</v>
      </c>
      <c r="E240" s="152" t="s">
        <v>125</v>
      </c>
      <c r="F240" s="162">
        <v>370000000</v>
      </c>
      <c r="G240" s="152" t="s">
        <v>235</v>
      </c>
      <c r="H240" s="152" t="s">
        <v>36</v>
      </c>
      <c r="I240" s="152" t="s">
        <v>36</v>
      </c>
      <c r="J240" s="140">
        <v>1</v>
      </c>
      <c r="K240" t="s">
        <v>181</v>
      </c>
    </row>
    <row r="241" spans="1:11" hidden="1" x14ac:dyDescent="0.3">
      <c r="A241" s="152">
        <v>2</v>
      </c>
      <c r="B241" s="3393" t="s">
        <v>245</v>
      </c>
      <c r="C241" s="152" t="s">
        <v>138</v>
      </c>
      <c r="D241" s="152" t="s">
        <v>246</v>
      </c>
      <c r="E241" s="152" t="s">
        <v>125</v>
      </c>
      <c r="F241" s="162">
        <v>210000000</v>
      </c>
      <c r="G241" s="152" t="s">
        <v>235</v>
      </c>
      <c r="H241" s="152" t="s">
        <v>36</v>
      </c>
      <c r="I241" s="152" t="s">
        <v>36</v>
      </c>
      <c r="J241" s="140">
        <v>1</v>
      </c>
      <c r="K241" t="s">
        <v>181</v>
      </c>
    </row>
    <row r="242" spans="1:11" hidden="1" x14ac:dyDescent="0.3">
      <c r="A242" s="152">
        <v>3</v>
      </c>
      <c r="B242" s="3393" t="s">
        <v>137</v>
      </c>
      <c r="C242" s="152" t="s">
        <v>138</v>
      </c>
      <c r="D242" s="152" t="s">
        <v>247</v>
      </c>
      <c r="E242" s="152" t="s">
        <v>128</v>
      </c>
      <c r="F242" s="162">
        <v>195000000</v>
      </c>
      <c r="G242" s="152" t="s">
        <v>233</v>
      </c>
      <c r="H242" s="152" t="s">
        <v>36</v>
      </c>
      <c r="I242" s="152" t="s">
        <v>36</v>
      </c>
      <c r="J242" s="140">
        <v>1</v>
      </c>
      <c r="K242" t="s">
        <v>181</v>
      </c>
    </row>
    <row r="243" spans="1:11" hidden="1" x14ac:dyDescent="0.3">
      <c r="A243" s="152">
        <v>4</v>
      </c>
      <c r="B243" s="3393"/>
      <c r="C243" s="152"/>
      <c r="D243" s="152"/>
      <c r="E243" s="152"/>
      <c r="F243" s="162"/>
      <c r="G243" s="152"/>
      <c r="H243" s="152"/>
      <c r="I243" s="152"/>
      <c r="J243" s="140"/>
    </row>
    <row r="244" spans="1:11" hidden="1" x14ac:dyDescent="0.3">
      <c r="A244" s="152">
        <v>5</v>
      </c>
      <c r="B244" s="3393"/>
      <c r="C244" s="152"/>
      <c r="D244" s="152"/>
      <c r="E244" s="152"/>
      <c r="F244" s="162"/>
      <c r="G244" s="152"/>
      <c r="H244" s="152"/>
      <c r="I244" s="152"/>
      <c r="J244" s="140"/>
    </row>
    <row r="245" spans="1:11" hidden="1" x14ac:dyDescent="0.3">
      <c r="A245" s="152">
        <v>6</v>
      </c>
      <c r="B245" s="3393"/>
      <c r="C245" s="152"/>
      <c r="D245" s="152"/>
      <c r="E245" s="152"/>
      <c r="F245" s="162"/>
      <c r="G245" s="152"/>
      <c r="H245" s="152"/>
      <c r="I245" s="152"/>
      <c r="J245" s="140"/>
    </row>
    <row r="246" spans="1:11" hidden="1" x14ac:dyDescent="0.3">
      <c r="A246" s="152">
        <v>7</v>
      </c>
      <c r="B246" s="3393"/>
      <c r="C246" s="152"/>
      <c r="D246" s="152"/>
      <c r="E246" s="152"/>
      <c r="F246" s="162"/>
      <c r="G246" s="152"/>
      <c r="H246" s="152"/>
      <c r="I246" s="152"/>
      <c r="J246" s="140"/>
    </row>
    <row r="247" spans="1:11" hidden="1" x14ac:dyDescent="0.3">
      <c r="A247" s="152">
        <v>8</v>
      </c>
      <c r="B247" s="3393"/>
      <c r="C247" s="152"/>
      <c r="D247" s="152"/>
      <c r="E247" s="152"/>
      <c r="F247" s="162"/>
      <c r="G247" s="152"/>
      <c r="H247" s="152"/>
      <c r="I247" s="152"/>
      <c r="J247" s="140"/>
    </row>
    <row r="248" spans="1:11" hidden="1" x14ac:dyDescent="0.3">
      <c r="A248" s="140">
        <v>9</v>
      </c>
      <c r="B248" s="3393"/>
      <c r="C248" s="140"/>
      <c r="D248" s="140"/>
      <c r="E248" s="140"/>
      <c r="F248" s="149"/>
      <c r="G248" s="140"/>
      <c r="H248" s="140"/>
      <c r="I248" s="140"/>
      <c r="J248" s="140"/>
    </row>
    <row r="249" spans="1:11" hidden="1" x14ac:dyDescent="0.3">
      <c r="A249" s="140">
        <v>10</v>
      </c>
      <c r="B249" s="549"/>
      <c r="C249" s="140"/>
      <c r="D249" s="140"/>
      <c r="E249" s="140"/>
      <c r="F249" s="149"/>
      <c r="G249" s="140"/>
      <c r="H249" s="140"/>
      <c r="I249" s="140"/>
      <c r="J249" s="140"/>
    </row>
    <row r="250" spans="1:11" ht="21" hidden="1" x14ac:dyDescent="0.4">
      <c r="A250" s="140"/>
      <c r="B250" s="549"/>
      <c r="C250" s="140"/>
      <c r="D250" s="140"/>
      <c r="E250" s="140"/>
      <c r="F250" s="149"/>
      <c r="G250" s="140"/>
      <c r="H250" s="140"/>
      <c r="I250" s="140"/>
      <c r="J250" s="139">
        <v>3</v>
      </c>
    </row>
    <row r="251" spans="1:11" ht="23.4" hidden="1" x14ac:dyDescent="0.3">
      <c r="A251" s="3483" t="s">
        <v>118</v>
      </c>
      <c r="B251" s="3483"/>
      <c r="C251" s="3483"/>
      <c r="D251" s="3483"/>
      <c r="E251" s="3483"/>
      <c r="F251" s="3483"/>
      <c r="G251" s="3483"/>
      <c r="H251" s="3483"/>
      <c r="I251" s="3483"/>
      <c r="J251" s="3483"/>
    </row>
    <row r="252" spans="1:11" ht="15.6" hidden="1" x14ac:dyDescent="0.3">
      <c r="A252" s="3461" t="s">
        <v>2</v>
      </c>
      <c r="B252" s="3461"/>
      <c r="C252" s="3461"/>
      <c r="D252" s="3461"/>
      <c r="E252" s="3461"/>
      <c r="F252" s="3461"/>
      <c r="G252" s="3461"/>
      <c r="H252" s="3461"/>
      <c r="I252" s="3461"/>
      <c r="J252" s="3461"/>
    </row>
    <row r="253" spans="1:11" hidden="1" x14ac:dyDescent="0.3">
      <c r="A253" s="137" t="s">
        <v>3</v>
      </c>
      <c r="B253" s="1781" t="s">
        <v>4</v>
      </c>
      <c r="C253" s="137" t="s">
        <v>5</v>
      </c>
      <c r="D253" s="137" t="s">
        <v>6</v>
      </c>
      <c r="E253" s="137" t="s">
        <v>7</v>
      </c>
      <c r="F253" s="137" t="s">
        <v>8</v>
      </c>
      <c r="G253" s="137" t="s">
        <v>9</v>
      </c>
      <c r="H253" s="137" t="s">
        <v>10</v>
      </c>
      <c r="I253" s="137" t="s">
        <v>11</v>
      </c>
      <c r="J253" s="137" t="s">
        <v>12</v>
      </c>
    </row>
    <row r="254" spans="1:11" hidden="1" x14ac:dyDescent="0.3">
      <c r="A254" s="150">
        <v>1</v>
      </c>
      <c r="B254" s="3392" t="s">
        <v>137</v>
      </c>
      <c r="C254" s="150" t="s">
        <v>138</v>
      </c>
      <c r="D254" s="150" t="s">
        <v>248</v>
      </c>
      <c r="E254" s="150" t="s">
        <v>125</v>
      </c>
      <c r="F254" s="151">
        <v>1200000</v>
      </c>
      <c r="G254" s="150" t="s">
        <v>249</v>
      </c>
      <c r="H254" s="150" t="s">
        <v>36</v>
      </c>
      <c r="I254" s="150" t="s">
        <v>36</v>
      </c>
      <c r="J254" s="137">
        <v>1</v>
      </c>
    </row>
    <row r="255" spans="1:11" hidden="1" x14ac:dyDescent="0.3">
      <c r="A255" s="150">
        <v>2</v>
      </c>
      <c r="B255" s="3392" t="s">
        <v>240</v>
      </c>
      <c r="C255" s="150" t="s">
        <v>138</v>
      </c>
      <c r="D255" s="150" t="s">
        <v>250</v>
      </c>
      <c r="E255" s="150" t="s">
        <v>125</v>
      </c>
      <c r="F255" s="151">
        <v>800000</v>
      </c>
      <c r="G255" s="150" t="s">
        <v>43</v>
      </c>
      <c r="H255" s="150" t="s">
        <v>36</v>
      </c>
      <c r="I255" s="150" t="s">
        <v>36</v>
      </c>
      <c r="J255" s="137">
        <v>1</v>
      </c>
    </row>
    <row r="256" spans="1:11" hidden="1" x14ac:dyDescent="0.3">
      <c r="A256" s="150">
        <v>3</v>
      </c>
      <c r="B256" s="3392"/>
      <c r="C256" s="150"/>
      <c r="D256" s="150"/>
      <c r="E256" s="150"/>
      <c r="F256" s="151"/>
      <c r="G256" s="150"/>
      <c r="H256" s="150"/>
      <c r="I256" s="150"/>
      <c r="J256" s="137"/>
    </row>
    <row r="257" spans="1:10" hidden="1" x14ac:dyDescent="0.3">
      <c r="A257" s="150">
        <v>4</v>
      </c>
      <c r="B257" s="1781"/>
      <c r="C257" s="150"/>
      <c r="D257" s="150"/>
      <c r="E257" s="150"/>
      <c r="F257" s="150"/>
      <c r="G257" s="150"/>
      <c r="H257" s="150"/>
      <c r="I257" s="150"/>
      <c r="J257" s="137"/>
    </row>
    <row r="258" spans="1:10" hidden="1" x14ac:dyDescent="0.3">
      <c r="A258" s="137">
        <v>5</v>
      </c>
      <c r="B258" s="1781"/>
      <c r="C258" s="137"/>
      <c r="D258" s="137"/>
      <c r="E258" s="137"/>
      <c r="F258" s="137"/>
      <c r="G258" s="137"/>
      <c r="H258" s="137"/>
      <c r="I258" s="137"/>
      <c r="J258" s="137"/>
    </row>
    <row r="259" spans="1:10" hidden="1" x14ac:dyDescent="0.3">
      <c r="A259" s="137">
        <v>6</v>
      </c>
      <c r="B259" s="1781"/>
      <c r="C259" s="137"/>
      <c r="D259" s="137"/>
      <c r="E259" s="137"/>
      <c r="F259" s="137"/>
      <c r="G259" s="137"/>
      <c r="H259" s="137"/>
      <c r="I259" s="137"/>
      <c r="J259" s="137"/>
    </row>
    <row r="260" spans="1:10" hidden="1" x14ac:dyDescent="0.3">
      <c r="A260" s="137">
        <v>7</v>
      </c>
      <c r="B260" s="1781"/>
      <c r="C260" s="137"/>
      <c r="D260" s="137"/>
      <c r="E260" s="137"/>
      <c r="F260" s="137"/>
      <c r="G260" s="137"/>
      <c r="H260" s="137"/>
      <c r="I260" s="137"/>
      <c r="J260" s="137"/>
    </row>
    <row r="261" spans="1:10" hidden="1" x14ac:dyDescent="0.3">
      <c r="A261" s="137">
        <v>8</v>
      </c>
      <c r="B261" s="1781"/>
      <c r="C261" s="137"/>
      <c r="D261" s="137"/>
      <c r="E261" s="137"/>
      <c r="F261" s="137"/>
      <c r="G261" s="137"/>
      <c r="H261" s="137"/>
      <c r="I261" s="137"/>
      <c r="J261" s="137"/>
    </row>
    <row r="262" spans="1:10" hidden="1" x14ac:dyDescent="0.3">
      <c r="A262" s="137">
        <v>9</v>
      </c>
      <c r="B262" s="1781"/>
      <c r="C262" s="137"/>
      <c r="D262" s="137"/>
      <c r="E262" s="137"/>
      <c r="F262" s="137"/>
      <c r="G262" s="137"/>
      <c r="H262" s="137"/>
      <c r="I262" s="137"/>
      <c r="J262" s="137"/>
    </row>
    <row r="263" spans="1:10" ht="21" hidden="1" x14ac:dyDescent="0.4">
      <c r="A263" s="137">
        <v>10</v>
      </c>
      <c r="B263" s="1781"/>
      <c r="C263" s="137"/>
      <c r="D263" s="137"/>
      <c r="E263" s="137"/>
      <c r="F263" s="137"/>
      <c r="G263" s="137"/>
      <c r="H263" s="137"/>
      <c r="I263" s="137"/>
      <c r="J263" s="139">
        <f>SUM(J254:J262)</f>
        <v>2</v>
      </c>
    </row>
    <row r="264" spans="1:10" hidden="1" x14ac:dyDescent="0.3">
      <c r="A264" s="3473" t="s">
        <v>33</v>
      </c>
      <c r="B264" s="3473"/>
      <c r="C264" s="3473"/>
      <c r="D264" s="3473"/>
      <c r="E264" s="3473"/>
      <c r="F264" s="3473"/>
      <c r="G264" s="3473"/>
      <c r="H264" s="3473"/>
      <c r="I264" s="3473"/>
      <c r="J264" s="3473"/>
    </row>
    <row r="265" spans="1:10" hidden="1" x14ac:dyDescent="0.3">
      <c r="A265" s="150" t="s">
        <v>3</v>
      </c>
      <c r="B265" s="1781" t="s">
        <v>4</v>
      </c>
      <c r="C265" s="150" t="s">
        <v>5</v>
      </c>
      <c r="D265" s="150" t="s">
        <v>6</v>
      </c>
      <c r="E265" s="150" t="s">
        <v>7</v>
      </c>
      <c r="F265" s="150" t="s">
        <v>8</v>
      </c>
      <c r="G265" s="150" t="s">
        <v>9</v>
      </c>
      <c r="H265" s="150" t="s">
        <v>10</v>
      </c>
      <c r="I265" s="150" t="s">
        <v>11</v>
      </c>
      <c r="J265" s="137" t="s">
        <v>12</v>
      </c>
    </row>
    <row r="266" spans="1:10" hidden="1" x14ac:dyDescent="0.3">
      <c r="A266" s="152">
        <v>1</v>
      </c>
      <c r="B266" s="3393" t="s">
        <v>205</v>
      </c>
      <c r="C266" s="152" t="s">
        <v>37</v>
      </c>
      <c r="D266" s="152" t="s">
        <v>251</v>
      </c>
      <c r="E266" s="152" t="s">
        <v>125</v>
      </c>
      <c r="F266" s="162">
        <v>222000000</v>
      </c>
      <c r="G266" s="152" t="s">
        <v>168</v>
      </c>
      <c r="H266" s="152" t="s">
        <v>36</v>
      </c>
      <c r="I266" s="152" t="s">
        <v>36</v>
      </c>
      <c r="J266" s="140">
        <v>1</v>
      </c>
    </row>
    <row r="267" spans="1:10" hidden="1" x14ac:dyDescent="0.3">
      <c r="A267" s="152">
        <v>2</v>
      </c>
      <c r="B267" s="3393" t="s">
        <v>205</v>
      </c>
      <c r="C267" s="152" t="s">
        <v>74</v>
      </c>
      <c r="D267" s="152" t="s">
        <v>252</v>
      </c>
      <c r="E267" s="152" t="s">
        <v>253</v>
      </c>
      <c r="F267" s="162">
        <v>1300000000</v>
      </c>
      <c r="G267" s="152" t="s">
        <v>43</v>
      </c>
      <c r="H267" s="152" t="s">
        <v>36</v>
      </c>
      <c r="I267" s="152" t="s">
        <v>36</v>
      </c>
      <c r="J267" s="140">
        <v>1</v>
      </c>
    </row>
    <row r="268" spans="1:10" hidden="1" x14ac:dyDescent="0.3">
      <c r="A268" s="152">
        <v>3</v>
      </c>
      <c r="B268" s="3393" t="s">
        <v>205</v>
      </c>
      <c r="C268" s="152" t="s">
        <v>74</v>
      </c>
      <c r="D268" s="152" t="s">
        <v>254</v>
      </c>
      <c r="E268" s="152" t="s">
        <v>253</v>
      </c>
      <c r="F268" s="162">
        <v>1450000000</v>
      </c>
      <c r="G268" s="152" t="s">
        <v>43</v>
      </c>
      <c r="H268" s="152" t="s">
        <v>36</v>
      </c>
      <c r="I268" s="152" t="s">
        <v>36</v>
      </c>
      <c r="J268" s="140">
        <v>1</v>
      </c>
    </row>
    <row r="269" spans="1:10" hidden="1" x14ac:dyDescent="0.3">
      <c r="A269" s="152">
        <v>4</v>
      </c>
      <c r="B269" s="3393" t="s">
        <v>255</v>
      </c>
      <c r="C269" s="152" t="s">
        <v>138</v>
      </c>
      <c r="D269" s="152" t="s">
        <v>256</v>
      </c>
      <c r="E269" s="152" t="s">
        <v>125</v>
      </c>
      <c r="F269" s="162">
        <v>315000000</v>
      </c>
      <c r="G269" s="152" t="s">
        <v>43</v>
      </c>
      <c r="H269" s="152" t="s">
        <v>44</v>
      </c>
      <c r="I269" s="152" t="s">
        <v>36</v>
      </c>
      <c r="J269" s="140">
        <v>1</v>
      </c>
    </row>
    <row r="270" spans="1:10" hidden="1" x14ac:dyDescent="0.3">
      <c r="A270" s="152">
        <v>5</v>
      </c>
      <c r="B270" s="3393" t="s">
        <v>255</v>
      </c>
      <c r="C270" s="152" t="s">
        <v>138</v>
      </c>
      <c r="D270" s="152" t="s">
        <v>257</v>
      </c>
      <c r="E270" s="152" t="s">
        <v>125</v>
      </c>
      <c r="F270" s="162">
        <v>197000000</v>
      </c>
      <c r="G270" s="152" t="s">
        <v>43</v>
      </c>
      <c r="H270" s="152" t="s">
        <v>36</v>
      </c>
      <c r="I270" s="152" t="s">
        <v>36</v>
      </c>
      <c r="J270" s="140">
        <v>1</v>
      </c>
    </row>
    <row r="271" spans="1:10" hidden="1" x14ac:dyDescent="0.3">
      <c r="A271" s="152">
        <v>6</v>
      </c>
      <c r="B271" s="3393"/>
      <c r="C271" s="152"/>
      <c r="D271" s="152"/>
      <c r="E271" s="152"/>
      <c r="F271" s="162"/>
      <c r="G271" s="152"/>
      <c r="H271" s="152"/>
      <c r="I271" s="152"/>
      <c r="J271" s="140"/>
    </row>
    <row r="272" spans="1:10" hidden="1" x14ac:dyDescent="0.3">
      <c r="A272" s="152">
        <v>7</v>
      </c>
      <c r="B272" s="3393"/>
      <c r="C272" s="152"/>
      <c r="D272" s="152"/>
      <c r="E272" s="152"/>
      <c r="F272" s="162"/>
      <c r="G272" s="152"/>
      <c r="H272" s="152"/>
      <c r="I272" s="152"/>
      <c r="J272" s="140">
        <f>SUM(J266:J271)</f>
        <v>5</v>
      </c>
    </row>
    <row r="273" spans="1:10" hidden="1" x14ac:dyDescent="0.3"/>
    <row r="274" spans="1:10" hidden="1" x14ac:dyDescent="0.3"/>
    <row r="275" spans="1:10" hidden="1" x14ac:dyDescent="0.3"/>
    <row r="276" spans="1:10" hidden="1" x14ac:dyDescent="0.3"/>
    <row r="277" spans="1:10" hidden="1" x14ac:dyDescent="0.3">
      <c r="A277" s="3484" t="s">
        <v>258</v>
      </c>
      <c r="B277" s="3485"/>
      <c r="C277" s="3485"/>
      <c r="D277" s="3485"/>
      <c r="E277" s="3485"/>
      <c r="F277" s="3485"/>
      <c r="G277" s="3485"/>
      <c r="H277" s="3485"/>
      <c r="I277" s="3485"/>
      <c r="J277" s="3485"/>
    </row>
    <row r="278" spans="1:10" hidden="1" x14ac:dyDescent="0.3">
      <c r="A278" s="3485"/>
      <c r="B278" s="3485"/>
      <c r="C278" s="3485"/>
      <c r="D278" s="3485"/>
      <c r="E278" s="3485"/>
      <c r="F278" s="3485"/>
      <c r="G278" s="3485"/>
      <c r="H278" s="3485"/>
      <c r="I278" s="3485"/>
      <c r="J278" s="3485"/>
    </row>
    <row r="279" spans="1:10" ht="46.2" hidden="1" x14ac:dyDescent="0.3">
      <c r="B279" s="136"/>
      <c r="C279" s="136"/>
      <c r="D279" s="136"/>
      <c r="E279" s="136"/>
      <c r="F279" s="136"/>
      <c r="G279" s="136"/>
      <c r="H279" s="136"/>
      <c r="I279" s="136"/>
      <c r="J279" s="136"/>
    </row>
    <row r="280" spans="1:10" ht="23.4" hidden="1" x14ac:dyDescent="0.3">
      <c r="A280" s="3483" t="s">
        <v>1</v>
      </c>
      <c r="B280" s="3483"/>
      <c r="C280" s="3483"/>
      <c r="D280" s="3483"/>
      <c r="E280" s="3483"/>
      <c r="F280" s="3483"/>
      <c r="G280" s="3483"/>
      <c r="H280" s="3483"/>
      <c r="I280" s="3483"/>
      <c r="J280" s="3483"/>
    </row>
    <row r="281" spans="1:10" ht="15.6" hidden="1" x14ac:dyDescent="0.3">
      <c r="A281" s="3461" t="s">
        <v>2</v>
      </c>
      <c r="B281" s="3461"/>
      <c r="C281" s="3461"/>
      <c r="D281" s="3461"/>
      <c r="E281" s="3461"/>
      <c r="F281" s="3461"/>
      <c r="G281" s="3461"/>
      <c r="H281" s="3461"/>
      <c r="I281" s="3461"/>
      <c r="J281" s="3461"/>
    </row>
    <row r="282" spans="1:10" hidden="1" x14ac:dyDescent="0.3">
      <c r="A282" s="137" t="s">
        <v>3</v>
      </c>
      <c r="B282" s="1781" t="s">
        <v>4</v>
      </c>
      <c r="C282" s="137" t="s">
        <v>5</v>
      </c>
      <c r="D282" s="137" t="s">
        <v>6</v>
      </c>
      <c r="E282" s="137" t="s">
        <v>7</v>
      </c>
      <c r="F282" s="137" t="s">
        <v>8</v>
      </c>
      <c r="G282" s="137" t="s">
        <v>9</v>
      </c>
      <c r="H282" s="137" t="s">
        <v>10</v>
      </c>
      <c r="I282" s="137" t="s">
        <v>11</v>
      </c>
      <c r="J282" s="137" t="s">
        <v>12</v>
      </c>
    </row>
    <row r="283" spans="1:10" hidden="1" x14ac:dyDescent="0.3">
      <c r="A283" s="1781">
        <v>1</v>
      </c>
      <c r="B283" s="3392" t="s">
        <v>259</v>
      </c>
      <c r="C283" s="150" t="s">
        <v>138</v>
      </c>
      <c r="D283" s="641" t="s">
        <v>260</v>
      </c>
      <c r="E283" s="150" t="s">
        <v>253</v>
      </c>
      <c r="F283" s="151">
        <v>1200000</v>
      </c>
      <c r="G283" s="150" t="s">
        <v>144</v>
      </c>
      <c r="H283" s="150" t="s">
        <v>36</v>
      </c>
      <c r="I283" s="150" t="s">
        <v>36</v>
      </c>
      <c r="J283" s="137">
        <v>1</v>
      </c>
    </row>
    <row r="284" spans="1:10" hidden="1" x14ac:dyDescent="0.3">
      <c r="A284" s="1781">
        <v>2</v>
      </c>
      <c r="B284" s="3392" t="s">
        <v>259</v>
      </c>
      <c r="C284" s="150" t="s">
        <v>138</v>
      </c>
      <c r="D284" s="641" t="s">
        <v>261</v>
      </c>
      <c r="E284" s="150" t="s">
        <v>239</v>
      </c>
      <c r="F284" s="151">
        <v>1500000</v>
      </c>
      <c r="G284" s="150" t="s">
        <v>43</v>
      </c>
      <c r="H284" s="150" t="s">
        <v>36</v>
      </c>
      <c r="I284" s="150" t="s">
        <v>36</v>
      </c>
      <c r="J284" s="137">
        <v>1</v>
      </c>
    </row>
    <row r="285" spans="1:10" hidden="1" x14ac:dyDescent="0.3">
      <c r="A285" s="1781">
        <v>3</v>
      </c>
      <c r="B285" s="3392" t="s">
        <v>259</v>
      </c>
      <c r="C285" s="150" t="s">
        <v>138</v>
      </c>
      <c r="D285" s="641" t="s">
        <v>262</v>
      </c>
      <c r="E285" s="150" t="s">
        <v>125</v>
      </c>
      <c r="F285" s="151">
        <v>1200000</v>
      </c>
      <c r="G285" s="150" t="s">
        <v>144</v>
      </c>
      <c r="H285" s="150" t="s">
        <v>36</v>
      </c>
      <c r="I285" s="150" t="s">
        <v>36</v>
      </c>
      <c r="J285" s="137">
        <v>1</v>
      </c>
    </row>
    <row r="286" spans="1:10" hidden="1" x14ac:dyDescent="0.3">
      <c r="A286" s="1781">
        <v>4</v>
      </c>
      <c r="B286" s="3392" t="s">
        <v>259</v>
      </c>
      <c r="C286" s="150" t="s">
        <v>138</v>
      </c>
      <c r="D286" s="641" t="s">
        <v>263</v>
      </c>
      <c r="E286" s="150" t="s">
        <v>125</v>
      </c>
      <c r="F286" s="151">
        <v>1250000</v>
      </c>
      <c r="G286" s="150" t="s">
        <v>144</v>
      </c>
      <c r="H286" s="150" t="s">
        <v>36</v>
      </c>
      <c r="I286" s="150" t="s">
        <v>36</v>
      </c>
      <c r="J286" s="137">
        <v>1</v>
      </c>
    </row>
    <row r="287" spans="1:10" hidden="1" x14ac:dyDescent="0.3">
      <c r="A287" s="1781">
        <v>5</v>
      </c>
      <c r="B287" s="1781" t="s">
        <v>264</v>
      </c>
      <c r="C287" s="150" t="s">
        <v>138</v>
      </c>
      <c r="D287" s="641" t="s">
        <v>183</v>
      </c>
      <c r="E287" s="150" t="s">
        <v>125</v>
      </c>
      <c r="F287" s="151">
        <v>1350000</v>
      </c>
      <c r="G287" s="150" t="s">
        <v>43</v>
      </c>
      <c r="H287" s="150" t="s">
        <v>36</v>
      </c>
      <c r="I287" s="150" t="s">
        <v>36</v>
      </c>
      <c r="J287" s="137">
        <v>1</v>
      </c>
    </row>
    <row r="288" spans="1:10" hidden="1" x14ac:dyDescent="0.3">
      <c r="A288" s="1781">
        <v>6</v>
      </c>
      <c r="B288" s="1781" t="s">
        <v>265</v>
      </c>
      <c r="C288" s="150" t="s">
        <v>138</v>
      </c>
      <c r="D288" s="641" t="s">
        <v>266</v>
      </c>
      <c r="E288" s="150" t="s">
        <v>125</v>
      </c>
      <c r="F288" s="151">
        <v>1400000</v>
      </c>
      <c r="G288" s="150" t="s">
        <v>43</v>
      </c>
      <c r="H288" s="150" t="s">
        <v>36</v>
      </c>
      <c r="I288" s="150" t="s">
        <v>36</v>
      </c>
      <c r="J288" s="137">
        <v>1</v>
      </c>
    </row>
    <row r="289" spans="1:10" hidden="1" x14ac:dyDescent="0.3">
      <c r="A289" s="1781">
        <v>7</v>
      </c>
      <c r="B289" s="1781" t="s">
        <v>267</v>
      </c>
      <c r="C289" s="150" t="s">
        <v>146</v>
      </c>
      <c r="D289" s="641" t="s">
        <v>268</v>
      </c>
      <c r="E289" s="150" t="s">
        <v>125</v>
      </c>
      <c r="F289" s="151">
        <v>950000</v>
      </c>
      <c r="G289" s="150" t="s">
        <v>43</v>
      </c>
      <c r="H289" s="150" t="s">
        <v>44</v>
      </c>
      <c r="I289" s="150" t="s">
        <v>36</v>
      </c>
      <c r="J289" s="137">
        <v>1</v>
      </c>
    </row>
    <row r="290" spans="1:10" hidden="1" x14ac:dyDescent="0.3">
      <c r="A290" s="1781">
        <v>8</v>
      </c>
      <c r="B290" s="1781" t="s">
        <v>269</v>
      </c>
      <c r="C290" s="150" t="s">
        <v>138</v>
      </c>
      <c r="D290" s="641" t="s">
        <v>270</v>
      </c>
      <c r="E290" s="150" t="s">
        <v>253</v>
      </c>
      <c r="F290" s="151">
        <v>800000</v>
      </c>
      <c r="G290" s="150" t="s">
        <v>43</v>
      </c>
      <c r="H290" s="150" t="s">
        <v>271</v>
      </c>
      <c r="I290" s="150" t="s">
        <v>36</v>
      </c>
      <c r="J290" s="137">
        <v>1</v>
      </c>
    </row>
    <row r="291" spans="1:10" hidden="1" x14ac:dyDescent="0.3">
      <c r="A291" s="1781">
        <v>9</v>
      </c>
      <c r="B291" s="1781" t="s">
        <v>272</v>
      </c>
      <c r="C291" s="137" t="s">
        <v>273</v>
      </c>
      <c r="D291" s="642" t="s">
        <v>274</v>
      </c>
      <c r="E291" s="137" t="s">
        <v>216</v>
      </c>
      <c r="F291" s="151">
        <v>780000</v>
      </c>
      <c r="G291" s="137" t="s">
        <v>43</v>
      </c>
      <c r="H291" s="137" t="s">
        <v>36</v>
      </c>
      <c r="I291" s="137" t="s">
        <v>36</v>
      </c>
      <c r="J291" s="137">
        <v>1</v>
      </c>
    </row>
    <row r="292" spans="1:10" hidden="1" x14ac:dyDescent="0.3">
      <c r="A292" s="1781">
        <v>10</v>
      </c>
      <c r="B292" s="1781" t="s">
        <v>275</v>
      </c>
      <c r="C292" s="137" t="s">
        <v>37</v>
      </c>
      <c r="D292" s="642" t="s">
        <v>276</v>
      </c>
      <c r="E292" s="137" t="s">
        <v>125</v>
      </c>
      <c r="F292" s="151">
        <v>700000</v>
      </c>
      <c r="G292" s="137" t="s">
        <v>277</v>
      </c>
      <c r="H292" s="137" t="s">
        <v>271</v>
      </c>
      <c r="I292" s="137" t="s">
        <v>36</v>
      </c>
      <c r="J292" s="137">
        <v>1</v>
      </c>
    </row>
    <row r="293" spans="1:10" hidden="1" x14ac:dyDescent="0.3">
      <c r="A293" s="1781">
        <v>11</v>
      </c>
      <c r="B293" s="1781" t="s">
        <v>278</v>
      </c>
      <c r="C293" s="137" t="s">
        <v>146</v>
      </c>
      <c r="D293" s="642" t="s">
        <v>279</v>
      </c>
      <c r="E293" s="137" t="s">
        <v>239</v>
      </c>
      <c r="F293" s="151">
        <v>1000000</v>
      </c>
      <c r="G293" s="137" t="s">
        <v>43</v>
      </c>
      <c r="H293" s="137" t="s">
        <v>271</v>
      </c>
      <c r="I293" s="137" t="s">
        <v>36</v>
      </c>
      <c r="J293" s="137">
        <v>1</v>
      </c>
    </row>
    <row r="294" spans="1:10" hidden="1" x14ac:dyDescent="0.3">
      <c r="A294" s="1781">
        <v>12</v>
      </c>
      <c r="B294" s="1781" t="s">
        <v>280</v>
      </c>
      <c r="C294" s="137" t="s">
        <v>37</v>
      </c>
      <c r="D294" s="642" t="s">
        <v>281</v>
      </c>
      <c r="E294" s="137" t="s">
        <v>125</v>
      </c>
      <c r="F294" s="151">
        <v>1250000</v>
      </c>
      <c r="G294" s="137" t="s">
        <v>43</v>
      </c>
      <c r="H294" s="137" t="s">
        <v>271</v>
      </c>
      <c r="I294" s="137" t="s">
        <v>36</v>
      </c>
      <c r="J294" s="137">
        <v>1</v>
      </c>
    </row>
    <row r="295" spans="1:10" hidden="1" x14ac:dyDescent="0.3">
      <c r="A295" s="1781">
        <v>13</v>
      </c>
      <c r="B295" s="1781" t="s">
        <v>282</v>
      </c>
      <c r="C295" s="137" t="s">
        <v>37</v>
      </c>
      <c r="D295" s="642" t="s">
        <v>283</v>
      </c>
      <c r="E295" s="137" t="s">
        <v>125</v>
      </c>
      <c r="F295" s="151">
        <v>820000</v>
      </c>
      <c r="G295" s="137" t="s">
        <v>284</v>
      </c>
      <c r="H295" s="137" t="s">
        <v>271</v>
      </c>
      <c r="I295" s="137" t="s">
        <v>36</v>
      </c>
      <c r="J295" s="137">
        <v>1</v>
      </c>
    </row>
    <row r="296" spans="1:10" hidden="1" x14ac:dyDescent="0.3">
      <c r="A296" s="1781">
        <v>14</v>
      </c>
      <c r="B296" s="1781" t="s">
        <v>285</v>
      </c>
      <c r="C296" s="137" t="s">
        <v>37</v>
      </c>
      <c r="D296" s="642" t="s">
        <v>286</v>
      </c>
      <c r="E296" s="137" t="s">
        <v>125</v>
      </c>
      <c r="F296" s="151">
        <v>1300000</v>
      </c>
      <c r="G296" s="137" t="s">
        <v>43</v>
      </c>
      <c r="H296" s="137" t="s">
        <v>271</v>
      </c>
      <c r="I296" s="137" t="s">
        <v>36</v>
      </c>
      <c r="J296" s="137">
        <v>1</v>
      </c>
    </row>
    <row r="297" spans="1:10" hidden="1" x14ac:dyDescent="0.3">
      <c r="A297" s="1781">
        <v>15</v>
      </c>
      <c r="B297" s="1781" t="s">
        <v>287</v>
      </c>
      <c r="C297" s="137" t="s">
        <v>37</v>
      </c>
      <c r="D297" s="642" t="s">
        <v>288</v>
      </c>
      <c r="E297" s="137" t="s">
        <v>125</v>
      </c>
      <c r="F297" s="151">
        <v>1300000</v>
      </c>
      <c r="G297" s="137" t="s">
        <v>289</v>
      </c>
      <c r="H297" s="137" t="s">
        <v>271</v>
      </c>
      <c r="I297" s="137" t="s">
        <v>36</v>
      </c>
      <c r="J297" s="137">
        <v>1</v>
      </c>
    </row>
    <row r="298" spans="1:10" hidden="1" x14ac:dyDescent="0.3">
      <c r="A298" s="1781">
        <v>16</v>
      </c>
      <c r="B298" s="1781" t="s">
        <v>287</v>
      </c>
      <c r="C298" s="137" t="s">
        <v>37</v>
      </c>
      <c r="D298" s="642" t="s">
        <v>290</v>
      </c>
      <c r="E298" s="137" t="s">
        <v>291</v>
      </c>
      <c r="F298" s="151">
        <v>1200000</v>
      </c>
      <c r="G298" s="137" t="s">
        <v>43</v>
      </c>
      <c r="H298" s="137" t="s">
        <v>271</v>
      </c>
      <c r="I298" s="137" t="s">
        <v>36</v>
      </c>
      <c r="J298" s="137">
        <v>1</v>
      </c>
    </row>
    <row r="299" spans="1:10" hidden="1" x14ac:dyDescent="0.3">
      <c r="A299" s="1781">
        <v>17</v>
      </c>
      <c r="B299" s="1781" t="s">
        <v>292</v>
      </c>
      <c r="C299" s="137" t="s">
        <v>37</v>
      </c>
      <c r="D299" s="642" t="s">
        <v>293</v>
      </c>
      <c r="E299" s="137" t="s">
        <v>294</v>
      </c>
      <c r="F299" s="151">
        <v>960000</v>
      </c>
      <c r="G299" s="137" t="s">
        <v>295</v>
      </c>
      <c r="H299" s="137" t="s">
        <v>271</v>
      </c>
      <c r="I299" s="137" t="s">
        <v>36</v>
      </c>
      <c r="J299" s="137">
        <v>1</v>
      </c>
    </row>
    <row r="300" spans="1:10" hidden="1" x14ac:dyDescent="0.3">
      <c r="A300" s="1781">
        <v>18</v>
      </c>
      <c r="B300" s="1781" t="s">
        <v>296</v>
      </c>
      <c r="C300" s="137" t="s">
        <v>37</v>
      </c>
      <c r="D300" s="642" t="s">
        <v>297</v>
      </c>
      <c r="E300" s="137" t="s">
        <v>125</v>
      </c>
      <c r="F300" s="151">
        <v>1200000</v>
      </c>
      <c r="G300" s="137" t="s">
        <v>43</v>
      </c>
      <c r="H300" s="137" t="s">
        <v>271</v>
      </c>
      <c r="I300" s="137" t="s">
        <v>36</v>
      </c>
      <c r="J300" s="137">
        <v>1</v>
      </c>
    </row>
    <row r="301" spans="1:10" hidden="1" x14ac:dyDescent="0.3">
      <c r="A301" s="1781">
        <v>19</v>
      </c>
      <c r="B301" s="1781" t="s">
        <v>292</v>
      </c>
      <c r="C301" s="137" t="s">
        <v>37</v>
      </c>
      <c r="D301" s="642" t="s">
        <v>298</v>
      </c>
      <c r="E301" s="137" t="s">
        <v>125</v>
      </c>
      <c r="F301" s="151">
        <v>850000</v>
      </c>
      <c r="G301" s="137" t="s">
        <v>299</v>
      </c>
      <c r="H301" s="137" t="s">
        <v>271</v>
      </c>
      <c r="I301" s="137" t="s">
        <v>36</v>
      </c>
      <c r="J301" s="137">
        <v>1</v>
      </c>
    </row>
    <row r="302" spans="1:10" hidden="1" x14ac:dyDescent="0.3">
      <c r="A302" s="1781">
        <v>20</v>
      </c>
      <c r="B302" s="1781" t="s">
        <v>300</v>
      </c>
      <c r="C302" s="137" t="s">
        <v>146</v>
      </c>
      <c r="D302" s="137" t="s">
        <v>301</v>
      </c>
      <c r="E302" s="137" t="s">
        <v>125</v>
      </c>
      <c r="F302" s="151">
        <v>1500000</v>
      </c>
      <c r="G302" s="137" t="s">
        <v>43</v>
      </c>
      <c r="H302" s="137" t="s">
        <v>271</v>
      </c>
      <c r="I302" s="137" t="s">
        <v>36</v>
      </c>
      <c r="J302" s="137">
        <v>1</v>
      </c>
    </row>
    <row r="303" spans="1:10" ht="21" hidden="1" x14ac:dyDescent="0.4">
      <c r="A303" s="137"/>
      <c r="B303" s="1781"/>
      <c r="C303" s="137"/>
      <c r="D303" s="137"/>
      <c r="E303" s="137"/>
      <c r="F303" s="138"/>
      <c r="G303" s="137"/>
      <c r="H303" s="137"/>
      <c r="I303" s="137"/>
      <c r="J303" s="139">
        <f>SUM(J283:J302)</f>
        <v>20</v>
      </c>
    </row>
    <row r="304" spans="1:10" hidden="1" x14ac:dyDescent="0.3">
      <c r="A304" s="3473" t="s">
        <v>33</v>
      </c>
      <c r="B304" s="3473"/>
      <c r="C304" s="3473"/>
      <c r="D304" s="3473"/>
      <c r="E304" s="3473"/>
      <c r="F304" s="3473"/>
      <c r="G304" s="3473"/>
      <c r="H304" s="3473"/>
      <c r="I304" s="3473"/>
      <c r="J304" s="3473"/>
    </row>
    <row r="305" spans="1:10" hidden="1" x14ac:dyDescent="0.3">
      <c r="A305" s="137" t="s">
        <v>3</v>
      </c>
      <c r="B305" s="1781" t="s">
        <v>4</v>
      </c>
      <c r="C305" s="137" t="s">
        <v>5</v>
      </c>
      <c r="D305" s="137" t="s">
        <v>6</v>
      </c>
      <c r="E305" s="137" t="s">
        <v>7</v>
      </c>
      <c r="F305" s="137" t="s">
        <v>8</v>
      </c>
      <c r="G305" s="137" t="s">
        <v>9</v>
      </c>
      <c r="H305" s="137" t="s">
        <v>10</v>
      </c>
      <c r="I305" s="137" t="s">
        <v>11</v>
      </c>
      <c r="J305" s="137" t="s">
        <v>12</v>
      </c>
    </row>
    <row r="306" spans="1:10" hidden="1" x14ac:dyDescent="0.3">
      <c r="A306" s="549">
        <v>1</v>
      </c>
      <c r="B306" s="3393" t="s">
        <v>259</v>
      </c>
      <c r="C306" s="152" t="s">
        <v>138</v>
      </c>
      <c r="D306" s="152" t="s">
        <v>302</v>
      </c>
      <c r="E306" s="152" t="s">
        <v>125</v>
      </c>
      <c r="F306" s="152">
        <v>145000</v>
      </c>
      <c r="G306" s="152" t="s">
        <v>43</v>
      </c>
      <c r="H306" s="152" t="s">
        <v>36</v>
      </c>
      <c r="I306" s="152" t="s">
        <v>36</v>
      </c>
      <c r="J306" s="200">
        <v>1</v>
      </c>
    </row>
    <row r="307" spans="1:10" hidden="1" x14ac:dyDescent="0.3">
      <c r="A307" s="549">
        <v>2</v>
      </c>
      <c r="B307" s="3393" t="s">
        <v>264</v>
      </c>
      <c r="C307" s="152" t="s">
        <v>146</v>
      </c>
      <c r="D307" s="152" t="s">
        <v>303</v>
      </c>
      <c r="E307" s="152" t="s">
        <v>148</v>
      </c>
      <c r="F307" s="152">
        <v>100000000</v>
      </c>
      <c r="G307" s="152" t="s">
        <v>43</v>
      </c>
      <c r="H307" s="152" t="s">
        <v>44</v>
      </c>
      <c r="I307" s="152" t="s">
        <v>36</v>
      </c>
      <c r="J307" s="200">
        <v>1</v>
      </c>
    </row>
    <row r="308" spans="1:10" hidden="1" x14ac:dyDescent="0.3">
      <c r="A308" s="597">
        <v>3</v>
      </c>
      <c r="B308" s="3394" t="s">
        <v>264</v>
      </c>
      <c r="C308" s="154" t="s">
        <v>146</v>
      </c>
      <c r="D308" s="154" t="s">
        <v>304</v>
      </c>
      <c r="E308" s="154" t="s">
        <v>148</v>
      </c>
      <c r="F308" s="154">
        <v>100000000</v>
      </c>
      <c r="G308" s="154" t="s">
        <v>43</v>
      </c>
      <c r="H308" s="154" t="s">
        <v>44</v>
      </c>
      <c r="I308" s="154" t="s">
        <v>36</v>
      </c>
      <c r="J308" s="598">
        <v>1</v>
      </c>
    </row>
    <row r="309" spans="1:10" hidden="1" x14ac:dyDescent="0.3">
      <c r="A309" s="595">
        <v>4</v>
      </c>
      <c r="B309" s="3395" t="s">
        <v>305</v>
      </c>
      <c r="C309" s="156" t="s">
        <v>138</v>
      </c>
      <c r="D309" s="156" t="s">
        <v>306</v>
      </c>
      <c r="E309" s="156" t="s">
        <v>125</v>
      </c>
      <c r="F309" s="156">
        <v>140000000</v>
      </c>
      <c r="G309" s="156" t="s">
        <v>43</v>
      </c>
      <c r="H309" s="156" t="s">
        <v>271</v>
      </c>
      <c r="I309" s="156" t="s">
        <v>36</v>
      </c>
      <c r="J309" s="144">
        <v>1</v>
      </c>
    </row>
    <row r="310" spans="1:10" hidden="1" x14ac:dyDescent="0.3">
      <c r="A310" s="595">
        <v>5</v>
      </c>
      <c r="B310" s="3395" t="s">
        <v>307</v>
      </c>
      <c r="C310" s="156" t="s">
        <v>37</v>
      </c>
      <c r="D310" s="156" t="s">
        <v>308</v>
      </c>
      <c r="E310" s="156" t="s">
        <v>253</v>
      </c>
      <c r="F310" s="156">
        <v>200000000</v>
      </c>
      <c r="G310" s="156" t="s">
        <v>43</v>
      </c>
      <c r="H310" s="156" t="s">
        <v>44</v>
      </c>
      <c r="I310" s="156" t="s">
        <v>36</v>
      </c>
      <c r="J310" s="144">
        <v>1</v>
      </c>
    </row>
    <row r="311" spans="1:10" ht="20.399999999999999" hidden="1" x14ac:dyDescent="0.35">
      <c r="A311" s="144"/>
      <c r="B311" s="595"/>
      <c r="C311" s="144"/>
      <c r="D311" s="144"/>
      <c r="E311" s="144"/>
      <c r="F311" s="144"/>
      <c r="G311" s="144"/>
      <c r="H311" s="144"/>
      <c r="I311" s="144"/>
      <c r="J311" s="596">
        <f>SUM(J306:J310)</f>
        <v>5</v>
      </c>
    </row>
    <row r="312" spans="1:10" hidden="1" x14ac:dyDescent="0.3"/>
    <row r="313" spans="1:10" ht="23.4" hidden="1" x14ac:dyDescent="0.3">
      <c r="A313" s="3483" t="s">
        <v>47</v>
      </c>
      <c r="B313" s="3483"/>
      <c r="C313" s="3483"/>
      <c r="D313" s="3483"/>
      <c r="E313" s="3483"/>
      <c r="F313" s="3483"/>
      <c r="G313" s="3483"/>
      <c r="H313" s="3483"/>
      <c r="I313" s="3483"/>
      <c r="J313" s="3483"/>
    </row>
    <row r="314" spans="1:10" ht="15.6" hidden="1" x14ac:dyDescent="0.3">
      <c r="A314" s="3461" t="s">
        <v>2</v>
      </c>
      <c r="B314" s="3461"/>
      <c r="C314" s="3461"/>
      <c r="D314" s="3461"/>
      <c r="E314" s="3461"/>
      <c r="F314" s="3461"/>
      <c r="G314" s="3461"/>
      <c r="H314" s="3461"/>
      <c r="I314" s="3461"/>
      <c r="J314" s="3461"/>
    </row>
    <row r="315" spans="1:10" hidden="1" x14ac:dyDescent="0.3">
      <c r="A315" s="137" t="s">
        <v>3</v>
      </c>
      <c r="B315" s="1781" t="s">
        <v>4</v>
      </c>
      <c r="C315" s="137" t="s">
        <v>5</v>
      </c>
      <c r="D315" s="137" t="s">
        <v>6</v>
      </c>
      <c r="E315" s="137" t="s">
        <v>7</v>
      </c>
      <c r="F315" s="137" t="s">
        <v>8</v>
      </c>
      <c r="G315" s="137" t="s">
        <v>9</v>
      </c>
      <c r="H315" s="137" t="s">
        <v>10</v>
      </c>
      <c r="I315" s="137" t="s">
        <v>11</v>
      </c>
      <c r="J315" s="137" t="s">
        <v>12</v>
      </c>
    </row>
    <row r="316" spans="1:10" hidden="1" x14ac:dyDescent="0.3">
      <c r="A316" s="1781">
        <v>1</v>
      </c>
      <c r="B316" s="3392" t="s">
        <v>264</v>
      </c>
      <c r="C316" s="150" t="s">
        <v>138</v>
      </c>
      <c r="D316" s="150" t="s">
        <v>309</v>
      </c>
      <c r="E316" s="150" t="s">
        <v>125</v>
      </c>
      <c r="F316" s="151">
        <v>1300000</v>
      </c>
      <c r="G316" s="150" t="s">
        <v>43</v>
      </c>
      <c r="H316" s="150" t="s">
        <v>36</v>
      </c>
      <c r="I316" s="150" t="s">
        <v>36</v>
      </c>
      <c r="J316" s="272">
        <v>1</v>
      </c>
    </row>
    <row r="317" spans="1:10" hidden="1" x14ac:dyDescent="0.3">
      <c r="A317" s="1781">
        <v>2</v>
      </c>
      <c r="B317" s="3392" t="s">
        <v>264</v>
      </c>
      <c r="C317" s="150" t="s">
        <v>138</v>
      </c>
      <c r="D317" s="150" t="s">
        <v>310</v>
      </c>
      <c r="E317" s="150" t="s">
        <v>125</v>
      </c>
      <c r="F317" s="150">
        <v>950000</v>
      </c>
      <c r="G317" s="150" t="s">
        <v>43</v>
      </c>
      <c r="H317" s="150" t="s">
        <v>271</v>
      </c>
      <c r="I317" s="150" t="s">
        <v>36</v>
      </c>
      <c r="J317" s="272">
        <v>1</v>
      </c>
    </row>
    <row r="318" spans="1:10" hidden="1" x14ac:dyDescent="0.3">
      <c r="A318" s="1781">
        <v>3</v>
      </c>
      <c r="B318" s="3392" t="s">
        <v>265</v>
      </c>
      <c r="C318" s="150" t="s">
        <v>138</v>
      </c>
      <c r="D318" s="150" t="s">
        <v>311</v>
      </c>
      <c r="E318" s="150" t="s">
        <v>125</v>
      </c>
      <c r="F318" s="150">
        <v>850</v>
      </c>
      <c r="G318" s="150" t="s">
        <v>43</v>
      </c>
      <c r="H318" s="150" t="s">
        <v>271</v>
      </c>
      <c r="I318" s="150" t="s">
        <v>36</v>
      </c>
      <c r="J318" s="272">
        <v>1</v>
      </c>
    </row>
    <row r="319" spans="1:10" hidden="1" x14ac:dyDescent="0.3">
      <c r="A319" s="1781">
        <v>4</v>
      </c>
      <c r="B319" s="1781" t="s">
        <v>312</v>
      </c>
      <c r="C319" s="150" t="s">
        <v>219</v>
      </c>
      <c r="D319" s="150" t="s">
        <v>313</v>
      </c>
      <c r="E319" s="150" t="s">
        <v>216</v>
      </c>
      <c r="F319" s="150">
        <v>700000</v>
      </c>
      <c r="G319" s="150" t="s">
        <v>43</v>
      </c>
      <c r="H319" s="150" t="s">
        <v>271</v>
      </c>
      <c r="I319" s="150" t="s">
        <v>36</v>
      </c>
      <c r="J319" s="272">
        <v>1</v>
      </c>
    </row>
    <row r="320" spans="1:10" hidden="1" x14ac:dyDescent="0.3">
      <c r="A320" s="1781">
        <v>5</v>
      </c>
      <c r="B320" s="1781"/>
      <c r="C320" s="150"/>
      <c r="D320" s="150"/>
      <c r="E320" s="150"/>
      <c r="F320" s="150"/>
      <c r="G320" s="150"/>
      <c r="H320" s="150"/>
      <c r="I320" s="150"/>
      <c r="J320" s="272"/>
    </row>
    <row r="321" spans="1:10" hidden="1" x14ac:dyDescent="0.3">
      <c r="A321" s="1781">
        <v>6</v>
      </c>
      <c r="B321" s="1781"/>
      <c r="C321" s="150"/>
      <c r="D321" s="150"/>
      <c r="E321" s="150"/>
      <c r="F321" s="150"/>
      <c r="G321" s="150"/>
      <c r="H321" s="150"/>
      <c r="I321" s="150"/>
      <c r="J321" s="272"/>
    </row>
    <row r="322" spans="1:10" hidden="1" x14ac:dyDescent="0.3">
      <c r="A322" s="1781">
        <v>7</v>
      </c>
      <c r="B322" s="1781"/>
      <c r="C322" s="150"/>
      <c r="D322" s="150"/>
      <c r="E322" s="150"/>
      <c r="F322" s="150"/>
      <c r="G322" s="150"/>
      <c r="H322" s="150"/>
      <c r="I322" s="150"/>
      <c r="J322" s="272"/>
    </row>
    <row r="323" spans="1:10" hidden="1" x14ac:dyDescent="0.3">
      <c r="A323" s="1781">
        <v>8</v>
      </c>
      <c r="B323" s="1781"/>
      <c r="C323" s="150"/>
      <c r="D323" s="150"/>
      <c r="E323" s="150"/>
      <c r="F323" s="150"/>
      <c r="G323" s="150"/>
      <c r="H323" s="150"/>
      <c r="I323" s="150"/>
      <c r="J323" s="272"/>
    </row>
    <row r="324" spans="1:10" hidden="1" x14ac:dyDescent="0.3">
      <c r="A324" s="1781">
        <v>9</v>
      </c>
      <c r="B324" s="1781"/>
      <c r="C324" s="137"/>
      <c r="D324" s="137"/>
      <c r="E324" s="137"/>
      <c r="F324" s="150"/>
      <c r="G324" s="137"/>
      <c r="H324" s="137"/>
      <c r="I324" s="137"/>
      <c r="J324" s="137"/>
    </row>
    <row r="325" spans="1:10" hidden="1" x14ac:dyDescent="0.3">
      <c r="A325" s="1781">
        <v>10</v>
      </c>
      <c r="B325" s="1781"/>
      <c r="C325" s="137"/>
      <c r="D325" s="137"/>
      <c r="E325" s="137"/>
      <c r="F325" s="137"/>
      <c r="G325" s="137"/>
      <c r="H325" s="137"/>
      <c r="I325" s="137"/>
      <c r="J325" s="137"/>
    </row>
    <row r="326" spans="1:10" hidden="1" x14ac:dyDescent="0.3">
      <c r="A326" s="1781">
        <v>11</v>
      </c>
      <c r="B326" s="1781"/>
      <c r="C326" s="137"/>
      <c r="D326" s="137"/>
      <c r="E326" s="137"/>
      <c r="F326" s="137"/>
      <c r="G326" s="137"/>
      <c r="H326" s="137"/>
      <c r="I326" s="137"/>
      <c r="J326" s="137"/>
    </row>
    <row r="327" spans="1:10" hidden="1" x14ac:dyDescent="0.3">
      <c r="A327" s="1781">
        <v>12</v>
      </c>
      <c r="B327" s="1781"/>
      <c r="C327" s="137"/>
      <c r="D327" s="137"/>
      <c r="E327" s="137"/>
      <c r="F327" s="137"/>
      <c r="G327" s="137"/>
      <c r="H327" s="137"/>
      <c r="I327" s="137"/>
      <c r="J327" s="137"/>
    </row>
    <row r="328" spans="1:10" hidden="1" x14ac:dyDescent="0.3">
      <c r="A328" s="1781">
        <v>13</v>
      </c>
      <c r="B328" s="1781"/>
      <c r="C328" s="137"/>
      <c r="D328" s="137"/>
      <c r="E328" s="137"/>
      <c r="F328" s="137"/>
      <c r="G328" s="137"/>
      <c r="H328" s="137"/>
      <c r="I328" s="137"/>
      <c r="J328" s="137"/>
    </row>
    <row r="329" spans="1:10" hidden="1" x14ac:dyDescent="0.3">
      <c r="A329" s="1781">
        <v>14</v>
      </c>
      <c r="B329" s="1781"/>
      <c r="C329" s="137"/>
      <c r="D329" s="137"/>
      <c r="E329" s="137"/>
      <c r="F329" s="137"/>
      <c r="G329" s="137"/>
      <c r="H329" s="137"/>
      <c r="I329" s="137"/>
      <c r="J329" s="137"/>
    </row>
    <row r="330" spans="1:10" hidden="1" x14ac:dyDescent="0.3">
      <c r="A330" s="1781">
        <v>15</v>
      </c>
      <c r="B330" s="1781"/>
      <c r="C330" s="137"/>
      <c r="D330" s="137"/>
      <c r="E330" s="137"/>
      <c r="F330" s="137"/>
      <c r="G330" s="137"/>
      <c r="H330" s="137"/>
      <c r="I330" s="137"/>
      <c r="J330" s="137"/>
    </row>
    <row r="331" spans="1:10" hidden="1" x14ac:dyDescent="0.3">
      <c r="A331" s="1781">
        <v>16</v>
      </c>
      <c r="B331" s="1781"/>
      <c r="C331" s="137"/>
      <c r="D331" s="137"/>
      <c r="E331" s="137"/>
      <c r="F331" s="137"/>
      <c r="G331" s="137"/>
      <c r="H331" s="137"/>
      <c r="I331" s="137"/>
      <c r="J331" s="137"/>
    </row>
    <row r="332" spans="1:10" hidden="1" x14ac:dyDescent="0.3">
      <c r="A332" s="1781">
        <v>17</v>
      </c>
      <c r="B332" s="1781"/>
      <c r="C332" s="137"/>
      <c r="D332" s="137"/>
      <c r="E332" s="137"/>
      <c r="F332" s="137"/>
      <c r="G332" s="137"/>
      <c r="H332" s="137"/>
      <c r="I332" s="137"/>
      <c r="J332" s="137"/>
    </row>
    <row r="333" spans="1:10" hidden="1" x14ac:dyDescent="0.3">
      <c r="A333" s="1781">
        <v>18</v>
      </c>
      <c r="B333" s="1781"/>
      <c r="C333" s="137"/>
      <c r="D333" s="137"/>
      <c r="E333" s="137"/>
      <c r="F333" s="137"/>
      <c r="G333" s="137"/>
      <c r="H333" s="137"/>
      <c r="I333" s="137"/>
      <c r="J333" s="137"/>
    </row>
    <row r="334" spans="1:10" hidden="1" x14ac:dyDescent="0.3">
      <c r="A334" s="1781">
        <v>19</v>
      </c>
      <c r="B334" s="1781"/>
      <c r="C334" s="137"/>
      <c r="D334" s="137"/>
      <c r="E334" s="137"/>
      <c r="F334" s="137"/>
      <c r="G334" s="137"/>
      <c r="H334" s="137"/>
      <c r="I334" s="137"/>
      <c r="J334" s="137"/>
    </row>
    <row r="335" spans="1:10" hidden="1" x14ac:dyDescent="0.3">
      <c r="A335" s="1781">
        <v>20</v>
      </c>
      <c r="B335" s="1781"/>
      <c r="C335" s="137"/>
      <c r="D335" s="137"/>
      <c r="E335" s="137"/>
      <c r="F335" s="137"/>
      <c r="G335" s="137"/>
      <c r="H335" s="137"/>
      <c r="I335" s="137"/>
      <c r="J335" s="137"/>
    </row>
    <row r="336" spans="1:10" ht="21" hidden="1" x14ac:dyDescent="0.4">
      <c r="A336" s="137"/>
      <c r="B336" s="1781"/>
      <c r="C336" s="137"/>
      <c r="D336" s="137"/>
      <c r="E336" s="137"/>
      <c r="F336" s="137"/>
      <c r="G336" s="137"/>
      <c r="H336" s="137"/>
      <c r="I336" s="137"/>
      <c r="J336" s="139">
        <f>SUM(J316:J335)</f>
        <v>4</v>
      </c>
    </row>
    <row r="337" spans="1:10" hidden="1" x14ac:dyDescent="0.3">
      <c r="A337" s="3473" t="s">
        <v>33</v>
      </c>
      <c r="B337" s="3473"/>
      <c r="C337" s="3473"/>
      <c r="D337" s="3473"/>
      <c r="E337" s="3473"/>
      <c r="F337" s="3473"/>
      <c r="G337" s="3473"/>
      <c r="H337" s="3473"/>
      <c r="I337" s="3473"/>
      <c r="J337" s="3473"/>
    </row>
    <row r="338" spans="1:10" hidden="1" x14ac:dyDescent="0.3">
      <c r="A338" s="137" t="s">
        <v>3</v>
      </c>
      <c r="B338" s="1781" t="s">
        <v>4</v>
      </c>
      <c r="C338" s="137" t="s">
        <v>5</v>
      </c>
      <c r="D338" s="137" t="s">
        <v>6</v>
      </c>
      <c r="E338" s="137" t="s">
        <v>7</v>
      </c>
      <c r="F338" s="137" t="s">
        <v>8</v>
      </c>
      <c r="G338" s="137" t="s">
        <v>9</v>
      </c>
      <c r="H338" s="137" t="s">
        <v>10</v>
      </c>
      <c r="I338" s="137" t="s">
        <v>11</v>
      </c>
      <c r="J338" s="137" t="s">
        <v>12</v>
      </c>
    </row>
    <row r="339" spans="1:10" hidden="1" x14ac:dyDescent="0.3">
      <c r="A339" s="549">
        <v>1</v>
      </c>
      <c r="B339" s="3393" t="s">
        <v>314</v>
      </c>
      <c r="C339" s="152" t="s">
        <v>138</v>
      </c>
      <c r="D339" s="152" t="s">
        <v>315</v>
      </c>
      <c r="E339" s="152" t="s">
        <v>125</v>
      </c>
      <c r="F339" s="153">
        <v>270000000</v>
      </c>
      <c r="G339" s="152" t="s">
        <v>316</v>
      </c>
      <c r="H339" s="152" t="s">
        <v>36</v>
      </c>
      <c r="I339" s="152" t="s">
        <v>36</v>
      </c>
      <c r="J339" s="140">
        <v>1</v>
      </c>
    </row>
    <row r="340" spans="1:10" hidden="1" x14ac:dyDescent="0.3">
      <c r="A340" s="549">
        <v>2</v>
      </c>
      <c r="B340" s="3393" t="s">
        <v>317</v>
      </c>
      <c r="C340" s="152" t="s">
        <v>138</v>
      </c>
      <c r="D340" s="152" t="s">
        <v>318</v>
      </c>
      <c r="E340" s="152" t="s">
        <v>125</v>
      </c>
      <c r="F340" s="153">
        <v>180000000</v>
      </c>
      <c r="G340" s="152" t="s">
        <v>79</v>
      </c>
      <c r="H340" s="152" t="s">
        <v>44</v>
      </c>
      <c r="I340" s="152" t="s">
        <v>36</v>
      </c>
      <c r="J340" s="140">
        <v>1</v>
      </c>
    </row>
    <row r="341" spans="1:10" hidden="1" x14ac:dyDescent="0.3">
      <c r="A341" s="597">
        <v>3</v>
      </c>
      <c r="B341" s="3394" t="s">
        <v>317</v>
      </c>
      <c r="C341" s="154" t="s">
        <v>37</v>
      </c>
      <c r="D341" s="154" t="s">
        <v>319</v>
      </c>
      <c r="E341" s="154" t="s">
        <v>125</v>
      </c>
      <c r="F341" s="155">
        <v>250000000</v>
      </c>
      <c r="G341" s="154" t="s">
        <v>233</v>
      </c>
      <c r="H341" s="154" t="s">
        <v>271</v>
      </c>
      <c r="I341" s="154" t="s">
        <v>36</v>
      </c>
      <c r="J341" s="143">
        <v>1</v>
      </c>
    </row>
    <row r="342" spans="1:10" hidden="1" x14ac:dyDescent="0.3">
      <c r="A342" s="595">
        <v>4</v>
      </c>
      <c r="B342" s="3395" t="s">
        <v>320</v>
      </c>
      <c r="C342" s="156" t="s">
        <v>37</v>
      </c>
      <c r="D342" s="156" t="s">
        <v>321</v>
      </c>
      <c r="E342" s="156" t="s">
        <v>322</v>
      </c>
      <c r="F342" s="157">
        <v>250000000</v>
      </c>
      <c r="G342" s="156" t="s">
        <v>323</v>
      </c>
      <c r="H342" s="156" t="s">
        <v>271</v>
      </c>
      <c r="I342" s="156" t="s">
        <v>36</v>
      </c>
      <c r="J342" s="144">
        <v>1</v>
      </c>
    </row>
    <row r="343" spans="1:10" ht="21" hidden="1" x14ac:dyDescent="0.4">
      <c r="A343" s="141"/>
      <c r="B343" s="3396"/>
      <c r="C343" s="141"/>
      <c r="D343" s="141"/>
      <c r="E343" s="141"/>
      <c r="F343" s="145"/>
      <c r="G343" s="141"/>
      <c r="H343" s="141"/>
      <c r="I343" s="141"/>
      <c r="J343" s="146">
        <v>4</v>
      </c>
    </row>
    <row r="344" spans="1:10" hidden="1" x14ac:dyDescent="0.3"/>
    <row r="345" spans="1:10" ht="23.4" hidden="1" x14ac:dyDescent="0.3">
      <c r="A345" s="3483" t="s">
        <v>80</v>
      </c>
      <c r="B345" s="3483"/>
      <c r="C345" s="3483"/>
      <c r="D345" s="3483"/>
      <c r="E345" s="3483"/>
      <c r="F345" s="3483"/>
      <c r="G345" s="3483"/>
      <c r="H345" s="3483"/>
      <c r="I345" s="3483"/>
      <c r="J345" s="3483"/>
    </row>
    <row r="346" spans="1:10" ht="15.6" hidden="1" x14ac:dyDescent="0.3">
      <c r="A346" s="3461" t="s">
        <v>2</v>
      </c>
      <c r="B346" s="3461"/>
      <c r="C346" s="3461"/>
      <c r="D346" s="3461"/>
      <c r="E346" s="3461"/>
      <c r="F346" s="3461"/>
      <c r="G346" s="3461"/>
      <c r="H346" s="3461"/>
      <c r="I346" s="3461"/>
      <c r="J346" s="3461"/>
    </row>
    <row r="347" spans="1:10" hidden="1" x14ac:dyDescent="0.3">
      <c r="A347" s="150" t="s">
        <v>3</v>
      </c>
      <c r="B347" s="1781" t="s">
        <v>4</v>
      </c>
      <c r="C347" s="150" t="s">
        <v>5</v>
      </c>
      <c r="D347" s="150" t="s">
        <v>6</v>
      </c>
      <c r="E347" s="150" t="s">
        <v>7</v>
      </c>
      <c r="F347" s="150" t="s">
        <v>8</v>
      </c>
      <c r="G347" s="150" t="s">
        <v>9</v>
      </c>
      <c r="H347" s="150" t="s">
        <v>10</v>
      </c>
      <c r="I347" s="150" t="s">
        <v>11</v>
      </c>
      <c r="J347" s="137" t="s">
        <v>12</v>
      </c>
    </row>
    <row r="348" spans="1:10" hidden="1" x14ac:dyDescent="0.3">
      <c r="A348" s="1781">
        <v>1</v>
      </c>
      <c r="B348" s="1781" t="s">
        <v>324</v>
      </c>
      <c r="C348" s="137" t="s">
        <v>37</v>
      </c>
      <c r="D348" s="137" t="s">
        <v>325</v>
      </c>
      <c r="E348" s="137" t="s">
        <v>125</v>
      </c>
      <c r="F348" s="137">
        <v>1200000</v>
      </c>
      <c r="G348" s="137" t="s">
        <v>102</v>
      </c>
      <c r="H348" s="137" t="s">
        <v>36</v>
      </c>
      <c r="I348" s="137" t="s">
        <v>36</v>
      </c>
      <c r="J348" s="137">
        <v>1</v>
      </c>
    </row>
    <row r="349" spans="1:10" hidden="1" x14ac:dyDescent="0.3">
      <c r="A349" s="1781">
        <v>2</v>
      </c>
      <c r="B349" s="1781" t="s">
        <v>314</v>
      </c>
      <c r="C349" s="137" t="s">
        <v>138</v>
      </c>
      <c r="D349" s="137" t="s">
        <v>326</v>
      </c>
      <c r="E349" s="137" t="s">
        <v>125</v>
      </c>
      <c r="F349" s="137">
        <v>1250000</v>
      </c>
      <c r="G349" s="137" t="s">
        <v>43</v>
      </c>
      <c r="H349" s="137" t="s">
        <v>36</v>
      </c>
      <c r="I349" s="137" t="s">
        <v>36</v>
      </c>
      <c r="J349" s="137">
        <v>1</v>
      </c>
    </row>
    <row r="350" spans="1:10" hidden="1" x14ac:dyDescent="0.3">
      <c r="A350" s="1781">
        <v>3</v>
      </c>
      <c r="B350" s="3392" t="s">
        <v>327</v>
      </c>
      <c r="C350" s="137" t="s">
        <v>138</v>
      </c>
      <c r="D350" s="137" t="s">
        <v>328</v>
      </c>
      <c r="E350" s="137" t="s">
        <v>125</v>
      </c>
      <c r="F350" s="137">
        <v>1300000</v>
      </c>
      <c r="G350" s="137" t="s">
        <v>329</v>
      </c>
      <c r="H350" s="137" t="s">
        <v>271</v>
      </c>
      <c r="I350" s="137" t="s">
        <v>36</v>
      </c>
      <c r="J350" s="137">
        <v>1</v>
      </c>
    </row>
    <row r="351" spans="1:10" hidden="1" x14ac:dyDescent="0.3">
      <c r="A351" s="1781">
        <v>4</v>
      </c>
      <c r="B351" s="3397" t="s">
        <v>327</v>
      </c>
      <c r="C351" s="147" t="s">
        <v>138</v>
      </c>
      <c r="D351" s="147" t="s">
        <v>330</v>
      </c>
      <c r="E351" s="147" t="s">
        <v>125</v>
      </c>
      <c r="F351" s="147">
        <v>800000</v>
      </c>
      <c r="G351" s="147" t="s">
        <v>331</v>
      </c>
      <c r="H351" s="147" t="s">
        <v>271</v>
      </c>
      <c r="I351" s="147" t="s">
        <v>36</v>
      </c>
      <c r="J351" s="147">
        <v>1</v>
      </c>
    </row>
    <row r="352" spans="1:10" hidden="1" x14ac:dyDescent="0.3">
      <c r="A352" s="550">
        <v>5</v>
      </c>
      <c r="B352" s="2" t="s">
        <v>332</v>
      </c>
      <c r="C352" s="11" t="s">
        <v>138</v>
      </c>
      <c r="D352" s="11" t="s">
        <v>333</v>
      </c>
      <c r="E352" s="11" t="s">
        <v>125</v>
      </c>
      <c r="F352" s="11">
        <v>750000</v>
      </c>
      <c r="G352" s="11" t="s">
        <v>331</v>
      </c>
      <c r="H352" s="11" t="s">
        <v>271</v>
      </c>
      <c r="I352" s="11" t="s">
        <v>36</v>
      </c>
      <c r="J352" s="11">
        <v>1</v>
      </c>
    </row>
    <row r="353" spans="1:10" hidden="1" x14ac:dyDescent="0.3">
      <c r="A353" s="550">
        <v>6</v>
      </c>
      <c r="B353" s="2" t="s">
        <v>305</v>
      </c>
      <c r="C353" s="11" t="s">
        <v>138</v>
      </c>
      <c r="D353" s="11" t="s">
        <v>334</v>
      </c>
      <c r="E353" s="11" t="s">
        <v>125</v>
      </c>
      <c r="F353" s="11">
        <v>1000000</v>
      </c>
      <c r="G353" s="11" t="s">
        <v>235</v>
      </c>
      <c r="H353" s="11" t="s">
        <v>271</v>
      </c>
      <c r="I353" s="11" t="s">
        <v>36</v>
      </c>
      <c r="J353" s="11">
        <v>1</v>
      </c>
    </row>
    <row r="354" spans="1:10" hidden="1" x14ac:dyDescent="0.3">
      <c r="A354" s="550">
        <v>7</v>
      </c>
      <c r="B354" s="2" t="s">
        <v>305</v>
      </c>
      <c r="C354" s="11" t="s">
        <v>138</v>
      </c>
      <c r="D354" s="11" t="s">
        <v>335</v>
      </c>
      <c r="E354" s="11" t="s">
        <v>125</v>
      </c>
      <c r="F354" s="11">
        <v>1350000</v>
      </c>
      <c r="G354" s="11" t="s">
        <v>43</v>
      </c>
      <c r="H354" s="11" t="s">
        <v>271</v>
      </c>
      <c r="I354" s="11" t="s">
        <v>36</v>
      </c>
      <c r="J354" s="11">
        <v>1</v>
      </c>
    </row>
    <row r="355" spans="1:10" hidden="1" x14ac:dyDescent="0.3">
      <c r="A355" s="550">
        <v>8</v>
      </c>
      <c r="B355" s="2" t="s">
        <v>317</v>
      </c>
      <c r="C355" s="11" t="s">
        <v>138</v>
      </c>
      <c r="D355" s="11" t="s">
        <v>336</v>
      </c>
      <c r="E355" s="11" t="s">
        <v>125</v>
      </c>
      <c r="F355" s="11">
        <v>1200000</v>
      </c>
      <c r="G355" s="11" t="s">
        <v>108</v>
      </c>
      <c r="H355" s="11" t="s">
        <v>271</v>
      </c>
      <c r="I355" s="11" t="s">
        <v>36</v>
      </c>
      <c r="J355" s="11">
        <v>1</v>
      </c>
    </row>
    <row r="356" spans="1:10" hidden="1" x14ac:dyDescent="0.3">
      <c r="A356" s="1781">
        <v>9</v>
      </c>
      <c r="B356" s="3398" t="s">
        <v>317</v>
      </c>
      <c r="C356" s="148" t="s">
        <v>138</v>
      </c>
      <c r="D356" s="148" t="s">
        <v>337</v>
      </c>
      <c r="E356" s="148" t="s">
        <v>125</v>
      </c>
      <c r="F356" s="148">
        <v>1000000</v>
      </c>
      <c r="G356" s="148" t="s">
        <v>43</v>
      </c>
      <c r="H356" s="148" t="s">
        <v>271</v>
      </c>
      <c r="I356" s="148" t="s">
        <v>36</v>
      </c>
      <c r="J356" s="148">
        <v>1</v>
      </c>
    </row>
    <row r="357" spans="1:10" hidden="1" x14ac:dyDescent="0.3">
      <c r="A357" s="1781">
        <v>10</v>
      </c>
      <c r="B357" s="1781" t="s">
        <v>338</v>
      </c>
      <c r="C357" s="137" t="s">
        <v>37</v>
      </c>
      <c r="D357" s="137" t="s">
        <v>339</v>
      </c>
      <c r="E357" s="137" t="s">
        <v>125</v>
      </c>
      <c r="F357" s="137">
        <v>1350000</v>
      </c>
      <c r="G357" s="137" t="s">
        <v>144</v>
      </c>
      <c r="H357" s="137" t="s">
        <v>271</v>
      </c>
      <c r="I357" s="137" t="s">
        <v>36</v>
      </c>
      <c r="J357" s="137">
        <v>1</v>
      </c>
    </row>
    <row r="358" spans="1:10" hidden="1" x14ac:dyDescent="0.3">
      <c r="A358" s="1781">
        <v>11</v>
      </c>
      <c r="B358" s="1781" t="s">
        <v>338</v>
      </c>
      <c r="C358" s="137" t="s">
        <v>37</v>
      </c>
      <c r="D358" s="137" t="s">
        <v>340</v>
      </c>
      <c r="E358" s="137" t="s">
        <v>125</v>
      </c>
      <c r="F358" s="137">
        <v>1200000</v>
      </c>
      <c r="G358" s="137" t="s">
        <v>144</v>
      </c>
      <c r="H358" s="137" t="s">
        <v>271</v>
      </c>
      <c r="I358" s="137" t="s">
        <v>36</v>
      </c>
      <c r="J358" s="137">
        <v>1</v>
      </c>
    </row>
    <row r="359" spans="1:10" hidden="1" x14ac:dyDescent="0.3">
      <c r="A359" s="1781">
        <v>12</v>
      </c>
      <c r="B359" s="1781" t="s">
        <v>341</v>
      </c>
      <c r="C359" s="137" t="s">
        <v>37</v>
      </c>
      <c r="D359" s="137" t="s">
        <v>342</v>
      </c>
      <c r="E359" s="137" t="s">
        <v>125</v>
      </c>
      <c r="F359" s="137">
        <v>1700000</v>
      </c>
      <c r="G359" s="137" t="s">
        <v>43</v>
      </c>
      <c r="H359" s="137" t="s">
        <v>271</v>
      </c>
      <c r="I359" s="137" t="s">
        <v>36</v>
      </c>
      <c r="J359" s="137">
        <v>1</v>
      </c>
    </row>
    <row r="360" spans="1:10" hidden="1" x14ac:dyDescent="0.3">
      <c r="A360" s="1781">
        <v>13</v>
      </c>
      <c r="B360" s="1781" t="s">
        <v>341</v>
      </c>
      <c r="C360" s="137" t="s">
        <v>37</v>
      </c>
      <c r="D360" s="137" t="s">
        <v>343</v>
      </c>
      <c r="E360" s="137" t="s">
        <v>125</v>
      </c>
      <c r="F360" s="137">
        <v>1800000</v>
      </c>
      <c r="G360" s="137" t="s">
        <v>43</v>
      </c>
      <c r="H360" s="137" t="s">
        <v>271</v>
      </c>
      <c r="I360" s="137" t="s">
        <v>36</v>
      </c>
      <c r="J360" s="137">
        <v>1</v>
      </c>
    </row>
    <row r="361" spans="1:10" hidden="1" x14ac:dyDescent="0.3">
      <c r="A361" s="1781">
        <v>14</v>
      </c>
      <c r="B361" s="1781" t="s">
        <v>344</v>
      </c>
      <c r="C361" s="137" t="s">
        <v>37</v>
      </c>
      <c r="D361" s="137" t="s">
        <v>345</v>
      </c>
      <c r="E361" s="137" t="s">
        <v>125</v>
      </c>
      <c r="F361" s="137">
        <v>1300000</v>
      </c>
      <c r="G361" s="137" t="s">
        <v>346</v>
      </c>
      <c r="H361" s="137" t="s">
        <v>271</v>
      </c>
      <c r="I361" s="137" t="s">
        <v>36</v>
      </c>
      <c r="J361" s="137">
        <v>1</v>
      </c>
    </row>
    <row r="362" spans="1:10" hidden="1" x14ac:dyDescent="0.3">
      <c r="A362" s="1781">
        <v>15</v>
      </c>
      <c r="B362" s="1781" t="s">
        <v>341</v>
      </c>
      <c r="C362" s="137" t="s">
        <v>37</v>
      </c>
      <c r="D362" s="137" t="s">
        <v>347</v>
      </c>
      <c r="E362" s="137" t="s">
        <v>125</v>
      </c>
      <c r="F362" s="137">
        <v>1250000</v>
      </c>
      <c r="G362" s="137" t="s">
        <v>346</v>
      </c>
      <c r="H362" s="137" t="s">
        <v>271</v>
      </c>
      <c r="I362" s="137" t="s">
        <v>36</v>
      </c>
      <c r="J362" s="137">
        <v>1</v>
      </c>
    </row>
    <row r="363" spans="1:10" hidden="1" x14ac:dyDescent="0.3">
      <c r="A363" s="1781">
        <v>16</v>
      </c>
      <c r="B363" s="1781" t="s">
        <v>278</v>
      </c>
      <c r="C363" s="137" t="s">
        <v>138</v>
      </c>
      <c r="D363" s="137" t="s">
        <v>348</v>
      </c>
      <c r="E363" s="137" t="s">
        <v>125</v>
      </c>
      <c r="F363" s="137">
        <v>1500000</v>
      </c>
      <c r="G363" s="137" t="s">
        <v>346</v>
      </c>
      <c r="H363" s="137" t="s">
        <v>271</v>
      </c>
      <c r="I363" s="137" t="s">
        <v>36</v>
      </c>
      <c r="J363" s="137">
        <v>1</v>
      </c>
    </row>
    <row r="364" spans="1:10" hidden="1" x14ac:dyDescent="0.3">
      <c r="A364" s="1781">
        <v>17</v>
      </c>
      <c r="B364" s="1781" t="s">
        <v>280</v>
      </c>
      <c r="C364" s="137" t="s">
        <v>37</v>
      </c>
      <c r="D364" s="137" t="s">
        <v>349</v>
      </c>
      <c r="E364" s="137" t="s">
        <v>125</v>
      </c>
      <c r="F364" s="137">
        <v>1350000</v>
      </c>
      <c r="G364" s="137" t="s">
        <v>144</v>
      </c>
      <c r="H364" s="137" t="s">
        <v>271</v>
      </c>
      <c r="I364" s="137" t="s">
        <v>36</v>
      </c>
      <c r="J364" s="137">
        <v>1</v>
      </c>
    </row>
    <row r="365" spans="1:10" hidden="1" x14ac:dyDescent="0.3">
      <c r="A365" s="1781">
        <v>18</v>
      </c>
      <c r="B365" s="1781" t="s">
        <v>285</v>
      </c>
      <c r="C365" s="137" t="s">
        <v>138</v>
      </c>
      <c r="D365" s="137" t="s">
        <v>350</v>
      </c>
      <c r="E365" s="137" t="s">
        <v>125</v>
      </c>
      <c r="F365" s="137">
        <v>1550000</v>
      </c>
      <c r="G365" s="137" t="s">
        <v>235</v>
      </c>
      <c r="H365" s="137" t="s">
        <v>271</v>
      </c>
      <c r="I365" s="137" t="s">
        <v>36</v>
      </c>
      <c r="J365" s="137">
        <v>1</v>
      </c>
    </row>
    <row r="366" spans="1:10" hidden="1" x14ac:dyDescent="0.3">
      <c r="A366" s="1781">
        <v>19</v>
      </c>
      <c r="B366" s="1781" t="s">
        <v>285</v>
      </c>
      <c r="C366" s="137" t="s">
        <v>138</v>
      </c>
      <c r="D366" s="137" t="s">
        <v>351</v>
      </c>
      <c r="E366" s="137" t="s">
        <v>352</v>
      </c>
      <c r="F366" s="137">
        <v>1300000</v>
      </c>
      <c r="G366" s="137" t="s">
        <v>43</v>
      </c>
      <c r="H366" s="137" t="s">
        <v>271</v>
      </c>
      <c r="I366" s="137" t="s">
        <v>36</v>
      </c>
      <c r="J366" s="137">
        <v>1</v>
      </c>
    </row>
    <row r="367" spans="1:10" hidden="1" x14ac:dyDescent="0.3">
      <c r="A367" s="1781">
        <v>20</v>
      </c>
      <c r="B367" s="1781" t="s">
        <v>353</v>
      </c>
      <c r="C367" s="137" t="s">
        <v>37</v>
      </c>
      <c r="D367" s="137" t="s">
        <v>354</v>
      </c>
      <c r="E367" s="137" t="s">
        <v>125</v>
      </c>
      <c r="F367" s="137">
        <v>1350000</v>
      </c>
      <c r="G367" s="137" t="s">
        <v>144</v>
      </c>
      <c r="H367" s="137" t="s">
        <v>271</v>
      </c>
      <c r="I367" s="137" t="s">
        <v>36</v>
      </c>
      <c r="J367" s="137">
        <v>1</v>
      </c>
    </row>
    <row r="368" spans="1:10" ht="21" hidden="1" x14ac:dyDescent="0.4">
      <c r="A368" s="137"/>
      <c r="B368" s="1781"/>
      <c r="C368" s="137"/>
      <c r="D368" s="137"/>
      <c r="E368" s="137"/>
      <c r="F368" s="137"/>
      <c r="G368" s="137"/>
      <c r="H368" s="137"/>
      <c r="I368" s="137"/>
      <c r="J368" s="139">
        <f>SUM(J348:J367)</f>
        <v>20</v>
      </c>
    </row>
    <row r="369" spans="1:10" hidden="1" x14ac:dyDescent="0.3">
      <c r="A369" s="3473" t="s">
        <v>33</v>
      </c>
      <c r="B369" s="3473"/>
      <c r="C369" s="3473"/>
      <c r="D369" s="3473"/>
      <c r="E369" s="3473"/>
      <c r="F369" s="3473"/>
      <c r="G369" s="3473"/>
      <c r="H369" s="3473"/>
      <c r="I369" s="3473"/>
      <c r="J369" s="3473"/>
    </row>
    <row r="370" spans="1:10" hidden="1" x14ac:dyDescent="0.3">
      <c r="A370" s="150" t="s">
        <v>3</v>
      </c>
      <c r="B370" s="1781" t="s">
        <v>4</v>
      </c>
      <c r="C370" s="150" t="s">
        <v>5</v>
      </c>
      <c r="D370" s="150" t="s">
        <v>6</v>
      </c>
      <c r="E370" s="150" t="s">
        <v>7</v>
      </c>
      <c r="F370" s="150" t="s">
        <v>8</v>
      </c>
      <c r="G370" s="150" t="s">
        <v>9</v>
      </c>
      <c r="H370" s="150" t="s">
        <v>10</v>
      </c>
      <c r="I370" s="150" t="s">
        <v>11</v>
      </c>
      <c r="J370" s="137" t="s">
        <v>12</v>
      </c>
    </row>
    <row r="371" spans="1:10" hidden="1" x14ac:dyDescent="0.3">
      <c r="A371" s="549">
        <v>1</v>
      </c>
      <c r="B371" s="3393" t="s">
        <v>355</v>
      </c>
      <c r="C371" s="152" t="s">
        <v>37</v>
      </c>
      <c r="D371" s="152" t="s">
        <v>250</v>
      </c>
      <c r="E371" s="152" t="s">
        <v>76</v>
      </c>
      <c r="F371" s="162">
        <v>130000000</v>
      </c>
      <c r="G371" s="152" t="s">
        <v>43</v>
      </c>
      <c r="H371" s="152" t="s">
        <v>36</v>
      </c>
      <c r="I371" s="152" t="s">
        <v>36</v>
      </c>
      <c r="J371" s="140">
        <v>1</v>
      </c>
    </row>
    <row r="372" spans="1:10" hidden="1" x14ac:dyDescent="0.3">
      <c r="A372" s="549">
        <v>2</v>
      </c>
      <c r="B372" s="3393" t="s">
        <v>332</v>
      </c>
      <c r="C372" s="152" t="s">
        <v>138</v>
      </c>
      <c r="D372" s="152" t="s">
        <v>241</v>
      </c>
      <c r="E372" s="152" t="s">
        <v>125</v>
      </c>
      <c r="F372" s="162">
        <v>310000000</v>
      </c>
      <c r="G372" s="152" t="s">
        <v>144</v>
      </c>
      <c r="H372" s="152" t="s">
        <v>271</v>
      </c>
      <c r="I372" s="152" t="s">
        <v>36</v>
      </c>
      <c r="J372" s="140">
        <v>1</v>
      </c>
    </row>
    <row r="373" spans="1:10" hidden="1" x14ac:dyDescent="0.3">
      <c r="A373" s="549">
        <v>3</v>
      </c>
      <c r="B373" s="3393" t="s">
        <v>356</v>
      </c>
      <c r="C373" s="152" t="s">
        <v>138</v>
      </c>
      <c r="D373" s="152" t="s">
        <v>357</v>
      </c>
      <c r="E373" s="152" t="s">
        <v>358</v>
      </c>
      <c r="F373" s="162">
        <v>230000000</v>
      </c>
      <c r="G373" s="152" t="s">
        <v>359</v>
      </c>
      <c r="H373" s="152" t="s">
        <v>44</v>
      </c>
      <c r="I373" s="152" t="s">
        <v>36</v>
      </c>
      <c r="J373" s="140">
        <v>1</v>
      </c>
    </row>
    <row r="374" spans="1:10" ht="21" hidden="1" x14ac:dyDescent="0.4">
      <c r="A374" s="549"/>
      <c r="B374" s="549"/>
      <c r="C374" s="140"/>
      <c r="D374" s="140"/>
      <c r="E374" s="140"/>
      <c r="F374" s="149"/>
      <c r="G374" s="140"/>
      <c r="H374" s="140"/>
      <c r="I374" s="140"/>
      <c r="J374" s="139">
        <f>SUM(J371:J373)</f>
        <v>3</v>
      </c>
    </row>
    <row r="375" spans="1:10" ht="23.4" hidden="1" x14ac:dyDescent="0.3">
      <c r="A375" s="3483" t="s">
        <v>118</v>
      </c>
      <c r="B375" s="3483"/>
      <c r="C375" s="3483"/>
      <c r="D375" s="3483"/>
      <c r="E375" s="3483"/>
      <c r="F375" s="3483"/>
      <c r="G375" s="3483"/>
      <c r="H375" s="3483"/>
      <c r="I375" s="3483"/>
      <c r="J375" s="3483"/>
    </row>
    <row r="376" spans="1:10" ht="15.6" hidden="1" x14ac:dyDescent="0.3">
      <c r="A376" s="3461" t="s">
        <v>2</v>
      </c>
      <c r="B376" s="3461"/>
      <c r="C376" s="3461"/>
      <c r="D376" s="3461"/>
      <c r="E376" s="3461"/>
      <c r="F376" s="3461"/>
      <c r="G376" s="3461"/>
      <c r="H376" s="3461"/>
      <c r="I376" s="3461"/>
      <c r="J376" s="3461"/>
    </row>
    <row r="377" spans="1:10" hidden="1" x14ac:dyDescent="0.3">
      <c r="A377" s="137" t="s">
        <v>3</v>
      </c>
      <c r="B377" s="1781" t="s">
        <v>4</v>
      </c>
      <c r="C377" s="137" t="s">
        <v>5</v>
      </c>
      <c r="D377" s="137" t="s">
        <v>6</v>
      </c>
      <c r="E377" s="137" t="s">
        <v>7</v>
      </c>
      <c r="F377" s="137" t="s">
        <v>8</v>
      </c>
      <c r="G377" s="137" t="s">
        <v>9</v>
      </c>
      <c r="H377" s="137" t="s">
        <v>10</v>
      </c>
      <c r="I377" s="137" t="s">
        <v>11</v>
      </c>
      <c r="J377" s="137" t="s">
        <v>12</v>
      </c>
    </row>
    <row r="378" spans="1:10" hidden="1" x14ac:dyDescent="0.3">
      <c r="A378" s="1781">
        <v>1</v>
      </c>
      <c r="B378" s="3392" t="s">
        <v>265</v>
      </c>
      <c r="C378" s="150" t="s">
        <v>37</v>
      </c>
      <c r="D378" s="150" t="s">
        <v>360</v>
      </c>
      <c r="E378" s="150" t="s">
        <v>125</v>
      </c>
      <c r="F378" s="151">
        <v>1550000</v>
      </c>
      <c r="G378" s="150" t="s">
        <v>43</v>
      </c>
      <c r="H378" s="150" t="s">
        <v>271</v>
      </c>
      <c r="I378" s="150" t="s">
        <v>36</v>
      </c>
      <c r="J378" s="137">
        <v>1</v>
      </c>
    </row>
    <row r="379" spans="1:10" hidden="1" x14ac:dyDescent="0.3">
      <c r="A379" s="1781">
        <v>2</v>
      </c>
      <c r="B379" s="3392" t="s">
        <v>327</v>
      </c>
      <c r="C379" s="150" t="s">
        <v>138</v>
      </c>
      <c r="D379" s="150" t="s">
        <v>361</v>
      </c>
      <c r="E379" s="150" t="s">
        <v>125</v>
      </c>
      <c r="F379" s="151">
        <v>2600000</v>
      </c>
      <c r="G379" s="150" t="s">
        <v>43</v>
      </c>
      <c r="H379" s="150" t="s">
        <v>44</v>
      </c>
      <c r="I379" s="150" t="s">
        <v>36</v>
      </c>
      <c r="J379" s="137">
        <v>1</v>
      </c>
    </row>
    <row r="380" spans="1:10" hidden="1" x14ac:dyDescent="0.3">
      <c r="A380" s="1781">
        <v>3</v>
      </c>
      <c r="B380" s="3392" t="s">
        <v>356</v>
      </c>
      <c r="C380" s="150" t="s">
        <v>138</v>
      </c>
      <c r="D380" s="150" t="s">
        <v>362</v>
      </c>
      <c r="E380" s="150" t="s">
        <v>125</v>
      </c>
      <c r="F380" s="151">
        <v>960000</v>
      </c>
      <c r="G380" s="150" t="s">
        <v>43</v>
      </c>
      <c r="H380" s="150" t="s">
        <v>271</v>
      </c>
      <c r="I380" s="150" t="s">
        <v>36</v>
      </c>
      <c r="J380" s="137">
        <v>1</v>
      </c>
    </row>
    <row r="381" spans="1:10" hidden="1" x14ac:dyDescent="0.3">
      <c r="A381" s="1781">
        <v>4</v>
      </c>
      <c r="B381" s="1781" t="s">
        <v>341</v>
      </c>
      <c r="C381" s="150" t="s">
        <v>138</v>
      </c>
      <c r="D381" s="150" t="s">
        <v>363</v>
      </c>
      <c r="E381" s="150" t="s">
        <v>125</v>
      </c>
      <c r="F381" s="150">
        <v>1000000</v>
      </c>
      <c r="G381" s="150" t="s">
        <v>43</v>
      </c>
      <c r="H381" s="150" t="s">
        <v>271</v>
      </c>
      <c r="I381" s="150" t="s">
        <v>36</v>
      </c>
      <c r="J381" s="137">
        <v>1</v>
      </c>
    </row>
    <row r="382" spans="1:10" hidden="1" x14ac:dyDescent="0.3">
      <c r="A382" s="1781">
        <v>5</v>
      </c>
      <c r="B382" s="1781" t="s">
        <v>282</v>
      </c>
      <c r="C382" s="137" t="s">
        <v>138</v>
      </c>
      <c r="D382" s="137" t="s">
        <v>364</v>
      </c>
      <c r="E382" s="137" t="s">
        <v>125</v>
      </c>
      <c r="F382" s="137">
        <v>500000</v>
      </c>
      <c r="G382" s="137" t="s">
        <v>43</v>
      </c>
      <c r="H382" s="137" t="s">
        <v>271</v>
      </c>
      <c r="I382" s="137" t="s">
        <v>36</v>
      </c>
      <c r="J382" s="137">
        <v>1</v>
      </c>
    </row>
    <row r="383" spans="1:10" hidden="1" x14ac:dyDescent="0.3">
      <c r="A383" s="1781">
        <v>6</v>
      </c>
      <c r="B383" s="1781" t="s">
        <v>353</v>
      </c>
      <c r="C383" s="137" t="s">
        <v>138</v>
      </c>
      <c r="D383" s="137" t="s">
        <v>365</v>
      </c>
      <c r="E383" s="137" t="s">
        <v>294</v>
      </c>
      <c r="F383" s="137">
        <v>500000</v>
      </c>
      <c r="G383" s="137" t="s">
        <v>43</v>
      </c>
      <c r="H383" s="137" t="s">
        <v>271</v>
      </c>
      <c r="I383" s="137" t="s">
        <v>36</v>
      </c>
      <c r="J383" s="137">
        <v>1</v>
      </c>
    </row>
    <row r="384" spans="1:10" hidden="1" x14ac:dyDescent="0.3">
      <c r="A384" s="1781">
        <v>7</v>
      </c>
      <c r="B384" s="1781"/>
      <c r="C384" s="137"/>
      <c r="D384" s="137"/>
      <c r="E384" s="137"/>
      <c r="F384" s="137"/>
      <c r="G384" s="137"/>
      <c r="H384" s="137"/>
      <c r="I384" s="137"/>
      <c r="J384" s="137"/>
    </row>
    <row r="385" spans="1:10" hidden="1" x14ac:dyDescent="0.3">
      <c r="A385" s="1781">
        <v>8</v>
      </c>
      <c r="B385" s="1781"/>
      <c r="C385" s="137"/>
      <c r="D385" s="137"/>
      <c r="E385" s="137"/>
      <c r="F385" s="137"/>
      <c r="G385" s="137"/>
      <c r="H385" s="137"/>
      <c r="I385" s="137"/>
      <c r="J385" s="137"/>
    </row>
    <row r="386" spans="1:10" hidden="1" x14ac:dyDescent="0.3">
      <c r="A386" s="1781">
        <v>9</v>
      </c>
      <c r="B386" s="1781"/>
      <c r="C386" s="137"/>
      <c r="D386" s="137"/>
      <c r="E386" s="137"/>
      <c r="F386" s="137"/>
      <c r="G386" s="137"/>
      <c r="H386" s="137"/>
      <c r="I386" s="137"/>
      <c r="J386" s="137"/>
    </row>
    <row r="387" spans="1:10" ht="21" hidden="1" x14ac:dyDescent="0.4">
      <c r="A387" s="1781">
        <v>10</v>
      </c>
      <c r="B387" s="1781"/>
      <c r="C387" s="137"/>
      <c r="D387" s="137"/>
      <c r="E387" s="137"/>
      <c r="F387" s="137"/>
      <c r="G387" s="137"/>
      <c r="H387" s="137"/>
      <c r="I387" s="137"/>
      <c r="J387" s="139">
        <f>SUM(J378:J386)</f>
        <v>6</v>
      </c>
    </row>
    <row r="388" spans="1:10" hidden="1" x14ac:dyDescent="0.3">
      <c r="A388" s="3473" t="s">
        <v>33</v>
      </c>
      <c r="B388" s="3473"/>
      <c r="C388" s="3473"/>
      <c r="D388" s="3473"/>
      <c r="E388" s="3473"/>
      <c r="F388" s="3473"/>
      <c r="G388" s="3473"/>
      <c r="H388" s="3473"/>
      <c r="I388" s="3473"/>
      <c r="J388" s="3473"/>
    </row>
    <row r="389" spans="1:10" hidden="1" x14ac:dyDescent="0.3">
      <c r="A389" s="150" t="s">
        <v>3</v>
      </c>
      <c r="B389" s="1781" t="s">
        <v>4</v>
      </c>
      <c r="C389" s="150" t="s">
        <v>5</v>
      </c>
      <c r="D389" s="150" t="s">
        <v>6</v>
      </c>
      <c r="E389" s="150" t="s">
        <v>7</v>
      </c>
      <c r="F389" s="150" t="s">
        <v>8</v>
      </c>
      <c r="G389" s="150" t="s">
        <v>9</v>
      </c>
      <c r="H389" s="150" t="s">
        <v>10</v>
      </c>
      <c r="I389" s="150" t="s">
        <v>11</v>
      </c>
      <c r="J389" s="137" t="s">
        <v>12</v>
      </c>
    </row>
    <row r="390" spans="1:10" hidden="1" x14ac:dyDescent="0.3">
      <c r="A390" s="549">
        <v>1</v>
      </c>
      <c r="B390" s="3393" t="s">
        <v>327</v>
      </c>
      <c r="C390" s="152" t="s">
        <v>138</v>
      </c>
      <c r="D390" s="586" t="s">
        <v>361</v>
      </c>
      <c r="E390" s="152" t="s">
        <v>125</v>
      </c>
      <c r="F390" s="162">
        <v>650000000</v>
      </c>
      <c r="G390" s="152" t="s">
        <v>43</v>
      </c>
      <c r="H390" s="152" t="s">
        <v>44</v>
      </c>
      <c r="I390" s="152" t="s">
        <v>36</v>
      </c>
      <c r="J390" s="140">
        <v>1</v>
      </c>
    </row>
    <row r="391" spans="1:10" hidden="1" x14ac:dyDescent="0.3">
      <c r="A391" s="549">
        <v>2</v>
      </c>
      <c r="B391" s="3393"/>
      <c r="C391" s="152"/>
      <c r="D391" s="152"/>
      <c r="E391" s="152"/>
      <c r="F391" s="162"/>
      <c r="G391" s="152"/>
      <c r="H391" s="152"/>
      <c r="I391" s="152"/>
      <c r="J391" s="140"/>
    </row>
    <row r="392" spans="1:10" hidden="1" x14ac:dyDescent="0.3">
      <c r="A392" s="549">
        <v>3</v>
      </c>
      <c r="B392" s="3393"/>
      <c r="C392" s="152"/>
      <c r="D392" s="152"/>
      <c r="E392" s="152"/>
      <c r="F392" s="162"/>
      <c r="G392" s="152"/>
      <c r="H392" s="152"/>
      <c r="I392" s="152"/>
      <c r="J392" s="140"/>
    </row>
    <row r="393" spans="1:10" hidden="1" x14ac:dyDescent="0.3">
      <c r="J393">
        <f>SUM(J390:J392)</f>
        <v>1</v>
      </c>
    </row>
    <row r="394" spans="1:10" hidden="1" x14ac:dyDescent="0.3"/>
    <row r="395" spans="1:10" hidden="1" x14ac:dyDescent="0.3"/>
    <row r="396" spans="1:10" hidden="1" x14ac:dyDescent="0.3"/>
    <row r="397" spans="1:10" hidden="1" x14ac:dyDescent="0.3">
      <c r="A397" s="3468" t="s">
        <v>366</v>
      </c>
      <c r="B397" s="3469"/>
      <c r="C397" s="3469"/>
      <c r="D397" s="3469"/>
      <c r="E397" s="3469"/>
      <c r="F397" s="3469"/>
      <c r="G397" s="3469"/>
      <c r="H397" s="3469"/>
      <c r="I397" s="3469"/>
      <c r="J397" s="3469"/>
    </row>
    <row r="398" spans="1:10" hidden="1" x14ac:dyDescent="0.3">
      <c r="A398" s="3469"/>
      <c r="B398" s="3469"/>
      <c r="C398" s="3469"/>
      <c r="D398" s="3469"/>
      <c r="E398" s="3469"/>
      <c r="F398" s="3469"/>
      <c r="G398" s="3469"/>
      <c r="H398" s="3469"/>
      <c r="I398" s="3469"/>
      <c r="J398" s="3469"/>
    </row>
    <row r="399" spans="1:10" ht="46.2" hidden="1" x14ac:dyDescent="0.3">
      <c r="B399" s="136"/>
      <c r="C399" s="136"/>
      <c r="D399" s="136"/>
      <c r="E399" s="136"/>
      <c r="F399" s="136"/>
      <c r="G399" s="136"/>
      <c r="H399" s="136"/>
      <c r="I399" s="136"/>
      <c r="J399" s="136"/>
    </row>
    <row r="400" spans="1:10" ht="23.4" hidden="1" x14ac:dyDescent="0.3">
      <c r="A400" s="3479" t="s">
        <v>1</v>
      </c>
      <c r="B400" s="3479"/>
      <c r="C400" s="3479"/>
      <c r="D400" s="3479"/>
      <c r="E400" s="3479"/>
      <c r="F400" s="3479"/>
      <c r="G400" s="3479"/>
      <c r="H400" s="3479"/>
      <c r="I400" s="3479"/>
      <c r="J400" s="3479"/>
    </row>
    <row r="401" spans="1:10" ht="15.6" hidden="1" x14ac:dyDescent="0.3">
      <c r="A401" s="3461" t="s">
        <v>2</v>
      </c>
      <c r="B401" s="3461"/>
      <c r="C401" s="3461"/>
      <c r="D401" s="3461"/>
      <c r="E401" s="3461"/>
      <c r="F401" s="3461"/>
      <c r="G401" s="3461"/>
      <c r="H401" s="3461"/>
      <c r="I401" s="3461"/>
      <c r="J401" s="3461"/>
    </row>
    <row r="402" spans="1:10" hidden="1" x14ac:dyDescent="0.3">
      <c r="A402" s="137" t="s">
        <v>3</v>
      </c>
      <c r="B402" s="1781" t="s">
        <v>4</v>
      </c>
      <c r="C402" s="137" t="s">
        <v>5</v>
      </c>
      <c r="D402" s="137" t="s">
        <v>6</v>
      </c>
      <c r="E402" s="137" t="s">
        <v>7</v>
      </c>
      <c r="F402" s="137" t="s">
        <v>8</v>
      </c>
      <c r="G402" s="137" t="s">
        <v>9</v>
      </c>
      <c r="H402" s="137" t="s">
        <v>10</v>
      </c>
      <c r="I402" s="137" t="s">
        <v>11</v>
      </c>
      <c r="J402" s="137" t="s">
        <v>12</v>
      </c>
    </row>
    <row r="403" spans="1:10" hidden="1" x14ac:dyDescent="0.3">
      <c r="A403" s="1781">
        <v>1</v>
      </c>
      <c r="B403" s="3392" t="s">
        <v>367</v>
      </c>
      <c r="C403" s="150" t="s">
        <v>146</v>
      </c>
      <c r="D403" s="641" t="s">
        <v>368</v>
      </c>
      <c r="E403" s="150" t="s">
        <v>125</v>
      </c>
      <c r="F403" s="151">
        <v>1600000</v>
      </c>
      <c r="G403" s="150" t="s">
        <v>43</v>
      </c>
      <c r="H403" s="150" t="s">
        <v>271</v>
      </c>
      <c r="I403" s="150" t="s">
        <v>36</v>
      </c>
      <c r="J403" s="137">
        <v>1</v>
      </c>
    </row>
    <row r="404" spans="1:10" hidden="1" x14ac:dyDescent="0.3">
      <c r="A404" s="1781">
        <v>2</v>
      </c>
      <c r="B404" s="3392" t="s">
        <v>369</v>
      </c>
      <c r="C404" s="150" t="s">
        <v>146</v>
      </c>
      <c r="D404" s="641" t="s">
        <v>370</v>
      </c>
      <c r="E404" s="150" t="s">
        <v>125</v>
      </c>
      <c r="F404" s="151">
        <v>1700000</v>
      </c>
      <c r="G404" s="150" t="s">
        <v>43</v>
      </c>
      <c r="H404" s="150" t="s">
        <v>271</v>
      </c>
      <c r="I404" s="150" t="s">
        <v>36</v>
      </c>
      <c r="J404" s="137">
        <v>1</v>
      </c>
    </row>
    <row r="405" spans="1:10" hidden="1" x14ac:dyDescent="0.3">
      <c r="A405" s="1781">
        <v>3</v>
      </c>
      <c r="B405" s="3392" t="s">
        <v>369</v>
      </c>
      <c r="C405" s="150" t="s">
        <v>146</v>
      </c>
      <c r="D405" s="641" t="s">
        <v>371</v>
      </c>
      <c r="E405" s="150" t="s">
        <v>125</v>
      </c>
      <c r="F405" s="151">
        <v>1700000</v>
      </c>
      <c r="G405" s="150" t="s">
        <v>43</v>
      </c>
      <c r="H405" s="150" t="s">
        <v>271</v>
      </c>
      <c r="I405" s="150" t="s">
        <v>36</v>
      </c>
      <c r="J405" s="137">
        <v>1</v>
      </c>
    </row>
    <row r="406" spans="1:10" hidden="1" x14ac:dyDescent="0.3">
      <c r="A406" s="1781">
        <v>4</v>
      </c>
      <c r="B406" s="3392" t="s">
        <v>372</v>
      </c>
      <c r="C406" s="150" t="s">
        <v>138</v>
      </c>
      <c r="D406" s="641" t="s">
        <v>373</v>
      </c>
      <c r="E406" s="150" t="s">
        <v>125</v>
      </c>
      <c r="F406" s="151">
        <v>1400000</v>
      </c>
      <c r="G406" s="150" t="s">
        <v>144</v>
      </c>
      <c r="H406" s="150" t="s">
        <v>271</v>
      </c>
      <c r="I406" s="150" t="s">
        <v>36</v>
      </c>
      <c r="J406" s="137">
        <v>1</v>
      </c>
    </row>
    <row r="407" spans="1:10" hidden="1" x14ac:dyDescent="0.3">
      <c r="A407" s="1781">
        <v>5</v>
      </c>
      <c r="B407" s="1781" t="s">
        <v>374</v>
      </c>
      <c r="C407" s="150" t="s">
        <v>138</v>
      </c>
      <c r="D407" s="641" t="s">
        <v>375</v>
      </c>
      <c r="E407" s="150" t="s">
        <v>125</v>
      </c>
      <c r="F407" s="151">
        <v>1200000</v>
      </c>
      <c r="G407" s="150" t="s">
        <v>144</v>
      </c>
      <c r="H407" s="150" t="s">
        <v>271</v>
      </c>
      <c r="I407" s="150" t="s">
        <v>36</v>
      </c>
      <c r="J407" s="137">
        <v>1</v>
      </c>
    </row>
    <row r="408" spans="1:10" hidden="1" x14ac:dyDescent="0.3">
      <c r="A408" s="1781">
        <v>6</v>
      </c>
      <c r="B408" s="1781" t="s">
        <v>376</v>
      </c>
      <c r="C408" s="150" t="s">
        <v>138</v>
      </c>
      <c r="D408" s="641" t="s">
        <v>377</v>
      </c>
      <c r="E408" s="150" t="s">
        <v>125</v>
      </c>
      <c r="F408" s="151">
        <v>1320000</v>
      </c>
      <c r="G408" s="150" t="s">
        <v>43</v>
      </c>
      <c r="H408" s="150" t="s">
        <v>271</v>
      </c>
      <c r="I408" s="150" t="s">
        <v>36</v>
      </c>
      <c r="J408" s="137">
        <v>1</v>
      </c>
    </row>
    <row r="409" spans="1:10" hidden="1" x14ac:dyDescent="0.3">
      <c r="A409" s="1781">
        <v>7</v>
      </c>
      <c r="B409" s="1781" t="s">
        <v>372</v>
      </c>
      <c r="C409" s="150" t="s">
        <v>138</v>
      </c>
      <c r="D409" s="641" t="s">
        <v>315</v>
      </c>
      <c r="E409" s="150" t="s">
        <v>125</v>
      </c>
      <c r="F409" s="151">
        <v>1250000</v>
      </c>
      <c r="G409" s="150" t="s">
        <v>144</v>
      </c>
      <c r="H409" s="150" t="s">
        <v>271</v>
      </c>
      <c r="I409" s="150" t="s">
        <v>36</v>
      </c>
      <c r="J409" s="137">
        <v>1</v>
      </c>
    </row>
    <row r="410" spans="1:10" hidden="1" x14ac:dyDescent="0.3">
      <c r="A410" s="1781">
        <v>8</v>
      </c>
      <c r="B410" s="1781" t="s">
        <v>378</v>
      </c>
      <c r="C410" s="150" t="s">
        <v>138</v>
      </c>
      <c r="D410" s="641" t="s">
        <v>379</v>
      </c>
      <c r="E410" s="150" t="s">
        <v>125</v>
      </c>
      <c r="F410" s="151">
        <v>1200000</v>
      </c>
      <c r="G410" s="150" t="s">
        <v>144</v>
      </c>
      <c r="H410" s="150" t="s">
        <v>271</v>
      </c>
      <c r="I410" s="150" t="s">
        <v>36</v>
      </c>
      <c r="J410" s="137">
        <v>1</v>
      </c>
    </row>
    <row r="411" spans="1:10" hidden="1" x14ac:dyDescent="0.3">
      <c r="A411" s="1781">
        <v>9</v>
      </c>
      <c r="B411" s="1781" t="s">
        <v>380</v>
      </c>
      <c r="C411" s="137" t="s">
        <v>138</v>
      </c>
      <c r="D411" s="642" t="s">
        <v>381</v>
      </c>
      <c r="E411" s="137" t="s">
        <v>125</v>
      </c>
      <c r="F411" s="151">
        <v>1400000</v>
      </c>
      <c r="G411" s="137" t="s">
        <v>43</v>
      </c>
      <c r="H411" s="137" t="s">
        <v>271</v>
      </c>
      <c r="I411" s="137" t="s">
        <v>36</v>
      </c>
      <c r="J411" s="137">
        <v>1</v>
      </c>
    </row>
    <row r="412" spans="1:10" hidden="1" x14ac:dyDescent="0.3">
      <c r="A412" s="1781">
        <v>10</v>
      </c>
      <c r="B412" s="1781" t="s">
        <v>382</v>
      </c>
      <c r="C412" s="137" t="s">
        <v>138</v>
      </c>
      <c r="D412" s="642" t="s">
        <v>383</v>
      </c>
      <c r="E412" s="137" t="s">
        <v>125</v>
      </c>
      <c r="F412" s="151">
        <v>800</v>
      </c>
      <c r="G412" s="137" t="s">
        <v>43</v>
      </c>
      <c r="H412" s="137" t="s">
        <v>271</v>
      </c>
      <c r="I412" s="137" t="s">
        <v>36</v>
      </c>
      <c r="J412" s="137">
        <v>1</v>
      </c>
    </row>
    <row r="413" spans="1:10" hidden="1" x14ac:dyDescent="0.3">
      <c r="A413" s="1781">
        <v>11</v>
      </c>
      <c r="B413" s="1781"/>
      <c r="C413" s="137"/>
      <c r="D413" s="642"/>
      <c r="E413" s="137"/>
      <c r="F413" s="151"/>
      <c r="G413" s="137"/>
      <c r="H413" s="137"/>
      <c r="I413" s="137"/>
      <c r="J413" s="137"/>
    </row>
    <row r="414" spans="1:10" hidden="1" x14ac:dyDescent="0.3">
      <c r="A414" s="1781">
        <v>12</v>
      </c>
      <c r="B414" s="1781"/>
      <c r="C414" s="137"/>
      <c r="D414" s="642"/>
      <c r="E414" s="137"/>
      <c r="F414" s="151"/>
      <c r="G414" s="137"/>
      <c r="H414" s="137"/>
      <c r="I414" s="137"/>
      <c r="J414" s="137"/>
    </row>
    <row r="415" spans="1:10" hidden="1" x14ac:dyDescent="0.3">
      <c r="A415" s="1781">
        <v>13</v>
      </c>
      <c r="B415" s="1781"/>
      <c r="C415" s="137"/>
      <c r="D415" s="642"/>
      <c r="E415" s="137"/>
      <c r="F415" s="151"/>
      <c r="G415" s="137"/>
      <c r="H415" s="137"/>
      <c r="I415" s="137"/>
      <c r="J415" s="137"/>
    </row>
    <row r="416" spans="1:10" hidden="1" x14ac:dyDescent="0.3">
      <c r="A416" s="1781">
        <v>14</v>
      </c>
      <c r="B416" s="1781"/>
      <c r="C416" s="137"/>
      <c r="D416" s="642"/>
      <c r="E416" s="137"/>
      <c r="F416" s="151"/>
      <c r="G416" s="137"/>
      <c r="H416" s="137"/>
      <c r="I416" s="137"/>
      <c r="J416" s="137"/>
    </row>
    <row r="417" spans="1:10" hidden="1" x14ac:dyDescent="0.3">
      <c r="A417" s="1781">
        <v>15</v>
      </c>
      <c r="B417" s="1781"/>
      <c r="C417" s="137"/>
      <c r="D417" s="642"/>
      <c r="E417" s="137"/>
      <c r="F417" s="151"/>
      <c r="G417" s="137"/>
      <c r="H417" s="137"/>
      <c r="I417" s="137"/>
      <c r="J417" s="137"/>
    </row>
    <row r="418" spans="1:10" hidden="1" x14ac:dyDescent="0.3">
      <c r="A418" s="1781">
        <v>16</v>
      </c>
      <c r="B418" s="1781"/>
      <c r="C418" s="137"/>
      <c r="D418" s="642"/>
      <c r="E418" s="137"/>
      <c r="F418" s="151"/>
      <c r="G418" s="137"/>
      <c r="H418" s="137"/>
      <c r="I418" s="137"/>
      <c r="J418" s="137"/>
    </row>
    <row r="419" spans="1:10" hidden="1" x14ac:dyDescent="0.3">
      <c r="A419" s="1781">
        <v>17</v>
      </c>
      <c r="B419" s="1781"/>
      <c r="C419" s="137"/>
      <c r="D419" s="642"/>
      <c r="E419" s="137"/>
      <c r="F419" s="151"/>
      <c r="G419" s="137"/>
      <c r="H419" s="137"/>
      <c r="I419" s="137"/>
      <c r="J419" s="137"/>
    </row>
    <row r="420" spans="1:10" hidden="1" x14ac:dyDescent="0.3">
      <c r="A420" s="1781">
        <v>18</v>
      </c>
      <c r="B420" s="1781"/>
      <c r="C420" s="137"/>
      <c r="D420" s="642"/>
      <c r="E420" s="137"/>
      <c r="F420" s="151"/>
      <c r="G420" s="137"/>
      <c r="H420" s="137"/>
      <c r="I420" s="137"/>
      <c r="J420" s="137"/>
    </row>
    <row r="421" spans="1:10" hidden="1" x14ac:dyDescent="0.3">
      <c r="A421" s="1781">
        <v>19</v>
      </c>
      <c r="B421" s="1781"/>
      <c r="C421" s="137"/>
      <c r="D421" s="642"/>
      <c r="E421" s="137"/>
      <c r="F421" s="151"/>
      <c r="G421" s="137"/>
      <c r="H421" s="137"/>
      <c r="I421" s="137"/>
      <c r="J421" s="137"/>
    </row>
    <row r="422" spans="1:10" hidden="1" x14ac:dyDescent="0.3">
      <c r="A422" s="1781">
        <v>20</v>
      </c>
      <c r="B422" s="1781"/>
      <c r="C422" s="137"/>
      <c r="D422" s="137"/>
      <c r="E422" s="137"/>
      <c r="F422" s="151"/>
      <c r="G422" s="137"/>
      <c r="H422" s="137"/>
      <c r="I422" s="137"/>
      <c r="J422" s="137"/>
    </row>
    <row r="423" spans="1:10" ht="21" hidden="1" x14ac:dyDescent="0.4">
      <c r="A423" s="137"/>
      <c r="B423" s="1781"/>
      <c r="C423" s="137"/>
      <c r="D423" s="137"/>
      <c r="E423" s="137"/>
      <c r="F423" s="138"/>
      <c r="G423" s="137"/>
      <c r="H423" s="137"/>
      <c r="I423" s="137"/>
      <c r="J423" s="139"/>
    </row>
    <row r="424" spans="1:10" hidden="1" x14ac:dyDescent="0.3">
      <c r="A424" s="3473" t="s">
        <v>33</v>
      </c>
      <c r="B424" s="3473"/>
      <c r="C424" s="3473"/>
      <c r="D424" s="3473"/>
      <c r="E424" s="3473"/>
      <c r="F424" s="3473"/>
      <c r="G424" s="3473"/>
      <c r="H424" s="3473"/>
      <c r="I424" s="3473"/>
      <c r="J424" s="3473"/>
    </row>
    <row r="425" spans="1:10" hidden="1" x14ac:dyDescent="0.3">
      <c r="A425" s="137" t="s">
        <v>3</v>
      </c>
      <c r="B425" s="1781" t="s">
        <v>4</v>
      </c>
      <c r="C425" s="137" t="s">
        <v>5</v>
      </c>
      <c r="D425" s="137" t="s">
        <v>6</v>
      </c>
      <c r="E425" s="137" t="s">
        <v>7</v>
      </c>
      <c r="F425" s="137" t="s">
        <v>8</v>
      </c>
      <c r="G425" s="137" t="s">
        <v>9</v>
      </c>
      <c r="H425" s="137" t="s">
        <v>10</v>
      </c>
      <c r="I425" s="137" t="s">
        <v>11</v>
      </c>
      <c r="J425" s="137" t="s">
        <v>12</v>
      </c>
    </row>
    <row r="426" spans="1:10" hidden="1" x14ac:dyDescent="0.3">
      <c r="A426" s="549">
        <v>1</v>
      </c>
      <c r="B426" s="3393" t="s">
        <v>369</v>
      </c>
      <c r="C426" s="152" t="s">
        <v>138</v>
      </c>
      <c r="D426" s="152" t="s">
        <v>384</v>
      </c>
      <c r="E426" s="152" t="s">
        <v>294</v>
      </c>
      <c r="F426" s="152">
        <v>235000000</v>
      </c>
      <c r="G426" s="152" t="s">
        <v>385</v>
      </c>
      <c r="H426" s="152" t="s">
        <v>271</v>
      </c>
      <c r="I426" s="152" t="s">
        <v>36</v>
      </c>
      <c r="J426" s="200">
        <v>1</v>
      </c>
    </row>
    <row r="427" spans="1:10" hidden="1" x14ac:dyDescent="0.3">
      <c r="A427" s="549">
        <v>2</v>
      </c>
      <c r="B427" s="3393" t="s">
        <v>369</v>
      </c>
      <c r="C427" s="152" t="s">
        <v>138</v>
      </c>
      <c r="D427" s="152" t="s">
        <v>386</v>
      </c>
      <c r="E427" s="152" t="s">
        <v>294</v>
      </c>
      <c r="F427" s="152">
        <v>190000000</v>
      </c>
      <c r="G427" s="152" t="s">
        <v>385</v>
      </c>
      <c r="H427" s="152" t="s">
        <v>271</v>
      </c>
      <c r="I427" s="152" t="s">
        <v>36</v>
      </c>
      <c r="J427" s="200">
        <v>1</v>
      </c>
    </row>
    <row r="428" spans="1:10" hidden="1" x14ac:dyDescent="0.3">
      <c r="A428" s="597">
        <v>3</v>
      </c>
      <c r="B428" s="3394" t="s">
        <v>369</v>
      </c>
      <c r="C428" s="154" t="s">
        <v>138</v>
      </c>
      <c r="D428" s="154" t="s">
        <v>283</v>
      </c>
      <c r="E428" s="154" t="s">
        <v>387</v>
      </c>
      <c r="F428" s="154">
        <v>125000000</v>
      </c>
      <c r="G428" s="154" t="s">
        <v>284</v>
      </c>
      <c r="H428" s="154" t="s">
        <v>271</v>
      </c>
      <c r="I428" s="154" t="s">
        <v>36</v>
      </c>
      <c r="J428" s="598">
        <v>1</v>
      </c>
    </row>
    <row r="429" spans="1:10" hidden="1" x14ac:dyDescent="0.3">
      <c r="A429" s="595">
        <v>4</v>
      </c>
      <c r="B429" s="3395"/>
      <c r="C429" s="156"/>
      <c r="D429" s="156"/>
      <c r="E429" s="156"/>
      <c r="F429" s="156"/>
      <c r="G429" s="156"/>
      <c r="H429" s="156"/>
      <c r="I429" s="156"/>
      <c r="J429" s="144"/>
    </row>
    <row r="430" spans="1:10" hidden="1" x14ac:dyDescent="0.3">
      <c r="A430" s="595">
        <v>5</v>
      </c>
      <c r="B430" s="3395"/>
      <c r="C430" s="156"/>
      <c r="D430" s="156"/>
      <c r="E430" s="156"/>
      <c r="F430" s="156"/>
      <c r="G430" s="156"/>
      <c r="H430" s="156"/>
      <c r="I430" s="156"/>
      <c r="J430" s="144"/>
    </row>
    <row r="431" spans="1:10" ht="20.399999999999999" hidden="1" x14ac:dyDescent="0.35">
      <c r="A431" s="144"/>
      <c r="B431" s="595"/>
      <c r="C431" s="144"/>
      <c r="D431" s="144"/>
      <c r="E431" s="144"/>
      <c r="F431" s="144"/>
      <c r="G431" s="144"/>
      <c r="H431" s="144"/>
      <c r="I431" s="144"/>
      <c r="J431" s="596">
        <f>J426+J427+J428</f>
        <v>3</v>
      </c>
    </row>
    <row r="432" spans="1:10" hidden="1" x14ac:dyDescent="0.3"/>
    <row r="433" spans="1:10" ht="23.4" hidden="1" x14ac:dyDescent="0.3">
      <c r="A433" s="3483" t="s">
        <v>47</v>
      </c>
      <c r="B433" s="3483"/>
      <c r="C433" s="3483"/>
      <c r="D433" s="3483"/>
      <c r="E433" s="3483"/>
      <c r="F433" s="3483"/>
      <c r="G433" s="3483"/>
      <c r="H433" s="3483"/>
      <c r="I433" s="3483"/>
      <c r="J433" s="3483"/>
    </row>
    <row r="434" spans="1:10" ht="15.6" hidden="1" x14ac:dyDescent="0.3">
      <c r="A434" s="3461" t="s">
        <v>2</v>
      </c>
      <c r="B434" s="3461"/>
      <c r="C434" s="3461"/>
      <c r="D434" s="3461"/>
      <c r="E434" s="3461"/>
      <c r="F434" s="3461"/>
      <c r="G434" s="3461"/>
      <c r="H434" s="3461"/>
      <c r="I434" s="3461"/>
      <c r="J434" s="3461"/>
    </row>
    <row r="435" spans="1:10" hidden="1" x14ac:dyDescent="0.3">
      <c r="A435" s="137" t="s">
        <v>3</v>
      </c>
      <c r="B435" s="1781" t="s">
        <v>4</v>
      </c>
      <c r="C435" s="137" t="s">
        <v>5</v>
      </c>
      <c r="D435" s="137" t="s">
        <v>6</v>
      </c>
      <c r="E435" s="137" t="s">
        <v>7</v>
      </c>
      <c r="F435" s="137" t="s">
        <v>8</v>
      </c>
      <c r="G435" s="137" t="s">
        <v>9</v>
      </c>
      <c r="H435" s="137" t="s">
        <v>10</v>
      </c>
      <c r="I435" s="137" t="s">
        <v>11</v>
      </c>
      <c r="J435" s="137" t="s">
        <v>12</v>
      </c>
    </row>
    <row r="436" spans="1:10" hidden="1" x14ac:dyDescent="0.3">
      <c r="A436" s="1781">
        <v>1</v>
      </c>
      <c r="B436" s="3392" t="s">
        <v>388</v>
      </c>
      <c r="C436" s="150" t="s">
        <v>138</v>
      </c>
      <c r="D436" s="150" t="s">
        <v>389</v>
      </c>
      <c r="E436" s="150" t="s">
        <v>390</v>
      </c>
      <c r="F436" s="151">
        <v>1100000</v>
      </c>
      <c r="G436" s="150" t="s">
        <v>391</v>
      </c>
      <c r="H436" s="150" t="s">
        <v>271</v>
      </c>
      <c r="I436" s="150" t="s">
        <v>36</v>
      </c>
      <c r="J436" s="272">
        <v>1</v>
      </c>
    </row>
    <row r="437" spans="1:10" hidden="1" x14ac:dyDescent="0.3">
      <c r="A437" s="1781">
        <v>2</v>
      </c>
      <c r="B437" s="3392" t="s">
        <v>372</v>
      </c>
      <c r="C437" s="150" t="s">
        <v>138</v>
      </c>
      <c r="D437" s="150" t="s">
        <v>392</v>
      </c>
      <c r="E437" s="150" t="s">
        <v>125</v>
      </c>
      <c r="F437" s="150">
        <v>1200000</v>
      </c>
      <c r="G437" s="150" t="s">
        <v>144</v>
      </c>
      <c r="H437" s="150" t="s">
        <v>271</v>
      </c>
      <c r="I437" s="150" t="s">
        <v>36</v>
      </c>
      <c r="J437" s="272">
        <v>1</v>
      </c>
    </row>
    <row r="438" spans="1:10" hidden="1" x14ac:dyDescent="0.3">
      <c r="A438" s="1781">
        <v>3</v>
      </c>
      <c r="B438" s="3392" t="s">
        <v>372</v>
      </c>
      <c r="C438" s="150" t="s">
        <v>138</v>
      </c>
      <c r="D438" s="150" t="s">
        <v>77</v>
      </c>
      <c r="E438" s="150" t="s">
        <v>393</v>
      </c>
      <c r="F438" s="150">
        <v>1100000</v>
      </c>
      <c r="G438" s="150" t="s">
        <v>394</v>
      </c>
      <c r="H438" s="150" t="s">
        <v>271</v>
      </c>
      <c r="I438" s="150" t="s">
        <v>36</v>
      </c>
      <c r="J438" s="272">
        <v>1</v>
      </c>
    </row>
    <row r="439" spans="1:10" hidden="1" x14ac:dyDescent="0.3">
      <c r="A439" s="1781">
        <v>4</v>
      </c>
      <c r="B439" s="1781" t="s">
        <v>395</v>
      </c>
      <c r="C439" s="150" t="s">
        <v>138</v>
      </c>
      <c r="D439" s="150" t="s">
        <v>396</v>
      </c>
      <c r="E439" s="150" t="s">
        <v>125</v>
      </c>
      <c r="F439" s="150">
        <v>1300000</v>
      </c>
      <c r="G439" s="150" t="s">
        <v>397</v>
      </c>
      <c r="H439" s="150" t="s">
        <v>271</v>
      </c>
      <c r="I439" s="150" t="s">
        <v>36</v>
      </c>
      <c r="J439" s="272">
        <v>1</v>
      </c>
    </row>
    <row r="440" spans="1:10" hidden="1" x14ac:dyDescent="0.3">
      <c r="A440" s="1781">
        <v>5</v>
      </c>
      <c r="B440" s="1781"/>
      <c r="C440" s="150"/>
      <c r="D440" s="150"/>
      <c r="E440" s="150"/>
      <c r="F440" s="150"/>
      <c r="G440" s="150"/>
      <c r="H440" s="150"/>
      <c r="I440" s="150"/>
      <c r="J440" s="272"/>
    </row>
    <row r="441" spans="1:10" hidden="1" x14ac:dyDescent="0.3">
      <c r="A441" s="1781">
        <v>6</v>
      </c>
      <c r="B441" s="1781"/>
      <c r="C441" s="150"/>
      <c r="D441" s="150"/>
      <c r="E441" s="150"/>
      <c r="F441" s="150"/>
      <c r="G441" s="150"/>
      <c r="H441" s="150"/>
      <c r="I441" s="150"/>
      <c r="J441" s="272"/>
    </row>
    <row r="442" spans="1:10" hidden="1" x14ac:dyDescent="0.3">
      <c r="A442" s="1781">
        <v>7</v>
      </c>
      <c r="B442" s="1781"/>
      <c r="C442" s="150"/>
      <c r="D442" s="150"/>
      <c r="E442" s="150"/>
      <c r="F442" s="150"/>
      <c r="G442" s="150"/>
      <c r="H442" s="150"/>
      <c r="I442" s="150"/>
      <c r="J442" s="272"/>
    </row>
    <row r="443" spans="1:10" hidden="1" x14ac:dyDescent="0.3">
      <c r="A443" s="1781">
        <v>8</v>
      </c>
      <c r="B443" s="1781"/>
      <c r="C443" s="150"/>
      <c r="D443" s="150"/>
      <c r="E443" s="150"/>
      <c r="F443" s="150"/>
      <c r="G443" s="150"/>
      <c r="H443" s="150"/>
      <c r="I443" s="150"/>
      <c r="J443" s="272"/>
    </row>
    <row r="444" spans="1:10" hidden="1" x14ac:dyDescent="0.3">
      <c r="A444" s="1781">
        <v>9</v>
      </c>
      <c r="B444" s="1781"/>
      <c r="C444" s="137"/>
      <c r="D444" s="137"/>
      <c r="E444" s="137"/>
      <c r="F444" s="150"/>
      <c r="G444" s="137"/>
      <c r="H444" s="137"/>
      <c r="I444" s="137"/>
      <c r="J444" s="137"/>
    </row>
    <row r="445" spans="1:10" hidden="1" x14ac:dyDescent="0.3">
      <c r="A445" s="1781">
        <v>10</v>
      </c>
      <c r="B445" s="1781"/>
      <c r="C445" s="137"/>
      <c r="D445" s="137"/>
      <c r="E445" s="137"/>
      <c r="F445" s="137"/>
      <c r="G445" s="137"/>
      <c r="H445" s="137"/>
      <c r="I445" s="137"/>
      <c r="J445" s="137"/>
    </row>
    <row r="446" spans="1:10" hidden="1" x14ac:dyDescent="0.3">
      <c r="A446" s="1781">
        <v>11</v>
      </c>
      <c r="B446" s="1781"/>
      <c r="C446" s="137"/>
      <c r="D446" s="137"/>
      <c r="E446" s="137"/>
      <c r="F446" s="137"/>
      <c r="G446" s="137"/>
      <c r="H446" s="137"/>
      <c r="I446" s="137"/>
      <c r="J446" s="137"/>
    </row>
    <row r="447" spans="1:10" hidden="1" x14ac:dyDescent="0.3">
      <c r="A447" s="1781">
        <v>12</v>
      </c>
      <c r="B447" s="1781"/>
      <c r="C447" s="137"/>
      <c r="D447" s="137"/>
      <c r="E447" s="137"/>
      <c r="F447" s="137"/>
      <c r="G447" s="137"/>
      <c r="H447" s="137"/>
      <c r="I447" s="137"/>
      <c r="J447" s="137"/>
    </row>
    <row r="448" spans="1:10" hidden="1" x14ac:dyDescent="0.3">
      <c r="A448" s="1781">
        <v>13</v>
      </c>
      <c r="B448" s="1781"/>
      <c r="C448" s="137"/>
      <c r="D448" s="137"/>
      <c r="E448" s="137"/>
      <c r="F448" s="137"/>
      <c r="G448" s="137"/>
      <c r="H448" s="137"/>
      <c r="I448" s="137"/>
      <c r="J448" s="137"/>
    </row>
    <row r="449" spans="1:10" hidden="1" x14ac:dyDescent="0.3">
      <c r="A449" s="1781">
        <v>14</v>
      </c>
      <c r="B449" s="1781"/>
      <c r="C449" s="137"/>
      <c r="D449" s="137"/>
      <c r="E449" s="137"/>
      <c r="F449" s="137"/>
      <c r="G449" s="137"/>
      <c r="H449" s="137"/>
      <c r="I449" s="137"/>
      <c r="J449" s="137"/>
    </row>
    <row r="450" spans="1:10" hidden="1" x14ac:dyDescent="0.3">
      <c r="A450" s="1781">
        <v>15</v>
      </c>
      <c r="B450" s="1781"/>
      <c r="C450" s="137"/>
      <c r="D450" s="137"/>
      <c r="E450" s="137"/>
      <c r="F450" s="137"/>
      <c r="G450" s="137"/>
      <c r="H450" s="137"/>
      <c r="I450" s="137"/>
      <c r="J450" s="137"/>
    </row>
    <row r="451" spans="1:10" hidden="1" x14ac:dyDescent="0.3">
      <c r="A451" s="1781">
        <v>16</v>
      </c>
      <c r="B451" s="1781"/>
      <c r="C451" s="137"/>
      <c r="D451" s="137"/>
      <c r="E451" s="137"/>
      <c r="F451" s="137"/>
      <c r="G451" s="137"/>
      <c r="H451" s="137"/>
      <c r="I451" s="137"/>
      <c r="J451" s="137"/>
    </row>
    <row r="452" spans="1:10" hidden="1" x14ac:dyDescent="0.3">
      <c r="A452" s="1781">
        <v>17</v>
      </c>
      <c r="B452" s="1781"/>
      <c r="C452" s="137"/>
      <c r="D452" s="137"/>
      <c r="E452" s="137"/>
      <c r="F452" s="137"/>
      <c r="G452" s="137"/>
      <c r="H452" s="137"/>
      <c r="I452" s="137"/>
      <c r="J452" s="137"/>
    </row>
    <row r="453" spans="1:10" hidden="1" x14ac:dyDescent="0.3">
      <c r="A453" s="1781">
        <v>18</v>
      </c>
      <c r="B453" s="1781"/>
      <c r="C453" s="137"/>
      <c r="D453" s="137"/>
      <c r="E453" s="137"/>
      <c r="F453" s="137"/>
      <c r="G453" s="137"/>
      <c r="H453" s="137"/>
      <c r="I453" s="137"/>
      <c r="J453" s="137"/>
    </row>
    <row r="454" spans="1:10" hidden="1" x14ac:dyDescent="0.3">
      <c r="A454" s="1781">
        <v>19</v>
      </c>
      <c r="B454" s="1781"/>
      <c r="C454" s="137"/>
      <c r="D454" s="137"/>
      <c r="E454" s="137"/>
      <c r="F454" s="137"/>
      <c r="G454" s="137"/>
      <c r="H454" s="137"/>
      <c r="I454" s="137"/>
      <c r="J454" s="137"/>
    </row>
    <row r="455" spans="1:10" hidden="1" x14ac:dyDescent="0.3">
      <c r="A455" s="1781">
        <v>20</v>
      </c>
      <c r="B455" s="1781"/>
      <c r="C455" s="137"/>
      <c r="D455" s="137"/>
      <c r="E455" s="137"/>
      <c r="F455" s="137"/>
      <c r="G455" s="137"/>
      <c r="H455" s="137"/>
      <c r="I455" s="137"/>
      <c r="J455" s="137"/>
    </row>
    <row r="456" spans="1:10" ht="21" hidden="1" x14ac:dyDescent="0.4">
      <c r="A456" s="137"/>
      <c r="B456" s="1781"/>
      <c r="C456" s="137"/>
      <c r="D456" s="137"/>
      <c r="E456" s="137"/>
      <c r="F456" s="137"/>
      <c r="G456" s="137"/>
      <c r="H456" s="137"/>
      <c r="I456" s="137"/>
      <c r="J456" s="139">
        <f>SUM(J436:J455)</f>
        <v>4</v>
      </c>
    </row>
    <row r="457" spans="1:10" hidden="1" x14ac:dyDescent="0.3">
      <c r="A457" s="3473" t="s">
        <v>33</v>
      </c>
      <c r="B457" s="3473"/>
      <c r="C457" s="3473"/>
      <c r="D457" s="3473"/>
      <c r="E457" s="3473"/>
      <c r="F457" s="3473"/>
      <c r="G457" s="3473"/>
      <c r="H457" s="3473"/>
      <c r="I457" s="3473"/>
      <c r="J457" s="3473"/>
    </row>
    <row r="458" spans="1:10" hidden="1" x14ac:dyDescent="0.3">
      <c r="A458" s="137" t="s">
        <v>3</v>
      </c>
      <c r="B458" s="1781" t="s">
        <v>4</v>
      </c>
      <c r="C458" s="137" t="s">
        <v>5</v>
      </c>
      <c r="D458" s="137" t="s">
        <v>6</v>
      </c>
      <c r="E458" s="137" t="s">
        <v>7</v>
      </c>
      <c r="F458" s="137" t="s">
        <v>8</v>
      </c>
      <c r="G458" s="137" t="s">
        <v>9</v>
      </c>
      <c r="H458" s="137" t="s">
        <v>10</v>
      </c>
      <c r="I458" s="137" t="s">
        <v>11</v>
      </c>
      <c r="J458" s="137" t="s">
        <v>12</v>
      </c>
    </row>
    <row r="459" spans="1:10" hidden="1" x14ac:dyDescent="0.3">
      <c r="A459" s="549">
        <v>1</v>
      </c>
      <c r="B459" s="3393" t="s">
        <v>398</v>
      </c>
      <c r="C459" s="152" t="s">
        <v>138</v>
      </c>
      <c r="D459" s="152" t="s">
        <v>399</v>
      </c>
      <c r="E459" s="152" t="s">
        <v>322</v>
      </c>
      <c r="F459" s="153">
        <v>170000000</v>
      </c>
      <c r="G459" s="152" t="s">
        <v>400</v>
      </c>
      <c r="H459" s="152" t="s">
        <v>44</v>
      </c>
      <c r="I459" s="152" t="s">
        <v>36</v>
      </c>
      <c r="J459" s="140">
        <v>1</v>
      </c>
    </row>
    <row r="460" spans="1:10" hidden="1" x14ac:dyDescent="0.3">
      <c r="A460" s="549">
        <v>2</v>
      </c>
      <c r="B460" s="3393"/>
      <c r="C460" s="152"/>
      <c r="D460" s="152"/>
      <c r="E460" s="152"/>
      <c r="F460" s="153"/>
      <c r="G460" s="152"/>
      <c r="H460" s="152"/>
      <c r="I460" s="152"/>
      <c r="J460" s="140"/>
    </row>
    <row r="461" spans="1:10" hidden="1" x14ac:dyDescent="0.3">
      <c r="A461" s="597">
        <v>3</v>
      </c>
      <c r="B461" s="3394"/>
      <c r="C461" s="154"/>
      <c r="D461" s="154"/>
      <c r="E461" s="154"/>
      <c r="F461" s="155"/>
      <c r="G461" s="154"/>
      <c r="H461" s="154"/>
      <c r="I461" s="154"/>
      <c r="J461" s="143"/>
    </row>
    <row r="462" spans="1:10" hidden="1" x14ac:dyDescent="0.3">
      <c r="A462" s="595">
        <v>4</v>
      </c>
      <c r="B462" s="3395"/>
      <c r="C462" s="156"/>
      <c r="D462" s="156"/>
      <c r="E462" s="156"/>
      <c r="F462" s="157"/>
      <c r="G462" s="156"/>
      <c r="H462" s="156"/>
      <c r="I462" s="156"/>
      <c r="J462" s="144"/>
    </row>
    <row r="463" spans="1:10" ht="21" hidden="1" x14ac:dyDescent="0.4">
      <c r="A463" s="141"/>
      <c r="B463" s="3396"/>
      <c r="C463" s="141"/>
      <c r="D463" s="141"/>
      <c r="E463" s="141"/>
      <c r="F463" s="145"/>
      <c r="G463" s="141"/>
      <c r="H463" s="141"/>
      <c r="I463" s="141"/>
      <c r="J463" s="146"/>
    </row>
    <row r="464" spans="1:10" hidden="1" x14ac:dyDescent="0.3"/>
    <row r="465" spans="1:10" ht="23.4" hidden="1" x14ac:dyDescent="0.3">
      <c r="A465" s="3479" t="s">
        <v>80</v>
      </c>
      <c r="B465" s="3479"/>
      <c r="C465" s="3479"/>
      <c r="D465" s="3479"/>
      <c r="E465" s="3479"/>
      <c r="F465" s="3479"/>
      <c r="G465" s="3479"/>
      <c r="H465" s="3479"/>
      <c r="I465" s="3479"/>
      <c r="J465" s="3479"/>
    </row>
    <row r="466" spans="1:10" ht="15.6" hidden="1" x14ac:dyDescent="0.3">
      <c r="A466" s="3461" t="s">
        <v>2</v>
      </c>
      <c r="B466" s="3461"/>
      <c r="C466" s="3461"/>
      <c r="D466" s="3461"/>
      <c r="E466" s="3461"/>
      <c r="F466" s="3461"/>
      <c r="G466" s="3461"/>
      <c r="H466" s="3461"/>
      <c r="I466" s="3461"/>
      <c r="J466" s="3461"/>
    </row>
    <row r="467" spans="1:10" hidden="1" x14ac:dyDescent="0.3">
      <c r="A467" s="150" t="s">
        <v>3</v>
      </c>
      <c r="B467" s="1781" t="s">
        <v>4</v>
      </c>
      <c r="C467" s="150" t="s">
        <v>5</v>
      </c>
      <c r="D467" s="150" t="s">
        <v>6</v>
      </c>
      <c r="E467" s="150" t="s">
        <v>7</v>
      </c>
      <c r="F467" s="150" t="s">
        <v>8</v>
      </c>
      <c r="G467" s="150" t="s">
        <v>9</v>
      </c>
      <c r="H467" s="150" t="s">
        <v>10</v>
      </c>
      <c r="I467" s="150" t="s">
        <v>11</v>
      </c>
      <c r="J467" s="137" t="s">
        <v>12</v>
      </c>
    </row>
    <row r="468" spans="1:10" hidden="1" x14ac:dyDescent="0.3">
      <c r="A468" s="1781">
        <v>1</v>
      </c>
      <c r="B468" s="1781" t="s">
        <v>401</v>
      </c>
      <c r="C468" s="137" t="s">
        <v>138</v>
      </c>
      <c r="D468" s="137" t="s">
        <v>402</v>
      </c>
      <c r="E468" s="137" t="s">
        <v>39</v>
      </c>
      <c r="F468" s="272">
        <v>750000</v>
      </c>
      <c r="G468" s="137" t="s">
        <v>43</v>
      </c>
      <c r="H468" s="137" t="s">
        <v>271</v>
      </c>
      <c r="I468" s="137" t="s">
        <v>36</v>
      </c>
      <c r="J468" s="137">
        <v>1</v>
      </c>
    </row>
    <row r="469" spans="1:10" hidden="1" x14ac:dyDescent="0.3">
      <c r="A469" s="1781">
        <v>2</v>
      </c>
      <c r="B469" s="1781" t="s">
        <v>401</v>
      </c>
      <c r="C469" s="137" t="s">
        <v>138</v>
      </c>
      <c r="D469" s="137" t="s">
        <v>403</v>
      </c>
      <c r="E469" s="137" t="s">
        <v>125</v>
      </c>
      <c r="F469" s="272">
        <v>1100000</v>
      </c>
      <c r="G469" s="137" t="s">
        <v>43</v>
      </c>
      <c r="H469" s="137" t="s">
        <v>271</v>
      </c>
      <c r="I469" s="137" t="s">
        <v>36</v>
      </c>
      <c r="J469" s="137">
        <v>1</v>
      </c>
    </row>
    <row r="470" spans="1:10" hidden="1" x14ac:dyDescent="0.3">
      <c r="A470" s="1781">
        <v>3</v>
      </c>
      <c r="B470" s="3392" t="s">
        <v>401</v>
      </c>
      <c r="C470" s="137" t="s">
        <v>135</v>
      </c>
      <c r="D470" s="137" t="s">
        <v>404</v>
      </c>
      <c r="E470" s="137" t="s">
        <v>125</v>
      </c>
      <c r="F470" s="272">
        <v>1100000</v>
      </c>
      <c r="G470" s="137" t="s">
        <v>108</v>
      </c>
      <c r="H470" s="137" t="s">
        <v>271</v>
      </c>
      <c r="I470" s="137" t="s">
        <v>36</v>
      </c>
      <c r="J470" s="137">
        <v>1</v>
      </c>
    </row>
    <row r="471" spans="1:10" hidden="1" x14ac:dyDescent="0.3">
      <c r="A471" s="1781">
        <v>4</v>
      </c>
      <c r="B471" s="3397" t="s">
        <v>405</v>
      </c>
      <c r="C471" s="147" t="s">
        <v>138</v>
      </c>
      <c r="D471" s="147" t="s">
        <v>406</v>
      </c>
      <c r="E471" s="147" t="s">
        <v>125</v>
      </c>
      <c r="F471" s="708">
        <v>980000</v>
      </c>
      <c r="G471" s="147" t="s">
        <v>43</v>
      </c>
      <c r="H471" s="147" t="s">
        <v>271</v>
      </c>
      <c r="I471" s="147" t="s">
        <v>36</v>
      </c>
      <c r="J471" s="147">
        <v>1</v>
      </c>
    </row>
    <row r="472" spans="1:10" hidden="1" x14ac:dyDescent="0.3">
      <c r="A472" s="550">
        <v>5</v>
      </c>
      <c r="B472" s="2" t="s">
        <v>407</v>
      </c>
      <c r="C472" s="11" t="s">
        <v>138</v>
      </c>
      <c r="D472" s="11" t="s">
        <v>408</v>
      </c>
      <c r="E472" s="11" t="s">
        <v>125</v>
      </c>
      <c r="F472" s="709">
        <v>1650000</v>
      </c>
      <c r="G472" s="11" t="s">
        <v>409</v>
      </c>
      <c r="H472" s="11" t="s">
        <v>271</v>
      </c>
      <c r="I472" s="11" t="s">
        <v>36</v>
      </c>
      <c r="J472" s="11">
        <v>1</v>
      </c>
    </row>
    <row r="473" spans="1:10" hidden="1" x14ac:dyDescent="0.3">
      <c r="A473" s="550">
        <v>6</v>
      </c>
      <c r="B473" s="2" t="s">
        <v>405</v>
      </c>
      <c r="C473" s="11" t="s">
        <v>138</v>
      </c>
      <c r="D473" s="11" t="s">
        <v>410</v>
      </c>
      <c r="E473" s="11" t="s">
        <v>125</v>
      </c>
      <c r="F473" s="709">
        <v>1200000</v>
      </c>
      <c r="G473" s="11" t="s">
        <v>40</v>
      </c>
      <c r="H473" s="11" t="s">
        <v>271</v>
      </c>
      <c r="I473" s="11" t="s">
        <v>36</v>
      </c>
      <c r="J473" s="11">
        <v>1</v>
      </c>
    </row>
    <row r="474" spans="1:10" hidden="1" x14ac:dyDescent="0.3">
      <c r="A474" s="550">
        <v>7</v>
      </c>
      <c r="B474" s="2" t="s">
        <v>411</v>
      </c>
      <c r="C474" s="11" t="s">
        <v>138</v>
      </c>
      <c r="D474" s="11" t="s">
        <v>412</v>
      </c>
      <c r="E474" s="11" t="s">
        <v>125</v>
      </c>
      <c r="F474" s="709">
        <v>950000</v>
      </c>
      <c r="G474" s="11" t="s">
        <v>43</v>
      </c>
      <c r="H474" s="11" t="s">
        <v>271</v>
      </c>
      <c r="I474" s="11" t="s">
        <v>36</v>
      </c>
      <c r="J474" s="11">
        <v>1</v>
      </c>
    </row>
    <row r="475" spans="1:10" hidden="1" x14ac:dyDescent="0.3">
      <c r="A475" s="550">
        <v>8</v>
      </c>
      <c r="B475" s="2" t="s">
        <v>413</v>
      </c>
      <c r="C475" s="11" t="s">
        <v>138</v>
      </c>
      <c r="D475" s="11" t="s">
        <v>414</v>
      </c>
      <c r="E475" s="11" t="s">
        <v>125</v>
      </c>
      <c r="F475" s="709">
        <v>1150000</v>
      </c>
      <c r="G475" s="11" t="s">
        <v>94</v>
      </c>
      <c r="H475" s="11" t="s">
        <v>271</v>
      </c>
      <c r="I475" s="11" t="s">
        <v>36</v>
      </c>
      <c r="J475" s="11">
        <v>1</v>
      </c>
    </row>
    <row r="476" spans="1:10" hidden="1" x14ac:dyDescent="0.3">
      <c r="A476" s="1781">
        <v>9</v>
      </c>
      <c r="B476" s="3398" t="s">
        <v>374</v>
      </c>
      <c r="C476" s="148" t="s">
        <v>138</v>
      </c>
      <c r="D476" s="148" t="s">
        <v>415</v>
      </c>
      <c r="E476" s="148" t="s">
        <v>125</v>
      </c>
      <c r="F476" s="710">
        <v>1200000</v>
      </c>
      <c r="G476" s="148" t="s">
        <v>416</v>
      </c>
      <c r="H476" s="148" t="s">
        <v>271</v>
      </c>
      <c r="I476" s="148" t="s">
        <v>36</v>
      </c>
      <c r="J476" s="148">
        <v>1</v>
      </c>
    </row>
    <row r="477" spans="1:10" hidden="1" x14ac:dyDescent="0.3">
      <c r="A477" s="1781">
        <v>10</v>
      </c>
      <c r="B477" s="1781" t="s">
        <v>376</v>
      </c>
      <c r="C477" s="137" t="s">
        <v>138</v>
      </c>
      <c r="D477" s="137" t="s">
        <v>417</v>
      </c>
      <c r="E477" s="137" t="s">
        <v>125</v>
      </c>
      <c r="F477" s="272" t="s">
        <v>418</v>
      </c>
      <c r="G477" s="137" t="s">
        <v>419</v>
      </c>
      <c r="H477" s="137" t="s">
        <v>271</v>
      </c>
      <c r="I477" s="137" t="s">
        <v>36</v>
      </c>
      <c r="J477" s="137">
        <v>1</v>
      </c>
    </row>
    <row r="478" spans="1:10" hidden="1" x14ac:dyDescent="0.3">
      <c r="A478" s="1781">
        <v>11</v>
      </c>
      <c r="B478" s="1781" t="s">
        <v>376</v>
      </c>
      <c r="C478" s="137" t="s">
        <v>138</v>
      </c>
      <c r="D478" s="137" t="s">
        <v>420</v>
      </c>
      <c r="E478" s="137" t="s">
        <v>125</v>
      </c>
      <c r="F478" s="272">
        <v>940000</v>
      </c>
      <c r="G478" s="137" t="s">
        <v>235</v>
      </c>
      <c r="H478" s="137" t="s">
        <v>271</v>
      </c>
      <c r="I478" s="137" t="s">
        <v>36</v>
      </c>
      <c r="J478" s="137">
        <v>1</v>
      </c>
    </row>
    <row r="479" spans="1:10" hidden="1" x14ac:dyDescent="0.3">
      <c r="A479" s="1781">
        <v>12</v>
      </c>
      <c r="B479" s="1781" t="s">
        <v>421</v>
      </c>
      <c r="C479" s="137" t="s">
        <v>138</v>
      </c>
      <c r="D479" s="137" t="s">
        <v>422</v>
      </c>
      <c r="E479" s="137" t="s">
        <v>125</v>
      </c>
      <c r="F479" s="137">
        <v>1200000</v>
      </c>
      <c r="G479" s="137" t="s">
        <v>346</v>
      </c>
      <c r="H479" s="137" t="s">
        <v>271</v>
      </c>
      <c r="I479" s="137" t="s">
        <v>36</v>
      </c>
      <c r="J479" s="137">
        <v>1</v>
      </c>
    </row>
    <row r="480" spans="1:10" hidden="1" x14ac:dyDescent="0.3">
      <c r="A480" s="1781">
        <v>13</v>
      </c>
      <c r="B480" s="1781" t="s">
        <v>423</v>
      </c>
      <c r="C480" s="137" t="s">
        <v>138</v>
      </c>
      <c r="D480" s="137" t="s">
        <v>424</v>
      </c>
      <c r="E480" s="137" t="s">
        <v>125</v>
      </c>
      <c r="F480" s="137">
        <v>1300000</v>
      </c>
      <c r="G480" s="137" t="s">
        <v>235</v>
      </c>
      <c r="H480" s="137" t="s">
        <v>271</v>
      </c>
      <c r="I480" s="137" t="s">
        <v>36</v>
      </c>
      <c r="J480" s="137">
        <v>1</v>
      </c>
    </row>
    <row r="481" spans="1:10" hidden="1" x14ac:dyDescent="0.3">
      <c r="A481" s="1781">
        <v>14</v>
      </c>
      <c r="B481" s="1781" t="s">
        <v>398</v>
      </c>
      <c r="C481" s="137" t="s">
        <v>138</v>
      </c>
      <c r="D481" s="137" t="s">
        <v>425</v>
      </c>
      <c r="E481" s="137" t="s">
        <v>125</v>
      </c>
      <c r="F481" s="137">
        <v>1350000</v>
      </c>
      <c r="G481" s="137" t="s">
        <v>359</v>
      </c>
      <c r="H481" s="137" t="s">
        <v>271</v>
      </c>
      <c r="I481" s="137" t="s">
        <v>36</v>
      </c>
      <c r="J481" s="137">
        <v>1</v>
      </c>
    </row>
    <row r="482" spans="1:10" hidden="1" x14ac:dyDescent="0.3">
      <c r="A482" s="1781">
        <v>15</v>
      </c>
      <c r="B482" s="1781" t="s">
        <v>398</v>
      </c>
      <c r="C482" s="137" t="s">
        <v>138</v>
      </c>
      <c r="D482" s="137" t="s">
        <v>426</v>
      </c>
      <c r="E482" s="137" t="s">
        <v>125</v>
      </c>
      <c r="F482" s="137">
        <v>1200000</v>
      </c>
      <c r="G482" s="137" t="s">
        <v>40</v>
      </c>
      <c r="H482" s="137" t="s">
        <v>271</v>
      </c>
      <c r="I482" s="137" t="s">
        <v>36</v>
      </c>
      <c r="J482" s="137">
        <v>1</v>
      </c>
    </row>
    <row r="483" spans="1:10" hidden="1" x14ac:dyDescent="0.3">
      <c r="A483" s="1781">
        <v>16</v>
      </c>
      <c r="B483" s="1781" t="s">
        <v>398</v>
      </c>
      <c r="C483" s="137" t="s">
        <v>138</v>
      </c>
      <c r="D483" s="137" t="s">
        <v>427</v>
      </c>
      <c r="E483" s="137" t="s">
        <v>125</v>
      </c>
      <c r="F483" s="137">
        <v>1400000</v>
      </c>
      <c r="G483" s="137" t="s">
        <v>40</v>
      </c>
      <c r="H483" s="137" t="s">
        <v>271</v>
      </c>
      <c r="I483" s="137" t="s">
        <v>36</v>
      </c>
      <c r="J483" s="137">
        <v>1</v>
      </c>
    </row>
    <row r="484" spans="1:10" hidden="1" x14ac:dyDescent="0.3">
      <c r="A484" s="1781">
        <v>17</v>
      </c>
      <c r="B484" s="1781" t="s">
        <v>428</v>
      </c>
      <c r="C484" s="137" t="s">
        <v>138</v>
      </c>
      <c r="D484" s="137" t="s">
        <v>429</v>
      </c>
      <c r="E484" s="137" t="s">
        <v>125</v>
      </c>
      <c r="F484" s="137">
        <v>800000</v>
      </c>
      <c r="G484" s="137" t="s">
        <v>430</v>
      </c>
      <c r="H484" s="137" t="s">
        <v>271</v>
      </c>
      <c r="I484" s="137" t="s">
        <v>36</v>
      </c>
      <c r="J484" s="137">
        <v>1</v>
      </c>
    </row>
    <row r="485" spans="1:10" hidden="1" x14ac:dyDescent="0.3">
      <c r="A485" s="1781">
        <v>18</v>
      </c>
      <c r="B485" s="1781" t="s">
        <v>428</v>
      </c>
      <c r="C485" s="137" t="s">
        <v>138</v>
      </c>
      <c r="D485" s="137" t="s">
        <v>431</v>
      </c>
      <c r="E485" s="137" t="s">
        <v>239</v>
      </c>
      <c r="F485" s="137">
        <v>2000000</v>
      </c>
      <c r="G485" s="137" t="s">
        <v>43</v>
      </c>
      <c r="H485" s="137" t="s">
        <v>271</v>
      </c>
      <c r="I485" s="137" t="s">
        <v>36</v>
      </c>
      <c r="J485" s="137">
        <v>1</v>
      </c>
    </row>
    <row r="486" spans="1:10" hidden="1" x14ac:dyDescent="0.3">
      <c r="A486" s="1781">
        <v>19</v>
      </c>
      <c r="B486" s="1781" t="s">
        <v>428</v>
      </c>
      <c r="C486" s="137" t="s">
        <v>138</v>
      </c>
      <c r="D486" s="137" t="s">
        <v>432</v>
      </c>
      <c r="E486" s="137" t="s">
        <v>125</v>
      </c>
      <c r="F486" s="137">
        <v>1300000</v>
      </c>
      <c r="G486" s="137" t="s">
        <v>289</v>
      </c>
      <c r="H486" s="137" t="s">
        <v>271</v>
      </c>
      <c r="I486" s="137" t="s">
        <v>36</v>
      </c>
      <c r="J486" s="137">
        <v>1</v>
      </c>
    </row>
    <row r="487" spans="1:10" hidden="1" x14ac:dyDescent="0.3">
      <c r="A487" s="1781">
        <v>20</v>
      </c>
      <c r="B487" s="1781" t="s">
        <v>428</v>
      </c>
      <c r="C487" s="137" t="s">
        <v>138</v>
      </c>
      <c r="D487" s="137" t="s">
        <v>433</v>
      </c>
      <c r="E487" s="137" t="s">
        <v>434</v>
      </c>
      <c r="F487" s="137">
        <v>700</v>
      </c>
      <c r="G487" s="137" t="s">
        <v>43</v>
      </c>
      <c r="H487" s="137" t="s">
        <v>271</v>
      </c>
      <c r="I487" s="137" t="s">
        <v>36</v>
      </c>
      <c r="J487" s="137">
        <v>1</v>
      </c>
    </row>
    <row r="488" spans="1:10" ht="21" hidden="1" x14ac:dyDescent="0.4">
      <c r="A488" s="137"/>
      <c r="B488" s="1781"/>
      <c r="C488" s="137"/>
      <c r="D488" s="137"/>
      <c r="E488" s="137"/>
      <c r="F488" s="137"/>
      <c r="G488" s="137"/>
      <c r="H488" s="137"/>
      <c r="I488" s="137"/>
      <c r="J488" s="139"/>
    </row>
    <row r="489" spans="1:10" hidden="1" x14ac:dyDescent="0.3">
      <c r="A489" s="3473" t="s">
        <v>33</v>
      </c>
      <c r="B489" s="3473"/>
      <c r="C489" s="3473"/>
      <c r="D489" s="3473"/>
      <c r="E489" s="3473"/>
      <c r="F489" s="3473"/>
      <c r="G489" s="3473"/>
      <c r="H489" s="3473"/>
      <c r="I489" s="3473"/>
      <c r="J489" s="3473"/>
    </row>
    <row r="490" spans="1:10" hidden="1" x14ac:dyDescent="0.3">
      <c r="A490" s="150" t="s">
        <v>3</v>
      </c>
      <c r="B490" s="1781" t="s">
        <v>4</v>
      </c>
      <c r="C490" s="150" t="s">
        <v>5</v>
      </c>
      <c r="D490" s="150" t="s">
        <v>6</v>
      </c>
      <c r="E490" s="150" t="s">
        <v>7</v>
      </c>
      <c r="F490" s="150" t="s">
        <v>8</v>
      </c>
      <c r="G490" s="150" t="s">
        <v>9</v>
      </c>
      <c r="H490" s="150" t="s">
        <v>10</v>
      </c>
      <c r="I490" s="150" t="s">
        <v>11</v>
      </c>
      <c r="J490" s="137" t="s">
        <v>12</v>
      </c>
    </row>
    <row r="491" spans="1:10" hidden="1" x14ac:dyDescent="0.3">
      <c r="A491" s="549">
        <v>1</v>
      </c>
      <c r="B491" s="3393" t="s">
        <v>369</v>
      </c>
      <c r="C491" s="152" t="s">
        <v>138</v>
      </c>
      <c r="D491" s="152" t="s">
        <v>435</v>
      </c>
      <c r="E491" s="152" t="s">
        <v>436</v>
      </c>
      <c r="F491" s="162">
        <v>175000000</v>
      </c>
      <c r="G491" s="152" t="s">
        <v>168</v>
      </c>
      <c r="H491" s="152" t="s">
        <v>44</v>
      </c>
      <c r="I491" s="152" t="s">
        <v>36</v>
      </c>
      <c r="J491" s="140">
        <v>1</v>
      </c>
    </row>
    <row r="492" spans="1:10" hidden="1" x14ac:dyDescent="0.3">
      <c r="A492" s="549">
        <v>2</v>
      </c>
      <c r="B492" s="3393" t="s">
        <v>369</v>
      </c>
      <c r="C492" s="152" t="s">
        <v>138</v>
      </c>
      <c r="D492" s="152" t="s">
        <v>437</v>
      </c>
      <c r="E492" s="152" t="s">
        <v>436</v>
      </c>
      <c r="F492" s="162">
        <v>205000000</v>
      </c>
      <c r="G492" s="152" t="s">
        <v>359</v>
      </c>
      <c r="H492" s="152" t="s">
        <v>44</v>
      </c>
      <c r="I492" s="152" t="s">
        <v>36</v>
      </c>
      <c r="J492" s="140">
        <v>1</v>
      </c>
    </row>
    <row r="493" spans="1:10" hidden="1" x14ac:dyDescent="0.3">
      <c r="A493" s="549">
        <v>3</v>
      </c>
      <c r="B493" s="3393" t="s">
        <v>369</v>
      </c>
      <c r="C493" s="152" t="s">
        <v>138</v>
      </c>
      <c r="D493" s="152" t="s">
        <v>438</v>
      </c>
      <c r="E493" s="152" t="s">
        <v>439</v>
      </c>
      <c r="F493" s="162">
        <v>345000000</v>
      </c>
      <c r="G493" s="152" t="s">
        <v>168</v>
      </c>
      <c r="H493" s="152" t="s">
        <v>271</v>
      </c>
      <c r="I493" s="152">
        <v>1</v>
      </c>
      <c r="J493" s="140">
        <v>1</v>
      </c>
    </row>
    <row r="494" spans="1:10" hidden="1" x14ac:dyDescent="0.3">
      <c r="A494" s="549">
        <v>4</v>
      </c>
      <c r="B494" s="3393" t="s">
        <v>376</v>
      </c>
      <c r="C494" s="152" t="s">
        <v>138</v>
      </c>
      <c r="D494" s="152" t="s">
        <v>440</v>
      </c>
      <c r="E494" s="152" t="s">
        <v>441</v>
      </c>
      <c r="F494" s="162">
        <v>580000</v>
      </c>
      <c r="G494" s="152" t="s">
        <v>442</v>
      </c>
      <c r="H494" s="152" t="s">
        <v>44</v>
      </c>
      <c r="I494" s="152" t="s">
        <v>36</v>
      </c>
      <c r="J494" s="140">
        <v>1</v>
      </c>
    </row>
    <row r="495" spans="1:10" ht="21" hidden="1" x14ac:dyDescent="0.4">
      <c r="A495" s="549"/>
      <c r="B495" s="549"/>
      <c r="C495" s="140"/>
      <c r="D495" s="140"/>
      <c r="E495" s="140"/>
      <c r="F495" s="149"/>
      <c r="G495" s="140"/>
      <c r="H495" s="140"/>
      <c r="I495" s="140"/>
      <c r="J495" s="139"/>
    </row>
    <row r="496" spans="1:10" ht="23.4" hidden="1" x14ac:dyDescent="0.3">
      <c r="A496" s="3479" t="s">
        <v>118</v>
      </c>
      <c r="B496" s="3479"/>
      <c r="C496" s="3479"/>
      <c r="D496" s="3479"/>
      <c r="E496" s="3479"/>
      <c r="F496" s="3479"/>
      <c r="G496" s="3479"/>
      <c r="H496" s="3479"/>
      <c r="I496" s="3479"/>
      <c r="J496" s="3479"/>
    </row>
    <row r="497" spans="1:10" ht="15.6" hidden="1" x14ac:dyDescent="0.3">
      <c r="A497" s="3461" t="s">
        <v>2</v>
      </c>
      <c r="B497" s="3461"/>
      <c r="C497" s="3461"/>
      <c r="D497" s="3461"/>
      <c r="E497" s="3461"/>
      <c r="F497" s="3461"/>
      <c r="G497" s="3461"/>
      <c r="H497" s="3461"/>
      <c r="I497" s="3461"/>
      <c r="J497" s="3461"/>
    </row>
    <row r="498" spans="1:10" hidden="1" x14ac:dyDescent="0.3">
      <c r="A498" s="137" t="s">
        <v>3</v>
      </c>
      <c r="B498" s="1781" t="s">
        <v>4</v>
      </c>
      <c r="C498" s="137" t="s">
        <v>5</v>
      </c>
      <c r="D498" s="137" t="s">
        <v>6</v>
      </c>
      <c r="E498" s="137" t="s">
        <v>7</v>
      </c>
      <c r="F498" s="137" t="s">
        <v>8</v>
      </c>
      <c r="G498" s="137" t="s">
        <v>9</v>
      </c>
      <c r="H498" s="137" t="s">
        <v>10</v>
      </c>
      <c r="I498" s="137" t="s">
        <v>11</v>
      </c>
      <c r="J498" s="137" t="s">
        <v>12</v>
      </c>
    </row>
    <row r="499" spans="1:10" hidden="1" x14ac:dyDescent="0.3">
      <c r="A499" s="1781">
        <v>1</v>
      </c>
      <c r="B499" s="3392" t="s">
        <v>443</v>
      </c>
      <c r="C499" s="150" t="s">
        <v>138</v>
      </c>
      <c r="D499" s="150" t="s">
        <v>444</v>
      </c>
      <c r="E499" s="150" t="s">
        <v>125</v>
      </c>
      <c r="F499" s="151">
        <v>900000</v>
      </c>
      <c r="G499" s="150" t="s">
        <v>43</v>
      </c>
      <c r="H499" s="150" t="s">
        <v>271</v>
      </c>
      <c r="I499" s="150" t="s">
        <v>36</v>
      </c>
      <c r="J499" s="137">
        <v>1</v>
      </c>
    </row>
    <row r="500" spans="1:10" hidden="1" x14ac:dyDescent="0.3">
      <c r="A500" s="1781">
        <v>2</v>
      </c>
      <c r="B500" s="3392" t="s">
        <v>395</v>
      </c>
      <c r="C500" s="150" t="s">
        <v>135</v>
      </c>
      <c r="D500" s="150" t="s">
        <v>445</v>
      </c>
      <c r="E500" s="150" t="s">
        <v>446</v>
      </c>
      <c r="F500" s="151">
        <v>5000000</v>
      </c>
      <c r="G500" s="150" t="s">
        <v>43</v>
      </c>
      <c r="H500" s="150" t="s">
        <v>271</v>
      </c>
      <c r="I500" s="150" t="s">
        <v>36</v>
      </c>
      <c r="J500" s="137">
        <v>1</v>
      </c>
    </row>
    <row r="501" spans="1:10" hidden="1" x14ac:dyDescent="0.3">
      <c r="A501" s="1781">
        <v>3</v>
      </c>
      <c r="B501" s="3392"/>
      <c r="C501" s="150"/>
      <c r="D501" s="150"/>
      <c r="E501" s="150"/>
      <c r="F501" s="151"/>
      <c r="G501" s="150"/>
      <c r="H501" s="150"/>
      <c r="I501" s="150"/>
      <c r="J501" s="137"/>
    </row>
    <row r="502" spans="1:10" hidden="1" x14ac:dyDescent="0.3">
      <c r="A502" s="1781">
        <v>4</v>
      </c>
      <c r="B502" s="1781"/>
      <c r="C502" s="150"/>
      <c r="D502" s="150"/>
      <c r="E502" s="150"/>
      <c r="F502" s="150"/>
      <c r="G502" s="150"/>
      <c r="H502" s="150"/>
      <c r="I502" s="150"/>
      <c r="J502" s="137"/>
    </row>
    <row r="503" spans="1:10" hidden="1" x14ac:dyDescent="0.3">
      <c r="A503" s="1781">
        <v>5</v>
      </c>
      <c r="B503" s="1781"/>
      <c r="C503" s="137"/>
      <c r="D503" s="137"/>
      <c r="E503" s="137"/>
      <c r="F503" s="137"/>
      <c r="G503" s="137"/>
      <c r="H503" s="137"/>
      <c r="I503" s="137"/>
      <c r="J503" s="137"/>
    </row>
    <row r="504" spans="1:10" hidden="1" x14ac:dyDescent="0.3">
      <c r="A504" s="1781">
        <v>6</v>
      </c>
      <c r="B504" s="1781"/>
      <c r="C504" s="137"/>
      <c r="D504" s="137"/>
      <c r="E504" s="137"/>
      <c r="F504" s="137"/>
      <c r="G504" s="137"/>
      <c r="H504" s="137"/>
      <c r="I504" s="137"/>
      <c r="J504" s="137"/>
    </row>
    <row r="505" spans="1:10" hidden="1" x14ac:dyDescent="0.3">
      <c r="A505" s="1781">
        <v>7</v>
      </c>
      <c r="B505" s="1781"/>
      <c r="C505" s="137"/>
      <c r="D505" s="137"/>
      <c r="E505" s="137"/>
      <c r="F505" s="137"/>
      <c r="G505" s="137"/>
      <c r="H505" s="137"/>
      <c r="I505" s="137"/>
      <c r="J505" s="137"/>
    </row>
    <row r="506" spans="1:10" hidden="1" x14ac:dyDescent="0.3">
      <c r="A506" s="1781">
        <v>8</v>
      </c>
      <c r="B506" s="1781"/>
      <c r="C506" s="137"/>
      <c r="D506" s="137"/>
      <c r="E506" s="137"/>
      <c r="F506" s="137"/>
      <c r="G506" s="137"/>
      <c r="H506" s="137"/>
      <c r="I506" s="137"/>
      <c r="J506" s="137"/>
    </row>
    <row r="507" spans="1:10" hidden="1" x14ac:dyDescent="0.3">
      <c r="A507" s="1781">
        <v>9</v>
      </c>
      <c r="B507" s="1781"/>
      <c r="C507" s="137"/>
      <c r="D507" s="137"/>
      <c r="E507" s="137"/>
      <c r="F507" s="137"/>
      <c r="G507" s="137"/>
      <c r="H507" s="137"/>
      <c r="I507" s="137"/>
      <c r="J507" s="137"/>
    </row>
    <row r="508" spans="1:10" ht="21" hidden="1" x14ac:dyDescent="0.4">
      <c r="A508" s="1781">
        <v>10</v>
      </c>
      <c r="B508" s="1781"/>
      <c r="C508" s="137"/>
      <c r="D508" s="137"/>
      <c r="E508" s="137"/>
      <c r="F508" s="137"/>
      <c r="G508" s="137"/>
      <c r="H508" s="137"/>
      <c r="I508" s="137"/>
      <c r="J508" s="139"/>
    </row>
    <row r="509" spans="1:10" hidden="1" x14ac:dyDescent="0.3">
      <c r="A509" s="3473" t="s">
        <v>33</v>
      </c>
      <c r="B509" s="3473"/>
      <c r="C509" s="3473"/>
      <c r="D509" s="3473"/>
      <c r="E509" s="3473"/>
      <c r="F509" s="3473"/>
      <c r="G509" s="3473"/>
      <c r="H509" s="3473"/>
      <c r="I509" s="3473"/>
      <c r="J509" s="3473"/>
    </row>
    <row r="510" spans="1:10" hidden="1" x14ac:dyDescent="0.3">
      <c r="A510" s="150" t="s">
        <v>3</v>
      </c>
      <c r="B510" s="1781" t="s">
        <v>4</v>
      </c>
      <c r="C510" s="150" t="s">
        <v>5</v>
      </c>
      <c r="D510" s="150" t="s">
        <v>6</v>
      </c>
      <c r="E510" s="150" t="s">
        <v>7</v>
      </c>
      <c r="F510" s="150" t="s">
        <v>8</v>
      </c>
      <c r="G510" s="150" t="s">
        <v>9</v>
      </c>
      <c r="H510" s="150" t="s">
        <v>10</v>
      </c>
      <c r="I510" s="150" t="s">
        <v>11</v>
      </c>
      <c r="J510" s="137" t="s">
        <v>12</v>
      </c>
    </row>
    <row r="511" spans="1:10" hidden="1" x14ac:dyDescent="0.3">
      <c r="A511" s="549">
        <v>1</v>
      </c>
      <c r="B511" s="3393" t="s">
        <v>369</v>
      </c>
      <c r="C511" s="152" t="s">
        <v>135</v>
      </c>
      <c r="D511" s="586" t="s">
        <v>447</v>
      </c>
      <c r="E511" s="152" t="s">
        <v>448</v>
      </c>
      <c r="F511" s="162">
        <v>410000000</v>
      </c>
      <c r="G511" s="152" t="s">
        <v>168</v>
      </c>
      <c r="H511" s="152" t="s">
        <v>44</v>
      </c>
      <c r="I511" s="152" t="s">
        <v>36</v>
      </c>
      <c r="J511" s="140">
        <v>1</v>
      </c>
    </row>
    <row r="512" spans="1:10" hidden="1" x14ac:dyDescent="0.3">
      <c r="A512" s="549">
        <v>2</v>
      </c>
      <c r="B512" s="3393" t="s">
        <v>372</v>
      </c>
      <c r="C512" s="152" t="s">
        <v>138</v>
      </c>
      <c r="D512" s="152" t="s">
        <v>449</v>
      </c>
      <c r="E512" s="152" t="s">
        <v>450</v>
      </c>
      <c r="F512" s="162">
        <v>177000000</v>
      </c>
      <c r="G512" s="152" t="s">
        <v>168</v>
      </c>
      <c r="H512" s="152" t="s">
        <v>44</v>
      </c>
      <c r="I512" s="152" t="s">
        <v>36</v>
      </c>
      <c r="J512" s="140">
        <v>1</v>
      </c>
    </row>
    <row r="513" spans="1:10" hidden="1" x14ac:dyDescent="0.3">
      <c r="A513" s="549">
        <v>3</v>
      </c>
      <c r="B513" s="3393" t="s">
        <v>395</v>
      </c>
      <c r="C513" s="152" t="s">
        <v>135</v>
      </c>
      <c r="D513" s="152" t="s">
        <v>445</v>
      </c>
      <c r="E513" s="152" t="s">
        <v>446</v>
      </c>
      <c r="F513" s="162">
        <v>1700000000</v>
      </c>
      <c r="G513" s="152" t="s">
        <v>43</v>
      </c>
      <c r="H513" s="152" t="s">
        <v>271</v>
      </c>
      <c r="I513" s="152" t="s">
        <v>36</v>
      </c>
      <c r="J513" s="140">
        <v>1</v>
      </c>
    </row>
    <row r="514" spans="1:10" hidden="1" x14ac:dyDescent="0.3"/>
    <row r="515" spans="1:10" hidden="1" x14ac:dyDescent="0.3"/>
    <row r="516" spans="1:10" hidden="1" x14ac:dyDescent="0.3"/>
    <row r="517" spans="1:10" hidden="1" x14ac:dyDescent="0.3"/>
    <row r="518" spans="1:10" hidden="1" x14ac:dyDescent="0.3">
      <c r="A518" s="3480" t="s">
        <v>451</v>
      </c>
      <c r="B518" s="3481"/>
      <c r="C518" s="3481"/>
      <c r="D518" s="3481"/>
      <c r="E518" s="3481"/>
      <c r="F518" s="3481"/>
      <c r="G518" s="3481"/>
      <c r="H518" s="3481"/>
      <c r="I518" s="3481"/>
      <c r="J518" s="3481"/>
    </row>
    <row r="519" spans="1:10" hidden="1" x14ac:dyDescent="0.3">
      <c r="A519" s="3481"/>
      <c r="B519" s="3481"/>
      <c r="C519" s="3481"/>
      <c r="D519" s="3481"/>
      <c r="E519" s="3481"/>
      <c r="F519" s="3481"/>
      <c r="G519" s="3481"/>
      <c r="H519" s="3481"/>
      <c r="I519" s="3481"/>
      <c r="J519" s="3481"/>
    </row>
    <row r="520" spans="1:10" ht="46.2" hidden="1" x14ac:dyDescent="0.3">
      <c r="B520" s="136"/>
      <c r="C520" s="136"/>
      <c r="D520" s="136"/>
      <c r="E520" s="136"/>
      <c r="F520" s="136"/>
      <c r="G520" s="136"/>
      <c r="H520" s="136"/>
      <c r="I520" s="136"/>
      <c r="J520" s="136"/>
    </row>
    <row r="521" spans="1:10" ht="23.4" hidden="1" x14ac:dyDescent="0.3">
      <c r="A521" s="3482" t="s">
        <v>1</v>
      </c>
      <c r="B521" s="3482"/>
      <c r="C521" s="3482"/>
      <c r="D521" s="3482"/>
      <c r="E521" s="3482"/>
      <c r="F521" s="3482"/>
      <c r="G521" s="3482"/>
      <c r="H521" s="3482"/>
      <c r="I521" s="3482"/>
      <c r="J521" s="3482"/>
    </row>
    <row r="522" spans="1:10" ht="15.6" hidden="1" x14ac:dyDescent="0.3">
      <c r="A522" s="3461" t="s">
        <v>2</v>
      </c>
      <c r="B522" s="3461"/>
      <c r="C522" s="3461"/>
      <c r="D522" s="3461"/>
      <c r="E522" s="3461"/>
      <c r="F522" s="3461"/>
      <c r="G522" s="3461"/>
      <c r="H522" s="3461"/>
      <c r="I522" s="3461"/>
      <c r="J522" s="3461"/>
    </row>
    <row r="523" spans="1:10" hidden="1" x14ac:dyDescent="0.3">
      <c r="A523" s="137" t="s">
        <v>3</v>
      </c>
      <c r="B523" s="1781" t="s">
        <v>4</v>
      </c>
      <c r="C523" s="137" t="s">
        <v>5</v>
      </c>
      <c r="D523" s="137" t="s">
        <v>6</v>
      </c>
      <c r="E523" s="137" t="s">
        <v>7</v>
      </c>
      <c r="F523" s="137" t="s">
        <v>8</v>
      </c>
      <c r="G523" s="137" t="s">
        <v>9</v>
      </c>
      <c r="H523" s="137" t="s">
        <v>10</v>
      </c>
      <c r="I523" s="137" t="s">
        <v>11</v>
      </c>
      <c r="J523" s="137" t="s">
        <v>12</v>
      </c>
    </row>
    <row r="524" spans="1:10" hidden="1" x14ac:dyDescent="0.3">
      <c r="A524" s="1781">
        <v>1</v>
      </c>
      <c r="B524" s="3392" t="s">
        <v>452</v>
      </c>
      <c r="C524" s="150" t="s">
        <v>138</v>
      </c>
      <c r="D524" s="641" t="s">
        <v>453</v>
      </c>
      <c r="E524" s="150" t="s">
        <v>125</v>
      </c>
      <c r="F524" s="151">
        <v>1250000</v>
      </c>
      <c r="G524" s="150" t="s">
        <v>40</v>
      </c>
      <c r="H524" s="150" t="s">
        <v>271</v>
      </c>
      <c r="I524" s="150" t="s">
        <v>36</v>
      </c>
      <c r="J524" s="137">
        <v>1</v>
      </c>
    </row>
    <row r="525" spans="1:10" hidden="1" x14ac:dyDescent="0.3">
      <c r="A525" s="1781">
        <v>2</v>
      </c>
      <c r="B525" s="3392" t="s">
        <v>454</v>
      </c>
      <c r="C525" s="150" t="s">
        <v>37</v>
      </c>
      <c r="D525" s="641" t="s">
        <v>455</v>
      </c>
      <c r="E525" s="150" t="s">
        <v>125</v>
      </c>
      <c r="F525" s="151">
        <v>980000</v>
      </c>
      <c r="G525" s="150" t="s">
        <v>299</v>
      </c>
      <c r="H525" s="150" t="s">
        <v>271</v>
      </c>
      <c r="I525" s="150" t="s">
        <v>36</v>
      </c>
      <c r="J525" s="137">
        <v>1</v>
      </c>
    </row>
    <row r="526" spans="1:10" hidden="1" x14ac:dyDescent="0.3">
      <c r="A526" s="1781">
        <v>3</v>
      </c>
      <c r="B526" s="3392" t="s">
        <v>456</v>
      </c>
      <c r="C526" s="150" t="s">
        <v>138</v>
      </c>
      <c r="D526" s="641" t="s">
        <v>457</v>
      </c>
      <c r="E526" s="150" t="s">
        <v>125</v>
      </c>
      <c r="F526" s="151">
        <v>1200000</v>
      </c>
      <c r="G526" s="150" t="s">
        <v>43</v>
      </c>
      <c r="H526" s="150" t="s">
        <v>271</v>
      </c>
      <c r="I526" s="150" t="s">
        <v>36</v>
      </c>
      <c r="J526" s="137">
        <v>1</v>
      </c>
    </row>
    <row r="527" spans="1:10" hidden="1" x14ac:dyDescent="0.3">
      <c r="A527" s="1781">
        <v>4</v>
      </c>
      <c r="B527" s="3392" t="s">
        <v>456</v>
      </c>
      <c r="C527" s="150" t="s">
        <v>458</v>
      </c>
      <c r="D527" s="641" t="s">
        <v>459</v>
      </c>
      <c r="E527" s="150" t="s">
        <v>216</v>
      </c>
      <c r="F527" s="151" t="s">
        <v>460</v>
      </c>
      <c r="G527" s="150" t="s">
        <v>43</v>
      </c>
      <c r="H527" s="150" t="s">
        <v>271</v>
      </c>
      <c r="I527" s="150" t="s">
        <v>36</v>
      </c>
      <c r="J527" s="137">
        <v>1</v>
      </c>
    </row>
    <row r="528" spans="1:10" hidden="1" x14ac:dyDescent="0.3">
      <c r="A528" s="1781">
        <v>5</v>
      </c>
      <c r="B528" s="1781" t="s">
        <v>461</v>
      </c>
      <c r="C528" s="150" t="s">
        <v>138</v>
      </c>
      <c r="D528" s="641" t="s">
        <v>462</v>
      </c>
      <c r="E528" s="150" t="s">
        <v>125</v>
      </c>
      <c r="F528" s="151">
        <v>1100000</v>
      </c>
      <c r="G528" s="150" t="s">
        <v>463</v>
      </c>
      <c r="H528" s="150" t="s">
        <v>271</v>
      </c>
      <c r="I528" s="150" t="s">
        <v>36</v>
      </c>
      <c r="J528" s="137">
        <v>1</v>
      </c>
    </row>
    <row r="529" spans="1:10" hidden="1" x14ac:dyDescent="0.3">
      <c r="A529" s="1781">
        <v>6</v>
      </c>
      <c r="B529" s="1781"/>
      <c r="C529" s="150"/>
      <c r="D529" s="641"/>
      <c r="E529" s="150"/>
      <c r="F529" s="151"/>
      <c r="G529" s="150"/>
      <c r="H529" s="150"/>
      <c r="I529" s="150"/>
      <c r="J529" s="137"/>
    </row>
    <row r="530" spans="1:10" hidden="1" x14ac:dyDescent="0.3">
      <c r="A530" s="3473" t="s">
        <v>33</v>
      </c>
      <c r="B530" s="3473"/>
      <c r="C530" s="3473"/>
      <c r="D530" s="3473"/>
      <c r="E530" s="3473"/>
      <c r="F530" s="3473"/>
      <c r="G530" s="3473"/>
      <c r="H530" s="3473"/>
      <c r="I530" s="3473"/>
      <c r="J530" s="3473"/>
    </row>
    <row r="531" spans="1:10" hidden="1" x14ac:dyDescent="0.3">
      <c r="A531" s="137" t="s">
        <v>3</v>
      </c>
      <c r="B531" s="1781" t="s">
        <v>4</v>
      </c>
      <c r="C531" s="137" t="s">
        <v>5</v>
      </c>
      <c r="D531" s="137" t="s">
        <v>6</v>
      </c>
      <c r="E531" s="137" t="s">
        <v>7</v>
      </c>
      <c r="F531" s="137" t="s">
        <v>8</v>
      </c>
      <c r="G531" s="137" t="s">
        <v>9</v>
      </c>
      <c r="H531" s="137" t="s">
        <v>10</v>
      </c>
      <c r="I531" s="137" t="s">
        <v>11</v>
      </c>
      <c r="J531" s="137" t="s">
        <v>12</v>
      </c>
    </row>
    <row r="532" spans="1:10" hidden="1" x14ac:dyDescent="0.3">
      <c r="A532" s="549">
        <v>1</v>
      </c>
      <c r="B532" s="3393" t="s">
        <v>464</v>
      </c>
      <c r="C532" s="152" t="s">
        <v>138</v>
      </c>
      <c r="D532" s="152" t="s">
        <v>465</v>
      </c>
      <c r="E532" s="152" t="s">
        <v>125</v>
      </c>
      <c r="F532" s="152">
        <v>250000</v>
      </c>
      <c r="G532" s="152" t="s">
        <v>466</v>
      </c>
      <c r="H532" s="152" t="s">
        <v>271</v>
      </c>
      <c r="I532" s="152" t="s">
        <v>36</v>
      </c>
      <c r="J532" s="200">
        <v>1</v>
      </c>
    </row>
    <row r="533" spans="1:10" hidden="1" x14ac:dyDescent="0.3">
      <c r="A533" s="549">
        <v>2</v>
      </c>
      <c r="B533" s="3393" t="s">
        <v>467</v>
      </c>
      <c r="C533" s="152" t="s">
        <v>138</v>
      </c>
      <c r="D533" s="152" t="s">
        <v>192</v>
      </c>
      <c r="E533" s="152" t="s">
        <v>125</v>
      </c>
      <c r="F533" s="152">
        <v>320000</v>
      </c>
      <c r="G533" s="152" t="s">
        <v>43</v>
      </c>
      <c r="H533" s="152" t="s">
        <v>271</v>
      </c>
      <c r="I533" s="152" t="s">
        <v>36</v>
      </c>
      <c r="J533" s="200">
        <v>1</v>
      </c>
    </row>
    <row r="534" spans="1:10" hidden="1" x14ac:dyDescent="0.3">
      <c r="A534" s="597">
        <v>3</v>
      </c>
      <c r="B534" s="3394"/>
      <c r="C534" s="154"/>
      <c r="D534" s="154"/>
      <c r="E534" s="154"/>
      <c r="F534" s="154"/>
      <c r="G534" s="154"/>
      <c r="H534" s="154"/>
      <c r="I534" s="154"/>
      <c r="J534" s="598"/>
    </row>
    <row r="535" spans="1:10" hidden="1" x14ac:dyDescent="0.3">
      <c r="A535" s="595">
        <v>4</v>
      </c>
      <c r="B535" s="3395"/>
      <c r="C535" s="156"/>
      <c r="D535" s="156"/>
      <c r="E535" s="156"/>
      <c r="F535" s="156"/>
      <c r="G535" s="156"/>
      <c r="H535" s="156"/>
      <c r="I535" s="156"/>
      <c r="J535" s="144"/>
    </row>
    <row r="536" spans="1:10" hidden="1" x14ac:dyDescent="0.3">
      <c r="A536" s="595">
        <v>5</v>
      </c>
      <c r="B536" s="3395"/>
      <c r="C536" s="156"/>
      <c r="D536" s="156"/>
      <c r="E536" s="156"/>
      <c r="F536" s="156"/>
      <c r="G536" s="156"/>
      <c r="H536" s="156"/>
      <c r="I536" s="156"/>
      <c r="J536" s="144"/>
    </row>
    <row r="537" spans="1:10" ht="20.399999999999999" hidden="1" x14ac:dyDescent="0.35">
      <c r="A537" s="144"/>
      <c r="B537" s="595"/>
      <c r="C537" s="144"/>
      <c r="D537" s="144"/>
      <c r="E537" s="144"/>
      <c r="F537" s="144"/>
      <c r="G537" s="144"/>
      <c r="H537" s="144"/>
      <c r="I537" s="144"/>
      <c r="J537" s="596">
        <f>J532+J533+J534</f>
        <v>2</v>
      </c>
    </row>
    <row r="538" spans="1:10" hidden="1" x14ac:dyDescent="0.3"/>
    <row r="539" spans="1:10" hidden="1" x14ac:dyDescent="0.3"/>
    <row r="540" spans="1:10" ht="23.4" hidden="1" x14ac:dyDescent="0.3">
      <c r="A540" s="3475" t="s">
        <v>80</v>
      </c>
      <c r="B540" s="3475"/>
      <c r="C540" s="3475"/>
      <c r="D540" s="3475"/>
      <c r="E540" s="3475"/>
      <c r="F540" s="3475"/>
      <c r="G540" s="3475"/>
      <c r="H540" s="3475"/>
      <c r="I540" s="3475"/>
      <c r="J540" s="3475"/>
    </row>
    <row r="541" spans="1:10" ht="15.6" hidden="1" x14ac:dyDescent="0.3">
      <c r="A541" s="3461" t="s">
        <v>2</v>
      </c>
      <c r="B541" s="3461"/>
      <c r="C541" s="3461"/>
      <c r="D541" s="3461"/>
      <c r="E541" s="3461"/>
      <c r="F541" s="3461"/>
      <c r="G541" s="3461"/>
      <c r="H541" s="3461"/>
      <c r="I541" s="3461"/>
      <c r="J541" s="3461"/>
    </row>
    <row r="542" spans="1:10" hidden="1" x14ac:dyDescent="0.3">
      <c r="A542" s="150" t="s">
        <v>3</v>
      </c>
      <c r="B542" s="1781" t="s">
        <v>4</v>
      </c>
      <c r="C542" s="150" t="s">
        <v>5</v>
      </c>
      <c r="D542" s="150" t="s">
        <v>6</v>
      </c>
      <c r="E542" s="150" t="s">
        <v>7</v>
      </c>
      <c r="F542" s="150" t="s">
        <v>8</v>
      </c>
      <c r="G542" s="150" t="s">
        <v>9</v>
      </c>
      <c r="H542" s="150" t="s">
        <v>10</v>
      </c>
      <c r="I542" s="150" t="s">
        <v>11</v>
      </c>
      <c r="J542" s="137" t="s">
        <v>12</v>
      </c>
    </row>
    <row r="543" spans="1:10" hidden="1" x14ac:dyDescent="0.3">
      <c r="A543" s="1781">
        <v>1</v>
      </c>
      <c r="B543" s="1781" t="s">
        <v>452</v>
      </c>
      <c r="C543" s="137" t="s">
        <v>37</v>
      </c>
      <c r="D543" s="137" t="s">
        <v>468</v>
      </c>
      <c r="E543" s="137" t="s">
        <v>441</v>
      </c>
      <c r="F543" s="272">
        <v>1800000</v>
      </c>
      <c r="G543" s="137" t="s">
        <v>168</v>
      </c>
      <c r="H543" s="137" t="s">
        <v>36</v>
      </c>
      <c r="I543" s="137" t="s">
        <v>36</v>
      </c>
      <c r="J543" s="137">
        <v>1</v>
      </c>
    </row>
    <row r="544" spans="1:10" hidden="1" x14ac:dyDescent="0.3">
      <c r="A544" s="1781">
        <v>2</v>
      </c>
      <c r="B544" s="1781" t="s">
        <v>454</v>
      </c>
      <c r="C544" s="137" t="s">
        <v>37</v>
      </c>
      <c r="D544" s="137" t="s">
        <v>469</v>
      </c>
      <c r="E544" s="137" t="s">
        <v>125</v>
      </c>
      <c r="F544" s="272">
        <v>1150000</v>
      </c>
      <c r="G544" s="137" t="s">
        <v>346</v>
      </c>
      <c r="H544" s="137" t="s">
        <v>36</v>
      </c>
      <c r="I544" s="137" t="s">
        <v>36</v>
      </c>
      <c r="J544" s="137">
        <v>1</v>
      </c>
    </row>
    <row r="545" spans="1:10" hidden="1" x14ac:dyDescent="0.3">
      <c r="A545" s="1781">
        <v>3</v>
      </c>
      <c r="B545" s="3392" t="s">
        <v>470</v>
      </c>
      <c r="C545" s="137" t="s">
        <v>138</v>
      </c>
      <c r="D545" s="137" t="s">
        <v>471</v>
      </c>
      <c r="E545" s="137" t="s">
        <v>125</v>
      </c>
      <c r="F545" s="272">
        <v>1250000</v>
      </c>
      <c r="G545" s="137" t="s">
        <v>346</v>
      </c>
      <c r="H545" s="137" t="s">
        <v>271</v>
      </c>
      <c r="I545" s="137" t="s">
        <v>36</v>
      </c>
      <c r="J545" s="137">
        <v>1</v>
      </c>
    </row>
    <row r="546" spans="1:10" hidden="1" x14ac:dyDescent="0.3">
      <c r="A546" s="1781">
        <v>4</v>
      </c>
      <c r="B546" s="3397" t="s">
        <v>470</v>
      </c>
      <c r="C546" s="147" t="s">
        <v>138</v>
      </c>
      <c r="D546" s="147" t="s">
        <v>472</v>
      </c>
      <c r="E546" s="147" t="s">
        <v>125</v>
      </c>
      <c r="F546" s="708">
        <v>1300000</v>
      </c>
      <c r="G546" s="147" t="s">
        <v>397</v>
      </c>
      <c r="H546" s="147" t="s">
        <v>271</v>
      </c>
      <c r="I546" s="147" t="s">
        <v>36</v>
      </c>
      <c r="J546" s="147">
        <v>1</v>
      </c>
    </row>
    <row r="547" spans="1:10" hidden="1" x14ac:dyDescent="0.3">
      <c r="A547" s="550">
        <v>5</v>
      </c>
      <c r="B547" s="2" t="s">
        <v>473</v>
      </c>
      <c r="C547" s="11" t="s">
        <v>138</v>
      </c>
      <c r="D547" s="11" t="s">
        <v>357</v>
      </c>
      <c r="E547" s="11" t="s">
        <v>125</v>
      </c>
      <c r="F547" s="709">
        <v>1250000</v>
      </c>
      <c r="G547" s="11" t="s">
        <v>359</v>
      </c>
      <c r="H547" s="11" t="s">
        <v>271</v>
      </c>
      <c r="I547" s="11" t="s">
        <v>36</v>
      </c>
      <c r="J547" s="11">
        <v>1</v>
      </c>
    </row>
    <row r="548" spans="1:10" hidden="1" x14ac:dyDescent="0.3">
      <c r="A548" s="550">
        <v>6</v>
      </c>
      <c r="B548" s="2" t="s">
        <v>461</v>
      </c>
      <c r="C548" s="11" t="s">
        <v>138</v>
      </c>
      <c r="D548" s="11" t="s">
        <v>474</v>
      </c>
      <c r="E548" s="11" t="s">
        <v>125</v>
      </c>
      <c r="F548" s="709">
        <v>1150000</v>
      </c>
      <c r="G548" s="11" t="s">
        <v>475</v>
      </c>
      <c r="H548" s="11" t="s">
        <v>271</v>
      </c>
      <c r="I548" s="11" t="s">
        <v>36</v>
      </c>
      <c r="J548" s="11">
        <v>1</v>
      </c>
    </row>
    <row r="549" spans="1:10" hidden="1" x14ac:dyDescent="0.3">
      <c r="A549" s="550">
        <v>7</v>
      </c>
      <c r="B549" s="2" t="s">
        <v>464</v>
      </c>
      <c r="C549" s="11" t="s">
        <v>138</v>
      </c>
      <c r="D549" s="11" t="s">
        <v>476</v>
      </c>
      <c r="E549" s="11" t="s">
        <v>125</v>
      </c>
      <c r="F549" s="709">
        <v>1300000</v>
      </c>
      <c r="G549" s="11" t="s">
        <v>43</v>
      </c>
      <c r="H549" s="11" t="s">
        <v>271</v>
      </c>
      <c r="I549" s="11" t="s">
        <v>36</v>
      </c>
      <c r="J549" s="11">
        <v>1</v>
      </c>
    </row>
    <row r="550" spans="1:10" hidden="1" x14ac:dyDescent="0.3">
      <c r="A550" s="550">
        <v>8</v>
      </c>
      <c r="B550" s="2" t="s">
        <v>477</v>
      </c>
      <c r="C550" s="11" t="s">
        <v>138</v>
      </c>
      <c r="D550" s="11" t="s">
        <v>478</v>
      </c>
      <c r="E550" s="11" t="s">
        <v>125</v>
      </c>
      <c r="F550" s="709">
        <v>1200000</v>
      </c>
      <c r="G550" s="11" t="s">
        <v>475</v>
      </c>
      <c r="H550" s="11" t="s">
        <v>271</v>
      </c>
      <c r="I550" s="11" t="s">
        <v>36</v>
      </c>
      <c r="J550" s="11">
        <v>1</v>
      </c>
    </row>
    <row r="551" spans="1:10" hidden="1" x14ac:dyDescent="0.3">
      <c r="A551" s="1781">
        <v>9</v>
      </c>
      <c r="B551" s="3398" t="s">
        <v>479</v>
      </c>
      <c r="C551" s="148" t="s">
        <v>138</v>
      </c>
      <c r="D551" s="148" t="s">
        <v>480</v>
      </c>
      <c r="E551" s="148" t="s">
        <v>125</v>
      </c>
      <c r="F551" s="710">
        <v>1300000</v>
      </c>
      <c r="G551" s="148" t="s">
        <v>481</v>
      </c>
      <c r="H551" s="148" t="s">
        <v>271</v>
      </c>
      <c r="I551" s="148" t="s">
        <v>36</v>
      </c>
      <c r="J551" s="148">
        <v>1</v>
      </c>
    </row>
    <row r="552" spans="1:10" hidden="1" x14ac:dyDescent="0.3">
      <c r="A552" s="1781">
        <v>10</v>
      </c>
      <c r="B552" s="1781"/>
      <c r="C552" s="137"/>
      <c r="D552" s="137"/>
      <c r="E552" s="137"/>
      <c r="F552" s="272"/>
      <c r="G552" s="137"/>
      <c r="H552" s="137"/>
      <c r="I552" s="137"/>
      <c r="J552" s="137"/>
    </row>
    <row r="553" spans="1:10" hidden="1" x14ac:dyDescent="0.3">
      <c r="A553" s="1781">
        <v>11</v>
      </c>
      <c r="B553" s="1781"/>
      <c r="C553" s="137"/>
      <c r="D553" s="137"/>
      <c r="E553" s="137"/>
      <c r="F553" s="272"/>
      <c r="G553" s="137"/>
      <c r="H553" s="137"/>
      <c r="I553" s="137"/>
      <c r="J553" s="137"/>
    </row>
    <row r="554" spans="1:10" hidden="1" x14ac:dyDescent="0.3">
      <c r="A554" s="1781">
        <v>12</v>
      </c>
      <c r="B554" s="1781"/>
      <c r="C554" s="137"/>
      <c r="D554" s="137"/>
      <c r="E554" s="137"/>
      <c r="F554" s="137"/>
      <c r="G554" s="137"/>
      <c r="H554" s="137"/>
      <c r="I554" s="137"/>
      <c r="J554" s="137"/>
    </row>
    <row r="555" spans="1:10" hidden="1" x14ac:dyDescent="0.3">
      <c r="A555" s="1781">
        <v>13</v>
      </c>
      <c r="B555" s="1781"/>
      <c r="C555" s="137"/>
      <c r="D555" s="137"/>
      <c r="E555" s="137"/>
      <c r="F555" s="137"/>
      <c r="G555" s="137"/>
      <c r="H555" s="137"/>
      <c r="I555" s="137"/>
      <c r="J555" s="137"/>
    </row>
    <row r="556" spans="1:10" hidden="1" x14ac:dyDescent="0.3">
      <c r="A556" s="1781">
        <v>14</v>
      </c>
      <c r="B556" s="1781"/>
      <c r="C556" s="137"/>
      <c r="D556" s="137"/>
      <c r="E556" s="137"/>
      <c r="F556" s="137"/>
      <c r="G556" s="137"/>
      <c r="H556" s="137"/>
      <c r="I556" s="137"/>
      <c r="J556" s="137"/>
    </row>
    <row r="557" spans="1:10" hidden="1" x14ac:dyDescent="0.3">
      <c r="A557" s="1781">
        <v>15</v>
      </c>
      <c r="B557" s="1781"/>
      <c r="C557" s="137"/>
      <c r="D557" s="137"/>
      <c r="E557" s="137"/>
      <c r="F557" s="137"/>
      <c r="G557" s="137"/>
      <c r="H557" s="137"/>
      <c r="I557" s="137"/>
      <c r="J557" s="137"/>
    </row>
    <row r="558" spans="1:10" hidden="1" x14ac:dyDescent="0.3">
      <c r="A558" s="1781">
        <v>16</v>
      </c>
      <c r="B558" s="1781"/>
      <c r="C558" s="137"/>
      <c r="D558" s="137"/>
      <c r="E558" s="137"/>
      <c r="F558" s="137"/>
      <c r="G558" s="137"/>
      <c r="H558" s="137"/>
      <c r="I558" s="137"/>
      <c r="J558" s="137"/>
    </row>
    <row r="559" spans="1:10" hidden="1" x14ac:dyDescent="0.3">
      <c r="A559" s="1781">
        <v>17</v>
      </c>
      <c r="B559" s="1781"/>
      <c r="C559" s="137"/>
      <c r="D559" s="137"/>
      <c r="E559" s="137"/>
      <c r="F559" s="137"/>
      <c r="G559" s="137"/>
      <c r="H559" s="137"/>
      <c r="I559" s="137"/>
      <c r="J559" s="137"/>
    </row>
    <row r="560" spans="1:10" hidden="1" x14ac:dyDescent="0.3">
      <c r="A560" s="1781">
        <v>18</v>
      </c>
      <c r="B560" s="1781"/>
      <c r="C560" s="137"/>
      <c r="D560" s="137"/>
      <c r="E560" s="137"/>
      <c r="F560" s="137"/>
      <c r="G560" s="137"/>
      <c r="H560" s="137"/>
      <c r="I560" s="137"/>
      <c r="J560" s="137"/>
    </row>
    <row r="561" spans="1:10" hidden="1" x14ac:dyDescent="0.3">
      <c r="A561" s="1781">
        <v>19</v>
      </c>
      <c r="B561" s="1781"/>
      <c r="C561" s="137"/>
      <c r="D561" s="137"/>
      <c r="E561" s="137"/>
      <c r="F561" s="137"/>
      <c r="G561" s="137"/>
      <c r="H561" s="137"/>
      <c r="I561" s="137"/>
      <c r="J561" s="137"/>
    </row>
    <row r="562" spans="1:10" hidden="1" x14ac:dyDescent="0.3">
      <c r="A562" s="1781">
        <v>20</v>
      </c>
      <c r="B562" s="1781"/>
      <c r="C562" s="137"/>
      <c r="D562" s="137"/>
      <c r="E562" s="137"/>
      <c r="F562" s="137"/>
      <c r="G562" s="137"/>
      <c r="H562" s="137"/>
      <c r="I562" s="137"/>
      <c r="J562" s="137"/>
    </row>
    <row r="563" spans="1:10" ht="21" hidden="1" x14ac:dyDescent="0.4">
      <c r="A563" s="137"/>
      <c r="B563" s="1781"/>
      <c r="C563" s="137"/>
      <c r="D563" s="137"/>
      <c r="E563" s="137"/>
      <c r="F563" s="137"/>
      <c r="G563" s="137"/>
      <c r="H563" s="137"/>
      <c r="I563" s="137"/>
      <c r="J563" s="139"/>
    </row>
    <row r="564" spans="1:10" hidden="1" x14ac:dyDescent="0.3">
      <c r="A564" s="3473" t="s">
        <v>33</v>
      </c>
      <c r="B564" s="3473"/>
      <c r="C564" s="3473"/>
      <c r="D564" s="3473"/>
      <c r="E564" s="3473"/>
      <c r="F564" s="3473"/>
      <c r="G564" s="3473"/>
      <c r="H564" s="3473"/>
      <c r="I564" s="3473"/>
      <c r="J564" s="3473"/>
    </row>
    <row r="565" spans="1:10" hidden="1" x14ac:dyDescent="0.3">
      <c r="A565" s="150" t="s">
        <v>3</v>
      </c>
      <c r="B565" s="1781" t="s">
        <v>4</v>
      </c>
      <c r="C565" s="150" t="s">
        <v>5</v>
      </c>
      <c r="D565" s="150" t="s">
        <v>6</v>
      </c>
      <c r="E565" s="150" t="s">
        <v>7</v>
      </c>
      <c r="F565" s="150" t="s">
        <v>8</v>
      </c>
      <c r="G565" s="150" t="s">
        <v>9</v>
      </c>
      <c r="H565" s="150" t="s">
        <v>10</v>
      </c>
      <c r="I565" s="150" t="s">
        <v>11</v>
      </c>
      <c r="J565" s="137" t="s">
        <v>12</v>
      </c>
    </row>
    <row r="566" spans="1:10" hidden="1" x14ac:dyDescent="0.3">
      <c r="A566" s="549">
        <v>1</v>
      </c>
      <c r="B566" s="3393" t="s">
        <v>454</v>
      </c>
      <c r="C566" s="152" t="s">
        <v>138</v>
      </c>
      <c r="D566" s="152" t="s">
        <v>482</v>
      </c>
      <c r="E566" s="152" t="s">
        <v>125</v>
      </c>
      <c r="F566" s="162">
        <v>240000000</v>
      </c>
      <c r="G566" s="152" t="s">
        <v>289</v>
      </c>
      <c r="H566" s="152" t="s">
        <v>271</v>
      </c>
      <c r="I566" s="152" t="s">
        <v>36</v>
      </c>
      <c r="J566" s="140">
        <v>1</v>
      </c>
    </row>
    <row r="567" spans="1:10" hidden="1" x14ac:dyDescent="0.3">
      <c r="A567" s="549">
        <v>2</v>
      </c>
      <c r="B567" s="3393" t="s">
        <v>454</v>
      </c>
      <c r="C567" s="152" t="s">
        <v>138</v>
      </c>
      <c r="D567" s="152" t="s">
        <v>425</v>
      </c>
      <c r="E567" s="152" t="s">
        <v>125</v>
      </c>
      <c r="F567" s="162">
        <v>300000000</v>
      </c>
      <c r="G567" s="152" t="s">
        <v>359</v>
      </c>
      <c r="H567" s="152" t="s">
        <v>271</v>
      </c>
      <c r="I567" s="152" t="s">
        <v>36</v>
      </c>
      <c r="J567" s="140">
        <v>1</v>
      </c>
    </row>
    <row r="568" spans="1:10" hidden="1" x14ac:dyDescent="0.3">
      <c r="A568" s="549">
        <v>3</v>
      </c>
      <c r="B568" s="3393"/>
      <c r="C568" s="152"/>
      <c r="D568" s="152"/>
      <c r="E568" s="152"/>
      <c r="F568" s="162"/>
      <c r="G568" s="152"/>
      <c r="H568" s="152"/>
      <c r="I568" s="152"/>
      <c r="J568" s="140"/>
    </row>
    <row r="569" spans="1:10" hidden="1" x14ac:dyDescent="0.3">
      <c r="A569" s="549">
        <v>4</v>
      </c>
      <c r="B569" s="3393"/>
      <c r="C569" s="152"/>
      <c r="D569" s="152"/>
      <c r="E569" s="152"/>
      <c r="F569" s="162"/>
      <c r="G569" s="152"/>
      <c r="H569" s="152"/>
      <c r="I569" s="152"/>
      <c r="J569" s="140"/>
    </row>
    <row r="570" spans="1:10" hidden="1" x14ac:dyDescent="0.3">
      <c r="A570" s="549"/>
      <c r="B570" s="3393"/>
      <c r="C570" s="152"/>
      <c r="D570" s="152"/>
      <c r="E570" s="152"/>
      <c r="F570" s="162"/>
      <c r="G570" s="152"/>
      <c r="H570" s="152"/>
      <c r="I570" s="152"/>
      <c r="J570" s="140"/>
    </row>
    <row r="571" spans="1:10" ht="21" hidden="1" x14ac:dyDescent="0.4">
      <c r="A571" s="549"/>
      <c r="B571" s="549"/>
      <c r="C571" s="140"/>
      <c r="D571" s="140"/>
      <c r="E571" s="140"/>
      <c r="F571" s="149"/>
      <c r="G571" s="140"/>
      <c r="H571" s="140"/>
      <c r="I571" s="140"/>
      <c r="J571" s="139"/>
    </row>
    <row r="572" spans="1:10" ht="21" hidden="1" x14ac:dyDescent="0.4">
      <c r="A572" s="765"/>
      <c r="B572" s="765"/>
      <c r="C572" s="642"/>
      <c r="D572" s="642"/>
      <c r="E572" s="642"/>
      <c r="F572" s="766"/>
      <c r="G572" s="642"/>
      <c r="H572" s="642"/>
      <c r="I572" s="642"/>
      <c r="J572" s="767"/>
    </row>
    <row r="573" spans="1:10" ht="23.4" hidden="1" x14ac:dyDescent="0.3">
      <c r="A573" s="3475" t="s">
        <v>118</v>
      </c>
      <c r="B573" s="3475"/>
      <c r="C573" s="3475"/>
      <c r="D573" s="3475"/>
      <c r="E573" s="3475"/>
      <c r="F573" s="3475"/>
      <c r="G573" s="3475"/>
      <c r="H573" s="3475"/>
      <c r="I573" s="3475"/>
      <c r="J573" s="3475"/>
    </row>
    <row r="574" spans="1:10" ht="15.6" hidden="1" x14ac:dyDescent="0.3">
      <c r="A574" s="3461" t="s">
        <v>2</v>
      </c>
      <c r="B574" s="3461"/>
      <c r="C574" s="3461"/>
      <c r="D574" s="3461"/>
      <c r="E574" s="3461"/>
      <c r="F574" s="3461"/>
      <c r="G574" s="3461"/>
      <c r="H574" s="3461"/>
      <c r="I574" s="3461"/>
      <c r="J574" s="3461"/>
    </row>
    <row r="575" spans="1:10" hidden="1" x14ac:dyDescent="0.3">
      <c r="A575" s="137" t="s">
        <v>3</v>
      </c>
      <c r="B575" s="1781" t="s">
        <v>4</v>
      </c>
      <c r="C575" s="137" t="s">
        <v>5</v>
      </c>
      <c r="D575" s="137" t="s">
        <v>6</v>
      </c>
      <c r="E575" s="137" t="s">
        <v>7</v>
      </c>
      <c r="F575" s="137" t="s">
        <v>8</v>
      </c>
      <c r="G575" s="137" t="s">
        <v>9</v>
      </c>
      <c r="H575" s="137" t="s">
        <v>10</v>
      </c>
      <c r="I575" s="137" t="s">
        <v>11</v>
      </c>
      <c r="J575" s="137" t="s">
        <v>12</v>
      </c>
    </row>
    <row r="576" spans="1:10" hidden="1" x14ac:dyDescent="0.3">
      <c r="A576" s="1781">
        <v>1</v>
      </c>
      <c r="B576" s="3392" t="s">
        <v>470</v>
      </c>
      <c r="C576" s="150" t="s">
        <v>37</v>
      </c>
      <c r="D576" s="150" t="s">
        <v>483</v>
      </c>
      <c r="E576" s="150" t="s">
        <v>125</v>
      </c>
      <c r="F576" s="151">
        <v>1000000</v>
      </c>
      <c r="G576" s="150" t="s">
        <v>43</v>
      </c>
      <c r="H576" s="150" t="s">
        <v>36</v>
      </c>
      <c r="I576" s="150" t="s">
        <v>36</v>
      </c>
      <c r="J576" s="137">
        <v>1</v>
      </c>
    </row>
    <row r="577" spans="1:10" hidden="1" x14ac:dyDescent="0.3">
      <c r="A577" s="1781">
        <v>2</v>
      </c>
      <c r="B577" s="3392" t="s">
        <v>461</v>
      </c>
      <c r="C577" s="150" t="s">
        <v>138</v>
      </c>
      <c r="D577" s="150" t="s">
        <v>484</v>
      </c>
      <c r="E577" s="150" t="s">
        <v>125</v>
      </c>
      <c r="F577" s="151"/>
      <c r="G577" s="150" t="s">
        <v>43</v>
      </c>
      <c r="H577" s="150" t="s">
        <v>271</v>
      </c>
      <c r="I577" s="150" t="s">
        <v>36</v>
      </c>
      <c r="J577" s="137">
        <v>1</v>
      </c>
    </row>
    <row r="578" spans="1:10" hidden="1" x14ac:dyDescent="0.3">
      <c r="A578" s="1781">
        <v>3</v>
      </c>
      <c r="B578" s="3392" t="s">
        <v>485</v>
      </c>
      <c r="C578" s="150" t="s">
        <v>138</v>
      </c>
      <c r="D578" s="150" t="s">
        <v>486</v>
      </c>
      <c r="E578" s="150" t="s">
        <v>125</v>
      </c>
      <c r="F578" s="151">
        <v>900000</v>
      </c>
      <c r="G578" s="150" t="s">
        <v>43</v>
      </c>
      <c r="H578" s="150" t="s">
        <v>271</v>
      </c>
      <c r="I578" s="150" t="s">
        <v>36</v>
      </c>
      <c r="J578" s="137">
        <v>1</v>
      </c>
    </row>
    <row r="579" spans="1:10" hidden="1" x14ac:dyDescent="0.3">
      <c r="A579" s="1781">
        <v>4</v>
      </c>
      <c r="B579" s="1781" t="s">
        <v>487</v>
      </c>
      <c r="C579" s="150" t="s">
        <v>135</v>
      </c>
      <c r="D579" s="150" t="s">
        <v>488</v>
      </c>
      <c r="E579" s="150" t="s">
        <v>125</v>
      </c>
      <c r="F579" s="150">
        <v>1150000</v>
      </c>
      <c r="G579" s="150" t="s">
        <v>43</v>
      </c>
      <c r="H579" s="150" t="s">
        <v>271</v>
      </c>
      <c r="I579" s="150" t="s">
        <v>36</v>
      </c>
      <c r="J579" s="137">
        <v>1</v>
      </c>
    </row>
    <row r="580" spans="1:10" hidden="1" x14ac:dyDescent="0.3">
      <c r="A580" s="1781">
        <v>5</v>
      </c>
      <c r="B580" s="1781"/>
      <c r="C580" s="137"/>
      <c r="D580" s="137"/>
      <c r="E580" s="137"/>
      <c r="F580" s="137"/>
      <c r="G580" s="137"/>
      <c r="H580" s="137"/>
      <c r="I580" s="137"/>
      <c r="J580" s="137"/>
    </row>
    <row r="581" spans="1:10" hidden="1" x14ac:dyDescent="0.3">
      <c r="A581" s="1781">
        <v>6</v>
      </c>
      <c r="B581" s="1781"/>
      <c r="C581" s="137"/>
      <c r="D581" s="137"/>
      <c r="E581" s="137"/>
      <c r="F581" s="137"/>
      <c r="G581" s="137"/>
      <c r="H581" s="137"/>
      <c r="I581" s="137"/>
      <c r="J581" s="137"/>
    </row>
    <row r="582" spans="1:10" hidden="1" x14ac:dyDescent="0.3">
      <c r="A582" s="1781">
        <v>7</v>
      </c>
      <c r="B582" s="1781"/>
      <c r="C582" s="137"/>
      <c r="D582" s="137"/>
      <c r="E582" s="137"/>
      <c r="F582" s="137"/>
      <c r="G582" s="137"/>
      <c r="H582" s="137"/>
      <c r="I582" s="137"/>
      <c r="J582" s="137"/>
    </row>
    <row r="583" spans="1:10" hidden="1" x14ac:dyDescent="0.3">
      <c r="A583" s="1781">
        <v>8</v>
      </c>
      <c r="B583" s="1781"/>
      <c r="C583" s="137"/>
      <c r="D583" s="137"/>
      <c r="E583" s="137"/>
      <c r="F583" s="137"/>
      <c r="G583" s="137"/>
      <c r="H583" s="137"/>
      <c r="I583" s="137"/>
      <c r="J583" s="137"/>
    </row>
    <row r="584" spans="1:10" hidden="1" x14ac:dyDescent="0.3">
      <c r="A584" s="1781">
        <v>9</v>
      </c>
      <c r="B584" s="1781"/>
      <c r="C584" s="137"/>
      <c r="D584" s="137"/>
      <c r="E584" s="137"/>
      <c r="F584" s="137"/>
      <c r="G584" s="137"/>
      <c r="H584" s="137"/>
      <c r="I584" s="137"/>
      <c r="J584" s="137"/>
    </row>
    <row r="585" spans="1:10" ht="21" hidden="1" x14ac:dyDescent="0.4">
      <c r="A585" s="1781">
        <v>10</v>
      </c>
      <c r="B585" s="1781"/>
      <c r="C585" s="137"/>
      <c r="D585" s="137"/>
      <c r="E585" s="137"/>
      <c r="F585" s="137"/>
      <c r="G585" s="137"/>
      <c r="H585" s="137"/>
      <c r="I585" s="137"/>
      <c r="J585" s="139"/>
    </row>
    <row r="586" spans="1:10" hidden="1" x14ac:dyDescent="0.3">
      <c r="A586" s="3473" t="s">
        <v>33</v>
      </c>
      <c r="B586" s="3473"/>
      <c r="C586" s="3473"/>
      <c r="D586" s="3473"/>
      <c r="E586" s="3473"/>
      <c r="F586" s="3473"/>
      <c r="G586" s="3473"/>
      <c r="H586" s="3473"/>
      <c r="I586" s="3473"/>
      <c r="J586" s="3473"/>
    </row>
    <row r="587" spans="1:10" hidden="1" x14ac:dyDescent="0.3">
      <c r="A587" s="150" t="s">
        <v>3</v>
      </c>
      <c r="B587" s="1781" t="s">
        <v>4</v>
      </c>
      <c r="C587" s="150" t="s">
        <v>5</v>
      </c>
      <c r="D587" s="150" t="s">
        <v>6</v>
      </c>
      <c r="E587" s="150" t="s">
        <v>7</v>
      </c>
      <c r="F587" s="150" t="s">
        <v>8</v>
      </c>
      <c r="G587" s="150" t="s">
        <v>9</v>
      </c>
      <c r="H587" s="150" t="s">
        <v>10</v>
      </c>
      <c r="I587" s="150" t="s">
        <v>11</v>
      </c>
      <c r="J587" s="137" t="s">
        <v>12</v>
      </c>
    </row>
    <row r="588" spans="1:10" hidden="1" x14ac:dyDescent="0.3">
      <c r="A588" s="549">
        <v>1</v>
      </c>
      <c r="B588" s="3393"/>
      <c r="C588" s="152"/>
      <c r="D588" s="586"/>
      <c r="E588" s="152"/>
      <c r="F588" s="162"/>
      <c r="G588" s="152"/>
      <c r="H588" s="152"/>
      <c r="I588" s="152"/>
      <c r="J588" s="140"/>
    </row>
    <row r="589" spans="1:10" hidden="1" x14ac:dyDescent="0.3">
      <c r="A589" s="549">
        <v>2</v>
      </c>
      <c r="B589" s="3393"/>
      <c r="C589" s="152"/>
      <c r="D589" s="152"/>
      <c r="E589" s="152"/>
      <c r="F589" s="162"/>
      <c r="G589" s="152"/>
      <c r="H589" s="152"/>
      <c r="I589" s="152"/>
      <c r="J589" s="140"/>
    </row>
    <row r="590" spans="1:10" hidden="1" x14ac:dyDescent="0.3">
      <c r="A590" s="549">
        <v>3</v>
      </c>
      <c r="B590" s="3393"/>
      <c r="C590" s="152"/>
      <c r="D590" s="152"/>
      <c r="E590" s="152"/>
      <c r="F590" s="162"/>
      <c r="G590" s="152"/>
      <c r="H590" s="152"/>
      <c r="I590" s="152"/>
      <c r="J590" s="140"/>
    </row>
    <row r="591" spans="1:10" hidden="1" x14ac:dyDescent="0.3"/>
    <row r="592" spans="1:10" hidden="1" x14ac:dyDescent="0.3"/>
    <row r="593" spans="1:10" ht="23.4" hidden="1" x14ac:dyDescent="0.3">
      <c r="A593" s="3475" t="s">
        <v>489</v>
      </c>
      <c r="B593" s="3475"/>
      <c r="C593" s="3475"/>
      <c r="D593" s="3475"/>
      <c r="E593" s="3475"/>
      <c r="F593" s="3475"/>
      <c r="G593" s="3475"/>
      <c r="H593" s="3475"/>
      <c r="I593" s="3475"/>
      <c r="J593" s="3475"/>
    </row>
    <row r="594" spans="1:10" ht="15.6" hidden="1" x14ac:dyDescent="0.3">
      <c r="A594" s="3461" t="s">
        <v>2</v>
      </c>
      <c r="B594" s="3461"/>
      <c r="C594" s="3461"/>
      <c r="D594" s="3461"/>
      <c r="E594" s="3461"/>
      <c r="F594" s="3461"/>
      <c r="G594" s="3461"/>
      <c r="H594" s="3461"/>
      <c r="I594" s="3461"/>
      <c r="J594" s="3461"/>
    </row>
    <row r="595" spans="1:10" hidden="1" x14ac:dyDescent="0.3">
      <c r="A595" s="137" t="s">
        <v>3</v>
      </c>
      <c r="B595" s="1781" t="s">
        <v>4</v>
      </c>
      <c r="C595" s="137" t="s">
        <v>5</v>
      </c>
      <c r="D595" s="137" t="s">
        <v>6</v>
      </c>
      <c r="E595" s="137" t="s">
        <v>7</v>
      </c>
      <c r="F595" s="137" t="s">
        <v>8</v>
      </c>
      <c r="G595" s="137" t="s">
        <v>9</v>
      </c>
      <c r="H595" s="137" t="s">
        <v>10</v>
      </c>
      <c r="I595" s="137" t="s">
        <v>11</v>
      </c>
      <c r="J595" s="137" t="s">
        <v>12</v>
      </c>
    </row>
    <row r="596" spans="1:10" hidden="1" x14ac:dyDescent="0.3">
      <c r="A596" s="1781">
        <v>1</v>
      </c>
      <c r="B596" s="3392" t="s">
        <v>487</v>
      </c>
      <c r="C596" s="150" t="s">
        <v>138</v>
      </c>
      <c r="D596" s="150" t="s">
        <v>490</v>
      </c>
      <c r="E596" s="150" t="s">
        <v>39</v>
      </c>
      <c r="F596" s="151">
        <v>1000000</v>
      </c>
      <c r="G596" s="150" t="s">
        <v>481</v>
      </c>
      <c r="H596" s="150" t="s">
        <v>271</v>
      </c>
      <c r="I596" s="150" t="s">
        <v>36</v>
      </c>
      <c r="J596" s="137">
        <v>1</v>
      </c>
    </row>
    <row r="597" spans="1:10" hidden="1" x14ac:dyDescent="0.3">
      <c r="A597" s="1781">
        <v>2</v>
      </c>
      <c r="B597" s="3392" t="s">
        <v>487</v>
      </c>
      <c r="C597" s="150" t="s">
        <v>138</v>
      </c>
      <c r="D597" s="150" t="s">
        <v>491</v>
      </c>
      <c r="E597" s="150" t="s">
        <v>39</v>
      </c>
      <c r="F597" s="151">
        <v>970000</v>
      </c>
      <c r="G597" s="150" t="s">
        <v>481</v>
      </c>
      <c r="H597" s="150" t="s">
        <v>271</v>
      </c>
      <c r="I597" s="150" t="s">
        <v>36</v>
      </c>
      <c r="J597" s="137">
        <v>1</v>
      </c>
    </row>
    <row r="598" spans="1:10" hidden="1" x14ac:dyDescent="0.3">
      <c r="A598" s="1781">
        <v>3</v>
      </c>
      <c r="B598" s="3392" t="s">
        <v>492</v>
      </c>
      <c r="C598" s="150" t="s">
        <v>138</v>
      </c>
      <c r="D598" s="150" t="s">
        <v>493</v>
      </c>
      <c r="E598" s="150" t="s">
        <v>39</v>
      </c>
      <c r="F598" s="151">
        <v>1200000</v>
      </c>
      <c r="G598" s="150" t="s">
        <v>494</v>
      </c>
      <c r="H598" s="150" t="s">
        <v>271</v>
      </c>
      <c r="I598" s="150" t="s">
        <v>36</v>
      </c>
      <c r="J598" s="137">
        <v>1</v>
      </c>
    </row>
    <row r="599" spans="1:10" hidden="1" x14ac:dyDescent="0.3">
      <c r="A599" s="1781">
        <v>4</v>
      </c>
      <c r="B599" s="1781" t="s">
        <v>495</v>
      </c>
      <c r="C599" s="150" t="s">
        <v>138</v>
      </c>
      <c r="D599" s="150" t="s">
        <v>496</v>
      </c>
      <c r="E599" s="150" t="s">
        <v>39</v>
      </c>
      <c r="F599" s="150">
        <v>1000000</v>
      </c>
      <c r="G599" s="150" t="s">
        <v>494</v>
      </c>
      <c r="H599" s="150" t="s">
        <v>271</v>
      </c>
      <c r="I599" s="150" t="s">
        <v>36</v>
      </c>
      <c r="J599" s="137">
        <v>1</v>
      </c>
    </row>
    <row r="600" spans="1:10" hidden="1" x14ac:dyDescent="0.3">
      <c r="A600" s="1781">
        <v>5</v>
      </c>
      <c r="B600" s="1781" t="s">
        <v>492</v>
      </c>
      <c r="C600" s="137" t="s">
        <v>138</v>
      </c>
      <c r="D600" s="137" t="s">
        <v>497</v>
      </c>
      <c r="E600" s="137" t="s">
        <v>39</v>
      </c>
      <c r="F600" s="137">
        <v>900000</v>
      </c>
      <c r="G600" s="137" t="s">
        <v>498</v>
      </c>
      <c r="H600" s="137" t="s">
        <v>271</v>
      </c>
      <c r="I600" s="137" t="s">
        <v>36</v>
      </c>
      <c r="J600" s="137">
        <v>1</v>
      </c>
    </row>
    <row r="601" spans="1:10" hidden="1" x14ac:dyDescent="0.3">
      <c r="A601" s="1781">
        <v>6</v>
      </c>
      <c r="B601" s="1781" t="s">
        <v>499</v>
      </c>
      <c r="C601" s="137" t="s">
        <v>138</v>
      </c>
      <c r="D601" s="137" t="s">
        <v>500</v>
      </c>
      <c r="E601" s="137" t="s">
        <v>39</v>
      </c>
      <c r="F601" s="137">
        <v>950000</v>
      </c>
      <c r="G601" s="137" t="s">
        <v>501</v>
      </c>
      <c r="H601" s="137" t="s">
        <v>271</v>
      </c>
      <c r="I601" s="137" t="s">
        <v>36</v>
      </c>
      <c r="J601" s="137">
        <v>1</v>
      </c>
    </row>
    <row r="602" spans="1:10" hidden="1" x14ac:dyDescent="0.3">
      <c r="A602" s="1781">
        <v>7</v>
      </c>
      <c r="B602" s="1781" t="s">
        <v>499</v>
      </c>
      <c r="C602" s="137" t="s">
        <v>138</v>
      </c>
      <c r="D602" s="137" t="s">
        <v>321</v>
      </c>
      <c r="E602" s="137" t="s">
        <v>358</v>
      </c>
      <c r="F602" s="137">
        <v>1300000</v>
      </c>
      <c r="G602" s="137" t="s">
        <v>502</v>
      </c>
      <c r="H602" s="137" t="s">
        <v>271</v>
      </c>
      <c r="I602" s="137" t="s">
        <v>36</v>
      </c>
      <c r="J602" s="137">
        <v>1</v>
      </c>
    </row>
    <row r="603" spans="1:10" hidden="1" x14ac:dyDescent="0.3">
      <c r="A603" s="1781">
        <v>8</v>
      </c>
      <c r="B603" s="1781" t="s">
        <v>499</v>
      </c>
      <c r="C603" s="137" t="s">
        <v>138</v>
      </c>
      <c r="D603" s="137" t="s">
        <v>503</v>
      </c>
      <c r="E603" s="137" t="s">
        <v>504</v>
      </c>
      <c r="F603" s="137">
        <v>900000</v>
      </c>
      <c r="G603" s="137" t="s">
        <v>505</v>
      </c>
      <c r="H603" s="137" t="s">
        <v>271</v>
      </c>
      <c r="I603" s="137" t="s">
        <v>36</v>
      </c>
      <c r="J603" s="137">
        <v>1</v>
      </c>
    </row>
    <row r="604" spans="1:10" hidden="1" x14ac:dyDescent="0.3">
      <c r="A604" s="1781">
        <v>9</v>
      </c>
      <c r="B604" s="1781" t="s">
        <v>506</v>
      </c>
      <c r="C604" s="137" t="s">
        <v>138</v>
      </c>
      <c r="D604" s="137" t="s">
        <v>507</v>
      </c>
      <c r="E604" s="137" t="s">
        <v>508</v>
      </c>
      <c r="F604" s="137">
        <v>950000</v>
      </c>
      <c r="G604" s="137" t="s">
        <v>509</v>
      </c>
      <c r="H604" s="137" t="s">
        <v>271</v>
      </c>
      <c r="I604" s="137" t="s">
        <v>36</v>
      </c>
      <c r="J604" s="137">
        <v>1</v>
      </c>
    </row>
    <row r="605" spans="1:10" ht="21" hidden="1" x14ac:dyDescent="0.4">
      <c r="A605" s="1781">
        <v>10</v>
      </c>
      <c r="B605" s="1781"/>
      <c r="C605" s="137"/>
      <c r="D605" s="137"/>
      <c r="E605" s="137"/>
      <c r="F605" s="137"/>
      <c r="G605" s="137"/>
      <c r="H605" s="137"/>
      <c r="I605" s="137"/>
      <c r="J605" s="139"/>
    </row>
    <row r="606" spans="1:10" hidden="1" x14ac:dyDescent="0.3">
      <c r="A606" s="3473" t="s">
        <v>33</v>
      </c>
      <c r="B606" s="3473"/>
      <c r="C606" s="3473"/>
      <c r="D606" s="3473"/>
      <c r="E606" s="3473"/>
      <c r="F606" s="3473"/>
      <c r="G606" s="3473"/>
      <c r="H606" s="3473"/>
      <c r="I606" s="3473"/>
      <c r="J606" s="3473"/>
    </row>
    <row r="607" spans="1:10" hidden="1" x14ac:dyDescent="0.3">
      <c r="A607" s="150" t="s">
        <v>3</v>
      </c>
      <c r="B607" s="1781" t="s">
        <v>4</v>
      </c>
      <c r="C607" s="150" t="s">
        <v>5</v>
      </c>
      <c r="D607" s="150" t="s">
        <v>6</v>
      </c>
      <c r="E607" s="150" t="s">
        <v>7</v>
      </c>
      <c r="F607" s="150" t="s">
        <v>8</v>
      </c>
      <c r="G607" s="150" t="s">
        <v>9</v>
      </c>
      <c r="H607" s="150" t="s">
        <v>10</v>
      </c>
      <c r="I607" s="150" t="s">
        <v>11</v>
      </c>
      <c r="J607" s="137" t="s">
        <v>12</v>
      </c>
    </row>
    <row r="608" spans="1:10" hidden="1" x14ac:dyDescent="0.3">
      <c r="A608" s="549">
        <v>1</v>
      </c>
      <c r="B608" s="3393"/>
      <c r="C608" s="152"/>
      <c r="D608" s="586"/>
      <c r="E608" s="152"/>
      <c r="F608" s="162"/>
      <c r="G608" s="152"/>
      <c r="H608" s="152"/>
      <c r="I608" s="152"/>
      <c r="J608" s="140"/>
    </row>
    <row r="609" spans="1:10" hidden="1" x14ac:dyDescent="0.3">
      <c r="A609" s="549">
        <v>2</v>
      </c>
      <c r="B609" s="3393"/>
      <c r="C609" s="152"/>
      <c r="D609" s="152"/>
      <c r="E609" s="152"/>
      <c r="F609" s="162"/>
      <c r="G609" s="152"/>
      <c r="H609" s="152"/>
      <c r="I609" s="152"/>
      <c r="J609" s="140"/>
    </row>
    <row r="610" spans="1:10" hidden="1" x14ac:dyDescent="0.3">
      <c r="A610" s="549">
        <v>3</v>
      </c>
      <c r="B610" s="3393"/>
      <c r="C610" s="152"/>
      <c r="D610" s="152"/>
      <c r="E610" s="152"/>
      <c r="F610" s="162"/>
      <c r="G610" s="152"/>
      <c r="H610" s="152"/>
      <c r="I610" s="152"/>
      <c r="J610" s="140"/>
    </row>
    <row r="611" spans="1:10" hidden="1" x14ac:dyDescent="0.3"/>
    <row r="612" spans="1:10" hidden="1" x14ac:dyDescent="0.3"/>
    <row r="613" spans="1:10" ht="23.4" hidden="1" x14ac:dyDescent="0.3">
      <c r="A613" s="3475" t="s">
        <v>510</v>
      </c>
      <c r="B613" s="3475"/>
      <c r="C613" s="3475"/>
      <c r="D613" s="3475"/>
      <c r="E613" s="3475"/>
      <c r="F613" s="3475"/>
      <c r="G613" s="3475"/>
      <c r="H613" s="3475"/>
      <c r="I613" s="3475"/>
      <c r="J613" s="3475"/>
    </row>
    <row r="614" spans="1:10" ht="15.6" hidden="1" x14ac:dyDescent="0.3">
      <c r="A614" s="3461" t="s">
        <v>2</v>
      </c>
      <c r="B614" s="3461"/>
      <c r="C614" s="3461"/>
      <c r="D614" s="3461"/>
      <c r="E614" s="3461"/>
      <c r="F614" s="3461"/>
      <c r="G614" s="3461"/>
      <c r="H614" s="3461"/>
      <c r="I614" s="3461"/>
      <c r="J614" s="3461"/>
    </row>
    <row r="615" spans="1:10" hidden="1" x14ac:dyDescent="0.3">
      <c r="A615" s="137" t="s">
        <v>3</v>
      </c>
      <c r="B615" s="1781" t="s">
        <v>4</v>
      </c>
      <c r="C615" s="137" t="s">
        <v>5</v>
      </c>
      <c r="D615" s="137" t="s">
        <v>6</v>
      </c>
      <c r="E615" s="137" t="s">
        <v>7</v>
      </c>
      <c r="F615" s="137" t="s">
        <v>8</v>
      </c>
      <c r="G615" s="137" t="s">
        <v>9</v>
      </c>
      <c r="H615" s="137" t="s">
        <v>10</v>
      </c>
      <c r="I615" s="137" t="s">
        <v>11</v>
      </c>
      <c r="J615" s="137" t="s">
        <v>12</v>
      </c>
    </row>
    <row r="616" spans="1:10" hidden="1" x14ac:dyDescent="0.3">
      <c r="A616" s="1781">
        <v>1</v>
      </c>
      <c r="B616" s="3392" t="s">
        <v>492</v>
      </c>
      <c r="C616" s="150" t="s">
        <v>138</v>
      </c>
      <c r="D616" s="150" t="s">
        <v>511</v>
      </c>
      <c r="E616" s="150" t="s">
        <v>39</v>
      </c>
      <c r="F616" s="151">
        <v>1000000</v>
      </c>
      <c r="G616" s="150" t="s">
        <v>512</v>
      </c>
      <c r="H616" s="150" t="s">
        <v>271</v>
      </c>
      <c r="I616" s="150" t="s">
        <v>36</v>
      </c>
      <c r="J616" s="137">
        <v>1</v>
      </c>
    </row>
    <row r="617" spans="1:10" hidden="1" x14ac:dyDescent="0.3">
      <c r="A617" s="1781">
        <v>2</v>
      </c>
      <c r="B617" s="3392" t="s">
        <v>492</v>
      </c>
      <c r="C617" s="150" t="s">
        <v>138</v>
      </c>
      <c r="D617" s="150" t="s">
        <v>513</v>
      </c>
      <c r="E617" s="150" t="s">
        <v>39</v>
      </c>
      <c r="F617" s="151">
        <v>1200000</v>
      </c>
      <c r="G617" s="150" t="s">
        <v>494</v>
      </c>
      <c r="H617" s="150" t="s">
        <v>271</v>
      </c>
      <c r="I617" s="150" t="s">
        <v>36</v>
      </c>
      <c r="J617" s="137">
        <v>1</v>
      </c>
    </row>
    <row r="618" spans="1:10" hidden="1" x14ac:dyDescent="0.3">
      <c r="A618" s="1781">
        <v>3</v>
      </c>
      <c r="B618" s="3392" t="s">
        <v>514</v>
      </c>
      <c r="C618" s="150" t="s">
        <v>138</v>
      </c>
      <c r="D618" s="150" t="s">
        <v>515</v>
      </c>
      <c r="E618" s="150" t="s">
        <v>39</v>
      </c>
      <c r="F618" s="151">
        <v>1100000</v>
      </c>
      <c r="G618" s="150" t="s">
        <v>168</v>
      </c>
      <c r="H618" s="150" t="s">
        <v>271</v>
      </c>
      <c r="I618" s="150" t="s">
        <v>36</v>
      </c>
      <c r="J618" s="137">
        <v>1</v>
      </c>
    </row>
    <row r="619" spans="1:10" hidden="1" x14ac:dyDescent="0.3">
      <c r="A619" s="1781">
        <v>4</v>
      </c>
      <c r="B619" s="1781" t="s">
        <v>514</v>
      </c>
      <c r="C619" s="150" t="s">
        <v>138</v>
      </c>
      <c r="D619" s="150" t="s">
        <v>516</v>
      </c>
      <c r="E619" s="150" t="s">
        <v>39</v>
      </c>
      <c r="F619" s="150">
        <v>1100000</v>
      </c>
      <c r="G619" s="150" t="s">
        <v>517</v>
      </c>
      <c r="H619" s="150" t="s">
        <v>271</v>
      </c>
      <c r="I619" s="150" t="s">
        <v>36</v>
      </c>
      <c r="J619" s="137">
        <v>1</v>
      </c>
    </row>
    <row r="620" spans="1:10" hidden="1" x14ac:dyDescent="0.3">
      <c r="A620" s="1781">
        <v>5</v>
      </c>
      <c r="B620" s="1781" t="s">
        <v>518</v>
      </c>
      <c r="C620" s="137" t="s">
        <v>138</v>
      </c>
      <c r="D620" s="137" t="s">
        <v>519</v>
      </c>
      <c r="E620" s="137" t="s">
        <v>39</v>
      </c>
      <c r="F620" s="150">
        <v>850000</v>
      </c>
      <c r="G620" s="137" t="s">
        <v>520</v>
      </c>
      <c r="H620" s="137" t="s">
        <v>271</v>
      </c>
      <c r="I620" s="137" t="s">
        <v>36</v>
      </c>
      <c r="J620" s="137">
        <v>1</v>
      </c>
    </row>
    <row r="621" spans="1:10" hidden="1" x14ac:dyDescent="0.3">
      <c r="A621" s="1781">
        <v>6</v>
      </c>
      <c r="B621" s="1781"/>
      <c r="C621" s="137"/>
      <c r="D621" s="137"/>
      <c r="E621" s="137"/>
      <c r="F621" s="137"/>
      <c r="G621" s="137"/>
      <c r="H621" s="137"/>
      <c r="I621" s="137"/>
      <c r="J621" s="137"/>
    </row>
    <row r="622" spans="1:10" hidden="1" x14ac:dyDescent="0.3">
      <c r="A622" s="1781">
        <v>7</v>
      </c>
      <c r="B622" s="1781"/>
      <c r="C622" s="137"/>
      <c r="D622" s="137"/>
      <c r="E622" s="137"/>
      <c r="F622" s="137"/>
      <c r="G622" s="137"/>
      <c r="H622" s="137"/>
      <c r="I622" s="137"/>
      <c r="J622" s="137"/>
    </row>
    <row r="623" spans="1:10" hidden="1" x14ac:dyDescent="0.3">
      <c r="A623" s="1781">
        <v>8</v>
      </c>
      <c r="B623" s="1781"/>
      <c r="C623" s="137"/>
      <c r="D623" s="137"/>
      <c r="E623" s="137"/>
      <c r="F623" s="137"/>
      <c r="G623" s="137"/>
      <c r="H623" s="137"/>
      <c r="I623" s="137"/>
      <c r="J623" s="137"/>
    </row>
    <row r="624" spans="1:10" hidden="1" x14ac:dyDescent="0.3">
      <c r="A624" s="1781">
        <v>9</v>
      </c>
      <c r="B624" s="1781"/>
      <c r="C624" s="137"/>
      <c r="D624" s="137"/>
      <c r="E624" s="137"/>
      <c r="F624" s="137"/>
      <c r="G624" s="137"/>
      <c r="H624" s="137"/>
      <c r="I624" s="137"/>
      <c r="J624" s="137"/>
    </row>
    <row r="625" spans="1:10" ht="21" hidden="1" x14ac:dyDescent="0.4">
      <c r="A625" s="1781">
        <v>10</v>
      </c>
      <c r="B625" s="1781"/>
      <c r="C625" s="137"/>
      <c r="D625" s="137"/>
      <c r="E625" s="137"/>
      <c r="F625" s="137"/>
      <c r="G625" s="137"/>
      <c r="H625" s="137"/>
      <c r="I625" s="137"/>
      <c r="J625" s="139"/>
    </row>
    <row r="626" spans="1:10" hidden="1" x14ac:dyDescent="0.3">
      <c r="A626" s="3473" t="s">
        <v>33</v>
      </c>
      <c r="B626" s="3473"/>
      <c r="C626" s="3473"/>
      <c r="D626" s="3473"/>
      <c r="E626" s="3473"/>
      <c r="F626" s="3473"/>
      <c r="G626" s="3473"/>
      <c r="H626" s="3473"/>
      <c r="I626" s="3473"/>
      <c r="J626" s="3473"/>
    </row>
    <row r="627" spans="1:10" hidden="1" x14ac:dyDescent="0.3">
      <c r="A627" s="150" t="s">
        <v>3</v>
      </c>
      <c r="B627" s="1781" t="s">
        <v>4</v>
      </c>
      <c r="C627" s="150" t="s">
        <v>5</v>
      </c>
      <c r="D627" s="150" t="s">
        <v>6</v>
      </c>
      <c r="E627" s="150" t="s">
        <v>7</v>
      </c>
      <c r="F627" s="150" t="s">
        <v>8</v>
      </c>
      <c r="G627" s="150" t="s">
        <v>9</v>
      </c>
      <c r="H627" s="150" t="s">
        <v>10</v>
      </c>
      <c r="I627" s="150" t="s">
        <v>11</v>
      </c>
      <c r="J627" s="137" t="s">
        <v>12</v>
      </c>
    </row>
    <row r="628" spans="1:10" hidden="1" x14ac:dyDescent="0.3">
      <c r="A628" s="549">
        <v>1</v>
      </c>
      <c r="B628" s="3393" t="s">
        <v>492</v>
      </c>
      <c r="C628" s="152" t="s">
        <v>138</v>
      </c>
      <c r="D628" s="586" t="s">
        <v>521</v>
      </c>
      <c r="E628" s="152" t="s">
        <v>39</v>
      </c>
      <c r="F628" s="162">
        <v>235000000</v>
      </c>
      <c r="G628" s="152" t="s">
        <v>512</v>
      </c>
      <c r="H628" s="152" t="s">
        <v>44</v>
      </c>
      <c r="I628" s="152" t="s">
        <v>36</v>
      </c>
      <c r="J628" s="140">
        <v>1</v>
      </c>
    </row>
    <row r="629" spans="1:10" hidden="1" x14ac:dyDescent="0.3">
      <c r="A629" s="549">
        <v>2</v>
      </c>
      <c r="B629" s="3393" t="s">
        <v>492</v>
      </c>
      <c r="C629" s="152" t="s">
        <v>138</v>
      </c>
      <c r="D629" s="152" t="s">
        <v>513</v>
      </c>
      <c r="E629" s="152" t="s">
        <v>39</v>
      </c>
      <c r="F629" s="162">
        <v>255000000</v>
      </c>
      <c r="G629" s="152" t="s">
        <v>494</v>
      </c>
      <c r="H629" s="152" t="s">
        <v>271</v>
      </c>
      <c r="I629" s="152" t="s">
        <v>36</v>
      </c>
      <c r="J629" s="140">
        <v>1</v>
      </c>
    </row>
    <row r="630" spans="1:10" hidden="1" x14ac:dyDescent="0.3">
      <c r="A630" s="549">
        <v>3</v>
      </c>
      <c r="B630" s="3393" t="s">
        <v>514</v>
      </c>
      <c r="C630" s="152" t="s">
        <v>138</v>
      </c>
      <c r="D630" s="152" t="s">
        <v>516</v>
      </c>
      <c r="E630" s="152" t="s">
        <v>39</v>
      </c>
      <c r="F630" s="162">
        <v>225000000</v>
      </c>
      <c r="G630" s="152" t="s">
        <v>522</v>
      </c>
      <c r="H630" s="152" t="s">
        <v>271</v>
      </c>
      <c r="I630" s="152" t="s">
        <v>36</v>
      </c>
      <c r="J630" s="140">
        <v>1</v>
      </c>
    </row>
    <row r="631" spans="1:10" hidden="1" x14ac:dyDescent="0.3"/>
    <row r="632" spans="1:10" hidden="1" x14ac:dyDescent="0.3"/>
    <row r="633" spans="1:10" hidden="1" x14ac:dyDescent="0.3"/>
    <row r="634" spans="1:10" ht="23.4" hidden="1" x14ac:dyDescent="0.3">
      <c r="A634" s="3475" t="s">
        <v>523</v>
      </c>
      <c r="B634" s="3475"/>
      <c r="C634" s="3475"/>
      <c r="D634" s="3475"/>
      <c r="E634" s="3475"/>
      <c r="F634" s="3475"/>
      <c r="G634" s="3475"/>
      <c r="H634" s="3475"/>
      <c r="I634" s="3475"/>
      <c r="J634" s="3475"/>
    </row>
    <row r="635" spans="1:10" ht="15.6" hidden="1" x14ac:dyDescent="0.3">
      <c r="A635" s="3461" t="s">
        <v>2</v>
      </c>
      <c r="B635" s="3461"/>
      <c r="C635" s="3461"/>
      <c r="D635" s="3461"/>
      <c r="E635" s="3461"/>
      <c r="F635" s="3461"/>
      <c r="G635" s="3461"/>
      <c r="H635" s="3461"/>
      <c r="I635" s="3461"/>
      <c r="J635" s="3461"/>
    </row>
    <row r="636" spans="1:10" hidden="1" x14ac:dyDescent="0.3">
      <c r="A636" s="137" t="s">
        <v>3</v>
      </c>
      <c r="B636" s="1781" t="s">
        <v>4</v>
      </c>
      <c r="C636" s="137" t="s">
        <v>5</v>
      </c>
      <c r="D636" s="137" t="s">
        <v>6</v>
      </c>
      <c r="E636" s="137" t="s">
        <v>7</v>
      </c>
      <c r="F636" s="137" t="s">
        <v>8</v>
      </c>
      <c r="G636" s="137" t="s">
        <v>9</v>
      </c>
      <c r="H636" s="137" t="s">
        <v>10</v>
      </c>
      <c r="I636" s="137" t="s">
        <v>11</v>
      </c>
      <c r="J636" s="137" t="s">
        <v>12</v>
      </c>
    </row>
    <row r="637" spans="1:10" hidden="1" x14ac:dyDescent="0.3">
      <c r="A637" s="1781">
        <v>1</v>
      </c>
      <c r="B637" s="3392" t="s">
        <v>499</v>
      </c>
      <c r="C637" s="150" t="s">
        <v>138</v>
      </c>
      <c r="D637" s="150" t="s">
        <v>524</v>
      </c>
      <c r="E637" s="150" t="s">
        <v>358</v>
      </c>
      <c r="F637" s="151">
        <v>1400000</v>
      </c>
      <c r="G637" s="150" t="s">
        <v>525</v>
      </c>
      <c r="H637" s="150" t="s">
        <v>271</v>
      </c>
      <c r="I637" s="150" t="s">
        <v>36</v>
      </c>
      <c r="J637" s="137">
        <v>1</v>
      </c>
    </row>
    <row r="638" spans="1:10" hidden="1" x14ac:dyDescent="0.3">
      <c r="A638" s="1781">
        <v>2</v>
      </c>
    </row>
    <row r="639" spans="1:10" hidden="1" x14ac:dyDescent="0.3">
      <c r="A639" s="1781">
        <v>3</v>
      </c>
      <c r="B639" s="3392"/>
      <c r="C639" s="150"/>
      <c r="D639" s="150"/>
      <c r="E639" s="150"/>
      <c r="F639" s="151"/>
      <c r="G639" s="150"/>
      <c r="H639" s="150"/>
      <c r="I639" s="150"/>
      <c r="J639" s="137"/>
    </row>
    <row r="640" spans="1:10" hidden="1" x14ac:dyDescent="0.3">
      <c r="A640" s="1781">
        <v>4</v>
      </c>
      <c r="B640" s="1781"/>
      <c r="C640" s="150"/>
      <c r="D640" s="150"/>
      <c r="E640" s="150"/>
      <c r="F640" s="150"/>
      <c r="G640" s="150"/>
      <c r="H640" s="150"/>
      <c r="I640" s="150"/>
      <c r="J640" s="137"/>
    </row>
    <row r="641" spans="1:10" hidden="1" x14ac:dyDescent="0.3">
      <c r="A641" s="1781">
        <v>5</v>
      </c>
      <c r="B641" s="1781"/>
      <c r="C641" s="137"/>
      <c r="D641" s="137"/>
      <c r="E641" s="137"/>
      <c r="F641" s="137"/>
      <c r="G641" s="137"/>
      <c r="H641" s="137"/>
      <c r="I641" s="137"/>
      <c r="J641" s="137"/>
    </row>
    <row r="642" spans="1:10" hidden="1" x14ac:dyDescent="0.3">
      <c r="A642" s="1781">
        <v>6</v>
      </c>
      <c r="B642" s="1781"/>
      <c r="C642" s="137"/>
      <c r="D642" s="137"/>
      <c r="E642" s="137"/>
      <c r="F642" s="137"/>
      <c r="G642" s="137"/>
      <c r="H642" s="137"/>
      <c r="I642" s="137"/>
      <c r="J642" s="137"/>
    </row>
    <row r="643" spans="1:10" hidden="1" x14ac:dyDescent="0.3">
      <c r="A643" s="1781">
        <v>7</v>
      </c>
      <c r="B643" s="1781"/>
      <c r="C643" s="137"/>
      <c r="D643" s="137"/>
      <c r="E643" s="137"/>
      <c r="F643" s="137"/>
      <c r="G643" s="137"/>
      <c r="H643" s="137"/>
      <c r="I643" s="137"/>
      <c r="J643" s="137"/>
    </row>
    <row r="644" spans="1:10" hidden="1" x14ac:dyDescent="0.3">
      <c r="A644" s="1781">
        <v>8</v>
      </c>
      <c r="B644" s="1781"/>
      <c r="C644" s="137"/>
      <c r="D644" s="137"/>
      <c r="E644" s="137"/>
      <c r="F644" s="137"/>
      <c r="G644" s="137"/>
      <c r="H644" s="137"/>
      <c r="I644" s="137"/>
      <c r="J644" s="137"/>
    </row>
    <row r="645" spans="1:10" hidden="1" x14ac:dyDescent="0.3">
      <c r="A645" s="1781">
        <v>9</v>
      </c>
      <c r="B645" s="1781"/>
      <c r="C645" s="137"/>
      <c r="D645" s="137"/>
      <c r="E645" s="137"/>
      <c r="F645" s="137"/>
      <c r="G645" s="137"/>
      <c r="H645" s="137"/>
      <c r="I645" s="137"/>
      <c r="J645" s="137"/>
    </row>
    <row r="646" spans="1:10" ht="21" hidden="1" x14ac:dyDescent="0.4">
      <c r="A646" s="1781">
        <v>10</v>
      </c>
      <c r="B646" s="1781"/>
      <c r="C646" s="137"/>
      <c r="D646" s="137"/>
      <c r="E646" s="137"/>
      <c r="F646" s="137"/>
      <c r="G646" s="137"/>
      <c r="H646" s="137"/>
      <c r="I646" s="137"/>
      <c r="J646" s="139"/>
    </row>
    <row r="647" spans="1:10" hidden="1" x14ac:dyDescent="0.3">
      <c r="A647" s="3473" t="s">
        <v>33</v>
      </c>
      <c r="B647" s="3473"/>
      <c r="C647" s="3473"/>
      <c r="D647" s="3473"/>
      <c r="E647" s="3473"/>
      <c r="F647" s="3473"/>
      <c r="G647" s="3473"/>
      <c r="H647" s="3473"/>
      <c r="I647" s="3473"/>
      <c r="J647" s="3473"/>
    </row>
    <row r="648" spans="1:10" hidden="1" x14ac:dyDescent="0.3">
      <c r="A648" s="150" t="s">
        <v>3</v>
      </c>
      <c r="B648" s="1781" t="s">
        <v>4</v>
      </c>
      <c r="C648" s="150" t="s">
        <v>5</v>
      </c>
      <c r="D648" s="150" t="s">
        <v>6</v>
      </c>
      <c r="E648" s="150" t="s">
        <v>7</v>
      </c>
      <c r="F648" s="150" t="s">
        <v>8</v>
      </c>
      <c r="G648" s="150" t="s">
        <v>9</v>
      </c>
      <c r="H648" s="150" t="s">
        <v>10</v>
      </c>
      <c r="I648" s="150" t="s">
        <v>11</v>
      </c>
      <c r="J648" s="137" t="s">
        <v>12</v>
      </c>
    </row>
    <row r="649" spans="1:10" hidden="1" x14ac:dyDescent="0.3">
      <c r="A649" s="549">
        <v>1</v>
      </c>
      <c r="B649" s="3393"/>
      <c r="C649" s="152"/>
      <c r="D649" s="586"/>
      <c r="E649" s="152"/>
      <c r="F649" s="162"/>
      <c r="G649" s="152"/>
      <c r="H649" s="152"/>
      <c r="I649" s="152"/>
      <c r="J649" s="140"/>
    </row>
    <row r="650" spans="1:10" hidden="1" x14ac:dyDescent="0.3">
      <c r="A650" s="549">
        <v>2</v>
      </c>
      <c r="B650" s="3393"/>
      <c r="C650" s="152"/>
      <c r="D650" s="152"/>
      <c r="E650" s="152"/>
      <c r="F650" s="162"/>
      <c r="G650" s="152"/>
      <c r="H650" s="152"/>
      <c r="I650" s="152"/>
      <c r="J650" s="140"/>
    </row>
    <row r="651" spans="1:10" hidden="1" x14ac:dyDescent="0.3">
      <c r="A651" s="549">
        <v>3</v>
      </c>
      <c r="B651" s="3393"/>
      <c r="C651" s="152"/>
      <c r="D651" s="152"/>
      <c r="E651" s="152"/>
      <c r="F651" s="162"/>
      <c r="G651" s="152"/>
      <c r="H651" s="152"/>
      <c r="I651" s="152"/>
      <c r="J651" s="140"/>
    </row>
    <row r="652" spans="1:10" hidden="1" x14ac:dyDescent="0.3"/>
    <row r="653" spans="1:10" hidden="1" x14ac:dyDescent="0.3"/>
    <row r="654" spans="1:10" hidden="1" x14ac:dyDescent="0.3"/>
    <row r="655" spans="1:10" hidden="1" x14ac:dyDescent="0.3">
      <c r="A655" s="3476" t="s">
        <v>526</v>
      </c>
      <c r="B655" s="3477"/>
      <c r="C655" s="3477"/>
      <c r="D655" s="3477"/>
      <c r="E655" s="3477"/>
      <c r="F655" s="3477"/>
      <c r="G655" s="3477"/>
      <c r="H655" s="3477"/>
      <c r="I655" s="3477"/>
      <c r="J655" s="3477"/>
    </row>
    <row r="656" spans="1:10" hidden="1" x14ac:dyDescent="0.3">
      <c r="A656" s="3477"/>
      <c r="B656" s="3477"/>
      <c r="C656" s="3477"/>
      <c r="D656" s="3477"/>
      <c r="E656" s="3477"/>
      <c r="F656" s="3477"/>
      <c r="G656" s="3477"/>
      <c r="H656" s="3477"/>
      <c r="I656" s="3477"/>
      <c r="J656" s="3477"/>
    </row>
    <row r="657" spans="1:10" ht="46.2" hidden="1" x14ac:dyDescent="0.3">
      <c r="B657" s="136"/>
      <c r="C657" s="136"/>
      <c r="D657" s="136"/>
      <c r="E657" s="136"/>
      <c r="F657" s="136"/>
      <c r="G657" s="136"/>
      <c r="H657" s="136"/>
      <c r="I657" s="136"/>
      <c r="J657" s="136"/>
    </row>
    <row r="658" spans="1:10" ht="23.4" hidden="1" x14ac:dyDescent="0.3">
      <c r="A658" s="3474" t="s">
        <v>527</v>
      </c>
      <c r="B658" s="3474"/>
      <c r="C658" s="3474"/>
      <c r="D658" s="3474"/>
      <c r="E658" s="3474"/>
      <c r="F658" s="3474"/>
      <c r="G658" s="3474"/>
      <c r="H658" s="3474"/>
      <c r="I658" s="3474"/>
      <c r="J658" s="3474"/>
    </row>
    <row r="659" spans="1:10" ht="15.6" hidden="1" x14ac:dyDescent="0.3">
      <c r="A659" s="3461" t="s">
        <v>2</v>
      </c>
      <c r="B659" s="3461"/>
      <c r="C659" s="3461"/>
      <c r="D659" s="3461"/>
      <c r="E659" s="3461"/>
      <c r="F659" s="3461"/>
      <c r="G659" s="3461"/>
      <c r="H659" s="3461"/>
      <c r="I659" s="3461"/>
      <c r="J659" s="3461"/>
    </row>
    <row r="660" spans="1:10" hidden="1" x14ac:dyDescent="0.3">
      <c r="A660" s="137" t="s">
        <v>3</v>
      </c>
      <c r="B660" s="1781" t="s">
        <v>4</v>
      </c>
      <c r="C660" s="137" t="s">
        <v>5</v>
      </c>
      <c r="D660" s="137" t="s">
        <v>6</v>
      </c>
      <c r="E660" s="137" t="s">
        <v>7</v>
      </c>
      <c r="F660" s="137" t="s">
        <v>8</v>
      </c>
      <c r="G660" s="137" t="s">
        <v>9</v>
      </c>
      <c r="H660" s="137" t="s">
        <v>10</v>
      </c>
      <c r="I660" s="137" t="s">
        <v>11</v>
      </c>
      <c r="J660" s="137" t="s">
        <v>12</v>
      </c>
    </row>
    <row r="661" spans="1:10" hidden="1" x14ac:dyDescent="0.3">
      <c r="A661" s="137">
        <v>1</v>
      </c>
      <c r="B661" s="1781" t="s">
        <v>528</v>
      </c>
      <c r="C661" s="137" t="s">
        <v>138</v>
      </c>
      <c r="D661" s="137" t="s">
        <v>529</v>
      </c>
      <c r="E661" s="137" t="s">
        <v>436</v>
      </c>
      <c r="F661" s="137">
        <v>1200000</v>
      </c>
      <c r="G661" s="137" t="s">
        <v>530</v>
      </c>
      <c r="H661" s="137" t="s">
        <v>271</v>
      </c>
      <c r="I661" s="137" t="s">
        <v>36</v>
      </c>
      <c r="J661" s="137">
        <v>1</v>
      </c>
    </row>
    <row r="662" spans="1:10" hidden="1" x14ac:dyDescent="0.3">
      <c r="A662" s="137">
        <v>2</v>
      </c>
      <c r="B662" s="1781" t="s">
        <v>528</v>
      </c>
      <c r="C662" s="137" t="s">
        <v>138</v>
      </c>
      <c r="D662" s="137" t="s">
        <v>531</v>
      </c>
      <c r="E662" s="137" t="s">
        <v>436</v>
      </c>
      <c r="F662" s="137">
        <v>1300000</v>
      </c>
      <c r="G662" s="137" t="s">
        <v>532</v>
      </c>
      <c r="H662" s="137" t="s">
        <v>271</v>
      </c>
      <c r="I662" s="137" t="s">
        <v>36</v>
      </c>
      <c r="J662" s="137">
        <v>1</v>
      </c>
    </row>
    <row r="663" spans="1:10" hidden="1" x14ac:dyDescent="0.3">
      <c r="A663" s="137">
        <v>3</v>
      </c>
      <c r="B663" s="1781" t="s">
        <v>533</v>
      </c>
      <c r="C663" s="137" t="s">
        <v>138</v>
      </c>
      <c r="D663" s="137" t="s">
        <v>534</v>
      </c>
      <c r="E663" s="137" t="s">
        <v>535</v>
      </c>
      <c r="F663" s="137">
        <v>780000</v>
      </c>
      <c r="G663" s="137" t="s">
        <v>536</v>
      </c>
      <c r="H663" s="137" t="s">
        <v>271</v>
      </c>
      <c r="I663" s="137" t="s">
        <v>36</v>
      </c>
      <c r="J663" s="137">
        <v>1</v>
      </c>
    </row>
    <row r="664" spans="1:10" hidden="1" x14ac:dyDescent="0.3">
      <c r="A664" s="137">
        <v>4</v>
      </c>
      <c r="B664" s="1781" t="s">
        <v>537</v>
      </c>
      <c r="C664" s="137" t="s">
        <v>138</v>
      </c>
      <c r="D664" s="137" t="s">
        <v>538</v>
      </c>
      <c r="E664" s="137" t="s">
        <v>358</v>
      </c>
      <c r="F664" s="137">
        <v>950000</v>
      </c>
      <c r="G664" s="137" t="s">
        <v>539</v>
      </c>
      <c r="H664" s="137" t="s">
        <v>271</v>
      </c>
      <c r="I664" s="137" t="s">
        <v>36</v>
      </c>
      <c r="J664" s="137">
        <v>1</v>
      </c>
    </row>
    <row r="665" spans="1:10" hidden="1" x14ac:dyDescent="0.3">
      <c r="A665" s="137">
        <v>5</v>
      </c>
      <c r="B665" s="1781" t="s">
        <v>537</v>
      </c>
      <c r="C665" s="137" t="s">
        <v>138</v>
      </c>
      <c r="D665" s="137" t="s">
        <v>540</v>
      </c>
      <c r="E665" s="137" t="s">
        <v>541</v>
      </c>
      <c r="F665" s="137">
        <v>930000</v>
      </c>
      <c r="G665" s="137" t="s">
        <v>542</v>
      </c>
      <c r="H665" s="137" t="s">
        <v>271</v>
      </c>
      <c r="I665" s="137" t="s">
        <v>36</v>
      </c>
      <c r="J665" s="137">
        <v>1</v>
      </c>
    </row>
    <row r="666" spans="1:10" hidden="1" x14ac:dyDescent="0.3">
      <c r="A666" s="137">
        <v>6</v>
      </c>
      <c r="B666" s="1781" t="s">
        <v>543</v>
      </c>
      <c r="C666" s="137" t="s">
        <v>138</v>
      </c>
      <c r="D666" s="137" t="s">
        <v>544</v>
      </c>
      <c r="E666" s="137" t="s">
        <v>541</v>
      </c>
      <c r="F666" s="137">
        <v>1000000</v>
      </c>
      <c r="G666" s="137" t="s">
        <v>542</v>
      </c>
      <c r="H666" s="137" t="s">
        <v>271</v>
      </c>
      <c r="I666" s="137" t="s">
        <v>36</v>
      </c>
      <c r="J666" s="137">
        <v>1</v>
      </c>
    </row>
    <row r="667" spans="1:10" hidden="1" x14ac:dyDescent="0.3">
      <c r="A667" s="137">
        <v>7</v>
      </c>
      <c r="B667" s="1781" t="s">
        <v>545</v>
      </c>
      <c r="C667" s="137" t="s">
        <v>138</v>
      </c>
      <c r="D667" s="137" t="s">
        <v>546</v>
      </c>
      <c r="E667" s="137" t="s">
        <v>436</v>
      </c>
      <c r="F667" s="137">
        <v>1150000</v>
      </c>
      <c r="G667" s="137" t="s">
        <v>539</v>
      </c>
      <c r="H667" s="137" t="s">
        <v>271</v>
      </c>
      <c r="I667" s="137" t="s">
        <v>36</v>
      </c>
      <c r="J667" s="137">
        <v>1</v>
      </c>
    </row>
    <row r="668" spans="1:10" hidden="1" x14ac:dyDescent="0.3">
      <c r="A668" s="137">
        <v>8</v>
      </c>
      <c r="B668" s="1781" t="s">
        <v>547</v>
      </c>
      <c r="C668" s="137" t="s">
        <v>138</v>
      </c>
      <c r="D668" s="137" t="s">
        <v>548</v>
      </c>
      <c r="E668" s="137" t="s">
        <v>549</v>
      </c>
      <c r="F668" s="137">
        <v>1150000</v>
      </c>
      <c r="G668" s="137" t="s">
        <v>550</v>
      </c>
      <c r="H668" s="137" t="s">
        <v>271</v>
      </c>
      <c r="I668" s="137" t="s">
        <v>36</v>
      </c>
      <c r="J668" s="137">
        <v>1</v>
      </c>
    </row>
    <row r="669" spans="1:10" hidden="1" x14ac:dyDescent="0.3">
      <c r="A669" s="137">
        <v>9</v>
      </c>
      <c r="B669" s="1781" t="s">
        <v>551</v>
      </c>
      <c r="C669" s="137" t="s">
        <v>138</v>
      </c>
      <c r="D669" s="137" t="s">
        <v>552</v>
      </c>
      <c r="E669" s="137" t="s">
        <v>549</v>
      </c>
      <c r="F669" s="137">
        <v>950000</v>
      </c>
      <c r="G669" s="137" t="s">
        <v>553</v>
      </c>
      <c r="H669" s="137" t="s">
        <v>271</v>
      </c>
      <c r="I669" s="137" t="s">
        <v>36</v>
      </c>
      <c r="J669" s="137">
        <v>1</v>
      </c>
    </row>
    <row r="670" spans="1:10" hidden="1" x14ac:dyDescent="0.3">
      <c r="A670" s="137">
        <v>10</v>
      </c>
      <c r="B670" s="1781" t="s">
        <v>551</v>
      </c>
      <c r="C670" s="137" t="s">
        <v>138</v>
      </c>
      <c r="D670" s="137" t="s">
        <v>554</v>
      </c>
      <c r="E670" s="137" t="s">
        <v>322</v>
      </c>
      <c r="F670" s="137">
        <v>800000</v>
      </c>
      <c r="G670" s="137" t="s">
        <v>555</v>
      </c>
      <c r="H670" s="137" t="s">
        <v>271</v>
      </c>
      <c r="I670" s="137" t="s">
        <v>36</v>
      </c>
      <c r="J670" s="137">
        <v>1</v>
      </c>
    </row>
    <row r="671" spans="1:10" hidden="1" x14ac:dyDescent="0.3">
      <c r="A671" s="137">
        <v>11</v>
      </c>
      <c r="B671" s="1781" t="s">
        <v>551</v>
      </c>
      <c r="C671" s="137" t="s">
        <v>138</v>
      </c>
      <c r="D671" s="137" t="s">
        <v>556</v>
      </c>
      <c r="E671" s="137" t="s">
        <v>557</v>
      </c>
      <c r="F671" s="137">
        <v>1100000</v>
      </c>
      <c r="G671" s="137" t="s">
        <v>558</v>
      </c>
      <c r="H671" s="137" t="s">
        <v>271</v>
      </c>
      <c r="I671" s="137" t="s">
        <v>36</v>
      </c>
      <c r="J671" s="137">
        <v>1</v>
      </c>
    </row>
    <row r="672" spans="1:10" hidden="1" x14ac:dyDescent="0.3">
      <c r="A672" s="137">
        <v>12</v>
      </c>
      <c r="B672" s="1781" t="s">
        <v>551</v>
      </c>
      <c r="C672" s="137" t="s">
        <v>138</v>
      </c>
      <c r="D672" s="137" t="s">
        <v>559</v>
      </c>
      <c r="E672" s="137" t="s">
        <v>560</v>
      </c>
      <c r="F672" s="137">
        <v>850000</v>
      </c>
      <c r="G672" s="137" t="s">
        <v>561</v>
      </c>
      <c r="H672" s="137" t="s">
        <v>271</v>
      </c>
      <c r="I672" s="137" t="s">
        <v>36</v>
      </c>
      <c r="J672" s="137">
        <v>1</v>
      </c>
    </row>
    <row r="673" spans="1:10" hidden="1" x14ac:dyDescent="0.3">
      <c r="A673" s="137">
        <v>13</v>
      </c>
      <c r="B673" s="1781" t="s">
        <v>551</v>
      </c>
      <c r="C673" s="137" t="s">
        <v>138</v>
      </c>
      <c r="D673" s="137" t="s">
        <v>562</v>
      </c>
      <c r="E673" s="137" t="s">
        <v>541</v>
      </c>
      <c r="F673" s="137">
        <v>1050000</v>
      </c>
      <c r="G673" s="137" t="s">
        <v>553</v>
      </c>
      <c r="H673" s="137" t="s">
        <v>271</v>
      </c>
      <c r="I673" s="137" t="s">
        <v>36</v>
      </c>
      <c r="J673" s="137">
        <v>1</v>
      </c>
    </row>
    <row r="674" spans="1:10" hidden="1" x14ac:dyDescent="0.3">
      <c r="A674" s="137">
        <v>14</v>
      </c>
      <c r="B674" s="1781" t="s">
        <v>563</v>
      </c>
      <c r="C674" s="137" t="s">
        <v>138</v>
      </c>
      <c r="D674" s="137" t="s">
        <v>564</v>
      </c>
      <c r="E674" s="137" t="s">
        <v>565</v>
      </c>
      <c r="F674" s="137">
        <v>1100000</v>
      </c>
      <c r="G674" s="137" t="s">
        <v>550</v>
      </c>
      <c r="H674" s="137" t="s">
        <v>271</v>
      </c>
      <c r="I674" s="137" t="s">
        <v>36</v>
      </c>
      <c r="J674" s="137">
        <v>1</v>
      </c>
    </row>
    <row r="675" spans="1:10" hidden="1" x14ac:dyDescent="0.3">
      <c r="A675" s="1781">
        <v>15</v>
      </c>
      <c r="B675" s="3392" t="s">
        <v>563</v>
      </c>
      <c r="C675" s="150" t="s">
        <v>138</v>
      </c>
      <c r="D675" s="641" t="s">
        <v>566</v>
      </c>
      <c r="E675" s="150" t="s">
        <v>565</v>
      </c>
      <c r="F675" s="151">
        <v>1200000</v>
      </c>
      <c r="G675" s="150" t="s">
        <v>550</v>
      </c>
      <c r="H675" s="150" t="s">
        <v>271</v>
      </c>
      <c r="I675" s="150" t="s">
        <v>36</v>
      </c>
      <c r="J675" s="137">
        <v>1</v>
      </c>
    </row>
    <row r="676" spans="1:10" hidden="1" x14ac:dyDescent="0.3">
      <c r="A676" s="1781">
        <v>16</v>
      </c>
      <c r="B676" s="3392" t="s">
        <v>567</v>
      </c>
      <c r="C676" s="150" t="s">
        <v>138</v>
      </c>
      <c r="D676" s="641" t="s">
        <v>568</v>
      </c>
      <c r="E676" s="150" t="s">
        <v>358</v>
      </c>
      <c r="F676" s="151">
        <v>1100000</v>
      </c>
      <c r="G676" s="150" t="s">
        <v>569</v>
      </c>
      <c r="H676" s="150" t="s">
        <v>271</v>
      </c>
      <c r="I676" s="150" t="s">
        <v>36</v>
      </c>
      <c r="J676" s="137">
        <v>1</v>
      </c>
    </row>
    <row r="677" spans="1:10" hidden="1" x14ac:dyDescent="0.3">
      <c r="A677" s="1781">
        <v>17</v>
      </c>
      <c r="B677" s="3392" t="s">
        <v>570</v>
      </c>
      <c r="C677" s="150" t="s">
        <v>138</v>
      </c>
      <c r="D677" s="641" t="s">
        <v>571</v>
      </c>
      <c r="E677" s="150" t="s">
        <v>557</v>
      </c>
      <c r="F677" s="151">
        <v>1100000</v>
      </c>
      <c r="G677" s="150" t="s">
        <v>558</v>
      </c>
      <c r="H677" s="150" t="s">
        <v>271</v>
      </c>
      <c r="I677" s="150" t="s">
        <v>36</v>
      </c>
      <c r="J677" s="137">
        <v>1</v>
      </c>
    </row>
    <row r="678" spans="1:10" hidden="1" x14ac:dyDescent="0.3">
      <c r="A678" s="1781">
        <v>18</v>
      </c>
      <c r="B678" s="3392" t="s">
        <v>570</v>
      </c>
      <c r="C678" s="150" t="s">
        <v>138</v>
      </c>
      <c r="D678" s="641" t="s">
        <v>572</v>
      </c>
      <c r="E678" s="150" t="s">
        <v>565</v>
      </c>
      <c r="F678" s="151">
        <v>1100000</v>
      </c>
      <c r="G678" s="150" t="s">
        <v>550</v>
      </c>
      <c r="H678" s="150" t="s">
        <v>271</v>
      </c>
      <c r="I678" s="150" t="s">
        <v>36</v>
      </c>
      <c r="J678" s="137">
        <v>1</v>
      </c>
    </row>
    <row r="679" spans="1:10" hidden="1" x14ac:dyDescent="0.3">
      <c r="A679" s="1781">
        <v>19</v>
      </c>
      <c r="B679" s="1781" t="s">
        <v>570</v>
      </c>
      <c r="C679" s="150" t="s">
        <v>138</v>
      </c>
      <c r="D679" s="641" t="s">
        <v>573</v>
      </c>
      <c r="E679" s="150" t="s">
        <v>358</v>
      </c>
      <c r="F679" s="151">
        <v>1150000</v>
      </c>
      <c r="G679" s="150" t="s">
        <v>532</v>
      </c>
      <c r="H679" s="150" t="s">
        <v>271</v>
      </c>
      <c r="I679" s="150" t="s">
        <v>36</v>
      </c>
      <c r="J679" s="137">
        <v>1</v>
      </c>
    </row>
    <row r="680" spans="1:10" hidden="1" x14ac:dyDescent="0.3">
      <c r="A680" s="1781">
        <v>20</v>
      </c>
      <c r="B680" s="1781" t="s">
        <v>574</v>
      </c>
      <c r="C680" s="150" t="s">
        <v>138</v>
      </c>
      <c r="D680" s="641" t="s">
        <v>500</v>
      </c>
      <c r="E680" s="150" t="s">
        <v>575</v>
      </c>
      <c r="F680" s="151">
        <v>950000</v>
      </c>
      <c r="G680" s="150" t="s">
        <v>576</v>
      </c>
      <c r="H680" s="150" t="s">
        <v>271</v>
      </c>
      <c r="I680" s="150" t="s">
        <v>36</v>
      </c>
      <c r="J680" s="137">
        <v>1</v>
      </c>
    </row>
    <row r="681" spans="1:10" ht="24.6" hidden="1" x14ac:dyDescent="0.4">
      <c r="A681" s="1781"/>
      <c r="B681" s="1781"/>
      <c r="C681" s="150"/>
      <c r="D681" s="641"/>
      <c r="E681" s="150"/>
      <c r="F681" s="151"/>
      <c r="G681" s="150"/>
      <c r="H681" s="150"/>
      <c r="I681" s="150"/>
      <c r="J681" s="932">
        <f>SUM(J661:J680)</f>
        <v>20</v>
      </c>
    </row>
    <row r="682" spans="1:10" hidden="1" x14ac:dyDescent="0.3">
      <c r="A682" s="3473" t="s">
        <v>33</v>
      </c>
      <c r="B682" s="3473"/>
      <c r="C682" s="3473"/>
      <c r="D682" s="3473"/>
      <c r="E682" s="3473"/>
      <c r="F682" s="3473"/>
      <c r="G682" s="3473"/>
      <c r="H682" s="3473"/>
      <c r="I682" s="3473"/>
      <c r="J682" s="3473"/>
    </row>
    <row r="683" spans="1:10" hidden="1" x14ac:dyDescent="0.3">
      <c r="A683" s="137" t="s">
        <v>3</v>
      </c>
      <c r="B683" s="1781" t="s">
        <v>4</v>
      </c>
      <c r="C683" s="137" t="s">
        <v>5</v>
      </c>
      <c r="D683" s="137" t="s">
        <v>6</v>
      </c>
      <c r="E683" s="137" t="s">
        <v>7</v>
      </c>
      <c r="F683" s="137" t="s">
        <v>8</v>
      </c>
      <c r="G683" s="137" t="s">
        <v>9</v>
      </c>
      <c r="H683" s="137" t="s">
        <v>10</v>
      </c>
      <c r="I683" s="137" t="s">
        <v>11</v>
      </c>
      <c r="J683" s="137" t="s">
        <v>12</v>
      </c>
    </row>
    <row r="684" spans="1:10" hidden="1" x14ac:dyDescent="0.3">
      <c r="A684" s="549">
        <v>1</v>
      </c>
      <c r="B684" s="3393" t="s">
        <v>543</v>
      </c>
      <c r="C684" s="152" t="s">
        <v>135</v>
      </c>
      <c r="D684" s="152" t="s">
        <v>577</v>
      </c>
      <c r="E684" s="152" t="s">
        <v>78</v>
      </c>
      <c r="F684" s="152">
        <v>230000000</v>
      </c>
      <c r="G684" s="152" t="s">
        <v>168</v>
      </c>
      <c r="H684" s="152" t="s">
        <v>271</v>
      </c>
      <c r="I684" s="152" t="s">
        <v>36</v>
      </c>
      <c r="J684" s="200">
        <v>1</v>
      </c>
    </row>
    <row r="685" spans="1:10" hidden="1" x14ac:dyDescent="0.3">
      <c r="A685" s="549">
        <v>2</v>
      </c>
      <c r="B685" s="3393" t="s">
        <v>543</v>
      </c>
      <c r="C685" s="152" t="s">
        <v>135</v>
      </c>
      <c r="D685" s="152" t="s">
        <v>578</v>
      </c>
      <c r="E685" s="152" t="s">
        <v>78</v>
      </c>
      <c r="F685" s="152">
        <v>290000000</v>
      </c>
      <c r="G685" s="152" t="s">
        <v>43</v>
      </c>
      <c r="H685" s="152" t="s">
        <v>271</v>
      </c>
      <c r="I685" s="152" t="s">
        <v>36</v>
      </c>
      <c r="J685" s="200">
        <v>1</v>
      </c>
    </row>
    <row r="686" spans="1:10" hidden="1" x14ac:dyDescent="0.3">
      <c r="A686" s="597">
        <v>3</v>
      </c>
      <c r="B686" s="3394" t="s">
        <v>543</v>
      </c>
      <c r="C686" s="154" t="s">
        <v>138</v>
      </c>
      <c r="D686" s="154" t="s">
        <v>579</v>
      </c>
      <c r="E686" s="154" t="s">
        <v>78</v>
      </c>
      <c r="F686" s="154">
        <v>225000000</v>
      </c>
      <c r="G686" s="154" t="s">
        <v>532</v>
      </c>
      <c r="H686" s="154" t="s">
        <v>271</v>
      </c>
      <c r="I686" s="154" t="s">
        <v>36</v>
      </c>
      <c r="J686" s="598">
        <v>1</v>
      </c>
    </row>
    <row r="687" spans="1:10" hidden="1" x14ac:dyDescent="0.3">
      <c r="A687" s="886">
        <v>4</v>
      </c>
      <c r="B687" s="3395" t="s">
        <v>543</v>
      </c>
      <c r="C687" s="156" t="s">
        <v>138</v>
      </c>
      <c r="D687" s="156" t="s">
        <v>580</v>
      </c>
      <c r="E687" s="156" t="s">
        <v>78</v>
      </c>
      <c r="F687" s="156">
        <v>230000000</v>
      </c>
      <c r="G687" s="156" t="s">
        <v>532</v>
      </c>
      <c r="H687" s="156" t="s">
        <v>271</v>
      </c>
      <c r="I687" s="156" t="s">
        <v>36</v>
      </c>
      <c r="J687" s="144">
        <v>1</v>
      </c>
    </row>
    <row r="688" spans="1:10" hidden="1" x14ac:dyDescent="0.3">
      <c r="A688" s="886"/>
      <c r="B688" s="3399" t="s">
        <v>581</v>
      </c>
      <c r="C688" s="888" t="s">
        <v>138</v>
      </c>
      <c r="D688" s="888" t="s">
        <v>548</v>
      </c>
      <c r="E688" s="888" t="s">
        <v>390</v>
      </c>
      <c r="F688" s="888">
        <v>250000000</v>
      </c>
      <c r="G688" s="888" t="s">
        <v>550</v>
      </c>
      <c r="H688" s="888" t="s">
        <v>271</v>
      </c>
      <c r="I688" s="888" t="s">
        <v>36</v>
      </c>
      <c r="J688" s="887">
        <v>1</v>
      </c>
    </row>
    <row r="689" spans="1:10" ht="24.6" hidden="1" x14ac:dyDescent="0.4">
      <c r="A689" s="144"/>
      <c r="B689" s="922"/>
      <c r="C689" s="887"/>
      <c r="D689" s="887"/>
      <c r="E689" s="887"/>
      <c r="F689" s="887"/>
      <c r="G689" s="887"/>
      <c r="H689" s="887"/>
      <c r="I689" s="887"/>
      <c r="J689" s="933">
        <f>J684+J685+J686+J687+J688</f>
        <v>5</v>
      </c>
    </row>
    <row r="690" spans="1:10" hidden="1" x14ac:dyDescent="0.3"/>
    <row r="691" spans="1:10" hidden="1" x14ac:dyDescent="0.3"/>
    <row r="692" spans="1:10" hidden="1" x14ac:dyDescent="0.3"/>
    <row r="693" spans="1:10" ht="23.4" hidden="1" x14ac:dyDescent="0.3">
      <c r="A693" s="3474" t="s">
        <v>582</v>
      </c>
      <c r="B693" s="3474"/>
      <c r="C693" s="3474"/>
      <c r="D693" s="3474"/>
      <c r="E693" s="3474"/>
      <c r="F693" s="3474"/>
      <c r="G693" s="3474"/>
      <c r="H693" s="3474"/>
      <c r="I693" s="3474"/>
      <c r="J693" s="3474"/>
    </row>
    <row r="694" spans="1:10" ht="15.6" hidden="1" x14ac:dyDescent="0.3">
      <c r="A694" s="3461" t="s">
        <v>2</v>
      </c>
      <c r="B694" s="3461"/>
      <c r="C694" s="3461"/>
      <c r="D694" s="3461"/>
      <c r="E694" s="3461"/>
      <c r="F694" s="3461"/>
      <c r="G694" s="3461"/>
      <c r="H694" s="3461"/>
      <c r="I694" s="3461"/>
      <c r="J694" s="3461"/>
    </row>
    <row r="695" spans="1:10" hidden="1" x14ac:dyDescent="0.3">
      <c r="A695" s="137" t="s">
        <v>3</v>
      </c>
      <c r="B695" s="1781" t="s">
        <v>4</v>
      </c>
      <c r="C695" s="137" t="s">
        <v>5</v>
      </c>
      <c r="D695" s="137" t="s">
        <v>6</v>
      </c>
      <c r="E695" s="137" t="s">
        <v>7</v>
      </c>
      <c r="F695" s="137" t="s">
        <v>8</v>
      </c>
      <c r="G695" s="137" t="s">
        <v>9</v>
      </c>
      <c r="H695" s="137" t="s">
        <v>10</v>
      </c>
      <c r="I695" s="137" t="s">
        <v>11</v>
      </c>
      <c r="J695" s="137" t="s">
        <v>12</v>
      </c>
    </row>
    <row r="696" spans="1:10" hidden="1" x14ac:dyDescent="0.3">
      <c r="A696" s="137">
        <v>1</v>
      </c>
      <c r="B696" s="1781" t="s">
        <v>537</v>
      </c>
      <c r="C696" s="137" t="s">
        <v>138</v>
      </c>
      <c r="D696" s="137" t="s">
        <v>583</v>
      </c>
      <c r="E696" s="137" t="s">
        <v>584</v>
      </c>
      <c r="F696" s="150">
        <v>1400000</v>
      </c>
      <c r="G696" s="137" t="s">
        <v>585</v>
      </c>
      <c r="H696" s="137" t="s">
        <v>271</v>
      </c>
      <c r="I696" s="137" t="s">
        <v>36</v>
      </c>
      <c r="J696" s="137">
        <v>1</v>
      </c>
    </row>
    <row r="697" spans="1:10" hidden="1" x14ac:dyDescent="0.3">
      <c r="A697" s="137">
        <v>2</v>
      </c>
      <c r="B697" s="1781" t="s">
        <v>537</v>
      </c>
      <c r="C697" s="137" t="s">
        <v>138</v>
      </c>
      <c r="D697" s="137" t="s">
        <v>586</v>
      </c>
      <c r="E697" s="137" t="s">
        <v>584</v>
      </c>
      <c r="F697" s="150">
        <v>1000000</v>
      </c>
      <c r="G697" s="137" t="s">
        <v>235</v>
      </c>
      <c r="H697" s="137" t="s">
        <v>271</v>
      </c>
      <c r="I697" s="137" t="s">
        <v>36</v>
      </c>
      <c r="J697" s="137">
        <v>1</v>
      </c>
    </row>
    <row r="698" spans="1:10" hidden="1" x14ac:dyDescent="0.3">
      <c r="A698" s="137">
        <v>3</v>
      </c>
      <c r="B698" s="1781" t="s">
        <v>543</v>
      </c>
      <c r="C698" s="137" t="s">
        <v>138</v>
      </c>
      <c r="D698" s="137" t="s">
        <v>587</v>
      </c>
      <c r="E698" s="137" t="s">
        <v>588</v>
      </c>
      <c r="F698" s="150">
        <v>1200000</v>
      </c>
      <c r="G698" s="137" t="s">
        <v>144</v>
      </c>
      <c r="H698" s="137" t="s">
        <v>271</v>
      </c>
      <c r="I698" s="137" t="s">
        <v>36</v>
      </c>
      <c r="J698" s="137">
        <v>1</v>
      </c>
    </row>
    <row r="699" spans="1:10" hidden="1" x14ac:dyDescent="0.3">
      <c r="A699" s="137">
        <v>4</v>
      </c>
      <c r="B699" s="1781" t="s">
        <v>543</v>
      </c>
      <c r="C699" s="137" t="s">
        <v>138</v>
      </c>
      <c r="D699" s="137" t="s">
        <v>589</v>
      </c>
      <c r="E699" s="137" t="s">
        <v>590</v>
      </c>
      <c r="F699" s="150">
        <v>1600000</v>
      </c>
      <c r="G699" s="137" t="s">
        <v>591</v>
      </c>
      <c r="H699" s="137" t="s">
        <v>271</v>
      </c>
      <c r="I699" s="137" t="s">
        <v>36</v>
      </c>
      <c r="J699" s="137">
        <v>1</v>
      </c>
    </row>
    <row r="700" spans="1:10" hidden="1" x14ac:dyDescent="0.3">
      <c r="A700" s="137">
        <v>5</v>
      </c>
      <c r="B700" s="1781" t="s">
        <v>543</v>
      </c>
      <c r="C700" s="137" t="s">
        <v>138</v>
      </c>
      <c r="D700" s="137" t="s">
        <v>592</v>
      </c>
      <c r="E700" s="137" t="s">
        <v>588</v>
      </c>
      <c r="F700" s="150">
        <v>1200000</v>
      </c>
      <c r="G700" s="137" t="s">
        <v>144</v>
      </c>
      <c r="H700" s="137" t="s">
        <v>271</v>
      </c>
      <c r="I700" s="137" t="s">
        <v>36</v>
      </c>
      <c r="J700" s="137">
        <v>1</v>
      </c>
    </row>
    <row r="701" spans="1:10" hidden="1" x14ac:dyDescent="0.3">
      <c r="A701" s="137">
        <v>6</v>
      </c>
      <c r="B701" s="1781" t="s">
        <v>593</v>
      </c>
      <c r="C701" s="137" t="s">
        <v>138</v>
      </c>
      <c r="D701" s="137" t="s">
        <v>594</v>
      </c>
      <c r="E701" s="137" t="s">
        <v>595</v>
      </c>
      <c r="F701" s="150">
        <v>1200000</v>
      </c>
      <c r="G701" s="137" t="s">
        <v>596</v>
      </c>
      <c r="H701" s="137" t="s">
        <v>271</v>
      </c>
      <c r="I701" s="137" t="s">
        <v>36</v>
      </c>
      <c r="J701" s="137">
        <v>1</v>
      </c>
    </row>
    <row r="702" spans="1:10" hidden="1" x14ac:dyDescent="0.3">
      <c r="A702" s="137">
        <v>7</v>
      </c>
      <c r="B702" s="1781" t="s">
        <v>543</v>
      </c>
      <c r="C702" s="137" t="s">
        <v>138</v>
      </c>
      <c r="D702" s="137" t="s">
        <v>597</v>
      </c>
      <c r="E702" s="137" t="s">
        <v>595</v>
      </c>
      <c r="F702" s="150">
        <v>1300000</v>
      </c>
      <c r="G702" s="137" t="s">
        <v>598</v>
      </c>
      <c r="H702" s="137" t="s">
        <v>271</v>
      </c>
      <c r="I702" s="137" t="s">
        <v>36</v>
      </c>
      <c r="J702" s="137">
        <v>1</v>
      </c>
    </row>
    <row r="703" spans="1:10" hidden="1" x14ac:dyDescent="0.3">
      <c r="A703" s="137">
        <v>8</v>
      </c>
      <c r="B703" s="1781" t="s">
        <v>454</v>
      </c>
      <c r="C703" s="137" t="s">
        <v>138</v>
      </c>
      <c r="D703" s="137" t="s">
        <v>599</v>
      </c>
      <c r="E703" s="137" t="s">
        <v>590</v>
      </c>
      <c r="F703" s="150">
        <v>1250000</v>
      </c>
      <c r="G703" s="137" t="s">
        <v>475</v>
      </c>
      <c r="H703" s="137" t="s">
        <v>271</v>
      </c>
      <c r="I703" s="137" t="s">
        <v>36</v>
      </c>
      <c r="J703" s="137">
        <v>1</v>
      </c>
    </row>
    <row r="704" spans="1:10" hidden="1" x14ac:dyDescent="0.3">
      <c r="A704" s="137">
        <v>9</v>
      </c>
      <c r="B704" s="1781" t="s">
        <v>600</v>
      </c>
      <c r="C704" s="137" t="s">
        <v>135</v>
      </c>
      <c r="D704" s="137" t="s">
        <v>601</v>
      </c>
      <c r="E704" s="137" t="s">
        <v>602</v>
      </c>
      <c r="F704" s="150">
        <v>1200000</v>
      </c>
      <c r="G704" s="137" t="s">
        <v>43</v>
      </c>
      <c r="H704" s="137" t="s">
        <v>271</v>
      </c>
      <c r="I704" s="137" t="s">
        <v>36</v>
      </c>
      <c r="J704" s="137">
        <v>1</v>
      </c>
    </row>
    <row r="705" spans="1:10" hidden="1" x14ac:dyDescent="0.3">
      <c r="A705" s="137">
        <v>10</v>
      </c>
      <c r="B705" s="1781" t="s">
        <v>600</v>
      </c>
      <c r="C705" s="137" t="s">
        <v>138</v>
      </c>
      <c r="D705" s="137" t="s">
        <v>603</v>
      </c>
      <c r="E705" s="137" t="s">
        <v>584</v>
      </c>
      <c r="F705" s="150">
        <v>950000</v>
      </c>
      <c r="G705" s="137" t="s">
        <v>604</v>
      </c>
      <c r="H705" s="137" t="s">
        <v>271</v>
      </c>
      <c r="I705" s="137" t="s">
        <v>36</v>
      </c>
      <c r="J705" s="137">
        <v>1</v>
      </c>
    </row>
    <row r="706" spans="1:10" hidden="1" x14ac:dyDescent="0.3">
      <c r="A706" s="137">
        <v>11</v>
      </c>
      <c r="B706" s="1781" t="s">
        <v>581</v>
      </c>
      <c r="C706" s="137" t="s">
        <v>138</v>
      </c>
      <c r="D706" s="137" t="s">
        <v>605</v>
      </c>
      <c r="E706" s="137" t="s">
        <v>450</v>
      </c>
      <c r="F706" s="150">
        <v>1300000</v>
      </c>
      <c r="G706" s="137" t="s">
        <v>144</v>
      </c>
      <c r="H706" s="137" t="s">
        <v>271</v>
      </c>
      <c r="I706" s="137" t="s">
        <v>36</v>
      </c>
      <c r="J706" s="137">
        <v>1</v>
      </c>
    </row>
    <row r="707" spans="1:10" hidden="1" x14ac:dyDescent="0.3">
      <c r="A707" s="137">
        <v>12</v>
      </c>
      <c r="B707" s="1781" t="s">
        <v>581</v>
      </c>
      <c r="C707" s="137" t="s">
        <v>135</v>
      </c>
      <c r="D707" s="137" t="s">
        <v>606</v>
      </c>
      <c r="E707" s="137" t="s">
        <v>607</v>
      </c>
      <c r="F707" s="150">
        <v>1500000</v>
      </c>
      <c r="G707" s="137" t="s">
        <v>43</v>
      </c>
      <c r="H707" s="137" t="s">
        <v>271</v>
      </c>
      <c r="I707" s="137" t="s">
        <v>36</v>
      </c>
      <c r="J707" s="137">
        <v>1</v>
      </c>
    </row>
    <row r="708" spans="1:10" hidden="1" x14ac:dyDescent="0.3">
      <c r="A708" s="137">
        <v>13</v>
      </c>
      <c r="B708" s="1781" t="s">
        <v>608</v>
      </c>
      <c r="C708" s="137" t="s">
        <v>138</v>
      </c>
      <c r="D708" s="137" t="s">
        <v>609</v>
      </c>
      <c r="E708" s="137" t="s">
        <v>595</v>
      </c>
      <c r="F708" s="150">
        <v>1500000</v>
      </c>
      <c r="G708" s="137" t="s">
        <v>610</v>
      </c>
      <c r="H708" s="137" t="s">
        <v>271</v>
      </c>
      <c r="I708" s="137" t="s">
        <v>36</v>
      </c>
      <c r="J708" s="137">
        <v>1</v>
      </c>
    </row>
    <row r="709" spans="1:10" hidden="1" x14ac:dyDescent="0.3">
      <c r="A709" s="137">
        <v>14</v>
      </c>
      <c r="B709" s="1781" t="s">
        <v>608</v>
      </c>
      <c r="C709" s="137" t="s">
        <v>138</v>
      </c>
      <c r="D709" s="137" t="s">
        <v>611</v>
      </c>
      <c r="E709" s="137" t="s">
        <v>590</v>
      </c>
      <c r="F709" s="150">
        <v>1400000</v>
      </c>
      <c r="G709" s="137" t="s">
        <v>612</v>
      </c>
      <c r="H709" s="137" t="s">
        <v>271</v>
      </c>
      <c r="I709" s="137" t="s">
        <v>36</v>
      </c>
      <c r="J709" s="137">
        <v>1</v>
      </c>
    </row>
    <row r="710" spans="1:10" hidden="1" x14ac:dyDescent="0.3">
      <c r="A710" s="1781">
        <v>15</v>
      </c>
      <c r="B710" s="3392" t="s">
        <v>563</v>
      </c>
      <c r="C710" s="150" t="s">
        <v>138</v>
      </c>
      <c r="D710" s="641" t="s">
        <v>613</v>
      </c>
      <c r="E710" s="150" t="s">
        <v>595</v>
      </c>
      <c r="F710" s="151">
        <v>1300000</v>
      </c>
      <c r="G710" s="150" t="s">
        <v>610</v>
      </c>
      <c r="H710" s="150" t="s">
        <v>271</v>
      </c>
      <c r="I710" s="150" t="s">
        <v>36</v>
      </c>
      <c r="J710" s="137">
        <v>1</v>
      </c>
    </row>
    <row r="711" spans="1:10" hidden="1" x14ac:dyDescent="0.3">
      <c r="A711" s="1781">
        <v>16</v>
      </c>
      <c r="B711" s="3392" t="s">
        <v>570</v>
      </c>
      <c r="C711" s="150" t="s">
        <v>138</v>
      </c>
      <c r="D711" s="641" t="s">
        <v>614</v>
      </c>
      <c r="E711" s="150" t="s">
        <v>595</v>
      </c>
      <c r="F711" s="151">
        <v>1300000</v>
      </c>
      <c r="G711" s="150" t="s">
        <v>610</v>
      </c>
      <c r="H711" s="150" t="s">
        <v>271</v>
      </c>
      <c r="I711" s="150" t="s">
        <v>36</v>
      </c>
      <c r="J711" s="137">
        <v>1</v>
      </c>
    </row>
    <row r="712" spans="1:10" hidden="1" x14ac:dyDescent="0.3">
      <c r="A712" s="1781">
        <v>17</v>
      </c>
      <c r="B712" s="3392" t="s">
        <v>615</v>
      </c>
      <c r="C712" s="150" t="s">
        <v>138</v>
      </c>
      <c r="D712" s="641" t="s">
        <v>616</v>
      </c>
      <c r="E712" s="150" t="s">
        <v>450</v>
      </c>
      <c r="F712" s="151">
        <v>1250000</v>
      </c>
      <c r="G712" s="150" t="s">
        <v>144</v>
      </c>
      <c r="H712" s="150" t="s">
        <v>271</v>
      </c>
      <c r="I712" s="150" t="s">
        <v>36</v>
      </c>
      <c r="J712" s="137">
        <v>1</v>
      </c>
    </row>
    <row r="713" spans="1:10" hidden="1" x14ac:dyDescent="0.3">
      <c r="A713" s="1781">
        <v>18</v>
      </c>
      <c r="B713" s="3392" t="s">
        <v>615</v>
      </c>
      <c r="C713" s="150" t="s">
        <v>138</v>
      </c>
      <c r="D713" s="641" t="s">
        <v>617</v>
      </c>
      <c r="E713" s="150" t="s">
        <v>450</v>
      </c>
      <c r="F713" s="151">
        <v>1400000</v>
      </c>
      <c r="G713" s="150" t="s">
        <v>144</v>
      </c>
      <c r="H713" s="150" t="s">
        <v>271</v>
      </c>
      <c r="I713" s="150" t="s">
        <v>36</v>
      </c>
      <c r="J713" s="137">
        <v>1</v>
      </c>
    </row>
    <row r="714" spans="1:10" hidden="1" x14ac:dyDescent="0.3">
      <c r="A714" s="1781">
        <v>19</v>
      </c>
      <c r="B714" s="1781" t="s">
        <v>618</v>
      </c>
      <c r="C714" s="150" t="s">
        <v>138</v>
      </c>
      <c r="D714" s="641" t="s">
        <v>619</v>
      </c>
      <c r="E714" s="150" t="s">
        <v>620</v>
      </c>
      <c r="F714" s="151">
        <v>1100000</v>
      </c>
      <c r="G714" s="150" t="s">
        <v>235</v>
      </c>
      <c r="H714" s="150" t="s">
        <v>271</v>
      </c>
      <c r="I714" s="150" t="s">
        <v>36</v>
      </c>
      <c r="J714" s="137">
        <v>1</v>
      </c>
    </row>
    <row r="715" spans="1:10" hidden="1" x14ac:dyDescent="0.3">
      <c r="A715" s="1781">
        <v>20</v>
      </c>
      <c r="B715" s="1781" t="s">
        <v>621</v>
      </c>
      <c r="C715" s="150" t="s">
        <v>138</v>
      </c>
      <c r="D715" s="641" t="s">
        <v>622</v>
      </c>
      <c r="E715" s="150" t="s">
        <v>620</v>
      </c>
      <c r="F715" s="151">
        <v>1200000</v>
      </c>
      <c r="G715" s="150" t="s">
        <v>235</v>
      </c>
      <c r="H715" s="150" t="s">
        <v>271</v>
      </c>
      <c r="I715" s="150" t="s">
        <v>36</v>
      </c>
      <c r="J715" s="137">
        <v>1</v>
      </c>
    </row>
    <row r="716" spans="1:10" ht="25.8" hidden="1" x14ac:dyDescent="0.5">
      <c r="A716" s="1781"/>
      <c r="B716" s="1781"/>
      <c r="C716" s="150"/>
      <c r="D716" s="641"/>
      <c r="E716" s="150"/>
      <c r="F716" s="151"/>
      <c r="G716" s="150"/>
      <c r="H716" s="150"/>
      <c r="I716" s="150"/>
      <c r="J716" s="934">
        <f>SUM(J696:J715)</f>
        <v>20</v>
      </c>
    </row>
    <row r="717" spans="1:10" hidden="1" x14ac:dyDescent="0.3">
      <c r="A717" s="3473" t="s">
        <v>33</v>
      </c>
      <c r="B717" s="3473"/>
      <c r="C717" s="3473"/>
      <c r="D717" s="3473"/>
      <c r="E717" s="3473"/>
      <c r="F717" s="3473"/>
      <c r="G717" s="3473"/>
      <c r="H717" s="3473"/>
      <c r="I717" s="3473"/>
      <c r="J717" s="3473"/>
    </row>
    <row r="718" spans="1:10" hidden="1" x14ac:dyDescent="0.3">
      <c r="A718" s="137" t="s">
        <v>3</v>
      </c>
      <c r="B718" s="1781" t="s">
        <v>4</v>
      </c>
      <c r="C718" s="137" t="s">
        <v>5</v>
      </c>
      <c r="D718" s="137" t="s">
        <v>6</v>
      </c>
      <c r="E718" s="137" t="s">
        <v>7</v>
      </c>
      <c r="F718" s="137" t="s">
        <v>8</v>
      </c>
      <c r="G718" s="137" t="s">
        <v>9</v>
      </c>
      <c r="H718" s="137" t="s">
        <v>10</v>
      </c>
      <c r="I718" s="137" t="s">
        <v>11</v>
      </c>
      <c r="J718" s="137" t="s">
        <v>12</v>
      </c>
    </row>
    <row r="719" spans="1:10" hidden="1" x14ac:dyDescent="0.3">
      <c r="A719" s="549">
        <v>1</v>
      </c>
      <c r="B719" s="3393" t="s">
        <v>600</v>
      </c>
      <c r="C719" s="152" t="s">
        <v>138</v>
      </c>
      <c r="D719" s="152" t="s">
        <v>603</v>
      </c>
      <c r="E719" s="152" t="s">
        <v>595</v>
      </c>
      <c r="F719" s="152">
        <v>200000000</v>
      </c>
      <c r="G719" s="152" t="s">
        <v>397</v>
      </c>
      <c r="H719" s="152" t="s">
        <v>271</v>
      </c>
      <c r="I719" s="152" t="s">
        <v>36</v>
      </c>
      <c r="J719" s="200">
        <v>1</v>
      </c>
    </row>
    <row r="720" spans="1:10" hidden="1" x14ac:dyDescent="0.3">
      <c r="A720" s="549">
        <v>2</v>
      </c>
      <c r="B720" s="3393" t="s">
        <v>563</v>
      </c>
      <c r="C720" s="152" t="s">
        <v>138</v>
      </c>
      <c r="D720" s="152" t="s">
        <v>594</v>
      </c>
      <c r="E720" s="152" t="s">
        <v>595</v>
      </c>
      <c r="F720" s="152">
        <v>240000000</v>
      </c>
      <c r="G720" s="152" t="s">
        <v>596</v>
      </c>
      <c r="H720" s="152" t="s">
        <v>271</v>
      </c>
      <c r="I720" s="152" t="s">
        <v>36</v>
      </c>
      <c r="J720" s="200">
        <v>1</v>
      </c>
    </row>
    <row r="721" spans="1:10" hidden="1" x14ac:dyDescent="0.3">
      <c r="A721" s="597">
        <v>3</v>
      </c>
      <c r="B721" s="3394" t="s">
        <v>623</v>
      </c>
      <c r="C721" s="154" t="s">
        <v>138</v>
      </c>
      <c r="D721" s="154" t="s">
        <v>624</v>
      </c>
      <c r="E721" s="154" t="s">
        <v>625</v>
      </c>
      <c r="F721" s="154">
        <v>190000000</v>
      </c>
      <c r="G721" s="154" t="s">
        <v>43</v>
      </c>
      <c r="H721" s="154" t="s">
        <v>271</v>
      </c>
      <c r="I721" s="154" t="s">
        <v>36</v>
      </c>
      <c r="J721" s="598">
        <v>1</v>
      </c>
    </row>
    <row r="722" spans="1:10" ht="24.6" hidden="1" x14ac:dyDescent="0.4">
      <c r="A722" s="144"/>
      <c r="B722" s="595"/>
      <c r="C722" s="144"/>
      <c r="D722" s="144"/>
      <c r="E722" s="144"/>
      <c r="F722" s="144"/>
      <c r="G722" s="144"/>
      <c r="H722" s="144"/>
      <c r="I722" s="144"/>
      <c r="J722" s="935">
        <f>J719+J720+J721</f>
        <v>3</v>
      </c>
    </row>
    <row r="723" spans="1:10" hidden="1" x14ac:dyDescent="0.3"/>
    <row r="724" spans="1:10" hidden="1" x14ac:dyDescent="0.3"/>
    <row r="725" spans="1:10" ht="23.4" hidden="1" x14ac:dyDescent="0.3">
      <c r="A725" s="3474" t="s">
        <v>523</v>
      </c>
      <c r="B725" s="3474"/>
      <c r="C725" s="3474"/>
      <c r="D725" s="3474"/>
      <c r="E725" s="3474"/>
      <c r="F725" s="3474"/>
      <c r="G725" s="3474"/>
      <c r="H725" s="3474"/>
      <c r="I725" s="3474"/>
      <c r="J725" s="3474"/>
    </row>
    <row r="726" spans="1:10" ht="15.6" hidden="1" x14ac:dyDescent="0.3">
      <c r="A726" s="3461" t="s">
        <v>2</v>
      </c>
      <c r="B726" s="3461"/>
      <c r="C726" s="3461"/>
      <c r="D726" s="3461"/>
      <c r="E726" s="3461"/>
      <c r="F726" s="3461"/>
      <c r="G726" s="3461"/>
      <c r="H726" s="3461"/>
      <c r="I726" s="3461"/>
      <c r="J726" s="3461"/>
    </row>
    <row r="727" spans="1:10" hidden="1" x14ac:dyDescent="0.3">
      <c r="A727" s="137" t="s">
        <v>3</v>
      </c>
      <c r="B727" s="1781" t="s">
        <v>4</v>
      </c>
      <c r="C727" s="137" t="s">
        <v>5</v>
      </c>
      <c r="D727" s="137" t="s">
        <v>6</v>
      </c>
      <c r="E727" s="137" t="s">
        <v>7</v>
      </c>
      <c r="F727" s="137" t="s">
        <v>8</v>
      </c>
      <c r="G727" s="137" t="s">
        <v>9</v>
      </c>
      <c r="H727" s="137" t="s">
        <v>10</v>
      </c>
      <c r="I727" s="137" t="s">
        <v>11</v>
      </c>
      <c r="J727" s="137" t="s">
        <v>12</v>
      </c>
    </row>
    <row r="728" spans="1:10" hidden="1" x14ac:dyDescent="0.3">
      <c r="A728" s="137">
        <v>1</v>
      </c>
      <c r="B728" s="3392" t="s">
        <v>626</v>
      </c>
      <c r="C728" s="150" t="s">
        <v>138</v>
      </c>
      <c r="D728" s="150" t="s">
        <v>627</v>
      </c>
      <c r="E728" s="150" t="s">
        <v>620</v>
      </c>
      <c r="F728" s="151">
        <v>1200000</v>
      </c>
      <c r="G728" s="150" t="s">
        <v>628</v>
      </c>
      <c r="H728" s="150" t="s">
        <v>271</v>
      </c>
      <c r="I728" s="150" t="s">
        <v>36</v>
      </c>
      <c r="J728" s="137">
        <v>1</v>
      </c>
    </row>
    <row r="729" spans="1:10" hidden="1" x14ac:dyDescent="0.3">
      <c r="A729" s="137">
        <v>2</v>
      </c>
      <c r="B729" s="1781" t="s">
        <v>629</v>
      </c>
      <c r="C729" s="137" t="s">
        <v>138</v>
      </c>
      <c r="D729" s="137" t="s">
        <v>630</v>
      </c>
      <c r="E729" s="137" t="s">
        <v>631</v>
      </c>
      <c r="F729" s="137">
        <v>1100000</v>
      </c>
      <c r="G729" s="137" t="s">
        <v>632</v>
      </c>
      <c r="H729" s="137" t="s">
        <v>271</v>
      </c>
      <c r="I729" s="137" t="s">
        <v>36</v>
      </c>
      <c r="J729" s="137">
        <v>1</v>
      </c>
    </row>
    <row r="730" spans="1:10" hidden="1" x14ac:dyDescent="0.3">
      <c r="A730" s="137">
        <v>3</v>
      </c>
      <c r="B730" s="1781" t="s">
        <v>528</v>
      </c>
      <c r="C730" s="137" t="s">
        <v>138</v>
      </c>
      <c r="D730" s="137" t="s">
        <v>633</v>
      </c>
      <c r="E730" s="137" t="s">
        <v>620</v>
      </c>
      <c r="F730" s="137">
        <v>1200000</v>
      </c>
      <c r="G730" s="838" t="s">
        <v>634</v>
      </c>
      <c r="H730" s="137" t="s">
        <v>271</v>
      </c>
      <c r="I730" s="137" t="s">
        <v>36</v>
      </c>
      <c r="J730" s="137">
        <v>1</v>
      </c>
    </row>
    <row r="731" spans="1:10" hidden="1" x14ac:dyDescent="0.3">
      <c r="A731" s="137">
        <v>4</v>
      </c>
      <c r="B731" s="1781" t="s">
        <v>533</v>
      </c>
      <c r="C731" s="137" t="s">
        <v>138</v>
      </c>
      <c r="D731" s="137" t="s">
        <v>635</v>
      </c>
      <c r="E731" s="137" t="s">
        <v>636</v>
      </c>
      <c r="F731" s="137">
        <v>110000</v>
      </c>
      <c r="G731" s="137" t="s">
        <v>637</v>
      </c>
      <c r="H731" s="137" t="s">
        <v>271</v>
      </c>
      <c r="I731" s="137" t="s">
        <v>36</v>
      </c>
      <c r="J731" s="137">
        <v>1</v>
      </c>
    </row>
    <row r="732" spans="1:10" hidden="1" x14ac:dyDescent="0.3">
      <c r="A732" s="137">
        <v>5</v>
      </c>
      <c r="B732" s="1781" t="s">
        <v>533</v>
      </c>
      <c r="C732" s="137" t="s">
        <v>138</v>
      </c>
      <c r="D732" s="137" t="s">
        <v>638</v>
      </c>
      <c r="E732" s="137" t="s">
        <v>639</v>
      </c>
      <c r="F732" s="137">
        <v>900000</v>
      </c>
      <c r="G732" s="137" t="s">
        <v>637</v>
      </c>
      <c r="H732" s="137" t="s">
        <v>271</v>
      </c>
      <c r="I732" s="137" t="s">
        <v>36</v>
      </c>
      <c r="J732" s="137">
        <v>1</v>
      </c>
    </row>
    <row r="733" spans="1:10" hidden="1" x14ac:dyDescent="0.3">
      <c r="A733" s="137">
        <v>6</v>
      </c>
      <c r="B733" s="1781" t="s">
        <v>543</v>
      </c>
      <c r="C733" s="137" t="s">
        <v>138</v>
      </c>
      <c r="D733" s="137" t="s">
        <v>640</v>
      </c>
      <c r="E733" s="137" t="s">
        <v>588</v>
      </c>
      <c r="F733" s="137">
        <v>1150000</v>
      </c>
      <c r="G733" s="137" t="s">
        <v>40</v>
      </c>
      <c r="H733" s="137" t="s">
        <v>271</v>
      </c>
      <c r="I733" s="137" t="s">
        <v>36</v>
      </c>
      <c r="J733" s="137">
        <v>1</v>
      </c>
    </row>
    <row r="734" spans="1:10" hidden="1" x14ac:dyDescent="0.3">
      <c r="A734" s="137">
        <v>7</v>
      </c>
      <c r="B734" s="1781" t="s">
        <v>543</v>
      </c>
      <c r="C734" s="137" t="s">
        <v>138</v>
      </c>
      <c r="D734" s="137" t="s">
        <v>641</v>
      </c>
      <c r="E734" s="137" t="s">
        <v>588</v>
      </c>
      <c r="F734" s="137">
        <v>1300000</v>
      </c>
      <c r="G734" s="137" t="s">
        <v>642</v>
      </c>
      <c r="H734" s="137" t="s">
        <v>271</v>
      </c>
      <c r="I734" s="137" t="s">
        <v>36</v>
      </c>
      <c r="J734" s="137">
        <v>1</v>
      </c>
    </row>
    <row r="735" spans="1:10" hidden="1" x14ac:dyDescent="0.3">
      <c r="A735" s="137">
        <v>8</v>
      </c>
      <c r="B735" s="1781" t="s">
        <v>643</v>
      </c>
      <c r="C735" s="137" t="s">
        <v>138</v>
      </c>
      <c r="D735" s="137" t="s">
        <v>644</v>
      </c>
      <c r="E735" s="137" t="s">
        <v>645</v>
      </c>
      <c r="F735" s="137">
        <v>1000000</v>
      </c>
      <c r="G735" s="137" t="s">
        <v>646</v>
      </c>
      <c r="H735" s="137" t="s">
        <v>271</v>
      </c>
      <c r="I735" s="137" t="s">
        <v>36</v>
      </c>
      <c r="J735" s="137">
        <v>1</v>
      </c>
    </row>
    <row r="736" spans="1:10" hidden="1" x14ac:dyDescent="0.3">
      <c r="A736" s="137">
        <v>9</v>
      </c>
      <c r="B736" s="1781" t="s">
        <v>647</v>
      </c>
      <c r="C736" s="137" t="s">
        <v>138</v>
      </c>
      <c r="D736" s="137" t="s">
        <v>648</v>
      </c>
      <c r="E736" s="137" t="s">
        <v>450</v>
      </c>
      <c r="F736" s="137">
        <v>1100000</v>
      </c>
      <c r="G736" s="137" t="s">
        <v>642</v>
      </c>
      <c r="H736" s="137" t="s">
        <v>271</v>
      </c>
      <c r="I736" s="137" t="s">
        <v>36</v>
      </c>
      <c r="J736" s="137">
        <v>1</v>
      </c>
    </row>
    <row r="737" spans="1:10" hidden="1" x14ac:dyDescent="0.3">
      <c r="A737" s="137">
        <v>10</v>
      </c>
      <c r="B737" s="1781" t="s">
        <v>649</v>
      </c>
      <c r="C737" s="137" t="s">
        <v>138</v>
      </c>
      <c r="D737" s="137" t="s">
        <v>650</v>
      </c>
      <c r="E737" s="137" t="s">
        <v>651</v>
      </c>
      <c r="F737" s="137">
        <v>1030000</v>
      </c>
      <c r="G737" s="137" t="s">
        <v>652</v>
      </c>
      <c r="H737" s="137" t="s">
        <v>271</v>
      </c>
      <c r="I737" s="137" t="s">
        <v>36</v>
      </c>
      <c r="J737" s="137">
        <v>1</v>
      </c>
    </row>
    <row r="738" spans="1:10" hidden="1" x14ac:dyDescent="0.3">
      <c r="A738" s="137">
        <v>11</v>
      </c>
      <c r="B738" s="1781" t="s">
        <v>647</v>
      </c>
      <c r="C738" s="137" t="s">
        <v>138</v>
      </c>
      <c r="D738" s="137" t="s">
        <v>653</v>
      </c>
      <c r="E738" s="137" t="s">
        <v>654</v>
      </c>
      <c r="F738" s="137">
        <v>1800000</v>
      </c>
      <c r="G738" s="137" t="s">
        <v>655</v>
      </c>
      <c r="H738" s="137" t="s">
        <v>271</v>
      </c>
      <c r="I738" s="137" t="s">
        <v>36</v>
      </c>
      <c r="J738" s="137">
        <v>1</v>
      </c>
    </row>
    <row r="739" spans="1:10" hidden="1" x14ac:dyDescent="0.3">
      <c r="A739" s="137">
        <v>12</v>
      </c>
      <c r="B739" s="1781" t="s">
        <v>581</v>
      </c>
      <c r="C739" s="137" t="s">
        <v>138</v>
      </c>
      <c r="D739" s="137" t="s">
        <v>656</v>
      </c>
      <c r="E739" s="137" t="s">
        <v>657</v>
      </c>
      <c r="F739" s="137">
        <v>1700000</v>
      </c>
      <c r="G739" s="137" t="s">
        <v>168</v>
      </c>
      <c r="H739" s="137" t="s">
        <v>271</v>
      </c>
      <c r="I739" s="137" t="s">
        <v>36</v>
      </c>
      <c r="J739" s="137">
        <v>1</v>
      </c>
    </row>
    <row r="740" spans="1:10" hidden="1" x14ac:dyDescent="0.3">
      <c r="A740" s="137">
        <v>13</v>
      </c>
      <c r="B740" s="1781" t="s">
        <v>658</v>
      </c>
      <c r="C740" s="137" t="s">
        <v>138</v>
      </c>
      <c r="D740" s="137" t="s">
        <v>659</v>
      </c>
      <c r="E740" s="137" t="s">
        <v>660</v>
      </c>
      <c r="F740" s="137">
        <v>950000</v>
      </c>
      <c r="G740" s="137"/>
      <c r="H740" s="137" t="s">
        <v>271</v>
      </c>
      <c r="I740" s="137" t="s">
        <v>36</v>
      </c>
      <c r="J740" s="137">
        <v>1</v>
      </c>
    </row>
    <row r="741" spans="1:10" hidden="1" x14ac:dyDescent="0.3">
      <c r="A741" s="137">
        <v>14</v>
      </c>
      <c r="B741" s="1781" t="s">
        <v>661</v>
      </c>
      <c r="C741" s="137" t="s">
        <v>662</v>
      </c>
      <c r="D741" s="137" t="s">
        <v>663</v>
      </c>
      <c r="E741" s="137" t="s">
        <v>664</v>
      </c>
      <c r="F741" s="137">
        <v>3500000</v>
      </c>
      <c r="G741" s="137" t="s">
        <v>43</v>
      </c>
      <c r="H741" s="137" t="s">
        <v>271</v>
      </c>
      <c r="I741" s="137" t="s">
        <v>36</v>
      </c>
      <c r="J741" s="137">
        <v>1</v>
      </c>
    </row>
    <row r="742" spans="1:10" hidden="1" x14ac:dyDescent="0.3">
      <c r="A742" s="1781">
        <v>15</v>
      </c>
      <c r="B742" s="3392" t="s">
        <v>661</v>
      </c>
      <c r="C742" s="150" t="s">
        <v>138</v>
      </c>
      <c r="D742" s="641" t="s">
        <v>665</v>
      </c>
      <c r="E742" s="150" t="s">
        <v>645</v>
      </c>
      <c r="F742" s="151">
        <v>1000000</v>
      </c>
      <c r="G742" s="150" t="s">
        <v>666</v>
      </c>
      <c r="H742" s="150" t="s">
        <v>271</v>
      </c>
      <c r="I742" s="150" t="s">
        <v>36</v>
      </c>
      <c r="J742" s="137">
        <v>1</v>
      </c>
    </row>
    <row r="743" spans="1:10" hidden="1" x14ac:dyDescent="0.3">
      <c r="A743" s="1781">
        <v>16</v>
      </c>
      <c r="B743" s="3392" t="s">
        <v>667</v>
      </c>
      <c r="C743" s="150" t="s">
        <v>138</v>
      </c>
      <c r="D743" s="641" t="s">
        <v>668</v>
      </c>
      <c r="E743" s="150" t="s">
        <v>669</v>
      </c>
      <c r="F743" s="151">
        <v>1100000</v>
      </c>
      <c r="G743" s="150" t="s">
        <v>43</v>
      </c>
      <c r="H743" s="150" t="s">
        <v>670</v>
      </c>
      <c r="I743" s="150" t="s">
        <v>36</v>
      </c>
      <c r="J743" s="137">
        <v>1</v>
      </c>
    </row>
    <row r="744" spans="1:10" hidden="1" x14ac:dyDescent="0.3">
      <c r="A744" s="1781">
        <v>17</v>
      </c>
      <c r="B744" s="3392" t="s">
        <v>563</v>
      </c>
      <c r="C744" s="150" t="s">
        <v>138</v>
      </c>
      <c r="D744" s="641" t="s">
        <v>671</v>
      </c>
      <c r="E744" s="150" t="s">
        <v>607</v>
      </c>
      <c r="F744" s="151">
        <v>1210000</v>
      </c>
      <c r="G744" s="150" t="s">
        <v>672</v>
      </c>
      <c r="H744" s="150" t="s">
        <v>271</v>
      </c>
      <c r="I744" s="150" t="s">
        <v>36</v>
      </c>
      <c r="J744" s="137">
        <v>1</v>
      </c>
    </row>
    <row r="745" spans="1:10" hidden="1" x14ac:dyDescent="0.3">
      <c r="A745" s="1781">
        <v>18</v>
      </c>
      <c r="B745" s="3392" t="s">
        <v>563</v>
      </c>
      <c r="C745" s="150" t="s">
        <v>138</v>
      </c>
      <c r="D745" s="641" t="s">
        <v>673</v>
      </c>
      <c r="E745" s="150" t="s">
        <v>674</v>
      </c>
      <c r="F745" s="151">
        <v>850000</v>
      </c>
      <c r="G745" s="150" t="s">
        <v>675</v>
      </c>
      <c r="H745" s="150" t="s">
        <v>271</v>
      </c>
      <c r="I745" s="150" t="s">
        <v>36</v>
      </c>
      <c r="J745" s="137">
        <v>1</v>
      </c>
    </row>
    <row r="746" spans="1:10" hidden="1" x14ac:dyDescent="0.3">
      <c r="A746" s="1781">
        <v>19</v>
      </c>
      <c r="B746" s="1781" t="s">
        <v>621</v>
      </c>
      <c r="C746" s="150" t="s">
        <v>138</v>
      </c>
      <c r="D746" s="641" t="s">
        <v>676</v>
      </c>
      <c r="E746" s="150" t="s">
        <v>677</v>
      </c>
      <c r="F746" s="151">
        <v>1050000</v>
      </c>
      <c r="G746" s="150" t="s">
        <v>442</v>
      </c>
      <c r="H746" s="150" t="s">
        <v>36</v>
      </c>
      <c r="I746" s="150" t="s">
        <v>36</v>
      </c>
      <c r="J746" s="137">
        <v>1</v>
      </c>
    </row>
    <row r="747" spans="1:10" hidden="1" x14ac:dyDescent="0.3">
      <c r="A747" s="1781">
        <v>20</v>
      </c>
      <c r="B747" s="1781" t="s">
        <v>621</v>
      </c>
      <c r="C747" s="150" t="s">
        <v>138</v>
      </c>
      <c r="D747" s="641" t="s">
        <v>678</v>
      </c>
      <c r="E747" s="150" t="s">
        <v>679</v>
      </c>
      <c r="F747" s="151">
        <v>950000</v>
      </c>
      <c r="G747" s="150" t="s">
        <v>680</v>
      </c>
      <c r="H747" s="150" t="s">
        <v>271</v>
      </c>
      <c r="I747" s="150" t="s">
        <v>36</v>
      </c>
      <c r="J747" s="137">
        <v>1</v>
      </c>
    </row>
    <row r="748" spans="1:10" hidden="1" x14ac:dyDescent="0.3">
      <c r="A748" s="1781">
        <v>21</v>
      </c>
      <c r="B748" s="1781" t="s">
        <v>621</v>
      </c>
      <c r="C748" s="150" t="s">
        <v>138</v>
      </c>
      <c r="D748" s="641" t="s">
        <v>681</v>
      </c>
      <c r="E748" s="150" t="s">
        <v>450</v>
      </c>
      <c r="F748" s="151">
        <v>1200000</v>
      </c>
      <c r="G748" s="150" t="s">
        <v>144</v>
      </c>
      <c r="H748" s="150" t="s">
        <v>271</v>
      </c>
      <c r="I748" s="150" t="s">
        <v>36</v>
      </c>
      <c r="J748" s="137">
        <v>1</v>
      </c>
    </row>
    <row r="749" spans="1:10" hidden="1" x14ac:dyDescent="0.3">
      <c r="A749" s="1781"/>
      <c r="B749" s="1781"/>
      <c r="C749" s="150"/>
      <c r="D749" s="641"/>
      <c r="E749" s="150"/>
      <c r="F749" s="151"/>
      <c r="G749" s="150"/>
      <c r="H749" s="150"/>
      <c r="I749" s="150"/>
      <c r="J749" s="137"/>
    </row>
    <row r="750" spans="1:10" ht="25.8" hidden="1" x14ac:dyDescent="0.5">
      <c r="A750" s="1781"/>
      <c r="B750" s="1781"/>
      <c r="C750" s="150"/>
      <c r="D750" s="641"/>
      <c r="E750" s="150"/>
      <c r="F750" s="151"/>
      <c r="G750" s="150"/>
      <c r="H750" s="150"/>
      <c r="I750" s="150"/>
      <c r="J750" s="934">
        <f>SUM(J728:J748)</f>
        <v>21</v>
      </c>
    </row>
    <row r="751" spans="1:10" hidden="1" x14ac:dyDescent="0.3">
      <c r="A751" s="3473" t="s">
        <v>33</v>
      </c>
      <c r="B751" s="3473"/>
      <c r="C751" s="3473"/>
      <c r="D751" s="3473"/>
      <c r="E751" s="3473"/>
      <c r="F751" s="3473"/>
      <c r="G751" s="3473"/>
      <c r="H751" s="3473"/>
      <c r="I751" s="3473"/>
      <c r="J751" s="3473"/>
    </row>
    <row r="752" spans="1:10" hidden="1" x14ac:dyDescent="0.3">
      <c r="A752" s="137" t="s">
        <v>3</v>
      </c>
      <c r="B752" s="1781" t="s">
        <v>4</v>
      </c>
      <c r="C752" s="137" t="s">
        <v>5</v>
      </c>
      <c r="D752" s="137" t="s">
        <v>6</v>
      </c>
      <c r="E752" s="137" t="s">
        <v>7</v>
      </c>
      <c r="F752" s="137" t="s">
        <v>8</v>
      </c>
      <c r="G752" s="137" t="s">
        <v>9</v>
      </c>
      <c r="H752" s="137" t="s">
        <v>10</v>
      </c>
      <c r="I752" s="137" t="s">
        <v>11</v>
      </c>
      <c r="J752" s="137" t="s">
        <v>12</v>
      </c>
    </row>
    <row r="753" spans="1:10" hidden="1" x14ac:dyDescent="0.3">
      <c r="A753" s="549">
        <v>1</v>
      </c>
      <c r="B753" s="3393" t="s">
        <v>537</v>
      </c>
      <c r="C753" s="152" t="s">
        <v>138</v>
      </c>
      <c r="D753" s="152" t="s">
        <v>630</v>
      </c>
      <c r="E753" s="152" t="s">
        <v>575</v>
      </c>
      <c r="F753" s="152" t="s">
        <v>682</v>
      </c>
      <c r="G753" s="152" t="s">
        <v>632</v>
      </c>
      <c r="H753" s="152" t="s">
        <v>271</v>
      </c>
      <c r="I753" s="152" t="s">
        <v>36</v>
      </c>
      <c r="J753" s="200">
        <v>1</v>
      </c>
    </row>
    <row r="754" spans="1:10" hidden="1" x14ac:dyDescent="0.3">
      <c r="A754" s="549">
        <v>2</v>
      </c>
      <c r="B754" s="3393" t="s">
        <v>563</v>
      </c>
      <c r="C754" s="152" t="s">
        <v>138</v>
      </c>
      <c r="D754" s="152" t="s">
        <v>683</v>
      </c>
      <c r="E754" s="152" t="s">
        <v>607</v>
      </c>
      <c r="F754" s="152">
        <v>380000000</v>
      </c>
      <c r="G754" s="152" t="s">
        <v>43</v>
      </c>
      <c r="H754" s="152" t="s">
        <v>670</v>
      </c>
      <c r="I754" s="152" t="s">
        <v>36</v>
      </c>
      <c r="J754" s="200">
        <v>1</v>
      </c>
    </row>
    <row r="755" spans="1:10" hidden="1" x14ac:dyDescent="0.3">
      <c r="A755" s="597">
        <v>3</v>
      </c>
      <c r="B755" s="3394" t="s">
        <v>547</v>
      </c>
      <c r="C755" s="154" t="s">
        <v>138</v>
      </c>
      <c r="D755" s="154" t="s">
        <v>644</v>
      </c>
      <c r="E755" s="154" t="s">
        <v>684</v>
      </c>
      <c r="F755" s="154">
        <v>170000</v>
      </c>
      <c r="G755" s="154" t="s">
        <v>646</v>
      </c>
      <c r="H755" s="154" t="s">
        <v>271</v>
      </c>
      <c r="I755" s="154" t="s">
        <v>36</v>
      </c>
      <c r="J755" s="598">
        <v>1</v>
      </c>
    </row>
    <row r="756" spans="1:10" ht="24.6" hidden="1" x14ac:dyDescent="0.4">
      <c r="A756" s="144"/>
      <c r="B756" s="595"/>
      <c r="C756" s="144"/>
      <c r="D756" s="144"/>
      <c r="E756" s="144"/>
      <c r="F756" s="144"/>
      <c r="G756" s="144"/>
      <c r="H756" s="144"/>
      <c r="I756" s="144"/>
      <c r="J756" s="935">
        <f>J753+J754+J755</f>
        <v>3</v>
      </c>
    </row>
    <row r="757" spans="1:10" hidden="1" x14ac:dyDescent="0.3"/>
    <row r="758" spans="1:10" hidden="1" x14ac:dyDescent="0.3"/>
    <row r="759" spans="1:10" ht="23.4" hidden="1" x14ac:dyDescent="0.3">
      <c r="A759" s="3474" t="s">
        <v>510</v>
      </c>
      <c r="B759" s="3474"/>
      <c r="C759" s="3474"/>
      <c r="D759" s="3474"/>
      <c r="E759" s="3474"/>
      <c r="F759" s="3474"/>
      <c r="G759" s="3474"/>
      <c r="H759" s="3474"/>
      <c r="I759" s="3474"/>
      <c r="J759" s="3474"/>
    </row>
    <row r="760" spans="1:10" ht="15.6" hidden="1" x14ac:dyDescent="0.3">
      <c r="A760" s="3461" t="s">
        <v>2</v>
      </c>
      <c r="B760" s="3461"/>
      <c r="C760" s="3461"/>
      <c r="D760" s="3461"/>
      <c r="E760" s="3461"/>
      <c r="F760" s="3461"/>
      <c r="G760" s="3461"/>
      <c r="H760" s="3461"/>
      <c r="I760" s="3461"/>
      <c r="J760" s="3461"/>
    </row>
    <row r="761" spans="1:10" hidden="1" x14ac:dyDescent="0.3">
      <c r="A761" s="137" t="s">
        <v>3</v>
      </c>
      <c r="B761" s="1781" t="s">
        <v>4</v>
      </c>
      <c r="C761" s="137" t="s">
        <v>5</v>
      </c>
      <c r="D761" s="137" t="s">
        <v>6</v>
      </c>
      <c r="E761" s="137" t="s">
        <v>7</v>
      </c>
      <c r="F761" s="137" t="s">
        <v>8</v>
      </c>
      <c r="G761" s="137" t="s">
        <v>9</v>
      </c>
      <c r="H761" s="137" t="s">
        <v>10</v>
      </c>
      <c r="I761" s="137" t="s">
        <v>11</v>
      </c>
      <c r="J761" s="137" t="s">
        <v>12</v>
      </c>
    </row>
    <row r="762" spans="1:10" hidden="1" x14ac:dyDescent="0.3">
      <c r="A762" s="137">
        <v>1</v>
      </c>
      <c r="B762" s="1781" t="s">
        <v>528</v>
      </c>
      <c r="C762" s="137" t="s">
        <v>138</v>
      </c>
      <c r="D762" s="137" t="s">
        <v>190</v>
      </c>
      <c r="E762" s="137" t="s">
        <v>358</v>
      </c>
      <c r="F762" s="137">
        <v>1200000</v>
      </c>
      <c r="G762" s="137" t="s">
        <v>685</v>
      </c>
      <c r="H762" s="137" t="s">
        <v>271</v>
      </c>
      <c r="I762" s="137" t="s">
        <v>36</v>
      </c>
      <c r="J762" s="137">
        <v>1</v>
      </c>
    </row>
    <row r="763" spans="1:10" hidden="1" x14ac:dyDescent="0.3">
      <c r="A763" s="137">
        <v>2</v>
      </c>
      <c r="B763" s="1" t="s">
        <v>581</v>
      </c>
      <c r="C763" t="s">
        <v>138</v>
      </c>
      <c r="D763" t="s">
        <v>686</v>
      </c>
      <c r="E763" t="s">
        <v>358</v>
      </c>
      <c r="F763">
        <v>1700000</v>
      </c>
      <c r="G763" t="s">
        <v>687</v>
      </c>
      <c r="H763" t="s">
        <v>271</v>
      </c>
      <c r="I763" t="s">
        <v>36</v>
      </c>
      <c r="J763">
        <v>1</v>
      </c>
    </row>
    <row r="764" spans="1:10" hidden="1" x14ac:dyDescent="0.3">
      <c r="A764" s="137">
        <v>3</v>
      </c>
      <c r="B764" s="1781" t="s">
        <v>581</v>
      </c>
      <c r="C764" s="137" t="s">
        <v>138</v>
      </c>
      <c r="D764" s="137" t="s">
        <v>688</v>
      </c>
      <c r="E764" s="137" t="s">
        <v>504</v>
      </c>
      <c r="F764" s="137">
        <v>1100000</v>
      </c>
      <c r="G764" s="137" t="s">
        <v>689</v>
      </c>
      <c r="H764" s="137" t="s">
        <v>271</v>
      </c>
      <c r="I764" s="137" t="s">
        <v>36</v>
      </c>
      <c r="J764" s="137">
        <v>1</v>
      </c>
    </row>
    <row r="765" spans="1:10" hidden="1" x14ac:dyDescent="0.3">
      <c r="A765" s="137">
        <v>4</v>
      </c>
      <c r="B765" s="1781" t="s">
        <v>581</v>
      </c>
      <c r="C765" s="137" t="s">
        <v>662</v>
      </c>
      <c r="D765" s="137" t="s">
        <v>690</v>
      </c>
      <c r="E765" s="137" t="s">
        <v>691</v>
      </c>
      <c r="F765" s="137">
        <v>1100000</v>
      </c>
      <c r="G765" s="137" t="s">
        <v>397</v>
      </c>
      <c r="H765" s="137" t="s">
        <v>271</v>
      </c>
      <c r="I765" s="137" t="s">
        <v>36</v>
      </c>
      <c r="J765" s="137">
        <v>1</v>
      </c>
    </row>
    <row r="766" spans="1:10" hidden="1" x14ac:dyDescent="0.3">
      <c r="A766" s="137">
        <v>5</v>
      </c>
      <c r="B766" s="1781" t="s">
        <v>581</v>
      </c>
      <c r="C766" s="137" t="s">
        <v>74</v>
      </c>
      <c r="D766" s="137" t="s">
        <v>692</v>
      </c>
      <c r="E766" s="137" t="s">
        <v>693</v>
      </c>
      <c r="F766" s="137">
        <v>1200000</v>
      </c>
      <c r="G766" s="137" t="s">
        <v>168</v>
      </c>
      <c r="H766" s="137" t="s">
        <v>271</v>
      </c>
      <c r="I766" s="137" t="s">
        <v>36</v>
      </c>
      <c r="J766" s="137">
        <v>1</v>
      </c>
    </row>
    <row r="767" spans="1:10" hidden="1" x14ac:dyDescent="0.3">
      <c r="A767" s="137">
        <v>6</v>
      </c>
      <c r="B767" s="1781" t="s">
        <v>581</v>
      </c>
      <c r="C767" s="137" t="s">
        <v>138</v>
      </c>
      <c r="D767" s="137" t="s">
        <v>694</v>
      </c>
      <c r="E767" s="137" t="s">
        <v>358</v>
      </c>
      <c r="F767" s="137">
        <v>1200000</v>
      </c>
      <c r="G767" s="137" t="s">
        <v>359</v>
      </c>
      <c r="H767" s="137" t="s">
        <v>271</v>
      </c>
      <c r="I767" s="137" t="s">
        <v>36</v>
      </c>
      <c r="J767" s="137">
        <v>1</v>
      </c>
    </row>
    <row r="768" spans="1:10" hidden="1" x14ac:dyDescent="0.3">
      <c r="A768" s="137">
        <v>7</v>
      </c>
      <c r="B768" s="1781" t="s">
        <v>563</v>
      </c>
      <c r="C768" s="137" t="s">
        <v>138</v>
      </c>
      <c r="D768" s="137" t="s">
        <v>695</v>
      </c>
      <c r="E768" s="137" t="s">
        <v>358</v>
      </c>
      <c r="F768" s="137">
        <v>950000</v>
      </c>
      <c r="G768" s="137" t="s">
        <v>696</v>
      </c>
      <c r="H768" s="137" t="s">
        <v>271</v>
      </c>
      <c r="I768" s="137" t="s">
        <v>36</v>
      </c>
      <c r="J768" s="137">
        <v>1</v>
      </c>
    </row>
    <row r="769" spans="1:10" hidden="1" x14ac:dyDescent="0.3">
      <c r="A769" s="137">
        <v>8</v>
      </c>
      <c r="B769" s="1781" t="s">
        <v>563</v>
      </c>
      <c r="C769" s="137" t="s">
        <v>138</v>
      </c>
      <c r="D769" s="137" t="s">
        <v>697</v>
      </c>
      <c r="E769" s="137" t="s">
        <v>698</v>
      </c>
      <c r="F769" s="137">
        <v>660000</v>
      </c>
      <c r="G769" s="137" t="s">
        <v>696</v>
      </c>
      <c r="H769" s="137" t="s">
        <v>271</v>
      </c>
      <c r="I769" s="137" t="s">
        <v>36</v>
      </c>
      <c r="J769" s="137">
        <v>1</v>
      </c>
    </row>
    <row r="770" spans="1:10" hidden="1" x14ac:dyDescent="0.3">
      <c r="A770" s="137">
        <v>9</v>
      </c>
      <c r="B770" s="1781" t="s">
        <v>563</v>
      </c>
      <c r="C770" s="137" t="s">
        <v>138</v>
      </c>
      <c r="D770" s="137" t="s">
        <v>699</v>
      </c>
      <c r="E770" s="137" t="s">
        <v>358</v>
      </c>
      <c r="F770" s="137">
        <v>630000</v>
      </c>
      <c r="G770" s="137" t="s">
        <v>696</v>
      </c>
      <c r="H770" s="137" t="s">
        <v>271</v>
      </c>
      <c r="I770" s="137" t="s">
        <v>36</v>
      </c>
      <c r="J770" s="137">
        <v>1</v>
      </c>
    </row>
    <row r="771" spans="1:10" hidden="1" x14ac:dyDescent="0.3">
      <c r="A771" s="137">
        <v>10</v>
      </c>
      <c r="B771" s="1781" t="s">
        <v>700</v>
      </c>
      <c r="C771" s="137" t="s">
        <v>138</v>
      </c>
      <c r="D771" s="137" t="s">
        <v>701</v>
      </c>
      <c r="E771" s="137" t="s">
        <v>702</v>
      </c>
      <c r="F771" s="137">
        <v>830000</v>
      </c>
      <c r="G771" s="137" t="s">
        <v>703</v>
      </c>
      <c r="H771" s="137" t="s">
        <v>271</v>
      </c>
      <c r="I771" s="137" t="s">
        <v>36</v>
      </c>
      <c r="J771" s="137">
        <v>1</v>
      </c>
    </row>
    <row r="772" spans="1:10" hidden="1" x14ac:dyDescent="0.3">
      <c r="A772" s="137">
        <v>11</v>
      </c>
      <c r="B772" s="1781" t="s">
        <v>700</v>
      </c>
      <c r="C772" s="137" t="s">
        <v>138</v>
      </c>
      <c r="D772" s="137" t="s">
        <v>704</v>
      </c>
      <c r="E772" s="137" t="s">
        <v>595</v>
      </c>
      <c r="F772" s="137">
        <v>1050000</v>
      </c>
      <c r="G772" s="137" t="s">
        <v>705</v>
      </c>
      <c r="H772" s="137" t="s">
        <v>271</v>
      </c>
      <c r="I772" s="137" t="s">
        <v>36</v>
      </c>
      <c r="J772" s="137">
        <v>1</v>
      </c>
    </row>
    <row r="773" spans="1:10" hidden="1" x14ac:dyDescent="0.3">
      <c r="A773" s="137">
        <v>12</v>
      </c>
      <c r="B773" s="1781" t="s">
        <v>700</v>
      </c>
      <c r="C773" s="137" t="s">
        <v>138</v>
      </c>
      <c r="D773" s="137" t="s">
        <v>706</v>
      </c>
      <c r="E773" s="137" t="s">
        <v>707</v>
      </c>
      <c r="F773" s="137">
        <v>950000</v>
      </c>
      <c r="G773" s="137" t="s">
        <v>703</v>
      </c>
      <c r="H773" s="137" t="s">
        <v>271</v>
      </c>
      <c r="I773" s="137" t="s">
        <v>36</v>
      </c>
      <c r="J773" s="137">
        <v>1</v>
      </c>
    </row>
    <row r="774" spans="1:10" hidden="1" x14ac:dyDescent="0.3">
      <c r="A774" s="137">
        <v>13</v>
      </c>
      <c r="B774" s="1781" t="s">
        <v>700</v>
      </c>
      <c r="C774" s="137" t="s">
        <v>138</v>
      </c>
      <c r="D774" s="137" t="s">
        <v>708</v>
      </c>
      <c r="E774" s="137" t="s">
        <v>358</v>
      </c>
      <c r="F774" s="137">
        <v>900000</v>
      </c>
      <c r="G774" s="137" t="s">
        <v>498</v>
      </c>
      <c r="H774" s="137" t="s">
        <v>271</v>
      </c>
      <c r="I774" s="137" t="s">
        <v>36</v>
      </c>
      <c r="J774" s="137">
        <v>1</v>
      </c>
    </row>
    <row r="775" spans="1:10" hidden="1" x14ac:dyDescent="0.3">
      <c r="A775" s="137">
        <v>14</v>
      </c>
      <c r="B775" s="1781" t="s">
        <v>709</v>
      </c>
      <c r="C775" s="137" t="s">
        <v>138</v>
      </c>
      <c r="D775" s="137" t="s">
        <v>710</v>
      </c>
      <c r="E775" s="137" t="s">
        <v>711</v>
      </c>
      <c r="F775" s="137">
        <v>1200000</v>
      </c>
      <c r="G775" s="137" t="s">
        <v>235</v>
      </c>
      <c r="H775" s="137" t="s">
        <v>271</v>
      </c>
      <c r="I775" s="137" t="s">
        <v>36</v>
      </c>
      <c r="J775" s="137">
        <v>1</v>
      </c>
    </row>
    <row r="776" spans="1:10" hidden="1" x14ac:dyDescent="0.3">
      <c r="A776" s="1781">
        <v>15</v>
      </c>
      <c r="B776" s="3392" t="s">
        <v>712</v>
      </c>
      <c r="C776" s="150" t="s">
        <v>138</v>
      </c>
      <c r="D776" s="641" t="s">
        <v>713</v>
      </c>
      <c r="E776" s="150" t="s">
        <v>620</v>
      </c>
      <c r="F776" s="151">
        <v>1200000</v>
      </c>
      <c r="G776" s="150" t="s">
        <v>235</v>
      </c>
      <c r="H776" s="150" t="s">
        <v>271</v>
      </c>
      <c r="I776" s="150" t="s">
        <v>36</v>
      </c>
      <c r="J776" s="137">
        <v>1</v>
      </c>
    </row>
    <row r="777" spans="1:10" hidden="1" x14ac:dyDescent="0.3">
      <c r="A777" s="1781">
        <v>16</v>
      </c>
      <c r="B777" s="3392" t="s">
        <v>714</v>
      </c>
      <c r="C777" s="150" t="s">
        <v>138</v>
      </c>
      <c r="D777" s="641" t="s">
        <v>715</v>
      </c>
      <c r="E777" s="150" t="s">
        <v>620</v>
      </c>
      <c r="F777" s="151">
        <v>1000000</v>
      </c>
      <c r="G777" s="150" t="s">
        <v>235</v>
      </c>
      <c r="H777" s="150" t="s">
        <v>271</v>
      </c>
      <c r="I777" s="150" t="s">
        <v>36</v>
      </c>
      <c r="J777" s="137">
        <v>1</v>
      </c>
    </row>
    <row r="778" spans="1:10" hidden="1" x14ac:dyDescent="0.3">
      <c r="A778" s="1781">
        <v>17</v>
      </c>
      <c r="B778" s="3392" t="s">
        <v>621</v>
      </c>
      <c r="C778" s="150" t="s">
        <v>138</v>
      </c>
      <c r="D778" s="641" t="s">
        <v>716</v>
      </c>
      <c r="E778" s="150" t="s">
        <v>436</v>
      </c>
      <c r="F778" s="151">
        <v>1700000</v>
      </c>
      <c r="G778" s="150" t="s">
        <v>539</v>
      </c>
      <c r="H778" s="150" t="s">
        <v>271</v>
      </c>
      <c r="I778" s="150" t="s">
        <v>36</v>
      </c>
      <c r="J778" s="137">
        <v>1</v>
      </c>
    </row>
    <row r="779" spans="1:10" hidden="1" x14ac:dyDescent="0.3">
      <c r="A779" s="1781">
        <v>18</v>
      </c>
      <c r="B779" s="3392" t="s">
        <v>714</v>
      </c>
      <c r="C779" s="150" t="s">
        <v>138</v>
      </c>
      <c r="D779" s="641" t="s">
        <v>717</v>
      </c>
      <c r="E779" s="150" t="s">
        <v>620</v>
      </c>
      <c r="F779" s="151">
        <v>1200000</v>
      </c>
      <c r="G779" s="150" t="s">
        <v>235</v>
      </c>
      <c r="H779" s="150" t="s">
        <v>271</v>
      </c>
      <c r="I779" s="150" t="s">
        <v>36</v>
      </c>
      <c r="J779" s="137">
        <v>1</v>
      </c>
    </row>
    <row r="780" spans="1:10" hidden="1" x14ac:dyDescent="0.3">
      <c r="A780" s="1781">
        <v>19</v>
      </c>
      <c r="B780" s="1781" t="s">
        <v>718</v>
      </c>
      <c r="C780" s="150" t="s">
        <v>138</v>
      </c>
      <c r="D780" s="641" t="s">
        <v>719</v>
      </c>
      <c r="E780" s="150" t="s">
        <v>436</v>
      </c>
      <c r="F780" s="151">
        <v>900000</v>
      </c>
      <c r="G780" s="150" t="s">
        <v>43</v>
      </c>
      <c r="H780" s="150" t="s">
        <v>271</v>
      </c>
      <c r="I780" s="150" t="s">
        <v>36</v>
      </c>
      <c r="J780" s="137">
        <v>1</v>
      </c>
    </row>
    <row r="781" spans="1:10" hidden="1" x14ac:dyDescent="0.3">
      <c r="A781" s="1781">
        <v>20</v>
      </c>
      <c r="B781" s="1781"/>
      <c r="C781" s="150"/>
      <c r="D781" s="641"/>
      <c r="E781" s="150"/>
      <c r="F781" s="151"/>
      <c r="G781" s="150"/>
      <c r="H781" s="150"/>
      <c r="I781" s="150"/>
      <c r="J781" s="137"/>
    </row>
    <row r="782" spans="1:10" ht="25.8" hidden="1" x14ac:dyDescent="0.5">
      <c r="A782" s="1781"/>
      <c r="B782" s="1781"/>
      <c r="C782" s="150"/>
      <c r="D782" s="641"/>
      <c r="E782" s="150"/>
      <c r="F782" s="151"/>
      <c r="G782" s="150"/>
      <c r="H782" s="150"/>
      <c r="I782" s="150"/>
      <c r="J782" s="934">
        <f>SUM(J762:J781)</f>
        <v>19</v>
      </c>
    </row>
    <row r="783" spans="1:10" hidden="1" x14ac:dyDescent="0.3">
      <c r="A783" s="3473" t="s">
        <v>33</v>
      </c>
      <c r="B783" s="3473"/>
      <c r="C783" s="3473"/>
      <c r="D783" s="3473"/>
      <c r="E783" s="3473"/>
      <c r="F783" s="3473"/>
      <c r="G783" s="3473"/>
      <c r="H783" s="3473"/>
      <c r="I783" s="3473"/>
      <c r="J783" s="3473"/>
    </row>
    <row r="784" spans="1:10" hidden="1" x14ac:dyDescent="0.3">
      <c r="A784" s="137" t="s">
        <v>3</v>
      </c>
      <c r="B784" s="1781" t="s">
        <v>4</v>
      </c>
      <c r="C784" s="137" t="s">
        <v>5</v>
      </c>
      <c r="D784" s="137" t="s">
        <v>6</v>
      </c>
      <c r="E784" s="137" t="s">
        <v>7</v>
      </c>
      <c r="F784" s="137" t="s">
        <v>8</v>
      </c>
      <c r="G784" s="137" t="s">
        <v>9</v>
      </c>
      <c r="H784" s="137" t="s">
        <v>10</v>
      </c>
      <c r="I784" s="137" t="s">
        <v>11</v>
      </c>
      <c r="J784" s="137" t="s">
        <v>12</v>
      </c>
    </row>
    <row r="785" spans="1:10" hidden="1" x14ac:dyDescent="0.3">
      <c r="A785" s="549">
        <v>1</v>
      </c>
      <c r="B785" s="3393" t="s">
        <v>647</v>
      </c>
      <c r="C785" s="152" t="s">
        <v>138</v>
      </c>
      <c r="D785" s="152" t="s">
        <v>720</v>
      </c>
      <c r="E785" s="152" t="s">
        <v>549</v>
      </c>
      <c r="F785" s="152">
        <v>245000000</v>
      </c>
      <c r="G785" s="152" t="s">
        <v>721</v>
      </c>
      <c r="H785" s="152" t="s">
        <v>271</v>
      </c>
      <c r="I785" s="152" t="s">
        <v>36</v>
      </c>
      <c r="J785" s="200">
        <v>1</v>
      </c>
    </row>
    <row r="786" spans="1:10" hidden="1" x14ac:dyDescent="0.3">
      <c r="A786" s="549">
        <v>2</v>
      </c>
      <c r="B786" s="3393" t="s">
        <v>647</v>
      </c>
      <c r="C786" s="152" t="s">
        <v>138</v>
      </c>
      <c r="D786" s="152" t="s">
        <v>722</v>
      </c>
      <c r="E786" s="152" t="s">
        <v>358</v>
      </c>
      <c r="F786" s="152">
        <v>280000000</v>
      </c>
      <c r="G786" s="152" t="s">
        <v>498</v>
      </c>
      <c r="H786" s="152" t="s">
        <v>271</v>
      </c>
      <c r="I786" s="152" t="s">
        <v>36</v>
      </c>
      <c r="J786" s="200">
        <v>1</v>
      </c>
    </row>
    <row r="787" spans="1:10" hidden="1" x14ac:dyDescent="0.3">
      <c r="A787" s="597">
        <v>3</v>
      </c>
      <c r="B787" s="3394" t="s">
        <v>647</v>
      </c>
      <c r="C787" s="154" t="s">
        <v>138</v>
      </c>
      <c r="D787" s="154" t="s">
        <v>723</v>
      </c>
      <c r="E787" s="154" t="s">
        <v>358</v>
      </c>
      <c r="F787" s="154">
        <v>180000000</v>
      </c>
      <c r="G787" s="154" t="s">
        <v>512</v>
      </c>
      <c r="H787" s="154" t="s">
        <v>271</v>
      </c>
      <c r="I787" s="154" t="s">
        <v>36</v>
      </c>
      <c r="J787" s="598">
        <v>1</v>
      </c>
    </row>
    <row r="788" spans="1:10" hidden="1" x14ac:dyDescent="0.3">
      <c r="A788" s="595">
        <v>4</v>
      </c>
      <c r="B788" s="3395" t="s">
        <v>581</v>
      </c>
      <c r="C788" s="156" t="s">
        <v>662</v>
      </c>
      <c r="D788" s="156" t="s">
        <v>690</v>
      </c>
      <c r="E788" s="156" t="s">
        <v>691</v>
      </c>
      <c r="F788" s="156">
        <v>85000000</v>
      </c>
      <c r="G788" s="156" t="s">
        <v>724</v>
      </c>
      <c r="H788" s="156" t="s">
        <v>271</v>
      </c>
      <c r="I788" s="156" t="s">
        <v>36</v>
      </c>
      <c r="J788" s="144">
        <v>1</v>
      </c>
    </row>
    <row r="789" spans="1:10" hidden="1" x14ac:dyDescent="0.3">
      <c r="A789" s="922">
        <v>5</v>
      </c>
      <c r="B789" s="3399" t="s">
        <v>700</v>
      </c>
      <c r="C789" s="888" t="s">
        <v>138</v>
      </c>
      <c r="D789" s="888" t="s">
        <v>725</v>
      </c>
      <c r="E789" s="888" t="s">
        <v>726</v>
      </c>
      <c r="F789" s="888">
        <v>265000000</v>
      </c>
      <c r="G789" s="888" t="s">
        <v>727</v>
      </c>
      <c r="H789" s="888" t="s">
        <v>271</v>
      </c>
      <c r="I789" s="888" t="s">
        <v>36</v>
      </c>
      <c r="J789" s="887">
        <v>1</v>
      </c>
    </row>
    <row r="790" spans="1:10" ht="24.6" hidden="1" x14ac:dyDescent="0.4">
      <c r="A790" s="887"/>
      <c r="B790" s="922"/>
      <c r="C790" s="887"/>
      <c r="D790" s="887"/>
      <c r="E790" s="887"/>
      <c r="F790" s="887"/>
      <c r="G790" s="887"/>
      <c r="H790" s="887"/>
      <c r="I790" s="887"/>
      <c r="J790" s="933">
        <f>J785+J786+J788+J787+J789</f>
        <v>5</v>
      </c>
    </row>
    <row r="791" spans="1:10" hidden="1" x14ac:dyDescent="0.3"/>
    <row r="792" spans="1:10" hidden="1" x14ac:dyDescent="0.3"/>
    <row r="793" spans="1:10" hidden="1" x14ac:dyDescent="0.3"/>
    <row r="794" spans="1:10" ht="23.4" hidden="1" x14ac:dyDescent="0.3">
      <c r="A794" s="3474" t="s">
        <v>442</v>
      </c>
      <c r="B794" s="3474"/>
      <c r="C794" s="3474"/>
      <c r="D794" s="3474"/>
      <c r="E794" s="3474"/>
      <c r="F794" s="3474"/>
      <c r="G794" s="3474"/>
      <c r="H794" s="3474"/>
      <c r="I794" s="3474"/>
      <c r="J794" s="3474"/>
    </row>
    <row r="795" spans="1:10" ht="15.6" hidden="1" x14ac:dyDescent="0.3">
      <c r="A795" s="3461" t="s">
        <v>2</v>
      </c>
      <c r="B795" s="3461"/>
      <c r="C795" s="3461"/>
      <c r="D795" s="3461"/>
      <c r="E795" s="3461"/>
      <c r="F795" s="3461"/>
      <c r="G795" s="3461"/>
      <c r="H795" s="3461"/>
      <c r="I795" s="3461"/>
      <c r="J795" s="3461"/>
    </row>
    <row r="796" spans="1:10" hidden="1" x14ac:dyDescent="0.3">
      <c r="A796" s="137" t="s">
        <v>3</v>
      </c>
      <c r="B796" s="1781" t="s">
        <v>4</v>
      </c>
      <c r="C796" s="137" t="s">
        <v>5</v>
      </c>
      <c r="D796" s="137" t="s">
        <v>6</v>
      </c>
      <c r="E796" s="137" t="s">
        <v>7</v>
      </c>
      <c r="F796" s="137" t="s">
        <v>8</v>
      </c>
      <c r="G796" s="137" t="s">
        <v>9</v>
      </c>
      <c r="H796" s="137" t="s">
        <v>10</v>
      </c>
      <c r="I796" s="137" t="s">
        <v>11</v>
      </c>
      <c r="J796" s="137" t="s">
        <v>12</v>
      </c>
    </row>
    <row r="797" spans="1:10" hidden="1" x14ac:dyDescent="0.3">
      <c r="A797" s="137">
        <v>1</v>
      </c>
      <c r="B797" s="1781" t="s">
        <v>661</v>
      </c>
      <c r="C797" s="137" t="s">
        <v>138</v>
      </c>
      <c r="D797" s="137" t="s">
        <v>728</v>
      </c>
      <c r="E797" s="137" t="s">
        <v>726</v>
      </c>
      <c r="F797" s="137">
        <v>2600000</v>
      </c>
      <c r="G797" s="137" t="s">
        <v>729</v>
      </c>
      <c r="H797" s="137" t="s">
        <v>271</v>
      </c>
      <c r="I797" s="137" t="s">
        <v>36</v>
      </c>
      <c r="J797" s="137">
        <v>1</v>
      </c>
    </row>
    <row r="798" spans="1:10" hidden="1" x14ac:dyDescent="0.3">
      <c r="A798" s="137">
        <v>2</v>
      </c>
      <c r="B798" s="1781" t="s">
        <v>730</v>
      </c>
      <c r="C798" s="137" t="s">
        <v>138</v>
      </c>
      <c r="D798" s="137" t="s">
        <v>731</v>
      </c>
      <c r="E798" s="137" t="s">
        <v>620</v>
      </c>
      <c r="F798" s="137">
        <v>1100000</v>
      </c>
      <c r="G798" s="137" t="s">
        <v>235</v>
      </c>
      <c r="H798" s="137" t="s">
        <v>271</v>
      </c>
      <c r="I798" s="137" t="s">
        <v>36</v>
      </c>
      <c r="J798" s="137">
        <v>1</v>
      </c>
    </row>
    <row r="799" spans="1:10" hidden="1" x14ac:dyDescent="0.3">
      <c r="A799" s="137">
        <v>3</v>
      </c>
      <c r="B799" s="1781"/>
      <c r="C799" s="137"/>
      <c r="D799" s="137"/>
      <c r="E799" s="137"/>
      <c r="F799" s="137"/>
      <c r="G799" s="137"/>
      <c r="H799" s="137"/>
      <c r="I799" s="137"/>
      <c r="J799" s="137"/>
    </row>
    <row r="800" spans="1:10" hidden="1" x14ac:dyDescent="0.3">
      <c r="A800" s="137">
        <v>4</v>
      </c>
      <c r="B800" s="1781"/>
      <c r="C800" s="137"/>
      <c r="D800" s="137"/>
      <c r="E800" s="137"/>
      <c r="F800" s="137"/>
      <c r="G800" s="137"/>
      <c r="H800" s="137"/>
      <c r="I800" s="137"/>
      <c r="J800" s="137"/>
    </row>
    <row r="801" spans="1:10" hidden="1" x14ac:dyDescent="0.3">
      <c r="A801" s="137">
        <v>5</v>
      </c>
      <c r="B801" s="1781"/>
      <c r="C801" s="137"/>
      <c r="D801" s="137"/>
      <c r="E801" s="137"/>
      <c r="F801" s="137"/>
      <c r="G801" s="137"/>
      <c r="H801" s="137"/>
      <c r="I801" s="137"/>
      <c r="J801" s="137"/>
    </row>
    <row r="802" spans="1:10" hidden="1" x14ac:dyDescent="0.3">
      <c r="A802" s="137">
        <v>6</v>
      </c>
      <c r="B802" s="1781"/>
      <c r="C802" s="137"/>
      <c r="D802" s="137"/>
      <c r="E802" s="137"/>
      <c r="F802" s="137"/>
      <c r="G802" s="137"/>
      <c r="H802" s="137"/>
      <c r="I802" s="137"/>
      <c r="J802" s="137"/>
    </row>
    <row r="803" spans="1:10" hidden="1" x14ac:dyDescent="0.3">
      <c r="A803" s="137">
        <v>7</v>
      </c>
      <c r="B803" s="1781"/>
      <c r="C803" s="137"/>
      <c r="D803" s="137"/>
      <c r="E803" s="137"/>
      <c r="F803" s="137"/>
      <c r="G803" s="137"/>
      <c r="H803" s="137"/>
      <c r="I803" s="137"/>
      <c r="J803" s="137"/>
    </row>
    <row r="804" spans="1:10" hidden="1" x14ac:dyDescent="0.3">
      <c r="A804" s="137">
        <v>8</v>
      </c>
      <c r="B804" s="1781"/>
      <c r="C804" s="137"/>
      <c r="D804" s="137"/>
      <c r="E804" s="137"/>
      <c r="F804" s="137"/>
      <c r="G804" s="137"/>
      <c r="H804" s="137"/>
      <c r="I804" s="137"/>
      <c r="J804" s="137"/>
    </row>
    <row r="805" spans="1:10" hidden="1" x14ac:dyDescent="0.3">
      <c r="A805" s="137">
        <v>9</v>
      </c>
      <c r="B805" s="1781"/>
      <c r="C805" s="137"/>
      <c r="D805" s="137"/>
      <c r="E805" s="137"/>
      <c r="F805" s="137"/>
      <c r="G805" s="137"/>
      <c r="H805" s="137"/>
      <c r="I805" s="137"/>
      <c r="J805" s="137"/>
    </row>
    <row r="806" spans="1:10" hidden="1" x14ac:dyDescent="0.3">
      <c r="A806" s="137">
        <v>10</v>
      </c>
      <c r="B806" s="1781"/>
      <c r="C806" s="137"/>
      <c r="D806" s="137"/>
      <c r="E806" s="137"/>
      <c r="F806" s="137"/>
      <c r="G806" s="137"/>
      <c r="H806" s="137"/>
      <c r="I806" s="137"/>
      <c r="J806" s="137"/>
    </row>
    <row r="807" spans="1:10" hidden="1" x14ac:dyDescent="0.3">
      <c r="A807" s="137">
        <v>11</v>
      </c>
      <c r="B807" s="1781"/>
      <c r="C807" s="137"/>
      <c r="D807" s="137"/>
      <c r="E807" s="137"/>
      <c r="F807" s="137"/>
      <c r="G807" s="137"/>
      <c r="H807" s="137"/>
      <c r="I807" s="137"/>
      <c r="J807" s="137"/>
    </row>
    <row r="808" spans="1:10" hidden="1" x14ac:dyDescent="0.3">
      <c r="A808" s="137">
        <v>12</v>
      </c>
      <c r="B808" s="1781"/>
      <c r="C808" s="137"/>
      <c r="D808" s="137"/>
      <c r="E808" s="137"/>
      <c r="F808" s="137"/>
      <c r="G808" s="137"/>
      <c r="H808" s="137"/>
      <c r="I808" s="137"/>
      <c r="J808" s="137"/>
    </row>
    <row r="809" spans="1:10" hidden="1" x14ac:dyDescent="0.3">
      <c r="A809" s="137">
        <v>13</v>
      </c>
      <c r="B809" s="1781"/>
      <c r="C809" s="137"/>
      <c r="D809" s="137"/>
      <c r="E809" s="137"/>
      <c r="F809" s="137"/>
      <c r="G809" s="137"/>
      <c r="H809" s="137"/>
      <c r="I809" s="137"/>
      <c r="J809" s="137"/>
    </row>
    <row r="810" spans="1:10" hidden="1" x14ac:dyDescent="0.3">
      <c r="A810" s="137">
        <v>14</v>
      </c>
      <c r="B810" s="1781"/>
      <c r="C810" s="137"/>
      <c r="D810" s="137"/>
      <c r="E810" s="137"/>
      <c r="F810" s="137"/>
      <c r="G810" s="137"/>
      <c r="H810" s="137"/>
      <c r="I810" s="137"/>
      <c r="J810" s="137"/>
    </row>
    <row r="811" spans="1:10" hidden="1" x14ac:dyDescent="0.3">
      <c r="A811" s="1781">
        <v>15</v>
      </c>
      <c r="B811" s="3392"/>
      <c r="C811" s="150"/>
      <c r="D811" s="641"/>
      <c r="E811" s="150"/>
      <c r="F811" s="151"/>
      <c r="G811" s="150"/>
      <c r="H811" s="150"/>
      <c r="I811" s="150"/>
      <c r="J811" s="137"/>
    </row>
    <row r="812" spans="1:10" hidden="1" x14ac:dyDescent="0.3">
      <c r="A812" s="1781">
        <v>16</v>
      </c>
      <c r="B812" s="3392"/>
      <c r="C812" s="150"/>
      <c r="D812" s="641"/>
      <c r="E812" s="150"/>
      <c r="F812" s="151"/>
      <c r="G812" s="150"/>
      <c r="H812" s="150"/>
      <c r="I812" s="150"/>
      <c r="J812" s="137"/>
    </row>
    <row r="813" spans="1:10" hidden="1" x14ac:dyDescent="0.3">
      <c r="A813" s="1781">
        <v>17</v>
      </c>
      <c r="B813" s="3392"/>
      <c r="C813" s="150"/>
      <c r="D813" s="641"/>
      <c r="E813" s="150"/>
      <c r="F813" s="151"/>
      <c r="G813" s="150"/>
      <c r="H813" s="150"/>
      <c r="I813" s="150"/>
      <c r="J813" s="137"/>
    </row>
    <row r="814" spans="1:10" hidden="1" x14ac:dyDescent="0.3">
      <c r="A814" s="1781">
        <v>18</v>
      </c>
      <c r="B814" s="3392"/>
      <c r="C814" s="150"/>
      <c r="D814" s="641"/>
      <c r="E814" s="150"/>
      <c r="F814" s="151"/>
      <c r="G814" s="150"/>
      <c r="H814" s="150"/>
      <c r="I814" s="150"/>
      <c r="J814" s="137"/>
    </row>
    <row r="815" spans="1:10" hidden="1" x14ac:dyDescent="0.3">
      <c r="A815" s="1781">
        <v>19</v>
      </c>
      <c r="B815" s="1781"/>
      <c r="C815" s="150"/>
      <c r="D815" s="641"/>
      <c r="E815" s="150"/>
      <c r="F815" s="151"/>
      <c r="G815" s="150"/>
      <c r="H815" s="150"/>
      <c r="I815" s="150"/>
      <c r="J815" s="137"/>
    </row>
    <row r="816" spans="1:10" hidden="1" x14ac:dyDescent="0.3">
      <c r="A816" s="1781">
        <v>20</v>
      </c>
      <c r="B816" s="1781"/>
      <c r="C816" s="150"/>
      <c r="D816" s="641"/>
      <c r="E816" s="150"/>
      <c r="F816" s="151"/>
      <c r="G816" s="150"/>
      <c r="H816" s="150"/>
      <c r="I816" s="150"/>
      <c r="J816" s="137"/>
    </row>
    <row r="817" spans="1:10" ht="25.8" hidden="1" x14ac:dyDescent="0.5">
      <c r="A817" s="1781"/>
      <c r="B817" s="1781"/>
      <c r="C817" s="150"/>
      <c r="D817" s="641"/>
      <c r="E817" s="150"/>
      <c r="F817" s="151"/>
      <c r="G817" s="150"/>
      <c r="H817" s="150"/>
      <c r="I817" s="150"/>
      <c r="J817" s="934">
        <f>SUM(J797:J798)</f>
        <v>2</v>
      </c>
    </row>
    <row r="818" spans="1:10" hidden="1" x14ac:dyDescent="0.3">
      <c r="A818" s="3473" t="s">
        <v>33</v>
      </c>
      <c r="B818" s="3473"/>
      <c r="C818" s="3473"/>
      <c r="D818" s="3473"/>
      <c r="E818" s="3473"/>
      <c r="F818" s="3473"/>
      <c r="G818" s="3473"/>
      <c r="H818" s="3473"/>
      <c r="I818" s="3473"/>
      <c r="J818" s="3473"/>
    </row>
    <row r="819" spans="1:10" hidden="1" x14ac:dyDescent="0.3">
      <c r="A819" s="137" t="s">
        <v>3</v>
      </c>
      <c r="B819" s="1781" t="s">
        <v>4</v>
      </c>
      <c r="C819" s="137" t="s">
        <v>5</v>
      </c>
      <c r="D819" s="137" t="s">
        <v>6</v>
      </c>
      <c r="E819" s="137" t="s">
        <v>7</v>
      </c>
      <c r="F819" s="137" t="s">
        <v>8</v>
      </c>
      <c r="G819" s="137" t="s">
        <v>9</v>
      </c>
      <c r="H819" s="137" t="s">
        <v>10</v>
      </c>
      <c r="I819" s="137" t="s">
        <v>11</v>
      </c>
      <c r="J819" s="137" t="s">
        <v>12</v>
      </c>
    </row>
    <row r="820" spans="1:10" hidden="1" x14ac:dyDescent="0.3">
      <c r="A820" s="549">
        <v>1</v>
      </c>
      <c r="B820" s="3393"/>
      <c r="C820" s="152"/>
      <c r="D820" s="152"/>
      <c r="E820" s="152"/>
      <c r="F820" s="152"/>
      <c r="G820" s="152"/>
      <c r="H820" s="152"/>
      <c r="I820" s="152"/>
      <c r="J820" s="200"/>
    </row>
    <row r="821" spans="1:10" hidden="1" x14ac:dyDescent="0.3">
      <c r="A821" s="549">
        <v>2</v>
      </c>
      <c r="B821" s="3393"/>
      <c r="C821" s="152"/>
      <c r="D821" s="152"/>
      <c r="E821" s="152"/>
      <c r="F821" s="152"/>
      <c r="G821" s="152"/>
      <c r="H821" s="152"/>
      <c r="I821" s="152"/>
      <c r="J821" s="200"/>
    </row>
    <row r="822" spans="1:10" hidden="1" x14ac:dyDescent="0.3">
      <c r="A822" s="597">
        <v>3</v>
      </c>
      <c r="B822" s="3394"/>
      <c r="C822" s="154"/>
      <c r="D822" s="154"/>
      <c r="E822" s="154"/>
      <c r="F822" s="154"/>
      <c r="G822" s="154"/>
      <c r="H822" s="154"/>
      <c r="I822" s="154"/>
      <c r="J822" s="598"/>
    </row>
    <row r="823" spans="1:10" ht="24.6" hidden="1" x14ac:dyDescent="0.4">
      <c r="A823" s="144"/>
      <c r="B823" s="595"/>
      <c r="C823" s="144"/>
      <c r="D823" s="144"/>
      <c r="E823" s="144"/>
      <c r="F823" s="144"/>
      <c r="G823" s="144"/>
      <c r="H823" s="144"/>
      <c r="I823" s="144"/>
      <c r="J823" s="935">
        <f>J820+J821+J822</f>
        <v>0</v>
      </c>
    </row>
    <row r="824" spans="1:10" hidden="1" x14ac:dyDescent="0.3"/>
    <row r="825" spans="1:10" hidden="1" x14ac:dyDescent="0.3"/>
    <row r="826" spans="1:10" hidden="1" x14ac:dyDescent="0.3"/>
    <row r="827" spans="1:10" ht="23.4" hidden="1" x14ac:dyDescent="0.3">
      <c r="A827" s="3474" t="s">
        <v>732</v>
      </c>
      <c r="B827" s="3474"/>
      <c r="C827" s="3474"/>
      <c r="D827" s="3474"/>
      <c r="E827" s="3474"/>
      <c r="F827" s="3474"/>
      <c r="G827" s="3474"/>
      <c r="H827" s="3474"/>
      <c r="I827" s="3474"/>
      <c r="J827" s="3474"/>
    </row>
    <row r="828" spans="1:10" ht="15.6" hidden="1" x14ac:dyDescent="0.3">
      <c r="A828" s="3461" t="s">
        <v>2</v>
      </c>
      <c r="B828" s="3461"/>
      <c r="C828" s="3461"/>
      <c r="D828" s="3461"/>
      <c r="E828" s="3461"/>
      <c r="F828" s="3461"/>
      <c r="G828" s="3461"/>
      <c r="H828" s="3461"/>
      <c r="I828" s="3461"/>
      <c r="J828" s="3461"/>
    </row>
    <row r="829" spans="1:10" hidden="1" x14ac:dyDescent="0.3">
      <c r="A829" s="137" t="s">
        <v>3</v>
      </c>
      <c r="B829" s="1781" t="s">
        <v>4</v>
      </c>
      <c r="C829" s="137" t="s">
        <v>5</v>
      </c>
      <c r="D829" s="137" t="s">
        <v>6</v>
      </c>
      <c r="E829" s="137" t="s">
        <v>7</v>
      </c>
      <c r="F829" s="137" t="s">
        <v>8</v>
      </c>
      <c r="G829" s="137" t="s">
        <v>9</v>
      </c>
      <c r="H829" s="137" t="s">
        <v>10</v>
      </c>
      <c r="I829" s="137" t="s">
        <v>11</v>
      </c>
      <c r="J829" s="137" t="s">
        <v>12</v>
      </c>
    </row>
    <row r="830" spans="1:10" hidden="1" x14ac:dyDescent="0.3">
      <c r="A830" s="137">
        <v>1</v>
      </c>
      <c r="B830" s="1781"/>
      <c r="C830" s="137"/>
      <c r="D830" s="137"/>
      <c r="E830" s="137"/>
      <c r="F830" s="137"/>
      <c r="G830" s="137"/>
      <c r="H830" s="137"/>
      <c r="I830" s="137"/>
      <c r="J830" s="137"/>
    </row>
    <row r="831" spans="1:10" hidden="1" x14ac:dyDescent="0.3">
      <c r="A831" s="137">
        <v>2</v>
      </c>
      <c r="B831" s="1781"/>
      <c r="C831" s="137"/>
      <c r="D831" s="137"/>
      <c r="E831" s="137"/>
      <c r="F831" s="137"/>
      <c r="G831" s="137"/>
      <c r="H831" s="137"/>
      <c r="I831" s="137"/>
      <c r="J831" s="137"/>
    </row>
    <row r="832" spans="1:10" hidden="1" x14ac:dyDescent="0.3">
      <c r="A832" s="137">
        <v>3</v>
      </c>
      <c r="B832" s="1781"/>
      <c r="C832" s="137"/>
      <c r="D832" s="137"/>
      <c r="E832" s="137"/>
      <c r="F832" s="137"/>
      <c r="G832" s="137"/>
      <c r="H832" s="137"/>
      <c r="I832" s="137"/>
      <c r="J832" s="137"/>
    </row>
    <row r="833" spans="1:10" hidden="1" x14ac:dyDescent="0.3">
      <c r="A833" s="137">
        <v>4</v>
      </c>
      <c r="B833" s="1781"/>
      <c r="C833" s="137"/>
      <c r="D833" s="137"/>
      <c r="E833" s="137"/>
      <c r="F833" s="137"/>
      <c r="G833" s="137"/>
      <c r="H833" s="137"/>
      <c r="I833" s="137"/>
      <c r="J833" s="137"/>
    </row>
    <row r="834" spans="1:10" hidden="1" x14ac:dyDescent="0.3">
      <c r="A834" s="137">
        <v>5</v>
      </c>
      <c r="B834" s="1781"/>
      <c r="C834" s="137"/>
      <c r="D834" s="137"/>
      <c r="E834" s="137"/>
      <c r="F834" s="137"/>
      <c r="G834" s="137"/>
      <c r="H834" s="137"/>
      <c r="I834" s="137"/>
      <c r="J834" s="137"/>
    </row>
    <row r="835" spans="1:10" hidden="1" x14ac:dyDescent="0.3">
      <c r="A835" s="137">
        <v>6</v>
      </c>
      <c r="B835" s="1781"/>
      <c r="C835" s="137"/>
      <c r="D835" s="137"/>
      <c r="E835" s="137"/>
      <c r="F835" s="137"/>
      <c r="G835" s="137"/>
      <c r="H835" s="137"/>
      <c r="I835" s="137"/>
      <c r="J835" s="137"/>
    </row>
    <row r="836" spans="1:10" hidden="1" x14ac:dyDescent="0.3">
      <c r="A836" s="137">
        <v>7</v>
      </c>
      <c r="B836" s="1781"/>
      <c r="C836" s="137"/>
      <c r="D836" s="137"/>
      <c r="E836" s="137"/>
      <c r="F836" s="137"/>
      <c r="G836" s="137"/>
      <c r="H836" s="137"/>
      <c r="I836" s="137"/>
      <c r="J836" s="137"/>
    </row>
    <row r="837" spans="1:10" hidden="1" x14ac:dyDescent="0.3">
      <c r="A837" s="137">
        <v>8</v>
      </c>
      <c r="B837" s="1781"/>
      <c r="C837" s="137"/>
      <c r="D837" s="137"/>
      <c r="E837" s="137"/>
      <c r="F837" s="137"/>
      <c r="G837" s="137"/>
      <c r="H837" s="137"/>
      <c r="I837" s="137"/>
      <c r="J837" s="137"/>
    </row>
    <row r="838" spans="1:10" hidden="1" x14ac:dyDescent="0.3">
      <c r="A838" s="137">
        <v>9</v>
      </c>
      <c r="B838" s="1781"/>
      <c r="C838" s="137"/>
      <c r="D838" s="137"/>
      <c r="E838" s="137"/>
      <c r="F838" s="137"/>
      <c r="G838" s="137"/>
      <c r="H838" s="137"/>
      <c r="I838" s="137"/>
      <c r="J838" s="137"/>
    </row>
    <row r="839" spans="1:10" hidden="1" x14ac:dyDescent="0.3">
      <c r="A839" s="137">
        <v>10</v>
      </c>
      <c r="B839" s="1781"/>
      <c r="C839" s="137"/>
      <c r="D839" s="137"/>
      <c r="E839" s="137"/>
      <c r="F839" s="137"/>
      <c r="G839" s="137"/>
      <c r="H839" s="137"/>
      <c r="I839" s="137"/>
      <c r="J839" s="137"/>
    </row>
    <row r="840" spans="1:10" hidden="1" x14ac:dyDescent="0.3">
      <c r="A840" s="137">
        <v>11</v>
      </c>
      <c r="B840" s="1781"/>
      <c r="C840" s="137"/>
      <c r="D840" s="137"/>
      <c r="E840" s="137"/>
      <c r="F840" s="137"/>
      <c r="G840" s="137"/>
      <c r="H840" s="137"/>
      <c r="I840" s="137"/>
      <c r="J840" s="137"/>
    </row>
    <row r="841" spans="1:10" hidden="1" x14ac:dyDescent="0.3">
      <c r="A841" s="137">
        <v>12</v>
      </c>
      <c r="B841" s="1781"/>
      <c r="C841" s="137"/>
      <c r="D841" s="137"/>
      <c r="E841" s="137"/>
      <c r="F841" s="137"/>
      <c r="G841" s="137"/>
      <c r="H841" s="137"/>
      <c r="I841" s="137"/>
      <c r="J841" s="137"/>
    </row>
    <row r="842" spans="1:10" hidden="1" x14ac:dyDescent="0.3">
      <c r="A842" s="137">
        <v>13</v>
      </c>
      <c r="B842" s="1781"/>
      <c r="C842" s="137"/>
      <c r="D842" s="137"/>
      <c r="E842" s="137"/>
      <c r="F842" s="137"/>
      <c r="G842" s="137"/>
      <c r="H842" s="137"/>
      <c r="I842" s="137"/>
      <c r="J842" s="137"/>
    </row>
    <row r="843" spans="1:10" hidden="1" x14ac:dyDescent="0.3">
      <c r="A843" s="137">
        <v>14</v>
      </c>
      <c r="B843" s="1781"/>
      <c r="C843" s="137"/>
      <c r="D843" s="137"/>
      <c r="E843" s="137"/>
      <c r="F843" s="137"/>
      <c r="G843" s="137"/>
      <c r="H843" s="137"/>
      <c r="I843" s="137"/>
      <c r="J843" s="137"/>
    </row>
    <row r="844" spans="1:10" hidden="1" x14ac:dyDescent="0.3">
      <c r="A844" s="1781">
        <v>15</v>
      </c>
      <c r="B844" s="3392"/>
      <c r="C844" s="150"/>
      <c r="D844" s="641"/>
      <c r="E844" s="150"/>
      <c r="F844" s="151"/>
      <c r="G844" s="150"/>
      <c r="H844" s="150"/>
      <c r="I844" s="150"/>
      <c r="J844" s="137"/>
    </row>
    <row r="845" spans="1:10" hidden="1" x14ac:dyDescent="0.3">
      <c r="A845" s="1781">
        <v>16</v>
      </c>
      <c r="B845" s="3392"/>
      <c r="C845" s="150"/>
      <c r="D845" s="641"/>
      <c r="E845" s="150"/>
      <c r="F845" s="151"/>
      <c r="G845" s="150"/>
      <c r="H845" s="150"/>
      <c r="I845" s="150"/>
      <c r="J845" s="137"/>
    </row>
    <row r="846" spans="1:10" hidden="1" x14ac:dyDescent="0.3">
      <c r="A846" s="1781">
        <v>17</v>
      </c>
      <c r="B846" s="3392"/>
      <c r="C846" s="150"/>
      <c r="D846" s="641"/>
      <c r="E846" s="150"/>
      <c r="F846" s="151"/>
      <c r="G846" s="150"/>
      <c r="H846" s="150"/>
      <c r="I846" s="150"/>
      <c r="J846" s="137"/>
    </row>
    <row r="847" spans="1:10" hidden="1" x14ac:dyDescent="0.3">
      <c r="A847" s="1781">
        <v>18</v>
      </c>
      <c r="B847" s="3392"/>
      <c r="C847" s="150"/>
      <c r="D847" s="641"/>
      <c r="E847" s="150"/>
      <c r="F847" s="151"/>
      <c r="G847" s="150"/>
      <c r="H847" s="150"/>
      <c r="I847" s="150"/>
      <c r="J847" s="137"/>
    </row>
    <row r="848" spans="1:10" hidden="1" x14ac:dyDescent="0.3">
      <c r="A848" s="1781">
        <v>19</v>
      </c>
      <c r="B848" s="1781"/>
      <c r="C848" s="150"/>
      <c r="D848" s="641"/>
      <c r="E848" s="150"/>
      <c r="F848" s="151"/>
      <c r="G848" s="150"/>
      <c r="H848" s="150"/>
      <c r="I848" s="150"/>
      <c r="J848" s="137"/>
    </row>
    <row r="849" spans="1:10" hidden="1" x14ac:dyDescent="0.3">
      <c r="A849" s="1781">
        <v>20</v>
      </c>
      <c r="B849" s="1781"/>
      <c r="C849" s="150"/>
      <c r="D849" s="641"/>
      <c r="E849" s="150"/>
      <c r="F849" s="151"/>
      <c r="G849" s="150"/>
      <c r="H849" s="150"/>
      <c r="I849" s="150"/>
      <c r="J849" s="137"/>
    </row>
    <row r="850" spans="1:10" ht="25.8" hidden="1" x14ac:dyDescent="0.5">
      <c r="A850" s="1781"/>
      <c r="B850" s="1781"/>
      <c r="C850" s="150"/>
      <c r="D850" s="641"/>
      <c r="E850" s="150"/>
      <c r="F850" s="151"/>
      <c r="G850" s="150"/>
      <c r="H850" s="150"/>
      <c r="I850" s="150"/>
      <c r="J850" s="934"/>
    </row>
    <row r="851" spans="1:10" hidden="1" x14ac:dyDescent="0.3">
      <c r="A851" s="3473" t="s">
        <v>33</v>
      </c>
      <c r="B851" s="3473"/>
      <c r="C851" s="3473"/>
      <c r="D851" s="3473"/>
      <c r="E851" s="3473"/>
      <c r="F851" s="3473"/>
      <c r="G851" s="3473"/>
      <c r="H851" s="3473"/>
      <c r="I851" s="3473"/>
      <c r="J851" s="3473"/>
    </row>
    <row r="852" spans="1:10" hidden="1" x14ac:dyDescent="0.3">
      <c r="A852" s="137" t="s">
        <v>3</v>
      </c>
      <c r="B852" s="1781" t="s">
        <v>4</v>
      </c>
      <c r="C852" s="137" t="s">
        <v>5</v>
      </c>
      <c r="D852" s="137" t="s">
        <v>6</v>
      </c>
      <c r="E852" s="137" t="s">
        <v>7</v>
      </c>
      <c r="F852" s="137" t="s">
        <v>8</v>
      </c>
      <c r="G852" s="137" t="s">
        <v>9</v>
      </c>
      <c r="H852" s="137" t="s">
        <v>10</v>
      </c>
      <c r="I852" s="137" t="s">
        <v>11</v>
      </c>
      <c r="J852" s="137" t="s">
        <v>12</v>
      </c>
    </row>
    <row r="853" spans="1:10" hidden="1" x14ac:dyDescent="0.3">
      <c r="A853" s="549">
        <v>1</v>
      </c>
      <c r="B853" s="3393"/>
      <c r="C853" s="152"/>
      <c r="D853" s="152"/>
      <c r="E853" s="152"/>
      <c r="F853" s="152"/>
      <c r="G853" s="152"/>
      <c r="H853" s="152"/>
      <c r="I853" s="152"/>
      <c r="J853" s="200"/>
    </row>
    <row r="854" spans="1:10" hidden="1" x14ac:dyDescent="0.3">
      <c r="A854" s="549">
        <v>2</v>
      </c>
      <c r="B854" s="3393"/>
      <c r="C854" s="152"/>
      <c r="D854" s="152"/>
      <c r="E854" s="152"/>
      <c r="F854" s="152"/>
      <c r="G854" s="152"/>
      <c r="H854" s="152"/>
      <c r="I854" s="152"/>
      <c r="J854" s="200"/>
    </row>
    <row r="855" spans="1:10" hidden="1" x14ac:dyDescent="0.3">
      <c r="A855" s="597">
        <v>3</v>
      </c>
      <c r="B855" s="3394"/>
      <c r="C855" s="154"/>
      <c r="D855" s="154"/>
      <c r="E855" s="154"/>
      <c r="F855" s="154"/>
      <c r="G855" s="154"/>
      <c r="H855" s="154"/>
      <c r="I855" s="154"/>
      <c r="J855" s="598"/>
    </row>
    <row r="856" spans="1:10" ht="24.6" hidden="1" x14ac:dyDescent="0.4">
      <c r="A856" s="144"/>
      <c r="B856" s="595"/>
      <c r="C856" s="144"/>
      <c r="D856" s="144"/>
      <c r="E856" s="144"/>
      <c r="F856" s="144"/>
      <c r="G856" s="144"/>
      <c r="H856" s="144"/>
      <c r="I856" s="144"/>
      <c r="J856" s="935">
        <f>J853+J854+J855</f>
        <v>0</v>
      </c>
    </row>
    <row r="857" spans="1:10" hidden="1" x14ac:dyDescent="0.3"/>
    <row r="858" spans="1:10" hidden="1" x14ac:dyDescent="0.3"/>
    <row r="859" spans="1:10" hidden="1" x14ac:dyDescent="0.3"/>
    <row r="860" spans="1:10" ht="23.4" hidden="1" x14ac:dyDescent="0.3">
      <c r="A860" s="3474" t="s">
        <v>733</v>
      </c>
      <c r="B860" s="3474"/>
      <c r="C860" s="3474"/>
      <c r="D860" s="3474"/>
      <c r="E860" s="3474"/>
      <c r="F860" s="3474"/>
      <c r="G860" s="3474"/>
      <c r="H860" s="3474"/>
      <c r="I860" s="3474"/>
      <c r="J860" s="3474"/>
    </row>
    <row r="861" spans="1:10" ht="15.6" hidden="1" x14ac:dyDescent="0.3">
      <c r="A861" s="3461" t="s">
        <v>2</v>
      </c>
      <c r="B861" s="3461"/>
      <c r="C861" s="3461"/>
      <c r="D861" s="3461"/>
      <c r="E861" s="3461"/>
      <c r="F861" s="3461"/>
      <c r="G861" s="3461"/>
      <c r="H861" s="3461"/>
      <c r="I861" s="3461"/>
      <c r="J861" s="3461"/>
    </row>
    <row r="862" spans="1:10" hidden="1" x14ac:dyDescent="0.3">
      <c r="A862" s="137" t="s">
        <v>3</v>
      </c>
      <c r="B862" s="1781" t="s">
        <v>4</v>
      </c>
      <c r="C862" s="137" t="s">
        <v>5</v>
      </c>
      <c r="D862" s="137" t="s">
        <v>6</v>
      </c>
      <c r="E862" s="137" t="s">
        <v>7</v>
      </c>
      <c r="F862" s="137" t="s">
        <v>8</v>
      </c>
      <c r="G862" s="137" t="s">
        <v>9</v>
      </c>
      <c r="H862" s="137" t="s">
        <v>10</v>
      </c>
      <c r="I862" s="137" t="s">
        <v>11</v>
      </c>
      <c r="J862" s="137" t="s">
        <v>12</v>
      </c>
    </row>
    <row r="863" spans="1:10" hidden="1" x14ac:dyDescent="0.3">
      <c r="A863" s="137">
        <v>1</v>
      </c>
      <c r="B863" s="1781" t="s">
        <v>581</v>
      </c>
      <c r="C863" s="137" t="s">
        <v>37</v>
      </c>
      <c r="D863" s="137" t="s">
        <v>734</v>
      </c>
      <c r="E863" s="137" t="s">
        <v>735</v>
      </c>
      <c r="F863" s="137">
        <v>850000</v>
      </c>
      <c r="G863" s="137" t="s">
        <v>736</v>
      </c>
      <c r="H863" s="137" t="s">
        <v>36</v>
      </c>
      <c r="I863" s="137" t="s">
        <v>36</v>
      </c>
      <c r="J863" s="137">
        <v>1</v>
      </c>
    </row>
    <row r="864" spans="1:10" hidden="1" x14ac:dyDescent="0.3">
      <c r="A864" s="137">
        <v>2</v>
      </c>
      <c r="B864" s="1781" t="s">
        <v>581</v>
      </c>
      <c r="C864" s="137" t="s">
        <v>37</v>
      </c>
      <c r="D864" s="137" t="s">
        <v>737</v>
      </c>
      <c r="E864" s="137" t="s">
        <v>735</v>
      </c>
      <c r="F864" s="137">
        <v>850000</v>
      </c>
      <c r="G864" s="137" t="s">
        <v>736</v>
      </c>
      <c r="H864" s="137" t="s">
        <v>36</v>
      </c>
      <c r="I864" s="137" t="s">
        <v>36</v>
      </c>
      <c r="J864" s="137">
        <v>1</v>
      </c>
    </row>
    <row r="865" spans="1:10" hidden="1" x14ac:dyDescent="0.3">
      <c r="A865" s="137">
        <v>3</v>
      </c>
      <c r="B865" s="1781" t="s">
        <v>581</v>
      </c>
      <c r="C865" s="137" t="s">
        <v>37</v>
      </c>
      <c r="D865" s="137" t="s">
        <v>738</v>
      </c>
      <c r="E865" s="137" t="s">
        <v>735</v>
      </c>
      <c r="F865" s="137">
        <v>850000</v>
      </c>
      <c r="G865" s="137" t="s">
        <v>736</v>
      </c>
      <c r="H865" s="137" t="s">
        <v>36</v>
      </c>
      <c r="I865" s="137" t="s">
        <v>36</v>
      </c>
      <c r="J865" s="137">
        <v>1</v>
      </c>
    </row>
    <row r="866" spans="1:10" hidden="1" x14ac:dyDescent="0.3">
      <c r="A866" s="137">
        <v>4</v>
      </c>
      <c r="B866" s="1781" t="s">
        <v>563</v>
      </c>
      <c r="C866" s="137" t="s">
        <v>662</v>
      </c>
      <c r="D866" s="137" t="s">
        <v>739</v>
      </c>
      <c r="E866" s="137" t="s">
        <v>740</v>
      </c>
      <c r="F866" s="137">
        <v>2600000</v>
      </c>
      <c r="G866" s="137" t="s">
        <v>168</v>
      </c>
      <c r="H866" s="137" t="s">
        <v>36</v>
      </c>
      <c r="I866" s="137" t="s">
        <v>36</v>
      </c>
      <c r="J866" s="137">
        <v>1</v>
      </c>
    </row>
    <row r="867" spans="1:10" hidden="1" x14ac:dyDescent="0.3">
      <c r="A867" s="137">
        <v>5</v>
      </c>
      <c r="B867" s="1781" t="s">
        <v>741</v>
      </c>
      <c r="C867" s="137" t="s">
        <v>138</v>
      </c>
      <c r="D867" s="137" t="s">
        <v>742</v>
      </c>
      <c r="E867" s="137" t="s">
        <v>735</v>
      </c>
      <c r="F867" s="137">
        <v>750000</v>
      </c>
      <c r="G867" s="137" t="s">
        <v>743</v>
      </c>
      <c r="H867" s="137" t="s">
        <v>271</v>
      </c>
      <c r="I867" s="137" t="s">
        <v>36</v>
      </c>
      <c r="J867" s="137">
        <v>1</v>
      </c>
    </row>
    <row r="868" spans="1:10" hidden="1" x14ac:dyDescent="0.3">
      <c r="A868" s="137">
        <v>6</v>
      </c>
      <c r="B868" s="1781" t="s">
        <v>744</v>
      </c>
      <c r="C868" s="137" t="s">
        <v>138</v>
      </c>
      <c r="D868" s="137" t="s">
        <v>745</v>
      </c>
      <c r="E868" s="137" t="s">
        <v>735</v>
      </c>
      <c r="F868" s="137">
        <v>700000</v>
      </c>
      <c r="G868" s="137" t="s">
        <v>743</v>
      </c>
      <c r="H868" s="137" t="s">
        <v>271</v>
      </c>
      <c r="I868" s="137" t="s">
        <v>36</v>
      </c>
      <c r="J868" s="137">
        <v>1</v>
      </c>
    </row>
    <row r="869" spans="1:10" hidden="1" x14ac:dyDescent="0.3">
      <c r="A869" s="137">
        <v>7</v>
      </c>
      <c r="B869" s="1781" t="s">
        <v>744</v>
      </c>
      <c r="C869" s="137" t="s">
        <v>135</v>
      </c>
      <c r="D869" s="137" t="s">
        <v>746</v>
      </c>
      <c r="E869" s="137" t="s">
        <v>747</v>
      </c>
      <c r="F869" s="137">
        <v>1200000</v>
      </c>
      <c r="G869" s="137" t="s">
        <v>43</v>
      </c>
      <c r="H869" s="137" t="s">
        <v>271</v>
      </c>
      <c r="I869" s="137" t="s">
        <v>36</v>
      </c>
      <c r="J869" s="137">
        <v>1</v>
      </c>
    </row>
    <row r="870" spans="1:10" hidden="1" x14ac:dyDescent="0.3">
      <c r="A870" s="137">
        <v>8</v>
      </c>
      <c r="B870" s="1781"/>
      <c r="C870" s="137"/>
      <c r="D870" s="137"/>
      <c r="E870" s="137"/>
      <c r="F870" s="137"/>
      <c r="G870" s="137"/>
      <c r="H870" s="137"/>
      <c r="I870" s="137"/>
      <c r="J870" s="137"/>
    </row>
    <row r="871" spans="1:10" hidden="1" x14ac:dyDescent="0.3">
      <c r="A871" s="137">
        <v>9</v>
      </c>
      <c r="B871" s="1781"/>
      <c r="C871" s="137"/>
      <c r="D871" s="137"/>
      <c r="E871" s="137"/>
      <c r="F871" s="137"/>
      <c r="G871" s="137"/>
      <c r="H871" s="137"/>
      <c r="I871" s="137"/>
      <c r="J871" s="137"/>
    </row>
    <row r="872" spans="1:10" hidden="1" x14ac:dyDescent="0.3">
      <c r="A872" s="137">
        <v>10</v>
      </c>
      <c r="B872" s="1781"/>
      <c r="C872" s="137"/>
      <c r="D872" s="137"/>
      <c r="E872" s="137"/>
      <c r="F872" s="137"/>
      <c r="G872" s="137"/>
      <c r="H872" s="137"/>
      <c r="I872" s="137"/>
      <c r="J872" s="137"/>
    </row>
    <row r="873" spans="1:10" hidden="1" x14ac:dyDescent="0.3">
      <c r="A873" s="137">
        <v>11</v>
      </c>
      <c r="B873" s="1781"/>
      <c r="C873" s="137"/>
      <c r="D873" s="137"/>
      <c r="E873" s="137"/>
      <c r="F873" s="137"/>
      <c r="G873" s="137"/>
      <c r="H873" s="137"/>
      <c r="I873" s="137"/>
      <c r="J873" s="137"/>
    </row>
    <row r="874" spans="1:10" hidden="1" x14ac:dyDescent="0.3">
      <c r="A874" s="137">
        <v>12</v>
      </c>
      <c r="B874" s="1781"/>
      <c r="C874" s="137"/>
      <c r="D874" s="137"/>
      <c r="E874" s="137"/>
      <c r="F874" s="137"/>
      <c r="G874" s="137"/>
      <c r="H874" s="137"/>
      <c r="I874" s="137"/>
      <c r="J874" s="137"/>
    </row>
    <row r="875" spans="1:10" hidden="1" x14ac:dyDescent="0.3">
      <c r="A875" s="137">
        <v>13</v>
      </c>
      <c r="B875" s="1781"/>
      <c r="C875" s="137"/>
      <c r="D875" s="137"/>
      <c r="E875" s="137"/>
      <c r="F875" s="137"/>
      <c r="G875" s="137"/>
      <c r="H875" s="137"/>
      <c r="I875" s="137"/>
      <c r="J875" s="137"/>
    </row>
    <row r="876" spans="1:10" hidden="1" x14ac:dyDescent="0.3">
      <c r="A876" s="137">
        <v>14</v>
      </c>
      <c r="B876" s="1781"/>
      <c r="C876" s="137"/>
      <c r="D876" s="137"/>
      <c r="E876" s="137"/>
      <c r="F876" s="137"/>
      <c r="G876" s="137"/>
      <c r="H876" s="137"/>
      <c r="I876" s="137"/>
      <c r="J876" s="137"/>
    </row>
    <row r="877" spans="1:10" hidden="1" x14ac:dyDescent="0.3">
      <c r="A877" s="1781">
        <v>15</v>
      </c>
      <c r="B877" s="3392"/>
      <c r="C877" s="150"/>
      <c r="D877" s="641"/>
      <c r="E877" s="150"/>
      <c r="F877" s="151"/>
      <c r="G877" s="150"/>
      <c r="H877" s="150"/>
      <c r="I877" s="150"/>
      <c r="J877" s="137"/>
    </row>
    <row r="878" spans="1:10" hidden="1" x14ac:dyDescent="0.3">
      <c r="A878" s="1781">
        <v>16</v>
      </c>
      <c r="B878" s="3392"/>
      <c r="C878" s="150"/>
      <c r="D878" s="641"/>
      <c r="E878" s="150"/>
      <c r="F878" s="151"/>
      <c r="G878" s="150"/>
      <c r="H878" s="150"/>
      <c r="I878" s="150"/>
      <c r="J878" s="137"/>
    </row>
    <row r="879" spans="1:10" hidden="1" x14ac:dyDescent="0.3">
      <c r="A879" s="1781">
        <v>17</v>
      </c>
      <c r="B879" s="3392"/>
      <c r="C879" s="150"/>
      <c r="D879" s="641"/>
      <c r="E879" s="150"/>
      <c r="F879" s="151"/>
      <c r="G879" s="150"/>
      <c r="H879" s="150"/>
      <c r="I879" s="150"/>
      <c r="J879" s="137"/>
    </row>
    <row r="880" spans="1:10" hidden="1" x14ac:dyDescent="0.3">
      <c r="A880" s="1781">
        <v>18</v>
      </c>
      <c r="B880" s="3392"/>
      <c r="C880" s="150"/>
      <c r="D880" s="641"/>
      <c r="E880" s="150"/>
      <c r="F880" s="151"/>
      <c r="G880" s="150"/>
      <c r="H880" s="150"/>
      <c r="I880" s="150"/>
      <c r="J880" s="137"/>
    </row>
    <row r="881" spans="1:10" hidden="1" x14ac:dyDescent="0.3">
      <c r="A881" s="1781">
        <v>19</v>
      </c>
      <c r="B881" s="1781"/>
      <c r="C881" s="150"/>
      <c r="D881" s="641"/>
      <c r="E881" s="150"/>
      <c r="F881" s="151"/>
      <c r="G881" s="150"/>
      <c r="H881" s="150"/>
      <c r="I881" s="150"/>
      <c r="J881" s="137"/>
    </row>
    <row r="882" spans="1:10" hidden="1" x14ac:dyDescent="0.3">
      <c r="A882" s="1781">
        <v>20</v>
      </c>
      <c r="B882" s="1781"/>
      <c r="C882" s="150"/>
      <c r="D882" s="641"/>
      <c r="E882" s="150"/>
      <c r="F882" s="151"/>
      <c r="G882" s="150"/>
      <c r="H882" s="150"/>
      <c r="I882" s="150"/>
      <c r="J882" s="137"/>
    </row>
    <row r="883" spans="1:10" ht="25.8" hidden="1" x14ac:dyDescent="0.5">
      <c r="A883" s="1781"/>
      <c r="B883" s="1781"/>
      <c r="C883" s="150"/>
      <c r="D883" s="641"/>
      <c r="E883" s="150"/>
      <c r="F883" s="151"/>
      <c r="G883" s="150"/>
      <c r="H883" s="150"/>
      <c r="I883" s="150"/>
      <c r="J883" s="934">
        <f>SUM(J863:J869)</f>
        <v>7</v>
      </c>
    </row>
    <row r="884" spans="1:10" hidden="1" x14ac:dyDescent="0.3">
      <c r="A884" s="3473" t="s">
        <v>33</v>
      </c>
      <c r="B884" s="3473"/>
      <c r="C884" s="3473"/>
      <c r="D884" s="3473"/>
      <c r="E884" s="3473"/>
      <c r="F884" s="3473"/>
      <c r="G884" s="3473"/>
      <c r="H884" s="3473"/>
      <c r="I884" s="3473"/>
      <c r="J884" s="3473"/>
    </row>
    <row r="885" spans="1:10" hidden="1" x14ac:dyDescent="0.3">
      <c r="A885" s="137" t="s">
        <v>3</v>
      </c>
      <c r="B885" s="1781" t="s">
        <v>4</v>
      </c>
      <c r="C885" s="137" t="s">
        <v>5</v>
      </c>
      <c r="D885" s="137" t="s">
        <v>6</v>
      </c>
      <c r="E885" s="137" t="s">
        <v>7</v>
      </c>
      <c r="F885" s="137" t="s">
        <v>8</v>
      </c>
      <c r="G885" s="137" t="s">
        <v>9</v>
      </c>
      <c r="H885" s="137" t="s">
        <v>10</v>
      </c>
      <c r="I885" s="137" t="s">
        <v>11</v>
      </c>
      <c r="J885" s="137" t="s">
        <v>12</v>
      </c>
    </row>
    <row r="886" spans="1:10" hidden="1" x14ac:dyDescent="0.3">
      <c r="A886" s="549">
        <v>1</v>
      </c>
      <c r="B886" s="3393"/>
      <c r="C886" s="152"/>
      <c r="D886" s="152"/>
      <c r="E886" s="152"/>
      <c r="F886" s="152"/>
      <c r="G886" s="152"/>
      <c r="H886" s="152"/>
      <c r="I886" s="152"/>
      <c r="J886" s="200"/>
    </row>
    <row r="887" spans="1:10" hidden="1" x14ac:dyDescent="0.3">
      <c r="A887" s="549">
        <v>2</v>
      </c>
      <c r="B887" s="3393"/>
      <c r="C887" s="152"/>
      <c r="D887" s="152"/>
      <c r="E887" s="152"/>
      <c r="F887" s="152"/>
      <c r="G887" s="152"/>
      <c r="H887" s="152"/>
      <c r="I887" s="152"/>
      <c r="J887" s="200"/>
    </row>
    <row r="888" spans="1:10" hidden="1" x14ac:dyDescent="0.3">
      <c r="A888" s="597">
        <v>3</v>
      </c>
      <c r="B888" s="3394"/>
      <c r="C888" s="154"/>
      <c r="D888" s="154"/>
      <c r="E888" s="154"/>
      <c r="F888" s="154"/>
      <c r="G888" s="154"/>
      <c r="H888" s="154"/>
      <c r="I888" s="154"/>
      <c r="J888" s="598"/>
    </row>
    <row r="889" spans="1:10" ht="24.6" hidden="1" x14ac:dyDescent="0.4">
      <c r="A889" s="144"/>
      <c r="B889" s="595"/>
      <c r="C889" s="144"/>
      <c r="D889" s="144"/>
      <c r="E889" s="144"/>
      <c r="F889" s="144"/>
      <c r="G889" s="144"/>
      <c r="H889" s="144"/>
      <c r="I889" s="144"/>
      <c r="J889" s="935">
        <f>J886+J887+J888</f>
        <v>0</v>
      </c>
    </row>
    <row r="890" spans="1:10" hidden="1" x14ac:dyDescent="0.3"/>
    <row r="891" spans="1:10" hidden="1" x14ac:dyDescent="0.3"/>
    <row r="892" spans="1:10" hidden="1" x14ac:dyDescent="0.3"/>
    <row r="893" spans="1:10" ht="23.4" hidden="1" x14ac:dyDescent="0.3">
      <c r="A893" s="3474" t="s">
        <v>748</v>
      </c>
      <c r="B893" s="3474"/>
      <c r="C893" s="3474"/>
      <c r="D893" s="3474"/>
      <c r="E893" s="3474"/>
      <c r="F893" s="3474"/>
      <c r="G893" s="3474"/>
      <c r="H893" s="3474"/>
      <c r="I893" s="3474"/>
      <c r="J893" s="3474"/>
    </row>
    <row r="894" spans="1:10" ht="15.6" hidden="1" x14ac:dyDescent="0.3">
      <c r="A894" s="3461" t="s">
        <v>2</v>
      </c>
      <c r="B894" s="3461"/>
      <c r="C894" s="3461"/>
      <c r="D894" s="3461"/>
      <c r="E894" s="3461"/>
      <c r="F894" s="3461"/>
      <c r="G894" s="3461"/>
      <c r="H894" s="3461"/>
      <c r="I894" s="3461"/>
      <c r="J894" s="3461"/>
    </row>
    <row r="895" spans="1:10" hidden="1" x14ac:dyDescent="0.3">
      <c r="A895" s="137" t="s">
        <v>3</v>
      </c>
      <c r="B895" s="1781" t="s">
        <v>4</v>
      </c>
      <c r="C895" s="137" t="s">
        <v>5</v>
      </c>
      <c r="D895" s="137" t="s">
        <v>6</v>
      </c>
      <c r="E895" s="137" t="s">
        <v>7</v>
      </c>
      <c r="F895" s="137" t="s">
        <v>8</v>
      </c>
      <c r="G895" s="137" t="s">
        <v>9</v>
      </c>
      <c r="H895" s="137" t="s">
        <v>10</v>
      </c>
      <c r="I895" s="137" t="s">
        <v>11</v>
      </c>
      <c r="J895" s="137" t="s">
        <v>12</v>
      </c>
    </row>
    <row r="896" spans="1:10" hidden="1" x14ac:dyDescent="0.3">
      <c r="A896" s="137">
        <v>1</v>
      </c>
      <c r="B896" s="1781" t="s">
        <v>661</v>
      </c>
      <c r="C896" s="137" t="s">
        <v>37</v>
      </c>
      <c r="D896" s="642" t="s">
        <v>749</v>
      </c>
      <c r="E896" s="137" t="s">
        <v>750</v>
      </c>
      <c r="F896" s="137">
        <v>1050000</v>
      </c>
      <c r="G896" s="137" t="s">
        <v>751</v>
      </c>
      <c r="H896" s="137" t="s">
        <v>36</v>
      </c>
      <c r="I896" s="137" t="s">
        <v>36</v>
      </c>
      <c r="J896" s="137">
        <v>1</v>
      </c>
    </row>
    <row r="897" spans="1:10" hidden="1" x14ac:dyDescent="0.3">
      <c r="A897" s="137">
        <v>2</v>
      </c>
      <c r="B897" s="1781" t="s">
        <v>570</v>
      </c>
      <c r="C897" s="137" t="s">
        <v>37</v>
      </c>
      <c r="D897" s="642" t="s">
        <v>752</v>
      </c>
      <c r="E897" s="137" t="s">
        <v>450</v>
      </c>
      <c r="F897" s="137">
        <v>1150000</v>
      </c>
      <c r="G897" s="137" t="s">
        <v>753</v>
      </c>
      <c r="H897" s="137" t="s">
        <v>36</v>
      </c>
      <c r="I897" s="137" t="s">
        <v>36</v>
      </c>
      <c r="J897" s="137">
        <v>1</v>
      </c>
    </row>
    <row r="898" spans="1:10" hidden="1" x14ac:dyDescent="0.3">
      <c r="A898" s="137">
        <v>3</v>
      </c>
      <c r="B898" s="1781" t="s">
        <v>570</v>
      </c>
      <c r="C898" s="137" t="s">
        <v>74</v>
      </c>
      <c r="D898" s="642" t="s">
        <v>754</v>
      </c>
      <c r="E898" s="137" t="s">
        <v>669</v>
      </c>
      <c r="F898" s="137">
        <v>1200000</v>
      </c>
      <c r="G898" s="137" t="s">
        <v>43</v>
      </c>
      <c r="H898" s="137" t="s">
        <v>36</v>
      </c>
      <c r="I898" s="137" t="s">
        <v>36</v>
      </c>
      <c r="J898" s="137">
        <v>1</v>
      </c>
    </row>
    <row r="899" spans="1:10" hidden="1" x14ac:dyDescent="0.3">
      <c r="A899" s="137">
        <v>4</v>
      </c>
      <c r="B899" s="1781" t="s">
        <v>755</v>
      </c>
      <c r="C899" s="137" t="s">
        <v>74</v>
      </c>
      <c r="D899" s="642" t="s">
        <v>756</v>
      </c>
      <c r="E899" s="137" t="s">
        <v>757</v>
      </c>
      <c r="F899" s="137">
        <v>1300000</v>
      </c>
      <c r="G899" s="137" t="s">
        <v>43</v>
      </c>
      <c r="H899" s="137" t="s">
        <v>36</v>
      </c>
      <c r="I899" s="137" t="s">
        <v>36</v>
      </c>
      <c r="J899" s="137">
        <v>1</v>
      </c>
    </row>
    <row r="900" spans="1:10" hidden="1" x14ac:dyDescent="0.3">
      <c r="A900" s="137">
        <v>5</v>
      </c>
      <c r="B900" s="1781" t="s">
        <v>574</v>
      </c>
      <c r="C900" s="137" t="s">
        <v>135</v>
      </c>
      <c r="D900" s="642" t="s">
        <v>758</v>
      </c>
      <c r="E900" s="137" t="s">
        <v>759</v>
      </c>
      <c r="F900" s="137">
        <v>700000</v>
      </c>
      <c r="G900" s="137" t="s">
        <v>43</v>
      </c>
      <c r="H900" s="137" t="s">
        <v>271</v>
      </c>
      <c r="I900" s="137" t="s">
        <v>36</v>
      </c>
      <c r="J900" s="137">
        <v>1</v>
      </c>
    </row>
    <row r="901" spans="1:10" hidden="1" x14ac:dyDescent="0.3">
      <c r="A901" s="137">
        <v>6</v>
      </c>
      <c r="B901" s="1781" t="s">
        <v>700</v>
      </c>
      <c r="C901" s="137" t="s">
        <v>138</v>
      </c>
      <c r="D901" s="642" t="s">
        <v>760</v>
      </c>
      <c r="E901" s="137" t="s">
        <v>450</v>
      </c>
      <c r="F901" s="137">
        <v>1100000</v>
      </c>
      <c r="G901" s="137" t="s">
        <v>761</v>
      </c>
      <c r="H901" s="137" t="s">
        <v>271</v>
      </c>
      <c r="I901" s="137" t="s">
        <v>36</v>
      </c>
      <c r="J901" s="137">
        <v>1</v>
      </c>
    </row>
    <row r="902" spans="1:10" hidden="1" x14ac:dyDescent="0.3">
      <c r="A902" s="137">
        <v>7</v>
      </c>
      <c r="B902" s="1781" t="s">
        <v>700</v>
      </c>
      <c r="C902" s="137" t="s">
        <v>138</v>
      </c>
      <c r="D902" s="642" t="s">
        <v>762</v>
      </c>
      <c r="E902" s="137" t="s">
        <v>602</v>
      </c>
      <c r="F902" s="137">
        <v>1650000</v>
      </c>
      <c r="G902" s="137" t="s">
        <v>43</v>
      </c>
      <c r="H902" s="137" t="s">
        <v>271</v>
      </c>
      <c r="I902" s="137" t="s">
        <v>36</v>
      </c>
      <c r="J902" s="137">
        <v>1</v>
      </c>
    </row>
    <row r="903" spans="1:10" hidden="1" x14ac:dyDescent="0.3">
      <c r="A903" s="137">
        <v>8</v>
      </c>
      <c r="B903" s="1781" t="s">
        <v>709</v>
      </c>
      <c r="C903" s="137" t="s">
        <v>138</v>
      </c>
      <c r="D903" s="642" t="s">
        <v>763</v>
      </c>
      <c r="E903" s="137" t="s">
        <v>750</v>
      </c>
      <c r="F903" s="137">
        <v>1100000</v>
      </c>
      <c r="G903" s="137" t="s">
        <v>751</v>
      </c>
      <c r="H903" s="137" t="s">
        <v>271</v>
      </c>
      <c r="I903" s="137" t="s">
        <v>36</v>
      </c>
      <c r="J903" s="137">
        <v>1</v>
      </c>
    </row>
    <row r="904" spans="1:10" hidden="1" x14ac:dyDescent="0.3">
      <c r="A904" s="137">
        <v>9</v>
      </c>
      <c r="B904" s="1781" t="s">
        <v>764</v>
      </c>
      <c r="C904" s="137" t="s">
        <v>138</v>
      </c>
      <c r="D904" s="137" t="s">
        <v>765</v>
      </c>
      <c r="E904" s="137" t="s">
        <v>766</v>
      </c>
      <c r="F904" s="137">
        <v>1150000</v>
      </c>
      <c r="G904" s="137" t="s">
        <v>43</v>
      </c>
      <c r="H904" s="137" t="s">
        <v>271</v>
      </c>
      <c r="I904" s="137" t="s">
        <v>36</v>
      </c>
      <c r="J904" s="137">
        <v>1</v>
      </c>
    </row>
    <row r="905" spans="1:10" hidden="1" x14ac:dyDescent="0.3">
      <c r="A905" s="137">
        <v>10</v>
      </c>
      <c r="B905" s="1781" t="s">
        <v>709</v>
      </c>
      <c r="C905" s="137" t="s">
        <v>138</v>
      </c>
      <c r="D905" s="137" t="s">
        <v>767</v>
      </c>
      <c r="E905" s="137" t="s">
        <v>768</v>
      </c>
      <c r="F905" s="137">
        <v>850000</v>
      </c>
      <c r="G905" s="137" t="s">
        <v>43</v>
      </c>
      <c r="H905" s="137" t="s">
        <v>271</v>
      </c>
      <c r="I905" s="137" t="s">
        <v>36</v>
      </c>
      <c r="J905" s="137">
        <v>1</v>
      </c>
    </row>
    <row r="906" spans="1:10" hidden="1" x14ac:dyDescent="0.3">
      <c r="A906" s="137">
        <v>11</v>
      </c>
      <c r="B906" s="1781" t="s">
        <v>769</v>
      </c>
      <c r="C906" s="137" t="s">
        <v>138</v>
      </c>
      <c r="D906" s="137" t="s">
        <v>770</v>
      </c>
      <c r="E906" s="137" t="s">
        <v>771</v>
      </c>
      <c r="F906" s="137">
        <v>1000000</v>
      </c>
      <c r="G906" s="137" t="s">
        <v>642</v>
      </c>
      <c r="H906" s="137" t="s">
        <v>271</v>
      </c>
      <c r="I906" s="137" t="s">
        <v>36</v>
      </c>
      <c r="J906" s="137">
        <v>1</v>
      </c>
    </row>
    <row r="907" spans="1:10" hidden="1" x14ac:dyDescent="0.3">
      <c r="A907" s="137">
        <v>12</v>
      </c>
      <c r="B907" s="1781" t="s">
        <v>769</v>
      </c>
      <c r="C907" s="137" t="s">
        <v>135</v>
      </c>
      <c r="D907" s="137" t="s">
        <v>772</v>
      </c>
      <c r="E907" s="137" t="s">
        <v>771</v>
      </c>
      <c r="F907" s="137">
        <v>800000</v>
      </c>
      <c r="G907" s="137" t="s">
        <v>43</v>
      </c>
      <c r="H907" s="137" t="s">
        <v>271</v>
      </c>
      <c r="I907" s="137" t="s">
        <v>36</v>
      </c>
      <c r="J907" s="137">
        <v>1</v>
      </c>
    </row>
    <row r="908" spans="1:10" hidden="1" x14ac:dyDescent="0.3">
      <c r="A908" s="137">
        <v>13</v>
      </c>
      <c r="B908" s="1781" t="s">
        <v>769</v>
      </c>
      <c r="C908" s="137" t="s">
        <v>138</v>
      </c>
      <c r="D908" s="137" t="s">
        <v>773</v>
      </c>
      <c r="E908" s="137" t="s">
        <v>588</v>
      </c>
      <c r="F908" s="137">
        <v>1200000</v>
      </c>
      <c r="G908" s="137" t="s">
        <v>235</v>
      </c>
      <c r="H908" s="137" t="s">
        <v>271</v>
      </c>
      <c r="I908" s="137" t="s">
        <v>36</v>
      </c>
      <c r="J908" s="137">
        <v>1</v>
      </c>
    </row>
    <row r="909" spans="1:10" hidden="1" x14ac:dyDescent="0.3">
      <c r="A909" s="137">
        <v>14</v>
      </c>
      <c r="B909" s="1781"/>
      <c r="C909" s="137"/>
      <c r="D909" s="137"/>
      <c r="E909" s="137"/>
      <c r="F909" s="137"/>
      <c r="G909" s="137"/>
      <c r="H909" s="137"/>
      <c r="I909" s="137"/>
      <c r="J909" s="137"/>
    </row>
    <row r="910" spans="1:10" hidden="1" x14ac:dyDescent="0.3">
      <c r="A910" s="1781">
        <v>15</v>
      </c>
      <c r="B910" s="3392"/>
      <c r="C910" s="150"/>
      <c r="D910" s="641"/>
      <c r="E910" s="150"/>
      <c r="F910" s="151"/>
      <c r="G910" s="150"/>
      <c r="H910" s="150"/>
      <c r="I910" s="150"/>
      <c r="J910" s="137"/>
    </row>
    <row r="911" spans="1:10" hidden="1" x14ac:dyDescent="0.3">
      <c r="A911" s="1781">
        <v>16</v>
      </c>
      <c r="B911" s="3392"/>
      <c r="C911" s="150"/>
      <c r="D911" s="641"/>
      <c r="E911" s="150"/>
      <c r="F911" s="151"/>
      <c r="G911" s="150"/>
      <c r="H911" s="150"/>
      <c r="I911" s="150"/>
      <c r="J911" s="137"/>
    </row>
    <row r="912" spans="1:10" hidden="1" x14ac:dyDescent="0.3">
      <c r="A912" s="1781">
        <v>17</v>
      </c>
      <c r="B912" s="3392"/>
      <c r="C912" s="150"/>
      <c r="D912" s="641"/>
      <c r="E912" s="150"/>
      <c r="F912" s="151"/>
      <c r="G912" s="150"/>
      <c r="H912" s="150"/>
      <c r="I912" s="150"/>
      <c r="J912" s="137"/>
    </row>
    <row r="913" spans="1:10" hidden="1" x14ac:dyDescent="0.3">
      <c r="A913" s="1781">
        <v>18</v>
      </c>
      <c r="B913" s="3392"/>
      <c r="C913" s="150"/>
      <c r="D913" s="641"/>
      <c r="E913" s="150"/>
      <c r="F913" s="151"/>
      <c r="G913" s="150"/>
      <c r="H913" s="150"/>
      <c r="I913" s="150"/>
      <c r="J913" s="137"/>
    </row>
    <row r="914" spans="1:10" hidden="1" x14ac:dyDescent="0.3">
      <c r="A914" s="1781">
        <v>19</v>
      </c>
      <c r="B914" s="1781"/>
      <c r="C914" s="150"/>
      <c r="D914" s="641"/>
      <c r="E914" s="150"/>
      <c r="F914" s="151"/>
      <c r="G914" s="150"/>
      <c r="H914" s="150"/>
      <c r="I914" s="150"/>
      <c r="J914" s="137"/>
    </row>
    <row r="915" spans="1:10" hidden="1" x14ac:dyDescent="0.3">
      <c r="A915" s="1781">
        <v>20</v>
      </c>
      <c r="B915" s="1781"/>
      <c r="C915" s="150"/>
      <c r="D915" s="641"/>
      <c r="E915" s="150"/>
      <c r="F915" s="151"/>
      <c r="G915" s="150"/>
      <c r="H915" s="150"/>
      <c r="I915" s="150"/>
      <c r="J915" s="137"/>
    </row>
    <row r="916" spans="1:10" ht="25.8" hidden="1" x14ac:dyDescent="0.5">
      <c r="A916" s="1781"/>
      <c r="B916" s="1781"/>
      <c r="C916" s="150"/>
      <c r="D916" s="641"/>
      <c r="E916" s="150"/>
      <c r="F916" s="151"/>
      <c r="G916" s="150"/>
      <c r="H916" s="150"/>
      <c r="I916" s="150"/>
      <c r="J916" s="934">
        <f>SUM(J896:K915)</f>
        <v>13</v>
      </c>
    </row>
    <row r="917" spans="1:10" hidden="1" x14ac:dyDescent="0.3">
      <c r="A917" s="3473" t="s">
        <v>33</v>
      </c>
      <c r="B917" s="3473"/>
      <c r="C917" s="3473"/>
      <c r="D917" s="3473"/>
      <c r="E917" s="3473"/>
      <c r="F917" s="3473"/>
      <c r="G917" s="3473"/>
      <c r="H917" s="3473"/>
      <c r="I917" s="3473"/>
      <c r="J917" s="3473"/>
    </row>
    <row r="918" spans="1:10" hidden="1" x14ac:dyDescent="0.3">
      <c r="A918" s="137" t="s">
        <v>3</v>
      </c>
      <c r="B918" s="1781" t="s">
        <v>4</v>
      </c>
      <c r="C918" s="137" t="s">
        <v>5</v>
      </c>
      <c r="D918" s="137" t="s">
        <v>6</v>
      </c>
      <c r="E918" s="137" t="s">
        <v>7</v>
      </c>
      <c r="F918" s="137" t="s">
        <v>8</v>
      </c>
      <c r="G918" s="137" t="s">
        <v>9</v>
      </c>
      <c r="H918" s="137" t="s">
        <v>10</v>
      </c>
      <c r="I918" s="137" t="s">
        <v>11</v>
      </c>
      <c r="J918" s="137" t="s">
        <v>12</v>
      </c>
    </row>
    <row r="919" spans="1:10" hidden="1" x14ac:dyDescent="0.3">
      <c r="A919" s="549">
        <v>1</v>
      </c>
      <c r="B919" s="3393" t="s">
        <v>769</v>
      </c>
      <c r="C919" s="152" t="s">
        <v>135</v>
      </c>
      <c r="D919" s="152" t="s">
        <v>774</v>
      </c>
      <c r="E919" s="152" t="s">
        <v>775</v>
      </c>
      <c r="F919" s="152">
        <v>230000000</v>
      </c>
      <c r="G919" s="152" t="s">
        <v>43</v>
      </c>
      <c r="H919" s="152" t="s">
        <v>271</v>
      </c>
      <c r="I919" s="152" t="s">
        <v>36</v>
      </c>
      <c r="J919" s="200">
        <v>1</v>
      </c>
    </row>
    <row r="920" spans="1:10" hidden="1" x14ac:dyDescent="0.3">
      <c r="A920" s="549">
        <v>2</v>
      </c>
      <c r="B920" s="3393" t="s">
        <v>700</v>
      </c>
      <c r="C920" s="152" t="s">
        <v>138</v>
      </c>
      <c r="D920" s="152" t="s">
        <v>776</v>
      </c>
      <c r="E920" s="152" t="s">
        <v>78</v>
      </c>
      <c r="F920" s="152">
        <v>230000000</v>
      </c>
      <c r="G920" s="152" t="s">
        <v>43</v>
      </c>
      <c r="H920" s="152" t="s">
        <v>271</v>
      </c>
      <c r="I920" s="152" t="s">
        <v>36</v>
      </c>
      <c r="J920" s="200">
        <v>1</v>
      </c>
    </row>
    <row r="921" spans="1:10" hidden="1" x14ac:dyDescent="0.3">
      <c r="A921" s="597">
        <v>3</v>
      </c>
      <c r="B921" s="3394" t="s">
        <v>709</v>
      </c>
      <c r="C921" s="154" t="s">
        <v>138</v>
      </c>
      <c r="D921" s="154" t="s">
        <v>777</v>
      </c>
      <c r="E921" s="154" t="s">
        <v>778</v>
      </c>
      <c r="F921" s="154">
        <v>260000000</v>
      </c>
      <c r="G921" s="154" t="s">
        <v>43</v>
      </c>
      <c r="H921" s="154" t="s">
        <v>271</v>
      </c>
      <c r="I921" s="154" t="s">
        <v>36</v>
      </c>
      <c r="J921" s="598">
        <v>1</v>
      </c>
    </row>
    <row r="922" spans="1:10" hidden="1" x14ac:dyDescent="0.3">
      <c r="A922" s="595">
        <v>4</v>
      </c>
      <c r="B922" s="3395" t="s">
        <v>769</v>
      </c>
      <c r="C922" s="156" t="s">
        <v>138</v>
      </c>
      <c r="D922" s="156" t="s">
        <v>779</v>
      </c>
      <c r="E922" s="156" t="s">
        <v>780</v>
      </c>
      <c r="F922" s="156">
        <v>160000000</v>
      </c>
      <c r="G922" s="156" t="s">
        <v>642</v>
      </c>
      <c r="H922" s="156" t="s">
        <v>271</v>
      </c>
      <c r="I922" s="156" t="s">
        <v>36</v>
      </c>
      <c r="J922" s="144">
        <v>1</v>
      </c>
    </row>
    <row r="923" spans="1:10" ht="24.6" hidden="1" x14ac:dyDescent="0.4">
      <c r="A923" s="887"/>
      <c r="B923" s="922"/>
      <c r="C923" s="887"/>
      <c r="D923" s="887"/>
      <c r="E923" s="887"/>
      <c r="F923" s="887"/>
      <c r="G923" s="887"/>
      <c r="H923" s="887"/>
      <c r="I923" s="887"/>
      <c r="J923" s="933">
        <f>J919+J920+J921+J922</f>
        <v>4</v>
      </c>
    </row>
    <row r="924" spans="1:10" hidden="1" x14ac:dyDescent="0.3"/>
    <row r="925" spans="1:10" hidden="1" x14ac:dyDescent="0.3"/>
    <row r="926" spans="1:10" hidden="1" x14ac:dyDescent="0.3"/>
    <row r="927" spans="1:10" hidden="1" x14ac:dyDescent="0.3">
      <c r="A927" s="3468" t="s">
        <v>781</v>
      </c>
      <c r="B927" s="3469"/>
      <c r="C927" s="3469"/>
      <c r="D927" s="3469"/>
      <c r="E927" s="3469"/>
      <c r="F927" s="3469"/>
      <c r="G927" s="3469"/>
      <c r="H927" s="3469"/>
      <c r="I927" s="3469"/>
      <c r="J927" s="3469"/>
    </row>
    <row r="928" spans="1:10" hidden="1" x14ac:dyDescent="0.3">
      <c r="A928" s="3469"/>
      <c r="B928" s="3469"/>
      <c r="C928" s="3469"/>
      <c r="D928" s="3469"/>
      <c r="E928" s="3469"/>
      <c r="F928" s="3469"/>
      <c r="G928" s="3469"/>
      <c r="H928" s="3469"/>
      <c r="I928" s="3469"/>
      <c r="J928" s="3469"/>
    </row>
    <row r="929" spans="1:10" ht="46.2" hidden="1" x14ac:dyDescent="0.3">
      <c r="B929" s="136"/>
      <c r="C929" s="136"/>
      <c r="D929" s="136"/>
      <c r="E929" s="136"/>
      <c r="F929" s="136"/>
      <c r="G929" s="136"/>
      <c r="H929" s="136"/>
      <c r="I929" s="136"/>
      <c r="J929" s="136"/>
    </row>
    <row r="930" spans="1:10" ht="23.4" hidden="1" x14ac:dyDescent="0.3">
      <c r="A930" s="3467" t="s">
        <v>527</v>
      </c>
      <c r="B930" s="3467"/>
      <c r="C930" s="3467"/>
      <c r="D930" s="3467"/>
      <c r="E930" s="3467"/>
      <c r="F930" s="3467"/>
      <c r="G930" s="3467"/>
      <c r="H930" s="3467"/>
      <c r="I930" s="3467"/>
      <c r="J930" s="3467"/>
    </row>
    <row r="931" spans="1:10" ht="15.6" hidden="1" x14ac:dyDescent="0.3">
      <c r="A931" s="3461" t="s">
        <v>2</v>
      </c>
      <c r="B931" s="3461"/>
      <c r="C931" s="3461"/>
      <c r="D931" s="3461"/>
      <c r="E931" s="3461"/>
      <c r="F931" s="3461"/>
      <c r="G931" s="3461"/>
      <c r="H931" s="3461"/>
      <c r="I931" s="3461"/>
      <c r="J931" s="3461"/>
    </row>
    <row r="932" spans="1:10" hidden="1" x14ac:dyDescent="0.3">
      <c r="A932" s="137" t="s">
        <v>3</v>
      </c>
      <c r="B932" s="1781" t="s">
        <v>4</v>
      </c>
      <c r="C932" s="137" t="s">
        <v>5</v>
      </c>
      <c r="D932" s="137" t="s">
        <v>6</v>
      </c>
      <c r="E932" s="137" t="s">
        <v>7</v>
      </c>
      <c r="F932" s="137" t="s">
        <v>8</v>
      </c>
      <c r="G932" s="137" t="s">
        <v>9</v>
      </c>
      <c r="H932" s="137" t="s">
        <v>10</v>
      </c>
      <c r="I932" s="137" t="s">
        <v>11</v>
      </c>
      <c r="J932" s="137" t="s">
        <v>12</v>
      </c>
    </row>
    <row r="933" spans="1:10" hidden="1" x14ac:dyDescent="0.3">
      <c r="A933" s="137">
        <v>1</v>
      </c>
      <c r="B933" s="1781" t="s">
        <v>782</v>
      </c>
      <c r="C933" s="137" t="s">
        <v>138</v>
      </c>
      <c r="D933" s="642" t="s">
        <v>783</v>
      </c>
      <c r="E933" s="137" t="s">
        <v>784</v>
      </c>
      <c r="F933" s="137">
        <v>850000</v>
      </c>
      <c r="G933" s="137" t="s">
        <v>785</v>
      </c>
      <c r="H933" s="137" t="s">
        <v>271</v>
      </c>
      <c r="I933" s="137" t="s">
        <v>36</v>
      </c>
      <c r="J933" s="137">
        <v>1</v>
      </c>
    </row>
    <row r="934" spans="1:10" hidden="1" x14ac:dyDescent="0.3">
      <c r="A934" s="137">
        <v>2</v>
      </c>
      <c r="B934" s="1781" t="s">
        <v>782</v>
      </c>
      <c r="C934" s="137" t="s">
        <v>138</v>
      </c>
      <c r="D934" s="642" t="s">
        <v>786</v>
      </c>
      <c r="E934" s="137" t="s">
        <v>787</v>
      </c>
      <c r="F934" s="137">
        <v>1300000</v>
      </c>
      <c r="G934" s="137" t="s">
        <v>788</v>
      </c>
      <c r="H934" s="137" t="s">
        <v>271</v>
      </c>
      <c r="I934" s="137" t="s">
        <v>36</v>
      </c>
      <c r="J934" s="137">
        <v>1</v>
      </c>
    </row>
    <row r="935" spans="1:10" hidden="1" x14ac:dyDescent="0.3">
      <c r="A935" s="137">
        <v>3</v>
      </c>
      <c r="B935" s="1781" t="s">
        <v>782</v>
      </c>
      <c r="C935" s="137" t="s">
        <v>138</v>
      </c>
      <c r="D935" s="642" t="s">
        <v>789</v>
      </c>
      <c r="E935" s="137" t="s">
        <v>784</v>
      </c>
      <c r="F935" s="137">
        <v>1000000</v>
      </c>
      <c r="G935" s="137" t="s">
        <v>790</v>
      </c>
      <c r="H935" s="137" t="s">
        <v>271</v>
      </c>
      <c r="I935" s="137" t="s">
        <v>36</v>
      </c>
      <c r="J935" s="137">
        <v>1</v>
      </c>
    </row>
    <row r="936" spans="1:10" hidden="1" x14ac:dyDescent="0.3">
      <c r="A936" s="137">
        <v>4</v>
      </c>
      <c r="B936" s="1781" t="s">
        <v>647</v>
      </c>
      <c r="C936" s="137" t="s">
        <v>138</v>
      </c>
      <c r="D936" s="642" t="s">
        <v>791</v>
      </c>
      <c r="E936" s="137" t="s">
        <v>787</v>
      </c>
      <c r="F936" s="137">
        <v>1300000</v>
      </c>
      <c r="G936" s="137" t="s">
        <v>792</v>
      </c>
      <c r="H936" s="137" t="s">
        <v>271</v>
      </c>
      <c r="I936" s="137" t="s">
        <v>36</v>
      </c>
      <c r="J936" s="137">
        <v>1</v>
      </c>
    </row>
    <row r="937" spans="1:10" hidden="1" x14ac:dyDescent="0.3">
      <c r="A937" s="137">
        <v>5</v>
      </c>
      <c r="B937" s="1781" t="s">
        <v>782</v>
      </c>
      <c r="C937" s="137" t="s">
        <v>138</v>
      </c>
      <c r="D937" s="642" t="s">
        <v>793</v>
      </c>
      <c r="E937" s="137" t="s">
        <v>78</v>
      </c>
      <c r="F937" s="137">
        <v>960000</v>
      </c>
      <c r="G937" s="137" t="s">
        <v>794</v>
      </c>
      <c r="H937" s="137" t="s">
        <v>271</v>
      </c>
      <c r="I937" s="137" t="s">
        <v>36</v>
      </c>
      <c r="J937" s="137">
        <v>1</v>
      </c>
    </row>
    <row r="938" spans="1:10" hidden="1" x14ac:dyDescent="0.3">
      <c r="A938" s="137">
        <v>6</v>
      </c>
      <c r="B938" s="1781" t="s">
        <v>782</v>
      </c>
      <c r="C938" s="137" t="s">
        <v>138</v>
      </c>
      <c r="D938" s="642" t="s">
        <v>795</v>
      </c>
      <c r="E938" s="137" t="s">
        <v>787</v>
      </c>
      <c r="F938" s="137">
        <v>1300000</v>
      </c>
      <c r="G938" s="137" t="s">
        <v>796</v>
      </c>
      <c r="H938" s="137" t="s">
        <v>271</v>
      </c>
      <c r="I938" s="137" t="s">
        <v>36</v>
      </c>
      <c r="J938" s="137">
        <v>1</v>
      </c>
    </row>
    <row r="939" spans="1:10" hidden="1" x14ac:dyDescent="0.3">
      <c r="A939" s="137">
        <v>7</v>
      </c>
      <c r="B939" s="1781" t="s">
        <v>797</v>
      </c>
      <c r="C939" s="150" t="s">
        <v>138</v>
      </c>
      <c r="D939" s="641" t="s">
        <v>798</v>
      </c>
      <c r="E939" s="150" t="s">
        <v>78</v>
      </c>
      <c r="F939" s="1223">
        <v>1500000</v>
      </c>
      <c r="G939" s="150" t="s">
        <v>799</v>
      </c>
      <c r="H939" s="150" t="s">
        <v>271</v>
      </c>
      <c r="I939" s="150" t="s">
        <v>36</v>
      </c>
      <c r="J939" s="137">
        <v>1</v>
      </c>
    </row>
    <row r="940" spans="1:10" hidden="1" x14ac:dyDescent="0.3">
      <c r="A940" s="137">
        <v>8</v>
      </c>
      <c r="B940" s="1781" t="s">
        <v>800</v>
      </c>
      <c r="C940" s="137" t="s">
        <v>138</v>
      </c>
      <c r="D940" s="642" t="s">
        <v>801</v>
      </c>
      <c r="E940" s="137" t="s">
        <v>802</v>
      </c>
      <c r="F940" s="137">
        <v>1100000</v>
      </c>
      <c r="G940" s="137" t="s">
        <v>598</v>
      </c>
      <c r="H940" s="137" t="s">
        <v>271</v>
      </c>
      <c r="I940" s="137" t="s">
        <v>36</v>
      </c>
      <c r="J940" s="137">
        <v>1</v>
      </c>
    </row>
    <row r="941" spans="1:10" hidden="1" x14ac:dyDescent="0.3">
      <c r="A941" s="137">
        <v>9</v>
      </c>
      <c r="B941" s="1781" t="s">
        <v>803</v>
      </c>
      <c r="C941" s="137" t="s">
        <v>138</v>
      </c>
      <c r="D941" s="642" t="s">
        <v>804</v>
      </c>
      <c r="E941" s="137" t="s">
        <v>805</v>
      </c>
      <c r="F941" s="137">
        <v>1000000</v>
      </c>
      <c r="G941" s="137" t="s">
        <v>806</v>
      </c>
      <c r="H941" s="137" t="s">
        <v>271</v>
      </c>
      <c r="I941" s="137" t="s">
        <v>36</v>
      </c>
      <c r="J941" s="137">
        <v>1</v>
      </c>
    </row>
    <row r="942" spans="1:10" hidden="1" x14ac:dyDescent="0.3">
      <c r="A942" s="137">
        <v>10</v>
      </c>
      <c r="B942" s="1781" t="s">
        <v>807</v>
      </c>
      <c r="C942" s="137" t="s">
        <v>138</v>
      </c>
      <c r="D942" s="642" t="s">
        <v>808</v>
      </c>
      <c r="E942" s="137" t="s">
        <v>78</v>
      </c>
      <c r="F942" s="137">
        <v>1000000</v>
      </c>
      <c r="G942" s="137" t="s">
        <v>809</v>
      </c>
      <c r="H942" s="137" t="s">
        <v>271</v>
      </c>
      <c r="I942" s="137" t="s">
        <v>36</v>
      </c>
      <c r="J942" s="137">
        <v>1</v>
      </c>
    </row>
    <row r="943" spans="1:10" hidden="1" x14ac:dyDescent="0.3">
      <c r="A943" s="137">
        <v>11</v>
      </c>
      <c r="B943" s="1781" t="s">
        <v>810</v>
      </c>
      <c r="C943" s="137" t="s">
        <v>138</v>
      </c>
      <c r="D943" s="642" t="s">
        <v>811</v>
      </c>
      <c r="E943" s="137" t="s">
        <v>812</v>
      </c>
      <c r="F943" s="137">
        <v>750000</v>
      </c>
      <c r="G943" s="137" t="s">
        <v>43</v>
      </c>
      <c r="H943" s="137" t="s">
        <v>271</v>
      </c>
      <c r="I943" s="137" t="s">
        <v>36</v>
      </c>
      <c r="J943" s="137">
        <v>1</v>
      </c>
    </row>
    <row r="944" spans="1:10" hidden="1" x14ac:dyDescent="0.3">
      <c r="A944" s="137">
        <v>12</v>
      </c>
      <c r="B944" s="1781" t="s">
        <v>813</v>
      </c>
      <c r="C944" s="137" t="s">
        <v>138</v>
      </c>
      <c r="D944" s="642" t="s">
        <v>814</v>
      </c>
      <c r="E944" s="137" t="s">
        <v>78</v>
      </c>
      <c r="F944" s="137">
        <v>1000000</v>
      </c>
      <c r="G944" s="137" t="s">
        <v>815</v>
      </c>
      <c r="H944" s="137" t="s">
        <v>271</v>
      </c>
      <c r="I944" s="137" t="s">
        <v>36</v>
      </c>
      <c r="J944" s="137">
        <v>1</v>
      </c>
    </row>
    <row r="945" spans="1:10" hidden="1" x14ac:dyDescent="0.3">
      <c r="A945" s="137">
        <v>13</v>
      </c>
      <c r="B945" s="1781" t="s">
        <v>816</v>
      </c>
      <c r="C945" s="137" t="s">
        <v>37</v>
      </c>
      <c r="D945" s="642" t="s">
        <v>817</v>
      </c>
      <c r="E945" s="137" t="s">
        <v>78</v>
      </c>
      <c r="F945" s="137">
        <v>1200000</v>
      </c>
      <c r="G945" s="137" t="s">
        <v>794</v>
      </c>
      <c r="H945" s="137" t="s">
        <v>271</v>
      </c>
      <c r="I945" s="137" t="s">
        <v>36</v>
      </c>
      <c r="J945" s="137">
        <v>1</v>
      </c>
    </row>
    <row r="946" spans="1:10" hidden="1" x14ac:dyDescent="0.3">
      <c r="A946" s="137">
        <v>14</v>
      </c>
      <c r="B946" s="1781" t="s">
        <v>818</v>
      </c>
      <c r="C946" s="137" t="s">
        <v>138</v>
      </c>
      <c r="D946" s="642" t="s">
        <v>819</v>
      </c>
      <c r="E946" s="137" t="s">
        <v>78</v>
      </c>
      <c r="F946" s="137">
        <v>1500000</v>
      </c>
      <c r="G946" s="137" t="s">
        <v>820</v>
      </c>
      <c r="H946" s="137" t="s">
        <v>271</v>
      </c>
      <c r="I946" s="137" t="s">
        <v>36</v>
      </c>
      <c r="J946" s="137">
        <v>1</v>
      </c>
    </row>
    <row r="947" spans="1:10" hidden="1" x14ac:dyDescent="0.3">
      <c r="A947" s="1781">
        <v>15</v>
      </c>
      <c r="B947" s="3392" t="s">
        <v>818</v>
      </c>
      <c r="C947" s="150" t="s">
        <v>138</v>
      </c>
      <c r="D947" s="641" t="s">
        <v>821</v>
      </c>
      <c r="E947" s="150" t="s">
        <v>822</v>
      </c>
      <c r="F947" s="1223">
        <v>1100000</v>
      </c>
      <c r="G947" s="150" t="s">
        <v>43</v>
      </c>
      <c r="H947" s="150" t="s">
        <v>271</v>
      </c>
      <c r="I947" s="150" t="s">
        <v>36</v>
      </c>
      <c r="J947" s="137">
        <v>1</v>
      </c>
    </row>
    <row r="948" spans="1:10" hidden="1" x14ac:dyDescent="0.3">
      <c r="A948" s="1781">
        <v>16</v>
      </c>
      <c r="B948" s="3392" t="s">
        <v>818</v>
      </c>
      <c r="C948" s="150" t="s">
        <v>138</v>
      </c>
      <c r="D948" s="641" t="s">
        <v>823</v>
      </c>
      <c r="E948" s="150" t="s">
        <v>824</v>
      </c>
      <c r="F948" s="1223">
        <v>700000</v>
      </c>
      <c r="G948" s="150" t="s">
        <v>825</v>
      </c>
      <c r="H948" s="150" t="s">
        <v>271</v>
      </c>
      <c r="I948" s="150" t="s">
        <v>36</v>
      </c>
      <c r="J948" s="137">
        <v>1</v>
      </c>
    </row>
    <row r="949" spans="1:10" hidden="1" x14ac:dyDescent="0.3">
      <c r="A949" s="1781">
        <v>17</v>
      </c>
      <c r="B949" s="3392" t="s">
        <v>818</v>
      </c>
      <c r="C949" s="150" t="s">
        <v>138</v>
      </c>
      <c r="D949" s="641" t="s">
        <v>826</v>
      </c>
      <c r="E949" s="150" t="s">
        <v>180</v>
      </c>
      <c r="F949" s="1223">
        <v>1000000</v>
      </c>
      <c r="G949" s="150" t="s">
        <v>235</v>
      </c>
      <c r="H949" s="150" t="s">
        <v>271</v>
      </c>
      <c r="I949" s="150" t="s">
        <v>36</v>
      </c>
      <c r="J949" s="137">
        <v>1</v>
      </c>
    </row>
    <row r="950" spans="1:10" hidden="1" x14ac:dyDescent="0.3">
      <c r="A950" s="1781">
        <v>18</v>
      </c>
      <c r="B950" s="3392" t="s">
        <v>818</v>
      </c>
      <c r="C950" s="150" t="s">
        <v>138</v>
      </c>
      <c r="D950" s="641" t="s">
        <v>827</v>
      </c>
      <c r="E950" s="150" t="s">
        <v>828</v>
      </c>
      <c r="F950" s="1223">
        <v>960000</v>
      </c>
      <c r="G950" s="150" t="s">
        <v>829</v>
      </c>
      <c r="H950" s="150" t="s">
        <v>271</v>
      </c>
      <c r="I950" s="150" t="s">
        <v>36</v>
      </c>
      <c r="J950" s="137">
        <v>1</v>
      </c>
    </row>
    <row r="951" spans="1:10" hidden="1" x14ac:dyDescent="0.3">
      <c r="A951" s="1781">
        <v>19</v>
      </c>
      <c r="B951" s="1781" t="s">
        <v>818</v>
      </c>
      <c r="C951" s="150" t="s">
        <v>138</v>
      </c>
      <c r="D951" s="641" t="s">
        <v>830</v>
      </c>
      <c r="E951" s="150" t="s">
        <v>784</v>
      </c>
      <c r="F951" s="1223">
        <v>960000</v>
      </c>
      <c r="G951" s="150" t="s">
        <v>831</v>
      </c>
      <c r="H951" s="150" t="s">
        <v>271</v>
      </c>
      <c r="I951" s="150" t="s">
        <v>36</v>
      </c>
      <c r="J951" s="137">
        <v>1</v>
      </c>
    </row>
    <row r="952" spans="1:10" hidden="1" x14ac:dyDescent="0.3">
      <c r="A952" s="1781">
        <v>20</v>
      </c>
      <c r="B952" s="1781" t="s">
        <v>832</v>
      </c>
      <c r="C952" s="150" t="s">
        <v>138</v>
      </c>
      <c r="D952" s="641" t="s">
        <v>833</v>
      </c>
      <c r="E952" s="150" t="s">
        <v>78</v>
      </c>
      <c r="F952" s="1223">
        <v>1100000</v>
      </c>
      <c r="G952" s="150" t="s">
        <v>78</v>
      </c>
      <c r="H952" s="150" t="s">
        <v>271</v>
      </c>
      <c r="I952" s="150" t="s">
        <v>36</v>
      </c>
      <c r="J952" s="137">
        <v>1</v>
      </c>
    </row>
    <row r="953" spans="1:10" hidden="1" x14ac:dyDescent="0.3">
      <c r="A953" s="1781">
        <v>21</v>
      </c>
      <c r="B953" s="1781" t="s">
        <v>832</v>
      </c>
      <c r="C953" s="150" t="s">
        <v>138</v>
      </c>
      <c r="D953" s="641" t="s">
        <v>834</v>
      </c>
      <c r="E953" s="150" t="s">
        <v>78</v>
      </c>
      <c r="F953" s="1223">
        <v>1100000</v>
      </c>
      <c r="G953" s="150" t="s">
        <v>794</v>
      </c>
      <c r="H953" s="150" t="s">
        <v>271</v>
      </c>
      <c r="I953" s="150" t="s">
        <v>36</v>
      </c>
      <c r="J953" s="137">
        <v>1</v>
      </c>
    </row>
    <row r="954" spans="1:10" ht="24.6" hidden="1" x14ac:dyDescent="0.4">
      <c r="A954" s="1781"/>
      <c r="B954" s="1781"/>
      <c r="C954" s="150"/>
      <c r="D954" s="641"/>
      <c r="E954" s="150"/>
      <c r="F954" s="151"/>
      <c r="G954" s="150"/>
      <c r="H954" s="150"/>
      <c r="I954" s="150"/>
      <c r="J954" s="932">
        <f>SUM(J933:J953)</f>
        <v>21</v>
      </c>
    </row>
    <row r="955" spans="1:10" hidden="1" x14ac:dyDescent="0.3">
      <c r="A955" s="3473" t="s">
        <v>33</v>
      </c>
      <c r="B955" s="3473"/>
      <c r="C955" s="3473"/>
      <c r="D955" s="3473"/>
      <c r="E955" s="3473"/>
      <c r="F955" s="3473"/>
      <c r="G955" s="3473"/>
      <c r="H955" s="3473"/>
      <c r="I955" s="3473"/>
      <c r="J955" s="3473"/>
    </row>
    <row r="956" spans="1:10" hidden="1" x14ac:dyDescent="0.3">
      <c r="A956" s="137" t="s">
        <v>3</v>
      </c>
      <c r="B956" s="1781" t="s">
        <v>4</v>
      </c>
      <c r="C956" s="137" t="s">
        <v>5</v>
      </c>
      <c r="D956" s="137" t="s">
        <v>6</v>
      </c>
      <c r="E956" s="137" t="s">
        <v>7</v>
      </c>
      <c r="F956" s="137" t="s">
        <v>8</v>
      </c>
      <c r="G956" s="137" t="s">
        <v>9</v>
      </c>
      <c r="H956" s="137" t="s">
        <v>10</v>
      </c>
      <c r="I956" s="137" t="s">
        <v>11</v>
      </c>
      <c r="J956" s="137" t="s">
        <v>12</v>
      </c>
    </row>
    <row r="957" spans="1:10" hidden="1" x14ac:dyDescent="0.3">
      <c r="A957" s="549">
        <v>1</v>
      </c>
      <c r="B957" s="3393" t="s">
        <v>782</v>
      </c>
      <c r="C957" s="152" t="s">
        <v>135</v>
      </c>
      <c r="D957" s="152" t="s">
        <v>835</v>
      </c>
      <c r="E957" s="152" t="s">
        <v>787</v>
      </c>
      <c r="F957" s="152">
        <v>170000000</v>
      </c>
      <c r="G957" s="152" t="s">
        <v>43</v>
      </c>
      <c r="H957" s="152" t="s">
        <v>44</v>
      </c>
      <c r="I957" s="152" t="s">
        <v>36</v>
      </c>
      <c r="J957" s="200">
        <v>1</v>
      </c>
    </row>
    <row r="958" spans="1:10" hidden="1" x14ac:dyDescent="0.3">
      <c r="A958" s="549">
        <v>2</v>
      </c>
      <c r="B958" s="3393" t="s">
        <v>647</v>
      </c>
      <c r="C958" s="152" t="s">
        <v>37</v>
      </c>
      <c r="D958" s="152" t="s">
        <v>836</v>
      </c>
      <c r="E958" s="152" t="s">
        <v>836</v>
      </c>
      <c r="F958" s="152">
        <v>160000000</v>
      </c>
      <c r="G958" s="152" t="s">
        <v>561</v>
      </c>
      <c r="H958" s="152" t="s">
        <v>271</v>
      </c>
      <c r="I958" s="152" t="s">
        <v>36</v>
      </c>
      <c r="J958" s="200">
        <v>1</v>
      </c>
    </row>
    <row r="959" spans="1:10" hidden="1" x14ac:dyDescent="0.3">
      <c r="A959" s="597">
        <v>3</v>
      </c>
      <c r="B959" s="3394" t="s">
        <v>647</v>
      </c>
      <c r="C959" s="154" t="s">
        <v>138</v>
      </c>
      <c r="D959" s="154" t="s">
        <v>837</v>
      </c>
      <c r="E959" s="154" t="s">
        <v>787</v>
      </c>
      <c r="F959" s="154">
        <v>295000000</v>
      </c>
      <c r="G959" s="154" t="s">
        <v>43</v>
      </c>
      <c r="H959" s="154" t="s">
        <v>271</v>
      </c>
      <c r="I959" s="154" t="s">
        <v>36</v>
      </c>
      <c r="J959" s="598">
        <v>1</v>
      </c>
    </row>
    <row r="960" spans="1:10" hidden="1" x14ac:dyDescent="0.3">
      <c r="A960" s="886">
        <v>4</v>
      </c>
      <c r="B960" s="3394" t="s">
        <v>838</v>
      </c>
      <c r="C960" s="154" t="s">
        <v>135</v>
      </c>
      <c r="D960" s="154" t="s">
        <v>839</v>
      </c>
      <c r="E960" s="154" t="s">
        <v>840</v>
      </c>
      <c r="F960" s="154">
        <v>455000000</v>
      </c>
      <c r="G960" s="154" t="s">
        <v>841</v>
      </c>
      <c r="H960" s="154" t="s">
        <v>271</v>
      </c>
      <c r="I960" s="154" t="s">
        <v>36</v>
      </c>
      <c r="J960" s="598">
        <v>1</v>
      </c>
    </row>
    <row r="961" spans="1:10" hidden="1" x14ac:dyDescent="0.3">
      <c r="A961" s="886"/>
      <c r="B961" s="3399"/>
      <c r="C961" s="888"/>
      <c r="D961" s="888"/>
      <c r="E961" s="888"/>
      <c r="F961" s="888"/>
      <c r="G961" s="888"/>
      <c r="H961" s="888"/>
      <c r="I961" s="888"/>
      <c r="J961" s="887"/>
    </row>
    <row r="962" spans="1:10" ht="24.6" hidden="1" x14ac:dyDescent="0.4">
      <c r="A962" s="144"/>
      <c r="B962" s="922"/>
      <c r="C962" s="887"/>
      <c r="D962" s="887"/>
      <c r="E962" s="887"/>
      <c r="F962" s="887"/>
      <c r="G962" s="887"/>
      <c r="H962" s="887"/>
      <c r="I962" s="887"/>
      <c r="J962" s="933">
        <f>J957+J958+J959+J960+J961</f>
        <v>4</v>
      </c>
    </row>
    <row r="963" spans="1:10" hidden="1" x14ac:dyDescent="0.3"/>
    <row r="964" spans="1:10" hidden="1" x14ac:dyDescent="0.3"/>
    <row r="965" spans="1:10" hidden="1" x14ac:dyDescent="0.3"/>
    <row r="966" spans="1:10" ht="23.4" hidden="1" x14ac:dyDescent="0.3">
      <c r="A966" s="3467" t="s">
        <v>582</v>
      </c>
      <c r="B966" s="3467"/>
      <c r="C966" s="3467"/>
      <c r="D966" s="3467"/>
      <c r="E966" s="3467"/>
      <c r="F966" s="3467"/>
      <c r="G966" s="3467"/>
      <c r="H966" s="3467"/>
      <c r="I966" s="3467"/>
      <c r="J966" s="3467"/>
    </row>
    <row r="967" spans="1:10" ht="15.6" hidden="1" x14ac:dyDescent="0.3">
      <c r="A967" s="3461" t="s">
        <v>2</v>
      </c>
      <c r="B967" s="3461"/>
      <c r="C967" s="3461"/>
      <c r="D967" s="3461"/>
      <c r="E967" s="3461"/>
      <c r="F967" s="3461"/>
      <c r="G967" s="3461"/>
      <c r="H967" s="3461"/>
      <c r="I967" s="3461"/>
      <c r="J967" s="3461"/>
    </row>
    <row r="968" spans="1:10" hidden="1" x14ac:dyDescent="0.3">
      <c r="A968" s="137" t="s">
        <v>3</v>
      </c>
      <c r="B968" s="1781" t="s">
        <v>4</v>
      </c>
      <c r="C968" s="137" t="s">
        <v>5</v>
      </c>
      <c r="D968" s="137" t="s">
        <v>6</v>
      </c>
      <c r="E968" s="137" t="s">
        <v>7</v>
      </c>
      <c r="F968" s="137" t="s">
        <v>8</v>
      </c>
      <c r="G968" s="137" t="s">
        <v>9</v>
      </c>
      <c r="H968" s="137" t="s">
        <v>10</v>
      </c>
      <c r="I968" s="137" t="s">
        <v>11</v>
      </c>
      <c r="J968" s="137" t="s">
        <v>12</v>
      </c>
    </row>
    <row r="969" spans="1:10" hidden="1" x14ac:dyDescent="0.3">
      <c r="A969" s="137">
        <v>1</v>
      </c>
      <c r="B969" s="1781" t="s">
        <v>647</v>
      </c>
      <c r="C969" s="137" t="s">
        <v>138</v>
      </c>
      <c r="D969" s="1221" t="s">
        <v>842</v>
      </c>
      <c r="E969" s="137" t="s">
        <v>802</v>
      </c>
      <c r="F969" s="150">
        <v>1300000</v>
      </c>
      <c r="G969" s="137" t="s">
        <v>598</v>
      </c>
      <c r="H969" s="137" t="s">
        <v>271</v>
      </c>
      <c r="I969" s="137" t="s">
        <v>36</v>
      </c>
      <c r="J969" s="137">
        <v>1</v>
      </c>
    </row>
    <row r="970" spans="1:10" hidden="1" x14ac:dyDescent="0.3">
      <c r="A970" s="137">
        <v>2</v>
      </c>
      <c r="B970" s="1781" t="s">
        <v>782</v>
      </c>
      <c r="C970" s="137" t="s">
        <v>138</v>
      </c>
      <c r="D970" s="1221" t="s">
        <v>843</v>
      </c>
      <c r="E970" s="137" t="s">
        <v>802</v>
      </c>
      <c r="F970" s="150">
        <v>1200000</v>
      </c>
      <c r="G970" s="137" t="s">
        <v>598</v>
      </c>
      <c r="H970" s="137" t="s">
        <v>271</v>
      </c>
      <c r="I970" s="137" t="s">
        <v>36</v>
      </c>
      <c r="J970" s="137">
        <v>1</v>
      </c>
    </row>
    <row r="971" spans="1:10" hidden="1" x14ac:dyDescent="0.3">
      <c r="A971" s="137">
        <v>3</v>
      </c>
      <c r="B971" s="1781" t="s">
        <v>782</v>
      </c>
      <c r="C971" s="137" t="s">
        <v>138</v>
      </c>
      <c r="D971" s="1221" t="s">
        <v>844</v>
      </c>
      <c r="E971" s="137" t="s">
        <v>802</v>
      </c>
      <c r="F971" s="150">
        <v>1300000</v>
      </c>
      <c r="G971" s="137" t="s">
        <v>598</v>
      </c>
      <c r="H971" s="137" t="s">
        <v>271</v>
      </c>
      <c r="I971" s="137" t="s">
        <v>36</v>
      </c>
      <c r="J971" s="137">
        <v>1</v>
      </c>
    </row>
    <row r="972" spans="1:10" hidden="1" x14ac:dyDescent="0.3">
      <c r="A972" s="137">
        <v>4</v>
      </c>
      <c r="B972" s="1781" t="s">
        <v>803</v>
      </c>
      <c r="C972" s="137" t="s">
        <v>138</v>
      </c>
      <c r="D972" s="1221" t="s">
        <v>845</v>
      </c>
      <c r="E972" s="137" t="s">
        <v>180</v>
      </c>
      <c r="F972" s="150">
        <v>1200000</v>
      </c>
      <c r="G972" s="137" t="s">
        <v>144</v>
      </c>
      <c r="H972" s="137" t="s">
        <v>271</v>
      </c>
      <c r="I972" s="137" t="s">
        <v>36</v>
      </c>
      <c r="J972" s="137">
        <v>1</v>
      </c>
    </row>
    <row r="973" spans="1:10" hidden="1" x14ac:dyDescent="0.3">
      <c r="A973" s="137">
        <v>5</v>
      </c>
      <c r="B973" s="1781" t="s">
        <v>803</v>
      </c>
      <c r="C973" s="137" t="s">
        <v>138</v>
      </c>
      <c r="D973" s="1221" t="s">
        <v>846</v>
      </c>
      <c r="E973" s="137" t="s">
        <v>180</v>
      </c>
      <c r="F973" s="150">
        <v>1200000</v>
      </c>
      <c r="G973" s="137" t="s">
        <v>144</v>
      </c>
      <c r="H973" s="137" t="s">
        <v>271</v>
      </c>
      <c r="I973" s="137" t="s">
        <v>36</v>
      </c>
      <c r="J973" s="137">
        <v>1</v>
      </c>
    </row>
    <row r="974" spans="1:10" hidden="1" x14ac:dyDescent="0.3">
      <c r="A974" s="137">
        <v>6</v>
      </c>
      <c r="B974" s="1781" t="s">
        <v>803</v>
      </c>
      <c r="C974" s="137" t="s">
        <v>138</v>
      </c>
      <c r="D974" s="1221" t="s">
        <v>847</v>
      </c>
      <c r="E974" s="137" t="s">
        <v>848</v>
      </c>
      <c r="F974" s="150">
        <v>2200000</v>
      </c>
      <c r="G974" s="137" t="s">
        <v>43</v>
      </c>
      <c r="H974" s="137" t="s">
        <v>271</v>
      </c>
      <c r="I974" s="137" t="s">
        <v>36</v>
      </c>
      <c r="J974" s="137">
        <v>1</v>
      </c>
    </row>
    <row r="975" spans="1:10" hidden="1" x14ac:dyDescent="0.3">
      <c r="A975" s="137">
        <v>7</v>
      </c>
      <c r="B975" s="1781" t="s">
        <v>803</v>
      </c>
      <c r="C975" s="137" t="s">
        <v>138</v>
      </c>
      <c r="D975" s="1221" t="s">
        <v>849</v>
      </c>
      <c r="E975" s="137" t="s">
        <v>802</v>
      </c>
      <c r="F975" s="150">
        <v>1300000</v>
      </c>
      <c r="G975" s="137" t="s">
        <v>598</v>
      </c>
      <c r="H975" s="137" t="s">
        <v>271</v>
      </c>
      <c r="I975" s="137" t="s">
        <v>36</v>
      </c>
      <c r="J975" s="137">
        <v>1</v>
      </c>
    </row>
    <row r="976" spans="1:10" hidden="1" x14ac:dyDescent="0.3">
      <c r="A976" s="137">
        <v>8</v>
      </c>
      <c r="B976" s="1781" t="s">
        <v>803</v>
      </c>
      <c r="C976" s="137" t="s">
        <v>138</v>
      </c>
      <c r="D976" s="1221" t="s">
        <v>850</v>
      </c>
      <c r="E976" s="137" t="s">
        <v>180</v>
      </c>
      <c r="F976" s="150">
        <v>1300000</v>
      </c>
      <c r="G976" s="137" t="s">
        <v>144</v>
      </c>
      <c r="H976" s="137" t="s">
        <v>271</v>
      </c>
      <c r="I976" s="137" t="s">
        <v>36</v>
      </c>
      <c r="J976" s="137">
        <v>1</v>
      </c>
    </row>
    <row r="977" spans="1:10" hidden="1" x14ac:dyDescent="0.3">
      <c r="A977" s="137">
        <v>9</v>
      </c>
      <c r="B977" s="1781" t="s">
        <v>803</v>
      </c>
      <c r="C977" s="137" t="s">
        <v>138</v>
      </c>
      <c r="D977" s="1221" t="s">
        <v>851</v>
      </c>
      <c r="E977" s="137" t="s">
        <v>180</v>
      </c>
      <c r="F977" s="150">
        <v>1300000</v>
      </c>
      <c r="G977" s="137" t="s">
        <v>144</v>
      </c>
      <c r="H977" s="137" t="s">
        <v>271</v>
      </c>
      <c r="I977" s="137" t="s">
        <v>36</v>
      </c>
      <c r="J977" s="137">
        <v>1</v>
      </c>
    </row>
    <row r="978" spans="1:10" hidden="1" x14ac:dyDescent="0.3">
      <c r="A978" s="137">
        <v>10</v>
      </c>
      <c r="B978" s="1781" t="s">
        <v>852</v>
      </c>
      <c r="C978" s="137" t="s">
        <v>138</v>
      </c>
      <c r="D978" s="1221" t="s">
        <v>853</v>
      </c>
      <c r="E978" s="137" t="s">
        <v>802</v>
      </c>
      <c r="F978" s="150">
        <v>950000</v>
      </c>
      <c r="G978" s="137" t="s">
        <v>854</v>
      </c>
      <c r="H978" s="137" t="s">
        <v>271</v>
      </c>
      <c r="I978" s="137" t="s">
        <v>36</v>
      </c>
      <c r="J978" s="137">
        <v>1</v>
      </c>
    </row>
    <row r="979" spans="1:10" hidden="1" x14ac:dyDescent="0.3">
      <c r="A979" s="137">
        <v>11</v>
      </c>
      <c r="B979" s="1781" t="s">
        <v>563</v>
      </c>
      <c r="C979" s="137" t="s">
        <v>138</v>
      </c>
      <c r="D979" s="1221" t="s">
        <v>855</v>
      </c>
      <c r="E979" s="137" t="s">
        <v>802</v>
      </c>
      <c r="F979" s="150">
        <v>1300000</v>
      </c>
      <c r="G979" s="137" t="s">
        <v>598</v>
      </c>
      <c r="H979" s="137" t="s">
        <v>271</v>
      </c>
      <c r="I979" s="137" t="s">
        <v>36</v>
      </c>
      <c r="J979" s="137">
        <v>1</v>
      </c>
    </row>
    <row r="980" spans="1:10" hidden="1" x14ac:dyDescent="0.3">
      <c r="A980" s="137">
        <v>12</v>
      </c>
      <c r="B980" s="1781" t="s">
        <v>856</v>
      </c>
      <c r="C980" s="137" t="s">
        <v>138</v>
      </c>
      <c r="D980" s="1221" t="s">
        <v>857</v>
      </c>
      <c r="E980" s="137" t="s">
        <v>858</v>
      </c>
      <c r="F980" s="150">
        <v>1900000</v>
      </c>
      <c r="G980" s="137" t="s">
        <v>612</v>
      </c>
      <c r="H980" s="137" t="s">
        <v>271</v>
      </c>
      <c r="I980" s="137" t="s">
        <v>36</v>
      </c>
      <c r="J980" s="137">
        <v>1</v>
      </c>
    </row>
    <row r="981" spans="1:10" hidden="1" x14ac:dyDescent="0.3">
      <c r="A981" s="137">
        <v>13</v>
      </c>
      <c r="B981" s="1781" t="s">
        <v>813</v>
      </c>
      <c r="C981" s="137" t="s">
        <v>138</v>
      </c>
      <c r="D981" s="1221" t="s">
        <v>859</v>
      </c>
      <c r="E981" s="137" t="s">
        <v>858</v>
      </c>
      <c r="F981" s="150">
        <v>1200000</v>
      </c>
      <c r="G981" s="137" t="s">
        <v>397</v>
      </c>
      <c r="H981" s="137" t="s">
        <v>271</v>
      </c>
      <c r="I981" s="137" t="s">
        <v>36</v>
      </c>
      <c r="J981" s="137">
        <v>1</v>
      </c>
    </row>
    <row r="982" spans="1:10" hidden="1" x14ac:dyDescent="0.3">
      <c r="A982" s="137">
        <v>14</v>
      </c>
      <c r="B982" s="1781" t="s">
        <v>860</v>
      </c>
      <c r="C982" s="137" t="s">
        <v>138</v>
      </c>
      <c r="D982" s="1221" t="s">
        <v>861</v>
      </c>
      <c r="E982" s="137" t="s">
        <v>858</v>
      </c>
      <c r="F982" s="150">
        <v>1650000</v>
      </c>
      <c r="G982" s="137" t="s">
        <v>612</v>
      </c>
      <c r="H982" s="137" t="s">
        <v>271</v>
      </c>
      <c r="I982" s="137" t="s">
        <v>36</v>
      </c>
      <c r="J982" s="137">
        <v>1</v>
      </c>
    </row>
    <row r="983" spans="1:10" hidden="1" x14ac:dyDescent="0.3">
      <c r="A983" s="1781">
        <v>15</v>
      </c>
      <c r="B983" s="3392" t="s">
        <v>860</v>
      </c>
      <c r="C983" s="150" t="s">
        <v>138</v>
      </c>
      <c r="D983" s="1222" t="s">
        <v>862</v>
      </c>
      <c r="E983" s="150" t="s">
        <v>180</v>
      </c>
      <c r="F983" s="151">
        <v>1200000</v>
      </c>
      <c r="G983" s="150" t="s">
        <v>144</v>
      </c>
      <c r="H983" s="150" t="s">
        <v>271</v>
      </c>
      <c r="I983" s="150" t="s">
        <v>36</v>
      </c>
      <c r="J983" s="137">
        <v>1</v>
      </c>
    </row>
    <row r="984" spans="1:10" hidden="1" x14ac:dyDescent="0.3">
      <c r="A984" s="1781">
        <v>16</v>
      </c>
      <c r="B984" s="3392" t="s">
        <v>860</v>
      </c>
      <c r="C984" s="150" t="s">
        <v>138</v>
      </c>
      <c r="D984" s="1222" t="s">
        <v>863</v>
      </c>
      <c r="E984" s="150" t="s">
        <v>180</v>
      </c>
      <c r="F984" s="151">
        <v>1300000</v>
      </c>
      <c r="G984" s="150" t="s">
        <v>144</v>
      </c>
      <c r="H984" s="150" t="s">
        <v>271</v>
      </c>
      <c r="I984" s="150" t="s">
        <v>36</v>
      </c>
      <c r="J984" s="137">
        <v>1</v>
      </c>
    </row>
    <row r="985" spans="1:10" hidden="1" x14ac:dyDescent="0.3">
      <c r="A985" s="1781">
        <v>17</v>
      </c>
      <c r="B985" s="3392" t="s">
        <v>816</v>
      </c>
      <c r="C985" s="150" t="s">
        <v>138</v>
      </c>
      <c r="D985" s="1222" t="s">
        <v>864</v>
      </c>
      <c r="E985" s="150" t="s">
        <v>858</v>
      </c>
      <c r="F985" s="151">
        <v>900000</v>
      </c>
      <c r="G985" s="150" t="s">
        <v>43</v>
      </c>
      <c r="H985" s="150" t="s">
        <v>271</v>
      </c>
      <c r="I985" s="150" t="s">
        <v>36</v>
      </c>
      <c r="J985" s="137">
        <v>1</v>
      </c>
    </row>
    <row r="986" spans="1:10" hidden="1" x14ac:dyDescent="0.3">
      <c r="A986" s="1781">
        <v>18</v>
      </c>
      <c r="B986" s="3392" t="s">
        <v>816</v>
      </c>
      <c r="C986" s="150" t="s">
        <v>138</v>
      </c>
      <c r="D986" s="1222" t="s">
        <v>865</v>
      </c>
      <c r="E986" s="150" t="s">
        <v>180</v>
      </c>
      <c r="F986" s="151">
        <v>1350000</v>
      </c>
      <c r="G986" s="150" t="s">
        <v>866</v>
      </c>
      <c r="H986" s="150" t="s">
        <v>271</v>
      </c>
      <c r="I986" s="150" t="s">
        <v>36</v>
      </c>
      <c r="J986" s="137">
        <v>1</v>
      </c>
    </row>
    <row r="987" spans="1:10" hidden="1" x14ac:dyDescent="0.3">
      <c r="A987" s="1781">
        <v>19</v>
      </c>
      <c r="B987" s="1781" t="s">
        <v>867</v>
      </c>
      <c r="C987" s="150" t="s">
        <v>138</v>
      </c>
      <c r="D987" s="1222" t="s">
        <v>868</v>
      </c>
      <c r="E987" s="150" t="s">
        <v>869</v>
      </c>
      <c r="F987" s="151">
        <v>1100000</v>
      </c>
      <c r="G987" s="150" t="s">
        <v>870</v>
      </c>
      <c r="H987" s="150" t="s">
        <v>271</v>
      </c>
      <c r="I987" s="150" t="s">
        <v>36</v>
      </c>
      <c r="J987" s="137">
        <v>1</v>
      </c>
    </row>
    <row r="988" spans="1:10" hidden="1" x14ac:dyDescent="0.3">
      <c r="A988" s="1781">
        <v>20</v>
      </c>
      <c r="B988" s="1781" t="s">
        <v>818</v>
      </c>
      <c r="C988" s="150" t="s">
        <v>138</v>
      </c>
      <c r="D988" s="641" t="s">
        <v>871</v>
      </c>
      <c r="E988" s="150" t="s">
        <v>869</v>
      </c>
      <c r="F988" s="151">
        <v>1200000</v>
      </c>
      <c r="G988" s="150" t="s">
        <v>235</v>
      </c>
      <c r="H988" s="150" t="s">
        <v>271</v>
      </c>
      <c r="I988" s="150" t="s">
        <v>36</v>
      </c>
      <c r="J988" s="137">
        <v>1</v>
      </c>
    </row>
    <row r="989" spans="1:10" hidden="1" x14ac:dyDescent="0.3">
      <c r="A989" s="1781">
        <v>21</v>
      </c>
      <c r="B989" s="1781" t="s">
        <v>818</v>
      </c>
      <c r="C989" s="150" t="s">
        <v>138</v>
      </c>
      <c r="D989" s="641" t="s">
        <v>872</v>
      </c>
      <c r="E989" s="150" t="s">
        <v>180</v>
      </c>
      <c r="F989" s="151">
        <v>1200000</v>
      </c>
      <c r="G989" s="150" t="s">
        <v>144</v>
      </c>
      <c r="H989" s="150" t="s">
        <v>271</v>
      </c>
      <c r="I989" s="150" t="s">
        <v>36</v>
      </c>
      <c r="J989" s="137">
        <v>1</v>
      </c>
    </row>
    <row r="990" spans="1:10" hidden="1" x14ac:dyDescent="0.3">
      <c r="A990" s="1781">
        <v>22</v>
      </c>
      <c r="B990" s="1781" t="s">
        <v>818</v>
      </c>
      <c r="C990" s="150" t="s">
        <v>138</v>
      </c>
      <c r="D990" s="641" t="s">
        <v>873</v>
      </c>
      <c r="E990" s="150" t="s">
        <v>180</v>
      </c>
      <c r="F990" s="151">
        <v>1200000</v>
      </c>
      <c r="G990" s="150" t="s">
        <v>144</v>
      </c>
      <c r="H990" s="150" t="s">
        <v>271</v>
      </c>
      <c r="I990" s="150" t="s">
        <v>36</v>
      </c>
      <c r="J990" s="137">
        <v>1</v>
      </c>
    </row>
    <row r="991" spans="1:10" hidden="1" x14ac:dyDescent="0.3">
      <c r="A991" s="1781">
        <v>23</v>
      </c>
      <c r="B991" s="1781" t="s">
        <v>874</v>
      </c>
      <c r="C991" s="150" t="s">
        <v>138</v>
      </c>
      <c r="D991" s="641" t="s">
        <v>875</v>
      </c>
      <c r="E991" s="150" t="s">
        <v>180</v>
      </c>
      <c r="F991" s="151">
        <v>1200000</v>
      </c>
      <c r="G991" s="150" t="s">
        <v>144</v>
      </c>
      <c r="H991" s="150" t="s">
        <v>271</v>
      </c>
      <c r="I991" s="150" t="s">
        <v>36</v>
      </c>
      <c r="J991" s="137">
        <v>1</v>
      </c>
    </row>
    <row r="992" spans="1:10" hidden="1" x14ac:dyDescent="0.3">
      <c r="A992" s="1781">
        <v>24</v>
      </c>
      <c r="B992" s="1781" t="s">
        <v>876</v>
      </c>
      <c r="C992" s="150" t="s">
        <v>138</v>
      </c>
      <c r="D992" s="641" t="s">
        <v>877</v>
      </c>
      <c r="E992" s="150" t="s">
        <v>869</v>
      </c>
      <c r="F992" s="151">
        <v>1150000</v>
      </c>
      <c r="G992" s="150" t="s">
        <v>235</v>
      </c>
      <c r="H992" s="150" t="s">
        <v>271</v>
      </c>
      <c r="I992" s="150" t="s">
        <v>36</v>
      </c>
      <c r="J992" s="137">
        <v>1</v>
      </c>
    </row>
    <row r="993" spans="1:10" hidden="1" x14ac:dyDescent="0.3">
      <c r="A993" s="1781">
        <v>25</v>
      </c>
      <c r="B993" s="1781" t="s">
        <v>876</v>
      </c>
      <c r="C993" s="150" t="s">
        <v>138</v>
      </c>
      <c r="D993" s="641" t="s">
        <v>878</v>
      </c>
      <c r="E993" s="150" t="s">
        <v>869</v>
      </c>
      <c r="F993" s="151">
        <v>1200000</v>
      </c>
      <c r="G993" s="150" t="s">
        <v>235</v>
      </c>
      <c r="H993" s="150" t="s">
        <v>271</v>
      </c>
      <c r="I993" s="150" t="s">
        <v>36</v>
      </c>
      <c r="J993" s="137">
        <v>1</v>
      </c>
    </row>
    <row r="994" spans="1:10" hidden="1" x14ac:dyDescent="0.3">
      <c r="A994" s="1781">
        <v>26</v>
      </c>
      <c r="B994" s="1781"/>
      <c r="C994" s="150"/>
      <c r="D994" s="641"/>
      <c r="E994" s="150"/>
      <c r="F994" s="151"/>
      <c r="G994" s="150"/>
      <c r="H994" s="150"/>
      <c r="I994" s="150"/>
      <c r="J994" s="137"/>
    </row>
    <row r="995" spans="1:10" ht="25.8" hidden="1" x14ac:dyDescent="0.5">
      <c r="A995" s="1781"/>
      <c r="B995" s="1781"/>
      <c r="C995" s="150"/>
      <c r="D995" s="641"/>
      <c r="E995" s="150"/>
      <c r="F995" s="151"/>
      <c r="G995" s="150"/>
      <c r="H995" s="150"/>
      <c r="I995" s="150"/>
      <c r="J995" s="934">
        <f>SUM(J969:J993)</f>
        <v>25</v>
      </c>
    </row>
    <row r="996" spans="1:10" hidden="1" x14ac:dyDescent="0.3">
      <c r="A996" s="3473" t="s">
        <v>33</v>
      </c>
      <c r="B996" s="3473"/>
      <c r="C996" s="3473"/>
      <c r="D996" s="3473"/>
      <c r="E996" s="3473"/>
      <c r="F996" s="3473"/>
      <c r="G996" s="3473"/>
      <c r="H996" s="3473"/>
      <c r="I996" s="3473"/>
      <c r="J996" s="3473"/>
    </row>
    <row r="997" spans="1:10" hidden="1" x14ac:dyDescent="0.3">
      <c r="A997" s="137" t="s">
        <v>3</v>
      </c>
      <c r="B997" s="1781" t="s">
        <v>4</v>
      </c>
      <c r="C997" s="137" t="s">
        <v>5</v>
      </c>
      <c r="D997" s="137" t="s">
        <v>6</v>
      </c>
      <c r="E997" s="137" t="s">
        <v>7</v>
      </c>
      <c r="F997" s="137" t="s">
        <v>8</v>
      </c>
      <c r="G997" s="137" t="s">
        <v>9</v>
      </c>
      <c r="H997" s="137" t="s">
        <v>10</v>
      </c>
      <c r="I997" s="137" t="s">
        <v>11</v>
      </c>
      <c r="J997" s="137" t="s">
        <v>12</v>
      </c>
    </row>
    <row r="998" spans="1:10" hidden="1" x14ac:dyDescent="0.3">
      <c r="A998" s="549">
        <v>1</v>
      </c>
      <c r="B998" s="3393" t="s">
        <v>782</v>
      </c>
      <c r="C998" s="152" t="s">
        <v>138</v>
      </c>
      <c r="D998" s="152" t="s">
        <v>879</v>
      </c>
      <c r="E998" s="152" t="s">
        <v>180</v>
      </c>
      <c r="F998" s="152">
        <v>280000000</v>
      </c>
      <c r="G998" s="152" t="s">
        <v>40</v>
      </c>
      <c r="H998" s="152" t="s">
        <v>271</v>
      </c>
      <c r="I998" s="152" t="s">
        <v>36</v>
      </c>
      <c r="J998" s="200">
        <v>1</v>
      </c>
    </row>
    <row r="999" spans="1:10" hidden="1" x14ac:dyDescent="0.3">
      <c r="A999" s="549">
        <v>2</v>
      </c>
      <c r="B999" s="3393" t="s">
        <v>782</v>
      </c>
      <c r="C999" s="152" t="s">
        <v>138</v>
      </c>
      <c r="D999" s="152" t="s">
        <v>880</v>
      </c>
      <c r="E999" s="152" t="s">
        <v>78</v>
      </c>
      <c r="F999" s="152">
        <v>230000000</v>
      </c>
      <c r="G999" s="152" t="s">
        <v>43</v>
      </c>
      <c r="H999" s="152" t="s">
        <v>271</v>
      </c>
      <c r="I999" s="152" t="s">
        <v>36</v>
      </c>
      <c r="J999" s="200">
        <v>1</v>
      </c>
    </row>
    <row r="1000" spans="1:10" hidden="1" x14ac:dyDescent="0.3">
      <c r="A1000" s="597">
        <v>3</v>
      </c>
      <c r="B1000" s="3394" t="s">
        <v>881</v>
      </c>
      <c r="C1000" s="154" t="s">
        <v>138</v>
      </c>
      <c r="D1000" s="154" t="s">
        <v>882</v>
      </c>
      <c r="E1000" s="154" t="s">
        <v>883</v>
      </c>
      <c r="F1000" s="154">
        <v>340000000</v>
      </c>
      <c r="G1000" s="154" t="s">
        <v>235</v>
      </c>
      <c r="H1000" s="154" t="s">
        <v>271</v>
      </c>
      <c r="I1000" s="154" t="s">
        <v>36</v>
      </c>
      <c r="J1000" s="598">
        <v>1</v>
      </c>
    </row>
    <row r="1001" spans="1:10" hidden="1" x14ac:dyDescent="0.3">
      <c r="A1001" s="597">
        <v>4</v>
      </c>
      <c r="B1001" s="3394" t="s">
        <v>881</v>
      </c>
      <c r="C1001" s="154" t="s">
        <v>138</v>
      </c>
      <c r="D1001" s="154" t="s">
        <v>236</v>
      </c>
      <c r="E1001" s="154" t="s">
        <v>802</v>
      </c>
      <c r="F1001" s="154">
        <v>360000000</v>
      </c>
      <c r="G1001" s="154" t="s">
        <v>235</v>
      </c>
      <c r="H1001" s="154" t="s">
        <v>271</v>
      </c>
      <c r="I1001" s="154" t="s">
        <v>36</v>
      </c>
      <c r="J1001" s="598">
        <v>1</v>
      </c>
    </row>
    <row r="1002" spans="1:10" ht="24.6" hidden="1" x14ac:dyDescent="0.4">
      <c r="A1002" s="144"/>
      <c r="B1002" s="595"/>
      <c r="C1002" s="144"/>
      <c r="D1002" s="144"/>
      <c r="E1002" s="144"/>
      <c r="F1002" s="144"/>
      <c r="G1002" s="144"/>
      <c r="H1002" s="144"/>
      <c r="I1002" s="144"/>
      <c r="J1002" s="935">
        <f>J998+J999+J1001+J1000</f>
        <v>4</v>
      </c>
    </row>
    <row r="1003" spans="1:10" hidden="1" x14ac:dyDescent="0.3"/>
    <row r="1004" spans="1:10" hidden="1" x14ac:dyDescent="0.3"/>
    <row r="1005" spans="1:10" ht="23.4" hidden="1" x14ac:dyDescent="0.3">
      <c r="A1005" s="3467" t="s">
        <v>523</v>
      </c>
      <c r="B1005" s="3467"/>
      <c r="C1005" s="3467"/>
      <c r="D1005" s="3467"/>
      <c r="E1005" s="3467"/>
      <c r="F1005" s="3467"/>
      <c r="G1005" s="3467"/>
      <c r="H1005" s="3467"/>
      <c r="I1005" s="3467"/>
      <c r="J1005" s="3467"/>
    </row>
    <row r="1006" spans="1:10" ht="15.6" hidden="1" x14ac:dyDescent="0.3">
      <c r="A1006" s="3461" t="s">
        <v>2</v>
      </c>
      <c r="B1006" s="3461"/>
      <c r="C1006" s="3461"/>
      <c r="D1006" s="3461"/>
      <c r="E1006" s="3461"/>
      <c r="F1006" s="3461"/>
      <c r="G1006" s="3461"/>
      <c r="H1006" s="3461"/>
      <c r="I1006" s="3461"/>
      <c r="J1006" s="3461"/>
    </row>
    <row r="1007" spans="1:10" hidden="1" x14ac:dyDescent="0.3">
      <c r="A1007" s="137" t="s">
        <v>3</v>
      </c>
      <c r="B1007" s="1781" t="s">
        <v>4</v>
      </c>
      <c r="C1007" s="137" t="s">
        <v>5</v>
      </c>
      <c r="D1007" s="137" t="s">
        <v>6</v>
      </c>
      <c r="E1007" s="137" t="s">
        <v>7</v>
      </c>
      <c r="F1007" s="137" t="s">
        <v>8</v>
      </c>
      <c r="G1007" s="137" t="s">
        <v>9</v>
      </c>
      <c r="H1007" s="137" t="s">
        <v>10</v>
      </c>
      <c r="I1007" s="137" t="s">
        <v>11</v>
      </c>
      <c r="J1007" s="137" t="s">
        <v>12</v>
      </c>
    </row>
    <row r="1008" spans="1:10" hidden="1" x14ac:dyDescent="0.3">
      <c r="A1008" s="137">
        <v>1</v>
      </c>
      <c r="B1008" s="3392" t="s">
        <v>782</v>
      </c>
      <c r="C1008" s="150" t="s">
        <v>138</v>
      </c>
      <c r="D1008" s="1222" t="s">
        <v>884</v>
      </c>
      <c r="E1008" s="150" t="s">
        <v>885</v>
      </c>
      <c r="F1008" s="151">
        <v>1000000</v>
      </c>
      <c r="G1008" s="150" t="s">
        <v>680</v>
      </c>
      <c r="H1008" s="150" t="s">
        <v>271</v>
      </c>
      <c r="I1008" s="150" t="s">
        <v>36</v>
      </c>
      <c r="J1008" s="137">
        <v>1</v>
      </c>
    </row>
    <row r="1009" spans="1:10" hidden="1" x14ac:dyDescent="0.3">
      <c r="A1009" s="137">
        <v>2</v>
      </c>
      <c r="B1009" s="1781" t="s">
        <v>782</v>
      </c>
      <c r="C1009" s="137" t="s">
        <v>138</v>
      </c>
      <c r="D1009" s="1221" t="s">
        <v>886</v>
      </c>
      <c r="E1009" s="137" t="s">
        <v>840</v>
      </c>
      <c r="F1009" s="137">
        <v>980000</v>
      </c>
      <c r="G1009" s="137" t="s">
        <v>43</v>
      </c>
      <c r="H1009" s="137" t="s">
        <v>271</v>
      </c>
      <c r="I1009" s="137" t="s">
        <v>36</v>
      </c>
      <c r="J1009" s="137">
        <v>1</v>
      </c>
    </row>
    <row r="1010" spans="1:10" hidden="1" x14ac:dyDescent="0.3">
      <c r="A1010" s="137">
        <v>3</v>
      </c>
      <c r="B1010" s="1781" t="s">
        <v>782</v>
      </c>
      <c r="C1010" s="137" t="s">
        <v>138</v>
      </c>
      <c r="D1010" s="1221" t="s">
        <v>887</v>
      </c>
      <c r="E1010" s="137" t="s">
        <v>885</v>
      </c>
      <c r="F1010" s="137">
        <v>950000</v>
      </c>
      <c r="G1010" s="838" t="s">
        <v>888</v>
      </c>
      <c r="H1010" s="137" t="s">
        <v>271</v>
      </c>
      <c r="I1010" s="137" t="s">
        <v>36</v>
      </c>
      <c r="J1010" s="137">
        <v>1</v>
      </c>
    </row>
    <row r="1011" spans="1:10" hidden="1" x14ac:dyDescent="0.3">
      <c r="A1011" s="137">
        <v>4</v>
      </c>
      <c r="B1011" s="1781" t="s">
        <v>782</v>
      </c>
      <c r="C1011" s="137" t="s">
        <v>138</v>
      </c>
      <c r="D1011" s="1221" t="s">
        <v>889</v>
      </c>
      <c r="E1011" s="137" t="s">
        <v>885</v>
      </c>
      <c r="F1011" s="137">
        <v>860000</v>
      </c>
      <c r="G1011" s="137" t="s">
        <v>888</v>
      </c>
      <c r="H1011" s="137" t="s">
        <v>271</v>
      </c>
      <c r="I1011" s="137" t="s">
        <v>36</v>
      </c>
      <c r="J1011" s="137">
        <v>1</v>
      </c>
    </row>
    <row r="1012" spans="1:10" hidden="1" x14ac:dyDescent="0.3">
      <c r="A1012" s="137">
        <v>5</v>
      </c>
      <c r="B1012" s="1781" t="s">
        <v>782</v>
      </c>
      <c r="C1012" s="137" t="s">
        <v>138</v>
      </c>
      <c r="D1012" s="1221" t="s">
        <v>890</v>
      </c>
      <c r="E1012" s="137" t="s">
        <v>885</v>
      </c>
      <c r="F1012" s="137">
        <v>860000</v>
      </c>
      <c r="G1012" s="137" t="s">
        <v>680</v>
      </c>
      <c r="H1012" s="137" t="s">
        <v>271</v>
      </c>
      <c r="I1012" s="137" t="s">
        <v>36</v>
      </c>
      <c r="J1012" s="137">
        <v>1</v>
      </c>
    </row>
    <row r="1013" spans="1:10" hidden="1" x14ac:dyDescent="0.3">
      <c r="A1013" s="137">
        <v>6</v>
      </c>
      <c r="B1013" s="1781" t="s">
        <v>891</v>
      </c>
      <c r="C1013" s="137" t="s">
        <v>138</v>
      </c>
      <c r="D1013" s="1221" t="s">
        <v>892</v>
      </c>
      <c r="E1013" s="137" t="s">
        <v>869</v>
      </c>
      <c r="F1013" s="137">
        <v>1650000</v>
      </c>
      <c r="G1013" s="137" t="s">
        <v>893</v>
      </c>
      <c r="H1013" s="137" t="s">
        <v>271</v>
      </c>
      <c r="I1013" s="137" t="s">
        <v>36</v>
      </c>
      <c r="J1013" s="137">
        <v>1</v>
      </c>
    </row>
    <row r="1014" spans="1:10" hidden="1" x14ac:dyDescent="0.3">
      <c r="A1014" s="137">
        <v>7</v>
      </c>
      <c r="B1014" s="1781" t="s">
        <v>881</v>
      </c>
      <c r="C1014" s="137" t="s">
        <v>37</v>
      </c>
      <c r="D1014" s="1221" t="s">
        <v>435</v>
      </c>
      <c r="E1014" s="137" t="s">
        <v>78</v>
      </c>
      <c r="F1014" s="137">
        <v>950000</v>
      </c>
      <c r="G1014" s="137" t="s">
        <v>894</v>
      </c>
      <c r="H1014" s="137" t="s">
        <v>271</v>
      </c>
      <c r="I1014" s="137" t="s">
        <v>36</v>
      </c>
      <c r="J1014" s="137">
        <v>1</v>
      </c>
    </row>
    <row r="1015" spans="1:10" hidden="1" x14ac:dyDescent="0.3">
      <c r="A1015" s="137">
        <v>8</v>
      </c>
      <c r="B1015" s="1781" t="s">
        <v>881</v>
      </c>
      <c r="C1015" s="137" t="s">
        <v>138</v>
      </c>
      <c r="D1015" s="1221" t="s">
        <v>895</v>
      </c>
      <c r="E1015" s="137" t="s">
        <v>896</v>
      </c>
      <c r="F1015" s="137">
        <v>1000000</v>
      </c>
      <c r="G1015" s="137" t="s">
        <v>897</v>
      </c>
      <c r="H1015" s="137" t="s">
        <v>271</v>
      </c>
      <c r="I1015" s="137" t="s">
        <v>36</v>
      </c>
      <c r="J1015" s="137">
        <v>1</v>
      </c>
    </row>
    <row r="1016" spans="1:10" hidden="1" x14ac:dyDescent="0.3">
      <c r="A1016" s="137">
        <v>9</v>
      </c>
      <c r="B1016" s="1781" t="s">
        <v>898</v>
      </c>
      <c r="C1016" s="137" t="s">
        <v>138</v>
      </c>
      <c r="D1016" s="1221" t="s">
        <v>899</v>
      </c>
      <c r="E1016" s="137" t="s">
        <v>805</v>
      </c>
      <c r="F1016" s="137">
        <v>1250000</v>
      </c>
      <c r="G1016" s="137" t="s">
        <v>900</v>
      </c>
      <c r="H1016" s="137" t="s">
        <v>271</v>
      </c>
      <c r="I1016" s="137" t="s">
        <v>36</v>
      </c>
      <c r="J1016" s="137">
        <v>1</v>
      </c>
    </row>
    <row r="1017" spans="1:10" hidden="1" x14ac:dyDescent="0.3">
      <c r="A1017" s="137">
        <v>10</v>
      </c>
      <c r="B1017" s="1781" t="s">
        <v>901</v>
      </c>
      <c r="C1017" s="137" t="s">
        <v>138</v>
      </c>
      <c r="D1017" s="1221" t="s">
        <v>902</v>
      </c>
      <c r="E1017" s="137" t="s">
        <v>869</v>
      </c>
      <c r="F1017" s="137">
        <v>1050000</v>
      </c>
      <c r="G1017" s="137" t="s">
        <v>43</v>
      </c>
      <c r="H1017" s="137" t="s">
        <v>271</v>
      </c>
      <c r="I1017" s="137" t="s">
        <v>36</v>
      </c>
      <c r="J1017" s="137">
        <v>1</v>
      </c>
    </row>
    <row r="1018" spans="1:10" hidden="1" x14ac:dyDescent="0.3">
      <c r="A1018" s="137">
        <v>11</v>
      </c>
      <c r="B1018" s="1781" t="s">
        <v>860</v>
      </c>
      <c r="C1018" s="137" t="s">
        <v>138</v>
      </c>
      <c r="D1018" s="1221" t="s">
        <v>903</v>
      </c>
      <c r="E1018" s="137" t="s">
        <v>904</v>
      </c>
      <c r="F1018" s="137">
        <v>1150000</v>
      </c>
      <c r="G1018" s="137" t="s">
        <v>43</v>
      </c>
      <c r="H1018" s="137" t="s">
        <v>271</v>
      </c>
      <c r="I1018" s="137" t="s">
        <v>36</v>
      </c>
      <c r="J1018" s="137">
        <v>1</v>
      </c>
    </row>
    <row r="1019" spans="1:10" hidden="1" x14ac:dyDescent="0.3">
      <c r="A1019" s="137">
        <v>12</v>
      </c>
      <c r="B1019" s="1781" t="s">
        <v>905</v>
      </c>
      <c r="C1019" s="137" t="s">
        <v>138</v>
      </c>
      <c r="D1019" s="1221" t="s">
        <v>906</v>
      </c>
      <c r="E1019" s="137" t="s">
        <v>869</v>
      </c>
      <c r="F1019" s="137">
        <v>1200000</v>
      </c>
      <c r="G1019" s="137" t="s">
        <v>907</v>
      </c>
      <c r="H1019" s="137" t="s">
        <v>271</v>
      </c>
      <c r="I1019" s="137" t="s">
        <v>36</v>
      </c>
      <c r="J1019" s="137">
        <v>1</v>
      </c>
    </row>
    <row r="1020" spans="1:10" hidden="1" x14ac:dyDescent="0.3">
      <c r="A1020" s="137">
        <v>13</v>
      </c>
      <c r="B1020" s="1781" t="s">
        <v>816</v>
      </c>
      <c r="C1020" s="137" t="s">
        <v>138</v>
      </c>
      <c r="D1020" s="1221" t="s">
        <v>908</v>
      </c>
      <c r="E1020" s="137" t="s">
        <v>904</v>
      </c>
      <c r="F1020" s="137">
        <v>1300000</v>
      </c>
      <c r="G1020" s="137" t="s">
        <v>43</v>
      </c>
      <c r="H1020" s="137" t="s">
        <v>271</v>
      </c>
      <c r="I1020" s="137" t="s">
        <v>36</v>
      </c>
      <c r="J1020" s="137">
        <v>1</v>
      </c>
    </row>
    <row r="1021" spans="1:10" hidden="1" x14ac:dyDescent="0.3">
      <c r="A1021" s="137">
        <v>14</v>
      </c>
      <c r="B1021" s="1781" t="s">
        <v>867</v>
      </c>
      <c r="C1021" s="137" t="s">
        <v>138</v>
      </c>
      <c r="D1021" s="1221" t="s">
        <v>909</v>
      </c>
      <c r="E1021" s="137" t="s">
        <v>869</v>
      </c>
      <c r="F1021" s="137">
        <v>1200000</v>
      </c>
      <c r="G1021" s="137" t="s">
        <v>910</v>
      </c>
      <c r="H1021" s="137" t="s">
        <v>271</v>
      </c>
      <c r="I1021" s="137" t="s">
        <v>36</v>
      </c>
      <c r="J1021" s="137">
        <v>1</v>
      </c>
    </row>
    <row r="1022" spans="1:10" hidden="1" x14ac:dyDescent="0.3">
      <c r="A1022" s="1781">
        <v>15</v>
      </c>
      <c r="B1022" s="3392" t="s">
        <v>911</v>
      </c>
      <c r="C1022" s="150" t="s">
        <v>138</v>
      </c>
      <c r="D1022" s="1222" t="s">
        <v>912</v>
      </c>
      <c r="E1022" s="150" t="s">
        <v>913</v>
      </c>
      <c r="F1022" s="151">
        <v>1100000</v>
      </c>
      <c r="G1022" s="150" t="s">
        <v>914</v>
      </c>
      <c r="H1022" s="150" t="s">
        <v>271</v>
      </c>
      <c r="I1022" s="150" t="s">
        <v>36</v>
      </c>
      <c r="J1022" s="137">
        <v>1</v>
      </c>
    </row>
    <row r="1023" spans="1:10" hidden="1" x14ac:dyDescent="0.3">
      <c r="A1023" s="1781">
        <v>16</v>
      </c>
      <c r="B1023" s="3392" t="s">
        <v>915</v>
      </c>
      <c r="C1023" s="150" t="s">
        <v>916</v>
      </c>
      <c r="D1023" s="641" t="s">
        <v>917</v>
      </c>
      <c r="E1023" s="150" t="s">
        <v>216</v>
      </c>
      <c r="F1023" s="151">
        <v>4000000</v>
      </c>
      <c r="G1023" s="150" t="s">
        <v>43</v>
      </c>
      <c r="H1023" s="150" t="s">
        <v>44</v>
      </c>
      <c r="I1023" s="150" t="s">
        <v>36</v>
      </c>
      <c r="J1023" s="137">
        <v>1</v>
      </c>
    </row>
    <row r="1024" spans="1:10" hidden="1" x14ac:dyDescent="0.3">
      <c r="A1024" s="1781">
        <v>17</v>
      </c>
      <c r="B1024" s="3392" t="s">
        <v>915</v>
      </c>
      <c r="C1024" s="150" t="s">
        <v>138</v>
      </c>
      <c r="D1024" s="641" t="s">
        <v>918</v>
      </c>
      <c r="E1024" s="150" t="s">
        <v>805</v>
      </c>
      <c r="F1024" s="151">
        <v>1250000</v>
      </c>
      <c r="G1024" s="150" t="s">
        <v>919</v>
      </c>
      <c r="H1024" s="150" t="s">
        <v>271</v>
      </c>
      <c r="I1024" s="150" t="s">
        <v>36</v>
      </c>
      <c r="J1024" s="137">
        <v>1</v>
      </c>
    </row>
    <row r="1025" spans="1:10" hidden="1" x14ac:dyDescent="0.3">
      <c r="A1025" s="1781">
        <v>18</v>
      </c>
      <c r="B1025" s="3392" t="s">
        <v>915</v>
      </c>
      <c r="C1025" s="150" t="s">
        <v>138</v>
      </c>
      <c r="D1025" s="641" t="s">
        <v>920</v>
      </c>
      <c r="E1025" s="150" t="s">
        <v>78</v>
      </c>
      <c r="F1025" s="151">
        <v>950000</v>
      </c>
      <c r="G1025" s="150" t="s">
        <v>921</v>
      </c>
      <c r="H1025" s="150" t="s">
        <v>271</v>
      </c>
      <c r="I1025" s="150" t="s">
        <v>36</v>
      </c>
      <c r="J1025" s="137">
        <v>1</v>
      </c>
    </row>
    <row r="1026" spans="1:10" hidden="1" x14ac:dyDescent="0.3">
      <c r="A1026" s="1781">
        <v>19</v>
      </c>
      <c r="B1026" s="1781" t="s">
        <v>915</v>
      </c>
      <c r="C1026" s="150" t="s">
        <v>138</v>
      </c>
      <c r="D1026" s="641" t="s">
        <v>922</v>
      </c>
      <c r="E1026" s="150" t="s">
        <v>869</v>
      </c>
      <c r="F1026" s="151">
        <v>1200000</v>
      </c>
      <c r="G1026" s="150" t="s">
        <v>634</v>
      </c>
      <c r="H1026" s="150" t="s">
        <v>271</v>
      </c>
      <c r="I1026" s="150" t="s">
        <v>36</v>
      </c>
      <c r="J1026" s="137">
        <v>1</v>
      </c>
    </row>
    <row r="1027" spans="1:10" hidden="1" x14ac:dyDescent="0.3">
      <c r="A1027" s="1781">
        <v>20</v>
      </c>
      <c r="B1027" s="1781" t="s">
        <v>876</v>
      </c>
      <c r="C1027" s="150" t="s">
        <v>219</v>
      </c>
      <c r="D1027" s="641" t="s">
        <v>923</v>
      </c>
      <c r="E1027" s="150" t="s">
        <v>913</v>
      </c>
      <c r="F1027" s="151">
        <v>1200000</v>
      </c>
      <c r="G1027" s="150" t="s">
        <v>897</v>
      </c>
      <c r="H1027" s="150" t="s">
        <v>271</v>
      </c>
      <c r="I1027" s="150" t="s">
        <v>36</v>
      </c>
      <c r="J1027" s="137">
        <v>1</v>
      </c>
    </row>
    <row r="1028" spans="1:10" hidden="1" x14ac:dyDescent="0.3">
      <c r="A1028" s="1781">
        <v>21</v>
      </c>
      <c r="B1028" s="1781" t="s">
        <v>876</v>
      </c>
      <c r="C1028" s="150" t="s">
        <v>138</v>
      </c>
      <c r="D1028" s="641" t="s">
        <v>924</v>
      </c>
      <c r="E1028" s="150" t="s">
        <v>925</v>
      </c>
      <c r="F1028" s="151">
        <v>1000000</v>
      </c>
      <c r="G1028" s="150" t="s">
        <v>926</v>
      </c>
      <c r="H1028" s="150" t="s">
        <v>271</v>
      </c>
      <c r="I1028" s="150" t="s">
        <v>36</v>
      </c>
      <c r="J1028" s="137">
        <v>1</v>
      </c>
    </row>
    <row r="1029" spans="1:10" hidden="1" x14ac:dyDescent="0.3">
      <c r="A1029" s="1781"/>
      <c r="B1029" s="1781"/>
      <c r="C1029" s="150"/>
      <c r="D1029" s="641"/>
      <c r="E1029" s="150"/>
      <c r="F1029" s="151"/>
      <c r="G1029" s="150"/>
      <c r="H1029" s="150"/>
      <c r="I1029" s="150"/>
      <c r="J1029" s="137"/>
    </row>
    <row r="1030" spans="1:10" ht="25.8" hidden="1" x14ac:dyDescent="0.5">
      <c r="A1030" s="1781"/>
      <c r="B1030" s="1781"/>
      <c r="C1030" s="150"/>
      <c r="D1030" s="641"/>
      <c r="E1030" s="150"/>
      <c r="F1030" s="151"/>
      <c r="G1030" s="150"/>
      <c r="H1030" s="150"/>
      <c r="I1030" s="150"/>
      <c r="J1030" s="934">
        <f>SUM(J1008:J1028)</f>
        <v>21</v>
      </c>
    </row>
    <row r="1031" spans="1:10" hidden="1" x14ac:dyDescent="0.3">
      <c r="A1031" s="3473" t="s">
        <v>33</v>
      </c>
      <c r="B1031" s="3473"/>
      <c r="C1031" s="3473"/>
      <c r="D1031" s="3473"/>
      <c r="E1031" s="3473"/>
      <c r="F1031" s="3473"/>
      <c r="G1031" s="3473"/>
      <c r="H1031" s="3473"/>
      <c r="I1031" s="3473"/>
      <c r="J1031" s="3473"/>
    </row>
    <row r="1032" spans="1:10" hidden="1" x14ac:dyDescent="0.3">
      <c r="A1032" s="137" t="s">
        <v>3</v>
      </c>
      <c r="B1032" s="1781" t="s">
        <v>4</v>
      </c>
      <c r="C1032" s="137" t="s">
        <v>5</v>
      </c>
      <c r="D1032" s="137" t="s">
        <v>6</v>
      </c>
      <c r="E1032" s="137" t="s">
        <v>7</v>
      </c>
      <c r="F1032" s="137" t="s">
        <v>8</v>
      </c>
      <c r="G1032" s="137" t="s">
        <v>9</v>
      </c>
      <c r="H1032" s="137" t="s">
        <v>10</v>
      </c>
      <c r="I1032" s="137" t="s">
        <v>11</v>
      </c>
      <c r="J1032" s="137" t="s">
        <v>12</v>
      </c>
    </row>
    <row r="1033" spans="1:10" hidden="1" x14ac:dyDescent="0.3">
      <c r="A1033" s="549">
        <v>1</v>
      </c>
      <c r="B1033" s="3393" t="s">
        <v>797</v>
      </c>
      <c r="C1033" s="152" t="s">
        <v>138</v>
      </c>
      <c r="D1033" s="152" t="s">
        <v>902</v>
      </c>
      <c r="E1033" s="152" t="s">
        <v>869</v>
      </c>
      <c r="F1033" s="152">
        <v>200000000</v>
      </c>
      <c r="G1033" s="152" t="s">
        <v>43</v>
      </c>
      <c r="H1033" s="152" t="s">
        <v>271</v>
      </c>
      <c r="I1033" s="152" t="s">
        <v>36</v>
      </c>
      <c r="J1033" s="200">
        <v>1</v>
      </c>
    </row>
    <row r="1034" spans="1:10" hidden="1" x14ac:dyDescent="0.3">
      <c r="A1034" s="549">
        <v>2</v>
      </c>
      <c r="B1034" s="3393" t="s">
        <v>927</v>
      </c>
      <c r="C1034" s="152" t="s">
        <v>138</v>
      </c>
      <c r="D1034" s="152" t="s">
        <v>928</v>
      </c>
      <c r="E1034" s="152" t="s">
        <v>869</v>
      </c>
      <c r="F1034" s="152">
        <v>270000000</v>
      </c>
      <c r="G1034" s="152" t="s">
        <v>634</v>
      </c>
      <c r="H1034" s="152" t="s">
        <v>271</v>
      </c>
      <c r="I1034" s="152" t="s">
        <v>36</v>
      </c>
      <c r="J1034" s="200">
        <v>1</v>
      </c>
    </row>
    <row r="1035" spans="1:10" hidden="1" x14ac:dyDescent="0.3">
      <c r="A1035" s="597">
        <v>3</v>
      </c>
      <c r="B1035" s="3394" t="s">
        <v>927</v>
      </c>
      <c r="C1035" s="154" t="s">
        <v>138</v>
      </c>
      <c r="D1035" s="154" t="s">
        <v>929</v>
      </c>
      <c r="E1035" s="154" t="s">
        <v>869</v>
      </c>
      <c r="F1035" s="154">
        <v>290000000</v>
      </c>
      <c r="G1035" s="154" t="s">
        <v>930</v>
      </c>
      <c r="H1035" s="154" t="s">
        <v>271</v>
      </c>
      <c r="I1035" s="154" t="s">
        <v>36</v>
      </c>
      <c r="J1035" s="598">
        <v>1</v>
      </c>
    </row>
    <row r="1036" spans="1:10" ht="24.6" hidden="1" x14ac:dyDescent="0.4">
      <c r="A1036" s="144"/>
      <c r="B1036" s="595"/>
      <c r="C1036" s="144"/>
      <c r="D1036" s="144"/>
      <c r="E1036" s="144"/>
      <c r="F1036" s="144"/>
      <c r="G1036" s="144"/>
      <c r="H1036" s="144"/>
      <c r="I1036" s="144"/>
      <c r="J1036" s="935">
        <f>J1033+J1034+J1035</f>
        <v>3</v>
      </c>
    </row>
    <row r="1037" spans="1:10" hidden="1" x14ac:dyDescent="0.3"/>
    <row r="1038" spans="1:10" hidden="1" x14ac:dyDescent="0.3"/>
    <row r="1039" spans="1:10" ht="23.4" hidden="1" x14ac:dyDescent="0.3">
      <c r="A1039" s="3467" t="s">
        <v>510</v>
      </c>
      <c r="B1039" s="3467"/>
      <c r="C1039" s="3467"/>
      <c r="D1039" s="3467"/>
      <c r="E1039" s="3467"/>
      <c r="F1039" s="3467"/>
      <c r="G1039" s="3467"/>
      <c r="H1039" s="3467"/>
      <c r="I1039" s="3467"/>
      <c r="J1039" s="3467"/>
    </row>
    <row r="1040" spans="1:10" ht="15.6" hidden="1" x14ac:dyDescent="0.3">
      <c r="A1040" s="3461" t="s">
        <v>2</v>
      </c>
      <c r="B1040" s="3461"/>
      <c r="C1040" s="3461"/>
      <c r="D1040" s="3461"/>
      <c r="E1040" s="3461"/>
      <c r="F1040" s="3461"/>
      <c r="G1040" s="3461"/>
      <c r="H1040" s="3461"/>
      <c r="I1040" s="3461"/>
      <c r="J1040" s="3461"/>
    </row>
    <row r="1041" spans="1:10" hidden="1" x14ac:dyDescent="0.3">
      <c r="A1041" s="137" t="s">
        <v>3</v>
      </c>
      <c r="B1041" s="1781" t="s">
        <v>4</v>
      </c>
      <c r="C1041" s="137" t="s">
        <v>5</v>
      </c>
      <c r="D1041" s="137" t="s">
        <v>6</v>
      </c>
      <c r="E1041" s="137" t="s">
        <v>7</v>
      </c>
      <c r="F1041" s="137" t="s">
        <v>8</v>
      </c>
      <c r="G1041" s="137" t="s">
        <v>9</v>
      </c>
      <c r="H1041" s="137" t="s">
        <v>10</v>
      </c>
      <c r="I1041" s="137" t="s">
        <v>11</v>
      </c>
      <c r="J1041" s="137" t="s">
        <v>12</v>
      </c>
    </row>
    <row r="1042" spans="1:10" hidden="1" x14ac:dyDescent="0.3">
      <c r="A1042" s="137">
        <v>1</v>
      </c>
      <c r="B1042" s="3397" t="s">
        <v>782</v>
      </c>
      <c r="C1042" s="147" t="s">
        <v>138</v>
      </c>
      <c r="D1042" s="1360" t="s">
        <v>931</v>
      </c>
      <c r="E1042" s="147" t="s">
        <v>822</v>
      </c>
      <c r="F1042" s="147">
        <v>1100000</v>
      </c>
      <c r="G1042" s="147" t="s">
        <v>932</v>
      </c>
      <c r="H1042" s="147" t="s">
        <v>271</v>
      </c>
      <c r="I1042" s="147" t="s">
        <v>36</v>
      </c>
      <c r="J1042" s="147">
        <v>1</v>
      </c>
    </row>
    <row r="1043" spans="1:10" hidden="1" x14ac:dyDescent="0.3">
      <c r="A1043" s="1005">
        <v>2</v>
      </c>
      <c r="B1043" s="2" t="s">
        <v>891</v>
      </c>
      <c r="C1043" s="11" t="s">
        <v>138</v>
      </c>
      <c r="D1043" s="34" t="s">
        <v>933</v>
      </c>
      <c r="E1043" s="11" t="s">
        <v>78</v>
      </c>
      <c r="F1043" s="11">
        <v>900000</v>
      </c>
      <c r="G1043" s="11" t="s">
        <v>934</v>
      </c>
      <c r="H1043" s="11" t="s">
        <v>271</v>
      </c>
      <c r="I1043" s="11" t="s">
        <v>36</v>
      </c>
      <c r="J1043" s="11">
        <v>1</v>
      </c>
    </row>
    <row r="1044" spans="1:10" hidden="1" x14ac:dyDescent="0.3">
      <c r="A1044" s="137">
        <v>3</v>
      </c>
      <c r="B1044" s="3398" t="s">
        <v>807</v>
      </c>
      <c r="C1044" s="148" t="s">
        <v>138</v>
      </c>
      <c r="D1044" s="1361" t="s">
        <v>935</v>
      </c>
      <c r="E1044" s="148" t="s">
        <v>78</v>
      </c>
      <c r="F1044" s="148">
        <v>1350000</v>
      </c>
      <c r="G1044" s="148" t="s">
        <v>936</v>
      </c>
      <c r="H1044" s="148" t="s">
        <v>271</v>
      </c>
      <c r="I1044" s="148" t="s">
        <v>36</v>
      </c>
      <c r="J1044" s="148">
        <v>1</v>
      </c>
    </row>
    <row r="1045" spans="1:10" hidden="1" x14ac:dyDescent="0.3">
      <c r="A1045" s="137">
        <v>4</v>
      </c>
      <c r="B1045" s="1781" t="s">
        <v>852</v>
      </c>
      <c r="C1045" s="137" t="s">
        <v>74</v>
      </c>
      <c r="D1045" s="642" t="s">
        <v>937</v>
      </c>
      <c r="E1045" s="137" t="s">
        <v>78</v>
      </c>
      <c r="F1045" s="137">
        <v>1250000</v>
      </c>
      <c r="G1045" s="137" t="s">
        <v>934</v>
      </c>
      <c r="H1045" s="137" t="s">
        <v>271</v>
      </c>
      <c r="I1045" s="137" t="s">
        <v>36</v>
      </c>
      <c r="J1045" s="137">
        <v>1</v>
      </c>
    </row>
    <row r="1046" spans="1:10" hidden="1" x14ac:dyDescent="0.3">
      <c r="A1046" s="137">
        <v>5</v>
      </c>
      <c r="B1046" s="1781" t="s">
        <v>852</v>
      </c>
      <c r="C1046" s="137" t="s">
        <v>138</v>
      </c>
      <c r="D1046" s="642" t="s">
        <v>938</v>
      </c>
      <c r="E1046" s="137" t="s">
        <v>390</v>
      </c>
      <c r="F1046" s="137">
        <v>1000000</v>
      </c>
      <c r="G1046" s="137" t="s">
        <v>517</v>
      </c>
      <c r="H1046" s="137" t="s">
        <v>271</v>
      </c>
      <c r="I1046" s="137" t="s">
        <v>36</v>
      </c>
      <c r="J1046" s="137">
        <v>1</v>
      </c>
    </row>
    <row r="1047" spans="1:10" hidden="1" x14ac:dyDescent="0.3">
      <c r="A1047" s="137">
        <v>6</v>
      </c>
      <c r="B1047" s="1781" t="s">
        <v>898</v>
      </c>
      <c r="C1047" s="137" t="s">
        <v>138</v>
      </c>
      <c r="D1047" s="642" t="s">
        <v>939</v>
      </c>
      <c r="E1047" s="137" t="s">
        <v>822</v>
      </c>
      <c r="F1047" s="137">
        <v>1000000</v>
      </c>
      <c r="G1047" s="137" t="s">
        <v>940</v>
      </c>
      <c r="H1047" s="137" t="s">
        <v>271</v>
      </c>
      <c r="I1047" s="137" t="s">
        <v>36</v>
      </c>
      <c r="J1047" s="137">
        <v>1</v>
      </c>
    </row>
    <row r="1048" spans="1:10" hidden="1" x14ac:dyDescent="0.3">
      <c r="A1048" s="137">
        <v>7</v>
      </c>
      <c r="B1048" s="1781" t="s">
        <v>856</v>
      </c>
      <c r="C1048" s="137" t="s">
        <v>138</v>
      </c>
      <c r="D1048" s="642" t="s">
        <v>941</v>
      </c>
      <c r="E1048" s="137" t="s">
        <v>942</v>
      </c>
      <c r="F1048" s="137">
        <v>700000</v>
      </c>
      <c r="G1048" s="137" t="s">
        <v>43</v>
      </c>
      <c r="H1048" s="137" t="s">
        <v>271</v>
      </c>
      <c r="I1048" s="137" t="s">
        <v>36</v>
      </c>
      <c r="J1048" s="137">
        <v>1</v>
      </c>
    </row>
    <row r="1049" spans="1:10" hidden="1" x14ac:dyDescent="0.3">
      <c r="A1049" s="137">
        <v>8</v>
      </c>
      <c r="B1049" s="1781" t="s">
        <v>813</v>
      </c>
      <c r="C1049" s="137" t="s">
        <v>138</v>
      </c>
      <c r="D1049" s="642" t="s">
        <v>943</v>
      </c>
      <c r="E1049" s="137" t="s">
        <v>78</v>
      </c>
      <c r="F1049" s="137">
        <v>900000</v>
      </c>
      <c r="G1049" s="137" t="s">
        <v>498</v>
      </c>
      <c r="H1049" s="137" t="s">
        <v>271</v>
      </c>
      <c r="I1049" s="137" t="s">
        <v>36</v>
      </c>
      <c r="J1049" s="137">
        <v>1</v>
      </c>
    </row>
    <row r="1050" spans="1:10" hidden="1" x14ac:dyDescent="0.3">
      <c r="A1050" s="137">
        <v>9</v>
      </c>
      <c r="B1050" s="1781" t="s">
        <v>944</v>
      </c>
      <c r="C1050" s="137" t="s">
        <v>138</v>
      </c>
      <c r="D1050" s="642" t="s">
        <v>945</v>
      </c>
      <c r="E1050" s="137" t="s">
        <v>858</v>
      </c>
      <c r="F1050" s="137">
        <v>1300000</v>
      </c>
      <c r="G1050" s="137" t="s">
        <v>397</v>
      </c>
      <c r="H1050" s="137" t="s">
        <v>271</v>
      </c>
      <c r="I1050" s="137" t="s">
        <v>36</v>
      </c>
      <c r="J1050" s="137">
        <v>1</v>
      </c>
    </row>
    <row r="1051" spans="1:10" hidden="1" x14ac:dyDescent="0.3">
      <c r="A1051" s="137">
        <v>10</v>
      </c>
      <c r="B1051" s="1781" t="s">
        <v>944</v>
      </c>
      <c r="C1051" s="137" t="s">
        <v>138</v>
      </c>
      <c r="D1051" s="137" t="s">
        <v>946</v>
      </c>
      <c r="E1051" s="137" t="s">
        <v>775</v>
      </c>
      <c r="F1051" s="137">
        <v>1100000</v>
      </c>
      <c r="G1051" s="137" t="s">
        <v>43</v>
      </c>
      <c r="H1051" s="137" t="s">
        <v>271</v>
      </c>
      <c r="I1051" s="137" t="s">
        <v>36</v>
      </c>
      <c r="J1051" s="137">
        <v>1</v>
      </c>
    </row>
    <row r="1052" spans="1:10" hidden="1" x14ac:dyDescent="0.3">
      <c r="A1052" s="137">
        <v>11</v>
      </c>
      <c r="B1052" s="1781" t="s">
        <v>915</v>
      </c>
      <c r="C1052" s="137" t="s">
        <v>138</v>
      </c>
      <c r="D1052" s="137" t="s">
        <v>947</v>
      </c>
      <c r="E1052" s="137" t="s">
        <v>78</v>
      </c>
      <c r="F1052" s="137">
        <v>900000</v>
      </c>
      <c r="G1052" s="137" t="s">
        <v>948</v>
      </c>
      <c r="H1052" s="137" t="s">
        <v>271</v>
      </c>
      <c r="I1052" s="137" t="s">
        <v>36</v>
      </c>
      <c r="J1052" s="137">
        <v>1</v>
      </c>
    </row>
    <row r="1053" spans="1:10" hidden="1" x14ac:dyDescent="0.3">
      <c r="A1053" s="137">
        <v>12</v>
      </c>
      <c r="B1053" s="1781" t="s">
        <v>949</v>
      </c>
      <c r="C1053" s="137" t="s">
        <v>138</v>
      </c>
      <c r="D1053" s="137" t="s">
        <v>950</v>
      </c>
      <c r="E1053" s="137" t="s">
        <v>78</v>
      </c>
      <c r="F1053" s="137">
        <v>1000000</v>
      </c>
      <c r="G1053" s="137" t="s">
        <v>951</v>
      </c>
      <c r="H1053" s="137" t="s">
        <v>271</v>
      </c>
      <c r="I1053" s="137" t="s">
        <v>36</v>
      </c>
      <c r="J1053" s="137">
        <v>1</v>
      </c>
    </row>
    <row r="1054" spans="1:10" hidden="1" x14ac:dyDescent="0.3">
      <c r="A1054" s="137">
        <v>13</v>
      </c>
      <c r="B1054" s="1781"/>
      <c r="C1054" s="137"/>
      <c r="D1054" s="137"/>
      <c r="E1054" s="137"/>
      <c r="F1054" s="137"/>
      <c r="G1054" s="137"/>
      <c r="H1054" s="137"/>
      <c r="I1054" s="137"/>
      <c r="J1054" s="137"/>
    </row>
    <row r="1055" spans="1:10" hidden="1" x14ac:dyDescent="0.3">
      <c r="A1055" s="137">
        <v>14</v>
      </c>
      <c r="B1055" s="1781"/>
      <c r="C1055" s="137"/>
      <c r="D1055" s="137"/>
      <c r="E1055" s="137"/>
      <c r="F1055" s="137"/>
      <c r="G1055" s="137"/>
      <c r="H1055" s="137"/>
      <c r="I1055" s="137"/>
      <c r="J1055" s="137"/>
    </row>
    <row r="1056" spans="1:10" hidden="1" x14ac:dyDescent="0.3">
      <c r="A1056" s="1781">
        <v>15</v>
      </c>
      <c r="B1056" s="3392"/>
      <c r="C1056" s="150"/>
      <c r="D1056" s="641"/>
      <c r="E1056" s="150"/>
      <c r="F1056" s="151"/>
      <c r="G1056" s="150"/>
      <c r="H1056" s="150"/>
      <c r="I1056" s="150"/>
      <c r="J1056" s="137"/>
    </row>
    <row r="1057" spans="1:10" hidden="1" x14ac:dyDescent="0.3">
      <c r="A1057" s="1781">
        <v>16</v>
      </c>
      <c r="B1057" s="3392"/>
      <c r="C1057" s="150"/>
      <c r="D1057" s="641"/>
      <c r="E1057" s="150"/>
      <c r="F1057" s="151"/>
      <c r="G1057" s="150"/>
      <c r="H1057" s="150"/>
      <c r="I1057" s="150"/>
      <c r="J1057" s="137"/>
    </row>
    <row r="1058" spans="1:10" hidden="1" x14ac:dyDescent="0.3">
      <c r="A1058" s="1781">
        <v>17</v>
      </c>
      <c r="B1058" s="3392"/>
      <c r="C1058" s="150"/>
      <c r="D1058" s="641"/>
      <c r="E1058" s="150"/>
      <c r="F1058" s="151"/>
      <c r="G1058" s="150"/>
      <c r="H1058" s="150"/>
      <c r="I1058" s="150"/>
      <c r="J1058" s="137"/>
    </row>
    <row r="1059" spans="1:10" hidden="1" x14ac:dyDescent="0.3">
      <c r="A1059" s="1781">
        <v>18</v>
      </c>
      <c r="B1059" s="3392"/>
      <c r="C1059" s="150"/>
      <c r="D1059" s="641"/>
      <c r="E1059" s="150"/>
      <c r="F1059" s="151"/>
      <c r="G1059" s="150"/>
      <c r="H1059" s="150"/>
      <c r="I1059" s="150"/>
      <c r="J1059" s="137"/>
    </row>
    <row r="1060" spans="1:10" hidden="1" x14ac:dyDescent="0.3">
      <c r="A1060" s="1781">
        <v>19</v>
      </c>
      <c r="B1060" s="1781"/>
      <c r="C1060" s="150"/>
      <c r="D1060" s="641"/>
      <c r="E1060" s="150"/>
      <c r="F1060" s="151"/>
      <c r="G1060" s="150"/>
      <c r="H1060" s="150"/>
      <c r="I1060" s="150"/>
      <c r="J1060" s="137"/>
    </row>
    <row r="1061" spans="1:10" hidden="1" x14ac:dyDescent="0.3">
      <c r="A1061" s="1781">
        <v>20</v>
      </c>
      <c r="B1061" s="1781"/>
      <c r="C1061" s="150"/>
      <c r="D1061" s="641"/>
      <c r="E1061" s="150"/>
      <c r="F1061" s="151"/>
      <c r="G1061" s="150"/>
      <c r="H1061" s="150"/>
      <c r="I1061" s="150"/>
      <c r="J1061" s="137"/>
    </row>
    <row r="1062" spans="1:10" ht="25.8" hidden="1" x14ac:dyDescent="0.5">
      <c r="A1062" s="1781"/>
      <c r="B1062" s="1781"/>
      <c r="C1062" s="150"/>
      <c r="D1062" s="641"/>
      <c r="E1062" s="150"/>
      <c r="F1062" s="151"/>
      <c r="G1062" s="150"/>
      <c r="H1062" s="150"/>
      <c r="I1062" s="150"/>
      <c r="J1062" s="934">
        <f>SUM(J1042:J1061)</f>
        <v>12</v>
      </c>
    </row>
    <row r="1063" spans="1:10" hidden="1" x14ac:dyDescent="0.3">
      <c r="A1063" s="3473" t="s">
        <v>33</v>
      </c>
      <c r="B1063" s="3473"/>
      <c r="C1063" s="3473"/>
      <c r="D1063" s="3473"/>
      <c r="E1063" s="3473"/>
      <c r="F1063" s="3473"/>
      <c r="G1063" s="3473"/>
      <c r="H1063" s="3473"/>
      <c r="I1063" s="3473"/>
      <c r="J1063" s="3473"/>
    </row>
    <row r="1064" spans="1:10" hidden="1" x14ac:dyDescent="0.3">
      <c r="A1064" s="137" t="s">
        <v>3</v>
      </c>
      <c r="B1064" s="1781" t="s">
        <v>4</v>
      </c>
      <c r="C1064" s="137" t="s">
        <v>5</v>
      </c>
      <c r="D1064" s="137" t="s">
        <v>6</v>
      </c>
      <c r="E1064" s="137" t="s">
        <v>7</v>
      </c>
      <c r="F1064" s="137" t="s">
        <v>8</v>
      </c>
      <c r="G1064" s="137" t="s">
        <v>9</v>
      </c>
      <c r="H1064" s="137" t="s">
        <v>10</v>
      </c>
      <c r="I1064" s="137" t="s">
        <v>11</v>
      </c>
      <c r="J1064" s="137" t="s">
        <v>12</v>
      </c>
    </row>
    <row r="1065" spans="1:10" hidden="1" x14ac:dyDescent="0.3">
      <c r="A1065" s="549">
        <v>1</v>
      </c>
      <c r="B1065" s="3393" t="s">
        <v>782</v>
      </c>
      <c r="C1065" s="152" t="s">
        <v>74</v>
      </c>
      <c r="D1065" s="152" t="s">
        <v>952</v>
      </c>
      <c r="E1065" s="152" t="s">
        <v>953</v>
      </c>
      <c r="F1065" s="152">
        <v>115000000</v>
      </c>
      <c r="G1065" s="152" t="s">
        <v>168</v>
      </c>
      <c r="H1065" s="152" t="s">
        <v>271</v>
      </c>
      <c r="I1065" s="152" t="s">
        <v>36</v>
      </c>
      <c r="J1065" s="200">
        <v>1</v>
      </c>
    </row>
    <row r="1066" spans="1:10" hidden="1" x14ac:dyDescent="0.3">
      <c r="A1066" s="549">
        <v>2</v>
      </c>
      <c r="B1066" s="3393" t="s">
        <v>647</v>
      </c>
      <c r="C1066" s="152" t="s">
        <v>138</v>
      </c>
      <c r="D1066" s="152" t="s">
        <v>954</v>
      </c>
      <c r="E1066" s="152" t="s">
        <v>78</v>
      </c>
      <c r="F1066" s="152">
        <v>245000000</v>
      </c>
      <c r="G1066" s="152" t="s">
        <v>359</v>
      </c>
      <c r="H1066" s="152" t="s">
        <v>271</v>
      </c>
      <c r="I1066" s="152" t="s">
        <v>36</v>
      </c>
      <c r="J1066" s="200">
        <v>1</v>
      </c>
    </row>
    <row r="1067" spans="1:10" hidden="1" x14ac:dyDescent="0.3">
      <c r="A1067" s="597">
        <v>3</v>
      </c>
      <c r="B1067" s="595" t="s">
        <v>891</v>
      </c>
      <c r="C1067" s="144" t="s">
        <v>138</v>
      </c>
      <c r="D1067" s="144" t="s">
        <v>933</v>
      </c>
      <c r="E1067" s="144" t="s">
        <v>78</v>
      </c>
      <c r="F1067" s="144">
        <v>170000000</v>
      </c>
      <c r="G1067" s="144" t="s">
        <v>934</v>
      </c>
      <c r="H1067" s="144" t="s">
        <v>271</v>
      </c>
      <c r="I1067" s="144" t="s">
        <v>36</v>
      </c>
      <c r="J1067" s="144">
        <v>1</v>
      </c>
    </row>
    <row r="1068" spans="1:10" hidden="1" x14ac:dyDescent="0.3">
      <c r="A1068" s="595">
        <v>4</v>
      </c>
      <c r="B1068" s="3400" t="s">
        <v>807</v>
      </c>
      <c r="C1068" s="1023" t="s">
        <v>138</v>
      </c>
      <c r="D1068" s="1023" t="s">
        <v>935</v>
      </c>
      <c r="E1068" s="1023" t="s">
        <v>78</v>
      </c>
      <c r="F1068" s="1023">
        <v>320000000</v>
      </c>
      <c r="G1068" s="1023" t="s">
        <v>936</v>
      </c>
      <c r="H1068" s="1023" t="s">
        <v>271</v>
      </c>
      <c r="I1068" s="1023" t="s">
        <v>36</v>
      </c>
      <c r="J1068" s="1023">
        <v>1</v>
      </c>
    </row>
    <row r="1069" spans="1:10" hidden="1" x14ac:dyDescent="0.3">
      <c r="A1069" s="922">
        <v>5</v>
      </c>
      <c r="B1069" s="3399" t="s">
        <v>852</v>
      </c>
      <c r="C1069" s="888" t="s">
        <v>74</v>
      </c>
      <c r="D1069" s="888" t="s">
        <v>955</v>
      </c>
      <c r="E1069" s="888" t="s">
        <v>78</v>
      </c>
      <c r="F1069" s="888">
        <v>270000000</v>
      </c>
      <c r="G1069" s="888" t="s">
        <v>934</v>
      </c>
      <c r="H1069" s="888" t="s">
        <v>271</v>
      </c>
      <c r="I1069" s="888" t="s">
        <v>36</v>
      </c>
      <c r="J1069" s="887">
        <v>1</v>
      </c>
    </row>
    <row r="1070" spans="1:10" ht="24.6" hidden="1" x14ac:dyDescent="0.4">
      <c r="A1070" s="887"/>
      <c r="B1070" s="922"/>
      <c r="C1070" s="887"/>
      <c r="D1070" s="887"/>
      <c r="E1070" s="887"/>
      <c r="F1070" s="887"/>
      <c r="G1070" s="887"/>
      <c r="H1070" s="887"/>
      <c r="I1070" s="887"/>
      <c r="J1070" s="933">
        <f>J1065+J1066+J1068+J1067+J1069</f>
        <v>5</v>
      </c>
    </row>
    <row r="1071" spans="1:10" hidden="1" x14ac:dyDescent="0.3"/>
    <row r="1072" spans="1:10" hidden="1" x14ac:dyDescent="0.3"/>
    <row r="1073" spans="1:10" hidden="1" x14ac:dyDescent="0.3"/>
    <row r="1074" spans="1:10" ht="23.4" hidden="1" x14ac:dyDescent="0.3">
      <c r="A1074" s="3467" t="s">
        <v>748</v>
      </c>
      <c r="B1074" s="3467"/>
      <c r="C1074" s="3467"/>
      <c r="D1074" s="3467"/>
      <c r="E1074" s="3467"/>
      <c r="F1074" s="3467"/>
      <c r="G1074" s="3467"/>
      <c r="H1074" s="3467"/>
      <c r="I1074" s="3467"/>
      <c r="J1074" s="3467"/>
    </row>
    <row r="1075" spans="1:10" ht="15.6" hidden="1" x14ac:dyDescent="0.3">
      <c r="A1075" s="3461" t="s">
        <v>2</v>
      </c>
      <c r="B1075" s="3461"/>
      <c r="C1075" s="3461"/>
      <c r="D1075" s="3461"/>
      <c r="E1075" s="3461"/>
      <c r="F1075" s="3461"/>
      <c r="G1075" s="3461"/>
      <c r="H1075" s="3461"/>
      <c r="I1075" s="3461"/>
      <c r="J1075" s="3461"/>
    </row>
    <row r="1076" spans="1:10" hidden="1" x14ac:dyDescent="0.3">
      <c r="A1076" s="137" t="s">
        <v>3</v>
      </c>
      <c r="B1076" s="1781" t="s">
        <v>4</v>
      </c>
      <c r="C1076" s="137" t="s">
        <v>5</v>
      </c>
      <c r="D1076" s="137" t="s">
        <v>6</v>
      </c>
      <c r="E1076" s="137" t="s">
        <v>7</v>
      </c>
      <c r="F1076" s="137" t="s">
        <v>8</v>
      </c>
      <c r="G1076" s="137" t="s">
        <v>9</v>
      </c>
      <c r="H1076" s="137" t="s">
        <v>10</v>
      </c>
      <c r="I1076" s="137" t="s">
        <v>11</v>
      </c>
      <c r="J1076" s="137" t="s">
        <v>12</v>
      </c>
    </row>
    <row r="1077" spans="1:10" hidden="1" x14ac:dyDescent="0.3">
      <c r="A1077" s="137">
        <v>1</v>
      </c>
      <c r="B1077" s="1781" t="s">
        <v>782</v>
      </c>
      <c r="C1077" s="137" t="s">
        <v>138</v>
      </c>
      <c r="D1077" s="642" t="s">
        <v>956</v>
      </c>
      <c r="E1077" s="137" t="s">
        <v>775</v>
      </c>
      <c r="F1077" s="137">
        <v>800000</v>
      </c>
      <c r="G1077" s="137" t="s">
        <v>43</v>
      </c>
      <c r="H1077" s="137" t="s">
        <v>271</v>
      </c>
      <c r="I1077" s="137" t="s">
        <v>36</v>
      </c>
      <c r="J1077" s="137">
        <v>1</v>
      </c>
    </row>
    <row r="1078" spans="1:10" hidden="1" x14ac:dyDescent="0.3">
      <c r="A1078" s="137">
        <v>2</v>
      </c>
      <c r="B1078" s="1781" t="s">
        <v>782</v>
      </c>
      <c r="C1078" s="137" t="s">
        <v>138</v>
      </c>
      <c r="D1078" s="642" t="s">
        <v>957</v>
      </c>
      <c r="E1078" s="137" t="s">
        <v>180</v>
      </c>
      <c r="F1078" s="137">
        <v>900000</v>
      </c>
      <c r="G1078" s="137" t="s">
        <v>43</v>
      </c>
      <c r="H1078" s="137" t="s">
        <v>271</v>
      </c>
      <c r="I1078" s="137" t="s">
        <v>36</v>
      </c>
      <c r="J1078" s="137">
        <v>1</v>
      </c>
    </row>
    <row r="1079" spans="1:10" hidden="1" x14ac:dyDescent="0.3">
      <c r="A1079" s="137">
        <v>3</v>
      </c>
      <c r="B1079" s="1781" t="s">
        <v>782</v>
      </c>
      <c r="C1079" s="137" t="s">
        <v>138</v>
      </c>
      <c r="D1079" s="642" t="s">
        <v>958</v>
      </c>
      <c r="E1079" s="137" t="s">
        <v>180</v>
      </c>
      <c r="F1079" s="137">
        <v>1150000</v>
      </c>
      <c r="G1079" s="137" t="s">
        <v>959</v>
      </c>
      <c r="H1079" s="137" t="s">
        <v>271</v>
      </c>
      <c r="I1079" s="137" t="s">
        <v>36</v>
      </c>
      <c r="J1079" s="137">
        <v>1</v>
      </c>
    </row>
    <row r="1080" spans="1:10" hidden="1" x14ac:dyDescent="0.3">
      <c r="A1080" s="137">
        <v>4</v>
      </c>
      <c r="B1080" s="1781" t="s">
        <v>782</v>
      </c>
      <c r="C1080" s="137" t="s">
        <v>138</v>
      </c>
      <c r="D1080" s="642" t="s">
        <v>960</v>
      </c>
      <c r="E1080" s="137" t="s">
        <v>822</v>
      </c>
      <c r="F1080" s="137">
        <v>950000</v>
      </c>
      <c r="G1080" s="137" t="s">
        <v>932</v>
      </c>
      <c r="H1080" s="137" t="s">
        <v>271</v>
      </c>
      <c r="I1080" s="137" t="s">
        <v>36</v>
      </c>
      <c r="J1080" s="137">
        <v>1</v>
      </c>
    </row>
    <row r="1081" spans="1:10" hidden="1" x14ac:dyDescent="0.3">
      <c r="A1081" s="137">
        <v>5</v>
      </c>
      <c r="B1081" s="1781" t="s">
        <v>782</v>
      </c>
      <c r="C1081" s="137" t="s">
        <v>138</v>
      </c>
      <c r="D1081" s="642" t="s">
        <v>961</v>
      </c>
      <c r="E1081" s="137" t="s">
        <v>962</v>
      </c>
      <c r="F1081" s="137">
        <v>1250000</v>
      </c>
      <c r="G1081" s="137" t="s">
        <v>963</v>
      </c>
      <c r="H1081" s="137" t="s">
        <v>271</v>
      </c>
      <c r="I1081" s="137" t="s">
        <v>36</v>
      </c>
      <c r="J1081" s="137">
        <v>1</v>
      </c>
    </row>
    <row r="1082" spans="1:10" hidden="1" x14ac:dyDescent="0.3">
      <c r="A1082" s="137">
        <v>6</v>
      </c>
      <c r="B1082" s="1781" t="s">
        <v>964</v>
      </c>
      <c r="C1082" s="137" t="s">
        <v>138</v>
      </c>
      <c r="D1082" s="642" t="s">
        <v>823</v>
      </c>
      <c r="E1082" s="137" t="s">
        <v>965</v>
      </c>
      <c r="F1082" s="137">
        <v>700000</v>
      </c>
      <c r="G1082" s="137" t="s">
        <v>966</v>
      </c>
      <c r="H1082" s="137" t="s">
        <v>271</v>
      </c>
      <c r="I1082" s="137" t="s">
        <v>36</v>
      </c>
      <c r="J1082" s="137">
        <v>1</v>
      </c>
    </row>
    <row r="1083" spans="1:10" hidden="1" x14ac:dyDescent="0.3">
      <c r="A1083" s="137">
        <v>7</v>
      </c>
      <c r="B1083" s="1781" t="s">
        <v>807</v>
      </c>
      <c r="C1083" s="137" t="s">
        <v>138</v>
      </c>
      <c r="D1083" s="642" t="s">
        <v>967</v>
      </c>
      <c r="E1083" s="137" t="s">
        <v>805</v>
      </c>
      <c r="F1083" s="137">
        <v>1050000</v>
      </c>
      <c r="G1083" s="137" t="s">
        <v>652</v>
      </c>
      <c r="H1083" s="137" t="s">
        <v>271</v>
      </c>
      <c r="I1083" s="137" t="s">
        <v>36</v>
      </c>
      <c r="J1083" s="137">
        <v>1</v>
      </c>
    </row>
    <row r="1084" spans="1:10" hidden="1" x14ac:dyDescent="0.3">
      <c r="A1084" s="137">
        <v>8</v>
      </c>
      <c r="B1084" s="1781" t="s">
        <v>810</v>
      </c>
      <c r="C1084" s="137" t="s">
        <v>138</v>
      </c>
      <c r="D1084" s="642" t="s">
        <v>968</v>
      </c>
      <c r="E1084" s="137" t="s">
        <v>969</v>
      </c>
      <c r="F1084" s="137">
        <v>720000</v>
      </c>
      <c r="G1084" s="137" t="s">
        <v>43</v>
      </c>
      <c r="H1084" s="137" t="s">
        <v>271</v>
      </c>
      <c r="I1084" s="137" t="s">
        <v>36</v>
      </c>
      <c r="J1084" s="137">
        <v>1</v>
      </c>
    </row>
    <row r="1085" spans="1:10" hidden="1" x14ac:dyDescent="0.3">
      <c r="A1085" s="137">
        <v>9</v>
      </c>
      <c r="B1085" s="1781" t="s">
        <v>856</v>
      </c>
      <c r="C1085" s="137" t="s">
        <v>138</v>
      </c>
      <c r="D1085" s="642" t="s">
        <v>970</v>
      </c>
      <c r="E1085" s="137" t="s">
        <v>925</v>
      </c>
      <c r="F1085" s="137">
        <v>700000</v>
      </c>
      <c r="G1085" s="137" t="s">
        <v>43</v>
      </c>
      <c r="H1085" s="137" t="s">
        <v>271</v>
      </c>
      <c r="I1085" s="137" t="s">
        <v>36</v>
      </c>
      <c r="J1085" s="137">
        <v>1</v>
      </c>
    </row>
    <row r="1086" spans="1:10" hidden="1" x14ac:dyDescent="0.3">
      <c r="A1086" s="137">
        <v>10</v>
      </c>
      <c r="B1086" s="1781" t="s">
        <v>816</v>
      </c>
      <c r="C1086" s="137" t="s">
        <v>662</v>
      </c>
      <c r="D1086" s="642" t="s">
        <v>971</v>
      </c>
      <c r="E1086" s="137" t="s">
        <v>972</v>
      </c>
      <c r="F1086" s="137">
        <v>5000000</v>
      </c>
      <c r="G1086" s="137" t="s">
        <v>43</v>
      </c>
      <c r="H1086" s="137" t="s">
        <v>271</v>
      </c>
      <c r="I1086" s="137" t="s">
        <v>36</v>
      </c>
      <c r="J1086" s="137">
        <v>1</v>
      </c>
    </row>
    <row r="1087" spans="1:10" hidden="1" x14ac:dyDescent="0.3">
      <c r="A1087" s="137">
        <v>11</v>
      </c>
      <c r="B1087" s="1781" t="s">
        <v>973</v>
      </c>
      <c r="C1087" s="137" t="s">
        <v>138</v>
      </c>
      <c r="D1087" s="642" t="s">
        <v>974</v>
      </c>
      <c r="E1087" s="137" t="s">
        <v>869</v>
      </c>
      <c r="F1087" s="137">
        <v>1300000</v>
      </c>
      <c r="G1087" s="137" t="s">
        <v>585</v>
      </c>
      <c r="H1087" s="137" t="s">
        <v>271</v>
      </c>
      <c r="I1087" s="137" t="s">
        <v>36</v>
      </c>
      <c r="J1087" s="137">
        <v>1</v>
      </c>
    </row>
    <row r="1088" spans="1:10" hidden="1" x14ac:dyDescent="0.3">
      <c r="A1088" s="137">
        <v>12</v>
      </c>
      <c r="B1088" s="1781" t="s">
        <v>973</v>
      </c>
      <c r="C1088" s="137" t="s">
        <v>138</v>
      </c>
      <c r="D1088" s="642" t="s">
        <v>975</v>
      </c>
      <c r="E1088" s="137" t="s">
        <v>885</v>
      </c>
      <c r="F1088" s="137">
        <v>900000</v>
      </c>
      <c r="G1088" s="137" t="s">
        <v>680</v>
      </c>
      <c r="H1088" s="137" t="s">
        <v>271</v>
      </c>
      <c r="I1088" s="137" t="s">
        <v>36</v>
      </c>
      <c r="J1088" s="137">
        <v>1</v>
      </c>
    </row>
    <row r="1089" spans="1:10" hidden="1" x14ac:dyDescent="0.3">
      <c r="A1089" s="137">
        <v>13</v>
      </c>
      <c r="B1089" s="1781" t="s">
        <v>973</v>
      </c>
      <c r="C1089" s="137" t="s">
        <v>138</v>
      </c>
      <c r="D1089" s="642" t="s">
        <v>976</v>
      </c>
      <c r="E1089" s="137" t="s">
        <v>802</v>
      </c>
      <c r="F1089" s="137">
        <v>1200000</v>
      </c>
      <c r="G1089" s="137" t="s">
        <v>963</v>
      </c>
      <c r="H1089" s="137" t="s">
        <v>271</v>
      </c>
      <c r="I1089" s="137" t="s">
        <v>36</v>
      </c>
      <c r="J1089" s="137">
        <v>1</v>
      </c>
    </row>
    <row r="1090" spans="1:10" hidden="1" x14ac:dyDescent="0.3">
      <c r="A1090" s="137">
        <v>14</v>
      </c>
      <c r="B1090" s="1781" t="s">
        <v>973</v>
      </c>
      <c r="C1090" s="137" t="s">
        <v>138</v>
      </c>
      <c r="D1090" s="642" t="s">
        <v>977</v>
      </c>
      <c r="E1090" s="137" t="s">
        <v>802</v>
      </c>
      <c r="F1090" s="137">
        <v>1000000</v>
      </c>
      <c r="G1090" s="137" t="s">
        <v>963</v>
      </c>
      <c r="H1090" s="137" t="s">
        <v>271</v>
      </c>
      <c r="I1090" s="137" t="s">
        <v>36</v>
      </c>
      <c r="J1090" s="137">
        <v>1</v>
      </c>
    </row>
    <row r="1091" spans="1:10" hidden="1" x14ac:dyDescent="0.3">
      <c r="A1091" s="1781">
        <v>15</v>
      </c>
      <c r="B1091" s="3392" t="s">
        <v>911</v>
      </c>
      <c r="C1091" s="150" t="s">
        <v>138</v>
      </c>
      <c r="D1091" s="641" t="s">
        <v>978</v>
      </c>
      <c r="E1091" s="150" t="s">
        <v>216</v>
      </c>
      <c r="F1091" s="151">
        <v>850000</v>
      </c>
      <c r="G1091" s="150" t="s">
        <v>43</v>
      </c>
      <c r="H1091" s="150" t="s">
        <v>271</v>
      </c>
      <c r="I1091" s="150" t="s">
        <v>36</v>
      </c>
      <c r="J1091" s="137">
        <v>1</v>
      </c>
    </row>
    <row r="1092" spans="1:10" hidden="1" x14ac:dyDescent="0.3">
      <c r="A1092" s="1781">
        <v>16</v>
      </c>
      <c r="B1092" s="3392" t="s">
        <v>927</v>
      </c>
      <c r="C1092" s="150" t="s">
        <v>138</v>
      </c>
      <c r="D1092" s="641" t="s">
        <v>979</v>
      </c>
      <c r="E1092" s="150" t="s">
        <v>125</v>
      </c>
      <c r="F1092" s="151">
        <v>1300000</v>
      </c>
      <c r="G1092" s="150" t="s">
        <v>980</v>
      </c>
      <c r="H1092" s="150" t="s">
        <v>271</v>
      </c>
      <c r="I1092" s="150" t="s">
        <v>36</v>
      </c>
      <c r="J1092" s="137">
        <v>1</v>
      </c>
    </row>
    <row r="1093" spans="1:10" hidden="1" x14ac:dyDescent="0.3">
      <c r="A1093" s="1781">
        <v>17</v>
      </c>
      <c r="B1093" s="3392" t="s">
        <v>927</v>
      </c>
      <c r="C1093" s="150" t="s">
        <v>138</v>
      </c>
      <c r="D1093" s="641" t="s">
        <v>981</v>
      </c>
      <c r="E1093" s="150" t="s">
        <v>125</v>
      </c>
      <c r="F1093" s="151">
        <v>1100000</v>
      </c>
      <c r="G1093" s="150" t="s">
        <v>652</v>
      </c>
      <c r="H1093" s="150" t="s">
        <v>271</v>
      </c>
      <c r="I1093" s="150" t="s">
        <v>36</v>
      </c>
      <c r="J1093" s="137">
        <v>1</v>
      </c>
    </row>
    <row r="1094" spans="1:10" hidden="1" x14ac:dyDescent="0.3">
      <c r="A1094" s="1781">
        <v>18</v>
      </c>
      <c r="B1094" s="3392" t="s">
        <v>915</v>
      </c>
      <c r="C1094" s="150" t="s">
        <v>138</v>
      </c>
      <c r="D1094" s="641" t="s">
        <v>982</v>
      </c>
      <c r="E1094" s="150" t="s">
        <v>802</v>
      </c>
      <c r="F1094" s="151">
        <v>1300000</v>
      </c>
      <c r="G1094" s="150" t="s">
        <v>963</v>
      </c>
      <c r="H1094" s="150" t="s">
        <v>271</v>
      </c>
      <c r="I1094" s="150" t="s">
        <v>36</v>
      </c>
      <c r="J1094" s="137">
        <v>1</v>
      </c>
    </row>
    <row r="1095" spans="1:10" hidden="1" x14ac:dyDescent="0.3">
      <c r="A1095" s="1781">
        <v>19</v>
      </c>
      <c r="B1095" s="1781" t="s">
        <v>915</v>
      </c>
      <c r="C1095" s="150" t="s">
        <v>138</v>
      </c>
      <c r="D1095" s="641" t="s">
        <v>983</v>
      </c>
      <c r="E1095" s="150" t="s">
        <v>984</v>
      </c>
      <c r="F1095" s="151">
        <v>850000</v>
      </c>
      <c r="G1095" s="150" t="s">
        <v>43</v>
      </c>
      <c r="H1095" s="150" t="s">
        <v>271</v>
      </c>
      <c r="I1095" s="150" t="s">
        <v>36</v>
      </c>
      <c r="J1095" s="137">
        <v>1</v>
      </c>
    </row>
    <row r="1096" spans="1:10" hidden="1" x14ac:dyDescent="0.3">
      <c r="A1096" s="1781">
        <v>20</v>
      </c>
      <c r="B1096" s="1781" t="s">
        <v>915</v>
      </c>
      <c r="C1096" s="150" t="s">
        <v>138</v>
      </c>
      <c r="D1096" s="641" t="s">
        <v>985</v>
      </c>
      <c r="E1096" s="150" t="s">
        <v>802</v>
      </c>
      <c r="F1096" s="151">
        <v>1200000</v>
      </c>
      <c r="G1096" s="150" t="s">
        <v>963</v>
      </c>
      <c r="H1096" s="150" t="s">
        <v>271</v>
      </c>
      <c r="I1096" s="150" t="s">
        <v>36</v>
      </c>
      <c r="J1096" s="137">
        <v>1</v>
      </c>
    </row>
    <row r="1097" spans="1:10" hidden="1" x14ac:dyDescent="0.3">
      <c r="A1097" s="1781">
        <v>21</v>
      </c>
      <c r="B1097" s="1781" t="s">
        <v>874</v>
      </c>
      <c r="C1097" s="150" t="s">
        <v>138</v>
      </c>
      <c r="D1097" s="641" t="s">
        <v>986</v>
      </c>
      <c r="E1097" s="150" t="s">
        <v>802</v>
      </c>
      <c r="F1097" s="151">
        <v>1300000</v>
      </c>
      <c r="G1097" s="150" t="s">
        <v>987</v>
      </c>
      <c r="H1097" s="150" t="s">
        <v>271</v>
      </c>
      <c r="I1097" s="150" t="s">
        <v>36</v>
      </c>
      <c r="J1097" s="137">
        <v>1</v>
      </c>
    </row>
    <row r="1098" spans="1:10" ht="25.8" hidden="1" x14ac:dyDescent="0.5">
      <c r="A1098" s="1781"/>
      <c r="B1098" s="1781"/>
      <c r="C1098" s="150"/>
      <c r="D1098" s="641"/>
      <c r="E1098" s="150"/>
      <c r="F1098" s="151"/>
      <c r="G1098" s="150"/>
      <c r="H1098" s="150"/>
      <c r="I1098" s="150"/>
      <c r="J1098" s="934">
        <f>SUM(J1077:J1097)</f>
        <v>21</v>
      </c>
    </row>
    <row r="1099" spans="1:10" hidden="1" x14ac:dyDescent="0.3">
      <c r="A1099" s="3473" t="s">
        <v>33</v>
      </c>
      <c r="B1099" s="3473"/>
      <c r="C1099" s="3473"/>
      <c r="D1099" s="3473"/>
      <c r="E1099" s="3473"/>
      <c r="F1099" s="3473"/>
      <c r="G1099" s="3473"/>
      <c r="H1099" s="3473"/>
      <c r="I1099" s="3473"/>
      <c r="J1099" s="3473"/>
    </row>
    <row r="1100" spans="1:10" hidden="1" x14ac:dyDescent="0.3">
      <c r="A1100" s="137" t="s">
        <v>3</v>
      </c>
      <c r="B1100" s="1781" t="s">
        <v>4</v>
      </c>
      <c r="C1100" s="137" t="s">
        <v>5</v>
      </c>
      <c r="D1100" s="137" t="s">
        <v>6</v>
      </c>
      <c r="E1100" s="137" t="s">
        <v>7</v>
      </c>
      <c r="F1100" s="137" t="s">
        <v>8</v>
      </c>
      <c r="G1100" s="137" t="s">
        <v>9</v>
      </c>
      <c r="H1100" s="137" t="s">
        <v>10</v>
      </c>
      <c r="I1100" s="137" t="s">
        <v>11</v>
      </c>
      <c r="J1100" s="137" t="s">
        <v>12</v>
      </c>
    </row>
    <row r="1101" spans="1:10" hidden="1" x14ac:dyDescent="0.3">
      <c r="A1101" s="549">
        <v>1</v>
      </c>
      <c r="B1101" s="3393" t="s">
        <v>782</v>
      </c>
      <c r="C1101" s="152" t="s">
        <v>74</v>
      </c>
      <c r="D1101" s="152" t="s">
        <v>988</v>
      </c>
      <c r="E1101" s="152" t="s">
        <v>775</v>
      </c>
      <c r="F1101" s="152">
        <v>165000000</v>
      </c>
      <c r="G1101" s="152" t="s">
        <v>168</v>
      </c>
      <c r="H1101" s="152" t="s">
        <v>271</v>
      </c>
      <c r="I1101" s="152" t="s">
        <v>36</v>
      </c>
      <c r="J1101" s="200">
        <v>1</v>
      </c>
    </row>
    <row r="1102" spans="1:10" hidden="1" x14ac:dyDescent="0.3">
      <c r="A1102" s="549">
        <v>2</v>
      </c>
      <c r="B1102" s="549" t="s">
        <v>856</v>
      </c>
      <c r="C1102" s="140" t="s">
        <v>138</v>
      </c>
      <c r="D1102" s="140" t="s">
        <v>989</v>
      </c>
      <c r="E1102" s="140" t="s">
        <v>990</v>
      </c>
      <c r="F1102" s="140">
        <v>155000000</v>
      </c>
      <c r="G1102" s="140" t="s">
        <v>43</v>
      </c>
      <c r="H1102" s="140" t="s">
        <v>271</v>
      </c>
      <c r="I1102" s="140" t="s">
        <v>36</v>
      </c>
      <c r="J1102" s="140">
        <v>1</v>
      </c>
    </row>
    <row r="1103" spans="1:10" hidden="1" x14ac:dyDescent="0.3">
      <c r="A1103" s="597">
        <v>3</v>
      </c>
      <c r="B1103" s="3394" t="s">
        <v>911</v>
      </c>
      <c r="C1103" s="154" t="s">
        <v>138</v>
      </c>
      <c r="D1103" s="154" t="s">
        <v>842</v>
      </c>
      <c r="E1103" s="154" t="s">
        <v>802</v>
      </c>
      <c r="F1103" s="154" t="s">
        <v>991</v>
      </c>
      <c r="G1103" s="154" t="s">
        <v>963</v>
      </c>
      <c r="H1103" s="154" t="s">
        <v>271</v>
      </c>
      <c r="I1103" s="154" t="s">
        <v>36</v>
      </c>
      <c r="J1103" s="598">
        <v>1</v>
      </c>
    </row>
    <row r="1104" spans="1:10" ht="24.6" hidden="1" x14ac:dyDescent="0.4">
      <c r="A1104" s="144"/>
      <c r="B1104" s="595"/>
      <c r="C1104" s="144"/>
      <c r="D1104" s="144"/>
      <c r="E1104" s="144"/>
      <c r="F1104" s="144"/>
      <c r="G1104" s="144"/>
      <c r="H1104" s="144"/>
      <c r="I1104" s="144"/>
      <c r="J1104" s="935">
        <f>J1101+J1102+J1103</f>
        <v>3</v>
      </c>
    </row>
    <row r="1105" spans="1:10" hidden="1" x14ac:dyDescent="0.3"/>
    <row r="1106" spans="1:10" hidden="1" x14ac:dyDescent="0.3"/>
    <row r="1107" spans="1:10" ht="23.4" hidden="1" x14ac:dyDescent="0.3">
      <c r="A1107" s="3467" t="s">
        <v>732</v>
      </c>
      <c r="B1107" s="3467"/>
      <c r="C1107" s="3467"/>
      <c r="D1107" s="3467"/>
      <c r="E1107" s="3467"/>
      <c r="F1107" s="3467"/>
      <c r="G1107" s="3467"/>
      <c r="H1107" s="3467"/>
      <c r="I1107" s="3467"/>
      <c r="J1107" s="3467"/>
    </row>
    <row r="1108" spans="1:10" ht="15.6" hidden="1" x14ac:dyDescent="0.3">
      <c r="A1108" s="3461" t="s">
        <v>2</v>
      </c>
      <c r="B1108" s="3461"/>
      <c r="C1108" s="3461"/>
      <c r="D1108" s="3461"/>
      <c r="E1108" s="3461"/>
      <c r="F1108" s="3461"/>
      <c r="G1108" s="3461"/>
      <c r="H1108" s="3461"/>
      <c r="I1108" s="3461"/>
      <c r="J1108" s="3461"/>
    </row>
    <row r="1109" spans="1:10" hidden="1" x14ac:dyDescent="0.3">
      <c r="A1109" s="137" t="s">
        <v>3</v>
      </c>
      <c r="B1109" s="1781" t="s">
        <v>4</v>
      </c>
      <c r="C1109" s="137" t="s">
        <v>5</v>
      </c>
      <c r="D1109" s="137" t="s">
        <v>6</v>
      </c>
      <c r="E1109" s="137" t="s">
        <v>7</v>
      </c>
      <c r="F1109" s="137" t="s">
        <v>8</v>
      </c>
      <c r="G1109" s="137" t="s">
        <v>9</v>
      </c>
      <c r="H1109" s="137" t="s">
        <v>10</v>
      </c>
      <c r="I1109" s="137" t="s">
        <v>11</v>
      </c>
      <c r="J1109" s="137" t="s">
        <v>12</v>
      </c>
    </row>
    <row r="1110" spans="1:10" hidden="1" x14ac:dyDescent="0.3">
      <c r="A1110" s="137">
        <v>1</v>
      </c>
      <c r="B1110" s="1781" t="s">
        <v>782</v>
      </c>
      <c r="C1110" s="137" t="s">
        <v>138</v>
      </c>
      <c r="D1110" s="137" t="s">
        <v>992</v>
      </c>
      <c r="E1110" s="137" t="s">
        <v>858</v>
      </c>
      <c r="F1110" s="137">
        <v>1400000</v>
      </c>
      <c r="G1110" s="137" t="s">
        <v>43</v>
      </c>
      <c r="H1110" s="137" t="s">
        <v>271</v>
      </c>
      <c r="I1110" s="137" t="s">
        <v>36</v>
      </c>
      <c r="J1110" s="137">
        <v>1</v>
      </c>
    </row>
    <row r="1111" spans="1:10" hidden="1" x14ac:dyDescent="0.3">
      <c r="A1111" s="137">
        <v>2</v>
      </c>
      <c r="B1111" s="1781" t="s">
        <v>856</v>
      </c>
      <c r="C1111" s="137" t="s">
        <v>138</v>
      </c>
      <c r="D1111" s="137" t="s">
        <v>993</v>
      </c>
      <c r="E1111" s="137" t="s">
        <v>802</v>
      </c>
      <c r="F1111" s="137">
        <v>1300000</v>
      </c>
      <c r="G1111" s="137" t="s">
        <v>43</v>
      </c>
      <c r="H1111" s="137" t="s">
        <v>271</v>
      </c>
      <c r="I1111" s="137" t="s">
        <v>36</v>
      </c>
      <c r="J1111" s="137">
        <v>1</v>
      </c>
    </row>
    <row r="1112" spans="1:10" hidden="1" x14ac:dyDescent="0.3">
      <c r="A1112" s="137">
        <v>3</v>
      </c>
      <c r="B1112" s="1781" t="s">
        <v>838</v>
      </c>
      <c r="C1112" s="137" t="s">
        <v>662</v>
      </c>
      <c r="D1112" s="137" t="s">
        <v>994</v>
      </c>
      <c r="E1112" s="137" t="s">
        <v>995</v>
      </c>
      <c r="F1112" s="137">
        <v>2500000</v>
      </c>
      <c r="G1112" s="137" t="s">
        <v>43</v>
      </c>
      <c r="H1112" s="137" t="s">
        <v>271</v>
      </c>
      <c r="I1112" s="137" t="s">
        <v>36</v>
      </c>
      <c r="J1112" s="137">
        <v>1</v>
      </c>
    </row>
    <row r="1113" spans="1:10" hidden="1" x14ac:dyDescent="0.3">
      <c r="A1113" s="137">
        <v>4</v>
      </c>
      <c r="B1113" s="1781" t="s">
        <v>915</v>
      </c>
      <c r="C1113" s="137" t="s">
        <v>138</v>
      </c>
      <c r="D1113" s="137" t="s">
        <v>996</v>
      </c>
      <c r="E1113" s="137" t="s">
        <v>168</v>
      </c>
      <c r="F1113" s="137">
        <v>700000</v>
      </c>
      <c r="G1113" s="137" t="s">
        <v>43</v>
      </c>
      <c r="H1113" s="137" t="s">
        <v>271</v>
      </c>
      <c r="I1113" s="137" t="s">
        <v>36</v>
      </c>
      <c r="J1113" s="137">
        <v>1</v>
      </c>
    </row>
    <row r="1114" spans="1:10" hidden="1" x14ac:dyDescent="0.3">
      <c r="A1114" s="137">
        <v>5</v>
      </c>
      <c r="B1114" s="1781"/>
      <c r="C1114" s="137"/>
      <c r="D1114" s="137"/>
      <c r="E1114" s="137"/>
      <c r="F1114" s="137"/>
      <c r="G1114" s="137"/>
      <c r="H1114" s="137"/>
      <c r="I1114" s="137"/>
      <c r="J1114" s="137"/>
    </row>
    <row r="1115" spans="1:10" hidden="1" x14ac:dyDescent="0.3">
      <c r="A1115" s="137">
        <v>6</v>
      </c>
      <c r="B1115" s="1781"/>
      <c r="C1115" s="137"/>
      <c r="D1115" s="137"/>
      <c r="E1115" s="137"/>
      <c r="F1115" s="137"/>
      <c r="G1115" s="137"/>
      <c r="H1115" s="137"/>
      <c r="I1115" s="137"/>
      <c r="J1115" s="137"/>
    </row>
    <row r="1116" spans="1:10" hidden="1" x14ac:dyDescent="0.3">
      <c r="A1116" s="137">
        <v>7</v>
      </c>
      <c r="B1116" s="1781"/>
      <c r="C1116" s="137"/>
      <c r="D1116" s="137"/>
      <c r="E1116" s="137"/>
      <c r="F1116" s="137"/>
      <c r="G1116" s="137"/>
      <c r="H1116" s="137"/>
      <c r="I1116" s="137"/>
      <c r="J1116" s="137"/>
    </row>
    <row r="1117" spans="1:10" hidden="1" x14ac:dyDescent="0.3">
      <c r="A1117" s="137">
        <v>8</v>
      </c>
      <c r="B1117" s="1781"/>
      <c r="C1117" s="137"/>
      <c r="D1117" s="137"/>
      <c r="E1117" s="137"/>
      <c r="F1117" s="137"/>
      <c r="G1117" s="137"/>
      <c r="H1117" s="137"/>
      <c r="I1117" s="137"/>
      <c r="J1117" s="137"/>
    </row>
    <row r="1118" spans="1:10" hidden="1" x14ac:dyDescent="0.3">
      <c r="A1118" s="137">
        <v>9</v>
      </c>
      <c r="B1118" s="1781"/>
      <c r="C1118" s="137"/>
      <c r="D1118" s="137"/>
      <c r="E1118" s="137"/>
      <c r="F1118" s="137"/>
      <c r="G1118" s="137"/>
      <c r="H1118" s="137"/>
      <c r="I1118" s="137"/>
      <c r="J1118" s="137"/>
    </row>
    <row r="1119" spans="1:10" hidden="1" x14ac:dyDescent="0.3">
      <c r="A1119" s="137">
        <v>10</v>
      </c>
      <c r="B1119" s="1781"/>
      <c r="C1119" s="137"/>
      <c r="D1119" s="137"/>
      <c r="E1119" s="137"/>
      <c r="F1119" s="137"/>
      <c r="G1119" s="137"/>
      <c r="H1119" s="137"/>
      <c r="I1119" s="137"/>
      <c r="J1119" s="137"/>
    </row>
    <row r="1120" spans="1:10" hidden="1" x14ac:dyDescent="0.3">
      <c r="A1120" s="137">
        <v>11</v>
      </c>
      <c r="B1120" s="1781"/>
      <c r="C1120" s="137"/>
      <c r="D1120" s="137"/>
      <c r="E1120" s="137"/>
      <c r="F1120" s="137"/>
      <c r="G1120" s="137"/>
      <c r="H1120" s="137"/>
      <c r="I1120" s="137"/>
      <c r="J1120" s="137"/>
    </row>
    <row r="1121" spans="1:10" hidden="1" x14ac:dyDescent="0.3">
      <c r="A1121" s="137">
        <v>12</v>
      </c>
      <c r="B1121" s="1781"/>
      <c r="C1121" s="137"/>
      <c r="D1121" s="137"/>
      <c r="E1121" s="137"/>
      <c r="F1121" s="137"/>
      <c r="G1121" s="137"/>
      <c r="H1121" s="137"/>
      <c r="I1121" s="137"/>
      <c r="J1121" s="137"/>
    </row>
    <row r="1122" spans="1:10" hidden="1" x14ac:dyDescent="0.3">
      <c r="A1122" s="137">
        <v>13</v>
      </c>
      <c r="B1122" s="1781"/>
      <c r="C1122" s="137"/>
      <c r="D1122" s="137"/>
      <c r="E1122" s="137"/>
      <c r="F1122" s="137"/>
      <c r="G1122" s="137"/>
      <c r="H1122" s="137"/>
      <c r="I1122" s="137"/>
      <c r="J1122" s="137"/>
    </row>
    <row r="1123" spans="1:10" hidden="1" x14ac:dyDescent="0.3">
      <c r="A1123" s="137">
        <v>14</v>
      </c>
      <c r="B1123" s="1781"/>
      <c r="C1123" s="137"/>
      <c r="D1123" s="137"/>
      <c r="E1123" s="137"/>
      <c r="F1123" s="137"/>
      <c r="G1123" s="137"/>
      <c r="H1123" s="137"/>
      <c r="I1123" s="137"/>
      <c r="J1123" s="137"/>
    </row>
    <row r="1124" spans="1:10" hidden="1" x14ac:dyDescent="0.3">
      <c r="A1124" s="1781">
        <v>15</v>
      </c>
      <c r="B1124" s="3392"/>
      <c r="C1124" s="150"/>
      <c r="D1124" s="641"/>
      <c r="E1124" s="150"/>
      <c r="F1124" s="151"/>
      <c r="G1124" s="150"/>
      <c r="H1124" s="150"/>
      <c r="I1124" s="150"/>
      <c r="J1124" s="137"/>
    </row>
    <row r="1125" spans="1:10" hidden="1" x14ac:dyDescent="0.3">
      <c r="A1125" s="1781">
        <v>16</v>
      </c>
      <c r="B1125" s="3392"/>
      <c r="C1125" s="150"/>
      <c r="D1125" s="641"/>
      <c r="E1125" s="150"/>
      <c r="F1125" s="151"/>
      <c r="G1125" s="150"/>
      <c r="H1125" s="150"/>
      <c r="I1125" s="150"/>
      <c r="J1125" s="137"/>
    </row>
    <row r="1126" spans="1:10" hidden="1" x14ac:dyDescent="0.3">
      <c r="A1126" s="1781">
        <v>17</v>
      </c>
      <c r="B1126" s="3392"/>
      <c r="C1126" s="150"/>
      <c r="D1126" s="641"/>
      <c r="E1126" s="150"/>
      <c r="F1126" s="151"/>
      <c r="G1126" s="150"/>
      <c r="H1126" s="150"/>
      <c r="I1126" s="150"/>
      <c r="J1126" s="137"/>
    </row>
    <row r="1127" spans="1:10" hidden="1" x14ac:dyDescent="0.3">
      <c r="A1127" s="1781">
        <v>18</v>
      </c>
      <c r="B1127" s="3392"/>
      <c r="C1127" s="150"/>
      <c r="D1127" s="641"/>
      <c r="E1127" s="150"/>
      <c r="F1127" s="151"/>
      <c r="G1127" s="150"/>
      <c r="H1127" s="150"/>
      <c r="I1127" s="150"/>
      <c r="J1127" s="137"/>
    </row>
    <row r="1128" spans="1:10" hidden="1" x14ac:dyDescent="0.3">
      <c r="A1128" s="1781">
        <v>19</v>
      </c>
      <c r="B1128" s="1781"/>
      <c r="C1128" s="150"/>
      <c r="D1128" s="641"/>
      <c r="E1128" s="150"/>
      <c r="F1128" s="151"/>
      <c r="G1128" s="150"/>
      <c r="H1128" s="150"/>
      <c r="I1128" s="150"/>
      <c r="J1128" s="137"/>
    </row>
    <row r="1129" spans="1:10" hidden="1" x14ac:dyDescent="0.3">
      <c r="A1129" s="1781">
        <v>20</v>
      </c>
      <c r="B1129" s="1781"/>
      <c r="C1129" s="150"/>
      <c r="D1129" s="641"/>
      <c r="E1129" s="150"/>
      <c r="F1129" s="151"/>
      <c r="G1129" s="150"/>
      <c r="H1129" s="150"/>
      <c r="I1129" s="150"/>
      <c r="J1129" s="137"/>
    </row>
    <row r="1130" spans="1:10" ht="25.8" hidden="1" x14ac:dyDescent="0.5">
      <c r="A1130" s="1781"/>
      <c r="B1130" s="1781"/>
      <c r="C1130" s="150"/>
      <c r="D1130" s="641"/>
      <c r="E1130" s="150"/>
      <c r="F1130" s="151"/>
      <c r="G1130" s="150"/>
      <c r="H1130" s="150"/>
      <c r="I1130" s="150"/>
      <c r="J1130" s="934">
        <f>SUM(J1110:J1111)</f>
        <v>2</v>
      </c>
    </row>
    <row r="1131" spans="1:10" hidden="1" x14ac:dyDescent="0.3">
      <c r="A1131" s="3473" t="s">
        <v>33</v>
      </c>
      <c r="B1131" s="3473"/>
      <c r="C1131" s="3473"/>
      <c r="D1131" s="3473"/>
      <c r="E1131" s="3473"/>
      <c r="F1131" s="3473"/>
      <c r="G1131" s="3473"/>
      <c r="H1131" s="3473"/>
      <c r="I1131" s="3473"/>
      <c r="J1131" s="3473"/>
    </row>
    <row r="1132" spans="1:10" hidden="1" x14ac:dyDescent="0.3">
      <c r="A1132" s="137" t="s">
        <v>3</v>
      </c>
      <c r="B1132" s="1781" t="s">
        <v>4</v>
      </c>
      <c r="C1132" s="137" t="s">
        <v>5</v>
      </c>
      <c r="D1132" s="137" t="s">
        <v>6</v>
      </c>
      <c r="E1132" s="137" t="s">
        <v>7</v>
      </c>
      <c r="F1132" s="137" t="s">
        <v>8</v>
      </c>
      <c r="G1132" s="137" t="s">
        <v>9</v>
      </c>
      <c r="H1132" s="137" t="s">
        <v>10</v>
      </c>
      <c r="I1132" s="137" t="s">
        <v>11</v>
      </c>
      <c r="J1132" s="137" t="s">
        <v>12</v>
      </c>
    </row>
    <row r="1133" spans="1:10" hidden="1" x14ac:dyDescent="0.3">
      <c r="A1133" s="549">
        <v>1</v>
      </c>
      <c r="B1133" s="3393" t="s">
        <v>647</v>
      </c>
      <c r="C1133" s="152" t="s">
        <v>138</v>
      </c>
      <c r="D1133" s="152" t="s">
        <v>997</v>
      </c>
      <c r="E1133" s="152" t="s">
        <v>998</v>
      </c>
      <c r="F1133" s="152">
        <v>248000000</v>
      </c>
      <c r="G1133" s="152" t="s">
        <v>999</v>
      </c>
      <c r="H1133" s="152" t="s">
        <v>271</v>
      </c>
      <c r="I1133" s="152" t="s">
        <v>36</v>
      </c>
      <c r="J1133" s="200">
        <v>1</v>
      </c>
    </row>
    <row r="1134" spans="1:10" hidden="1" x14ac:dyDescent="0.3">
      <c r="A1134" s="549">
        <v>2</v>
      </c>
      <c r="B1134" s="3393"/>
      <c r="C1134" s="152"/>
      <c r="D1134" s="152"/>
      <c r="E1134" s="152"/>
      <c r="F1134" s="152"/>
      <c r="G1134" s="152"/>
      <c r="H1134" s="152"/>
      <c r="I1134" s="152"/>
      <c r="J1134" s="200"/>
    </row>
    <row r="1135" spans="1:10" hidden="1" x14ac:dyDescent="0.3">
      <c r="A1135" s="597">
        <v>3</v>
      </c>
      <c r="B1135" s="3394"/>
      <c r="C1135" s="154"/>
      <c r="D1135" s="154"/>
      <c r="E1135" s="154"/>
      <c r="F1135" s="154"/>
      <c r="G1135" s="154"/>
      <c r="H1135" s="154"/>
      <c r="I1135" s="154"/>
      <c r="J1135" s="598"/>
    </row>
    <row r="1136" spans="1:10" ht="24.6" hidden="1" x14ac:dyDescent="0.4">
      <c r="A1136" s="144"/>
      <c r="B1136" s="595"/>
      <c r="C1136" s="144"/>
      <c r="D1136" s="144"/>
      <c r="E1136" s="144"/>
      <c r="F1136" s="144"/>
      <c r="G1136" s="144"/>
      <c r="H1136" s="144"/>
      <c r="I1136" s="144"/>
      <c r="J1136" s="935">
        <f>J1133+J1134+J1135</f>
        <v>1</v>
      </c>
    </row>
    <row r="1137" spans="1:10" hidden="1" x14ac:dyDescent="0.3"/>
    <row r="1138" spans="1:10" hidden="1" x14ac:dyDescent="0.3"/>
    <row r="1139" spans="1:10" hidden="1" x14ac:dyDescent="0.3"/>
    <row r="1140" spans="1:10" hidden="1" x14ac:dyDescent="0.3"/>
    <row r="1141" spans="1:10" hidden="1" x14ac:dyDescent="0.3">
      <c r="A1141" s="3488" t="s">
        <v>1000</v>
      </c>
      <c r="B1141" s="3489"/>
      <c r="C1141" s="3489"/>
      <c r="D1141" s="3489"/>
      <c r="E1141" s="3489"/>
      <c r="F1141" s="3489"/>
      <c r="G1141" s="3489"/>
      <c r="H1141" s="3489"/>
      <c r="I1141" s="3489"/>
      <c r="J1141" s="3489"/>
    </row>
    <row r="1142" spans="1:10" hidden="1" x14ac:dyDescent="0.3">
      <c r="A1142" s="3489"/>
      <c r="B1142" s="3489"/>
      <c r="C1142" s="3489"/>
      <c r="D1142" s="3489"/>
      <c r="E1142" s="3489"/>
      <c r="F1142" s="3489"/>
      <c r="G1142" s="3489"/>
      <c r="H1142" s="3489"/>
      <c r="I1142" s="3489"/>
      <c r="J1142" s="3489"/>
    </row>
    <row r="1143" spans="1:10" ht="46.2" hidden="1" x14ac:dyDescent="0.3">
      <c r="B1143" s="136"/>
      <c r="C1143" s="136"/>
      <c r="D1143" s="136"/>
      <c r="E1143" s="136"/>
      <c r="F1143" s="136"/>
      <c r="G1143" s="136"/>
      <c r="H1143" s="136"/>
      <c r="I1143" s="136"/>
      <c r="J1143" s="136"/>
    </row>
    <row r="1144" spans="1:10" ht="23.4" hidden="1" x14ac:dyDescent="0.3">
      <c r="A1144" s="3478" t="s">
        <v>527</v>
      </c>
      <c r="B1144" s="3478"/>
      <c r="C1144" s="3478"/>
      <c r="D1144" s="3478"/>
      <c r="E1144" s="3478"/>
      <c r="F1144" s="3478"/>
      <c r="G1144" s="3478"/>
      <c r="H1144" s="3478"/>
      <c r="I1144" s="3478"/>
      <c r="J1144" s="3478"/>
    </row>
    <row r="1145" spans="1:10" ht="15.6" hidden="1" x14ac:dyDescent="0.3">
      <c r="A1145" s="3461" t="s">
        <v>2</v>
      </c>
      <c r="B1145" s="3461"/>
      <c r="C1145" s="3461"/>
      <c r="D1145" s="3461"/>
      <c r="E1145" s="3461"/>
      <c r="F1145" s="3461"/>
      <c r="G1145" s="3461"/>
      <c r="H1145" s="3461"/>
      <c r="I1145" s="3461"/>
      <c r="J1145" s="3461"/>
    </row>
    <row r="1146" spans="1:10" hidden="1" x14ac:dyDescent="0.3">
      <c r="A1146" s="137" t="s">
        <v>3</v>
      </c>
      <c r="B1146" s="1781" t="s">
        <v>4</v>
      </c>
      <c r="C1146" s="137" t="s">
        <v>5</v>
      </c>
      <c r="D1146" s="137" t="s">
        <v>6</v>
      </c>
      <c r="E1146" s="137" t="s">
        <v>7</v>
      </c>
      <c r="F1146" s="137" t="s">
        <v>8</v>
      </c>
      <c r="G1146" s="137" t="s">
        <v>9</v>
      </c>
      <c r="H1146" s="137" t="s">
        <v>10</v>
      </c>
      <c r="I1146" s="137" t="s">
        <v>11</v>
      </c>
      <c r="J1146" s="137" t="s">
        <v>12</v>
      </c>
    </row>
    <row r="1147" spans="1:10" hidden="1" x14ac:dyDescent="0.3">
      <c r="A1147" s="137">
        <v>1</v>
      </c>
      <c r="B1147" s="1781" t="s">
        <v>1001</v>
      </c>
      <c r="C1147" s="137" t="s">
        <v>37</v>
      </c>
      <c r="D1147" s="642" t="s">
        <v>1002</v>
      </c>
      <c r="E1147" s="137" t="s">
        <v>965</v>
      </c>
      <c r="F1147" s="137">
        <v>780000</v>
      </c>
      <c r="G1147" s="137" t="s">
        <v>966</v>
      </c>
      <c r="H1147" s="137" t="s">
        <v>271</v>
      </c>
      <c r="I1147" s="137" t="s">
        <v>36</v>
      </c>
      <c r="J1147" s="137">
        <v>1</v>
      </c>
    </row>
    <row r="1148" spans="1:10" hidden="1" x14ac:dyDescent="0.3">
      <c r="A1148" s="137">
        <v>2</v>
      </c>
      <c r="B1148" s="1781" t="s">
        <v>1001</v>
      </c>
      <c r="C1148" s="137" t="s">
        <v>138</v>
      </c>
      <c r="D1148" s="642" t="s">
        <v>1003</v>
      </c>
      <c r="E1148" s="137" t="s">
        <v>76</v>
      </c>
      <c r="F1148" s="137">
        <v>1100000</v>
      </c>
      <c r="G1148" s="137" t="s">
        <v>1004</v>
      </c>
      <c r="H1148" s="137" t="s">
        <v>271</v>
      </c>
      <c r="I1148" s="137" t="s">
        <v>36</v>
      </c>
      <c r="J1148" s="137">
        <v>1</v>
      </c>
    </row>
    <row r="1149" spans="1:10" hidden="1" x14ac:dyDescent="0.3">
      <c r="A1149" s="137">
        <v>3</v>
      </c>
      <c r="B1149" s="1781" t="s">
        <v>1001</v>
      </c>
      <c r="C1149" s="137" t="s">
        <v>138</v>
      </c>
      <c r="D1149" s="642" t="s">
        <v>1005</v>
      </c>
      <c r="E1149" s="137" t="s">
        <v>76</v>
      </c>
      <c r="F1149" s="137">
        <v>1100000</v>
      </c>
      <c r="G1149" s="137" t="s">
        <v>1006</v>
      </c>
      <c r="H1149" s="137" t="s">
        <v>271</v>
      </c>
      <c r="I1149" s="137" t="s">
        <v>36</v>
      </c>
      <c r="J1149" s="137">
        <v>1</v>
      </c>
    </row>
    <row r="1150" spans="1:10" hidden="1" x14ac:dyDescent="0.3">
      <c r="A1150" s="137">
        <v>4</v>
      </c>
      <c r="B1150" s="1781" t="s">
        <v>1007</v>
      </c>
      <c r="C1150" s="137" t="s">
        <v>138</v>
      </c>
      <c r="D1150" s="642" t="s">
        <v>1008</v>
      </c>
      <c r="E1150" s="137" t="s">
        <v>965</v>
      </c>
      <c r="F1150" s="137">
        <v>700000</v>
      </c>
      <c r="G1150" s="137" t="s">
        <v>966</v>
      </c>
      <c r="H1150" s="137" t="s">
        <v>271</v>
      </c>
      <c r="I1150" s="137" t="s">
        <v>36</v>
      </c>
      <c r="J1150" s="137">
        <v>1</v>
      </c>
    </row>
    <row r="1151" spans="1:10" hidden="1" x14ac:dyDescent="0.3">
      <c r="A1151" s="137">
        <v>5</v>
      </c>
      <c r="B1151" s="1781" t="s">
        <v>1001</v>
      </c>
      <c r="C1151" s="137" t="s">
        <v>138</v>
      </c>
      <c r="D1151" s="642" t="s">
        <v>1009</v>
      </c>
      <c r="E1151" s="137" t="s">
        <v>76</v>
      </c>
      <c r="F1151" s="137">
        <v>1200000</v>
      </c>
      <c r="G1151" s="137" t="s">
        <v>1004</v>
      </c>
      <c r="H1151" s="137" t="s">
        <v>271</v>
      </c>
      <c r="I1151" s="137" t="s">
        <v>36</v>
      </c>
      <c r="J1151" s="137">
        <v>1</v>
      </c>
    </row>
    <row r="1152" spans="1:10" hidden="1" x14ac:dyDescent="0.3">
      <c r="A1152" s="137">
        <v>6</v>
      </c>
      <c r="B1152" s="1781" t="s">
        <v>1001</v>
      </c>
      <c r="C1152" s="137" t="s">
        <v>138</v>
      </c>
      <c r="D1152" s="642" t="s">
        <v>1010</v>
      </c>
      <c r="E1152" s="137" t="s">
        <v>962</v>
      </c>
      <c r="F1152" s="137">
        <v>1300000</v>
      </c>
      <c r="G1152" s="137" t="s">
        <v>963</v>
      </c>
      <c r="H1152" s="137" t="s">
        <v>271</v>
      </c>
      <c r="I1152" s="137" t="s">
        <v>36</v>
      </c>
      <c r="J1152" s="137">
        <v>1</v>
      </c>
    </row>
    <row r="1153" spans="1:10" hidden="1" x14ac:dyDescent="0.3">
      <c r="A1153" s="137">
        <v>7</v>
      </c>
      <c r="B1153" s="1781" t="s">
        <v>1001</v>
      </c>
      <c r="C1153" s="150" t="s">
        <v>138</v>
      </c>
      <c r="D1153" s="641" t="s">
        <v>1011</v>
      </c>
      <c r="E1153" s="150" t="s">
        <v>784</v>
      </c>
      <c r="F1153" s="1223">
        <v>1000000</v>
      </c>
      <c r="G1153" s="150" t="s">
        <v>1012</v>
      </c>
      <c r="H1153" s="150" t="s">
        <v>271</v>
      </c>
      <c r="I1153" s="150" t="s">
        <v>36</v>
      </c>
      <c r="J1153" s="137">
        <v>1</v>
      </c>
    </row>
    <row r="1154" spans="1:10" hidden="1" x14ac:dyDescent="0.3">
      <c r="A1154" s="137">
        <v>8</v>
      </c>
      <c r="B1154" s="1781" t="s">
        <v>1013</v>
      </c>
      <c r="C1154" s="137" t="s">
        <v>138</v>
      </c>
      <c r="D1154" s="642" t="s">
        <v>1014</v>
      </c>
      <c r="E1154" s="137" t="s">
        <v>904</v>
      </c>
      <c r="F1154" s="137">
        <v>1100000</v>
      </c>
      <c r="G1154" s="137" t="s">
        <v>168</v>
      </c>
      <c r="H1154" s="137" t="s">
        <v>271</v>
      </c>
      <c r="I1154" s="137" t="s">
        <v>36</v>
      </c>
      <c r="J1154" s="137">
        <v>1</v>
      </c>
    </row>
    <row r="1155" spans="1:10" hidden="1" x14ac:dyDescent="0.3">
      <c r="A1155" s="137">
        <v>9</v>
      </c>
      <c r="B1155" s="1781" t="s">
        <v>1015</v>
      </c>
      <c r="C1155" s="137" t="s">
        <v>138</v>
      </c>
      <c r="D1155" s="642" t="s">
        <v>1016</v>
      </c>
      <c r="E1155" s="137" t="s">
        <v>78</v>
      </c>
      <c r="F1155" s="137">
        <v>1500000</v>
      </c>
      <c r="G1155" s="137" t="s">
        <v>951</v>
      </c>
      <c r="H1155" s="137" t="s">
        <v>271</v>
      </c>
      <c r="I1155" s="137" t="s">
        <v>36</v>
      </c>
      <c r="J1155" s="137">
        <v>1</v>
      </c>
    </row>
    <row r="1156" spans="1:10" hidden="1" x14ac:dyDescent="0.3">
      <c r="A1156" s="137">
        <v>10</v>
      </c>
      <c r="B1156" s="1781" t="s">
        <v>1017</v>
      </c>
      <c r="C1156" s="137" t="s">
        <v>138</v>
      </c>
      <c r="D1156" s="642" t="s">
        <v>244</v>
      </c>
      <c r="E1156" s="137" t="s">
        <v>802</v>
      </c>
      <c r="F1156" s="137">
        <v>1700000</v>
      </c>
      <c r="G1156" s="137" t="s">
        <v>1018</v>
      </c>
      <c r="H1156" s="137" t="s">
        <v>271</v>
      </c>
      <c r="I1156" s="137" t="s">
        <v>36</v>
      </c>
      <c r="J1156" s="137">
        <v>1</v>
      </c>
    </row>
    <row r="1157" spans="1:10" hidden="1" x14ac:dyDescent="0.3">
      <c r="A1157" s="137">
        <v>11</v>
      </c>
      <c r="B1157" s="1781" t="s">
        <v>1019</v>
      </c>
      <c r="C1157" s="137" t="s">
        <v>138</v>
      </c>
      <c r="D1157" s="642" t="s">
        <v>1020</v>
      </c>
      <c r="E1157" s="137" t="s">
        <v>78</v>
      </c>
      <c r="F1157" s="137">
        <v>1300000</v>
      </c>
      <c r="G1157" s="137" t="s">
        <v>1004</v>
      </c>
      <c r="H1157" s="137" t="s">
        <v>271</v>
      </c>
      <c r="I1157" s="137" t="s">
        <v>36</v>
      </c>
      <c r="J1157" s="137">
        <v>1</v>
      </c>
    </row>
    <row r="1158" spans="1:10" hidden="1" x14ac:dyDescent="0.3">
      <c r="A1158" s="137">
        <v>12</v>
      </c>
      <c r="B1158" s="1781" t="s">
        <v>1021</v>
      </c>
      <c r="C1158" s="137" t="s">
        <v>138</v>
      </c>
      <c r="D1158" s="642" t="s">
        <v>1022</v>
      </c>
      <c r="E1158" s="137" t="s">
        <v>78</v>
      </c>
      <c r="F1158" s="137">
        <v>900000</v>
      </c>
      <c r="G1158" s="137" t="s">
        <v>1004</v>
      </c>
      <c r="H1158" s="137" t="s">
        <v>271</v>
      </c>
      <c r="I1158" s="137" t="s">
        <v>36</v>
      </c>
      <c r="J1158" s="137">
        <v>1</v>
      </c>
    </row>
    <row r="1159" spans="1:10" hidden="1" x14ac:dyDescent="0.3">
      <c r="A1159" s="137">
        <v>13</v>
      </c>
      <c r="B1159" s="1781" t="s">
        <v>1023</v>
      </c>
      <c r="C1159" s="137" t="s">
        <v>138</v>
      </c>
      <c r="D1159" s="642" t="s">
        <v>1024</v>
      </c>
      <c r="E1159" s="137" t="s">
        <v>802</v>
      </c>
      <c r="F1159" s="137">
        <v>1300000</v>
      </c>
      <c r="G1159" s="137" t="s">
        <v>963</v>
      </c>
      <c r="H1159" s="137" t="s">
        <v>271</v>
      </c>
      <c r="I1159" s="137" t="s">
        <v>36</v>
      </c>
      <c r="J1159" s="137">
        <v>1</v>
      </c>
    </row>
    <row r="1160" spans="1:10" hidden="1" x14ac:dyDescent="0.3">
      <c r="A1160" s="137">
        <v>14</v>
      </c>
      <c r="B1160" s="1781" t="s">
        <v>1025</v>
      </c>
      <c r="C1160" s="137" t="s">
        <v>146</v>
      </c>
      <c r="D1160" s="642" t="s">
        <v>1026</v>
      </c>
      <c r="E1160" s="137" t="s">
        <v>239</v>
      </c>
      <c r="F1160" s="137">
        <v>6000000</v>
      </c>
      <c r="G1160" s="137" t="s">
        <v>1027</v>
      </c>
      <c r="H1160" s="137" t="s">
        <v>271</v>
      </c>
      <c r="I1160" s="137" t="s">
        <v>36</v>
      </c>
      <c r="J1160" s="137">
        <v>1</v>
      </c>
    </row>
    <row r="1161" spans="1:10" hidden="1" x14ac:dyDescent="0.3">
      <c r="A1161" s="1781">
        <v>15</v>
      </c>
      <c r="B1161" s="3392" t="s">
        <v>1028</v>
      </c>
      <c r="C1161" s="150" t="s">
        <v>138</v>
      </c>
      <c r="D1161" s="641" t="s">
        <v>1029</v>
      </c>
      <c r="E1161" s="150" t="s">
        <v>78</v>
      </c>
      <c r="F1161" s="1223">
        <v>950000</v>
      </c>
      <c r="G1161" s="150" t="s">
        <v>1030</v>
      </c>
      <c r="H1161" s="150" t="s">
        <v>271</v>
      </c>
      <c r="I1161" s="150" t="s">
        <v>36</v>
      </c>
      <c r="J1161" s="137">
        <v>1</v>
      </c>
    </row>
    <row r="1162" spans="1:10" hidden="1" x14ac:dyDescent="0.3">
      <c r="A1162" s="1781">
        <v>16</v>
      </c>
      <c r="B1162" s="3392" t="s">
        <v>1031</v>
      </c>
      <c r="C1162" s="150" t="s">
        <v>138</v>
      </c>
      <c r="D1162" s="641" t="s">
        <v>1032</v>
      </c>
      <c r="E1162" s="150" t="s">
        <v>965</v>
      </c>
      <c r="F1162" s="1223">
        <v>850000</v>
      </c>
      <c r="G1162" s="150" t="s">
        <v>966</v>
      </c>
      <c r="H1162" s="150" t="s">
        <v>271</v>
      </c>
      <c r="I1162" s="150" t="s">
        <v>36</v>
      </c>
      <c r="J1162" s="137">
        <v>1</v>
      </c>
    </row>
    <row r="1163" spans="1:10" hidden="1" x14ac:dyDescent="0.3">
      <c r="A1163" s="1781">
        <v>17</v>
      </c>
      <c r="B1163" s="3392" t="s">
        <v>1031</v>
      </c>
      <c r="C1163" s="150" t="s">
        <v>138</v>
      </c>
      <c r="D1163" s="641" t="s">
        <v>1033</v>
      </c>
      <c r="E1163" s="150" t="s">
        <v>784</v>
      </c>
      <c r="F1163" s="1223">
        <v>1000000</v>
      </c>
      <c r="G1163" s="150" t="s">
        <v>785</v>
      </c>
      <c r="H1163" s="150" t="s">
        <v>36</v>
      </c>
      <c r="I1163" s="150" t="s">
        <v>36</v>
      </c>
      <c r="J1163" s="137">
        <v>1</v>
      </c>
    </row>
    <row r="1164" spans="1:10" hidden="1" x14ac:dyDescent="0.3">
      <c r="A1164" s="1781">
        <v>18</v>
      </c>
      <c r="B1164" s="3392" t="s">
        <v>1034</v>
      </c>
      <c r="C1164" s="150" t="s">
        <v>138</v>
      </c>
      <c r="D1164" s="641" t="s">
        <v>1035</v>
      </c>
      <c r="E1164" s="150" t="s">
        <v>836</v>
      </c>
      <c r="F1164" s="1223">
        <v>900000</v>
      </c>
      <c r="G1164" s="150" t="s">
        <v>1036</v>
      </c>
      <c r="H1164" s="150" t="s">
        <v>271</v>
      </c>
      <c r="I1164" s="150" t="s">
        <v>36</v>
      </c>
      <c r="J1164" s="137">
        <v>1</v>
      </c>
    </row>
    <row r="1165" spans="1:10" hidden="1" x14ac:dyDescent="0.3">
      <c r="A1165" s="1781">
        <v>19</v>
      </c>
      <c r="B1165" s="1781" t="s">
        <v>1034</v>
      </c>
      <c r="C1165" s="150" t="s">
        <v>138</v>
      </c>
      <c r="D1165" s="641" t="s">
        <v>1037</v>
      </c>
      <c r="E1165" s="150" t="s">
        <v>390</v>
      </c>
      <c r="F1165" s="1223">
        <v>1500000</v>
      </c>
      <c r="G1165" s="150" t="s">
        <v>1038</v>
      </c>
      <c r="H1165" s="150" t="s">
        <v>271</v>
      </c>
      <c r="I1165" s="150" t="s">
        <v>36</v>
      </c>
      <c r="J1165" s="137">
        <v>1</v>
      </c>
    </row>
    <row r="1166" spans="1:10" hidden="1" x14ac:dyDescent="0.3">
      <c r="A1166" s="1781">
        <v>20</v>
      </c>
      <c r="B1166" s="1781" t="s">
        <v>1039</v>
      </c>
      <c r="C1166" s="150" t="s">
        <v>138</v>
      </c>
      <c r="D1166" s="641" t="s">
        <v>1040</v>
      </c>
      <c r="E1166" s="150" t="s">
        <v>78</v>
      </c>
      <c r="F1166" s="1223">
        <v>950000</v>
      </c>
      <c r="G1166" s="150" t="s">
        <v>1041</v>
      </c>
      <c r="H1166" s="150" t="s">
        <v>271</v>
      </c>
      <c r="I1166" s="150" t="s">
        <v>36</v>
      </c>
      <c r="J1166" s="137">
        <v>1</v>
      </c>
    </row>
    <row r="1167" spans="1:10" hidden="1" x14ac:dyDescent="0.3">
      <c r="A1167" s="1781"/>
      <c r="B1167" s="1781"/>
      <c r="C1167" s="150"/>
      <c r="D1167" s="641"/>
      <c r="E1167" s="150"/>
      <c r="F1167" s="1223"/>
      <c r="G1167" s="150"/>
      <c r="H1167" s="150"/>
      <c r="I1167" s="150"/>
      <c r="J1167" s="137"/>
    </row>
    <row r="1168" spans="1:10" ht="24.6" hidden="1" x14ac:dyDescent="0.4">
      <c r="A1168" s="1781"/>
      <c r="B1168" s="1781"/>
      <c r="C1168" s="150"/>
      <c r="D1168" s="641"/>
      <c r="E1168" s="150"/>
      <c r="F1168" s="151"/>
      <c r="G1168" s="150"/>
      <c r="H1168" s="150"/>
      <c r="I1168" s="150"/>
      <c r="J1168" s="932">
        <f>SUM(J1147:J1167)</f>
        <v>20</v>
      </c>
    </row>
    <row r="1169" spans="1:10" hidden="1" x14ac:dyDescent="0.3">
      <c r="A1169" s="3473" t="s">
        <v>33</v>
      </c>
      <c r="B1169" s="3473"/>
      <c r="C1169" s="3473"/>
      <c r="D1169" s="3473"/>
      <c r="E1169" s="3473"/>
      <c r="F1169" s="3473"/>
      <c r="G1169" s="3473"/>
      <c r="H1169" s="3473"/>
      <c r="I1169" s="3473"/>
      <c r="J1169" s="3473"/>
    </row>
    <row r="1170" spans="1:10" hidden="1" x14ac:dyDescent="0.3">
      <c r="A1170" s="137" t="s">
        <v>3</v>
      </c>
      <c r="B1170" s="1781" t="s">
        <v>4</v>
      </c>
      <c r="C1170" s="137" t="s">
        <v>5</v>
      </c>
      <c r="D1170" s="137" t="s">
        <v>6</v>
      </c>
      <c r="E1170" s="137" t="s">
        <v>7</v>
      </c>
      <c r="F1170" s="137" t="s">
        <v>8</v>
      </c>
      <c r="G1170" s="137" t="s">
        <v>9</v>
      </c>
      <c r="H1170" s="137" t="s">
        <v>10</v>
      </c>
      <c r="I1170" s="137" t="s">
        <v>11</v>
      </c>
      <c r="J1170" s="137" t="s">
        <v>12</v>
      </c>
    </row>
    <row r="1171" spans="1:10" hidden="1" x14ac:dyDescent="0.3">
      <c r="A1171" s="597">
        <v>1</v>
      </c>
      <c r="B1171" s="3394" t="s">
        <v>1001</v>
      </c>
      <c r="C1171" s="154" t="s">
        <v>138</v>
      </c>
      <c r="D1171" s="154" t="s">
        <v>1042</v>
      </c>
      <c r="E1171" s="154" t="s">
        <v>965</v>
      </c>
      <c r="F1171" s="154">
        <v>100000000</v>
      </c>
      <c r="G1171" s="154" t="s">
        <v>966</v>
      </c>
      <c r="H1171" s="154" t="s">
        <v>271</v>
      </c>
      <c r="I1171" s="154" t="s">
        <v>36</v>
      </c>
      <c r="J1171" s="598">
        <v>1</v>
      </c>
    </row>
    <row r="1172" spans="1:10" hidden="1" x14ac:dyDescent="0.3">
      <c r="A1172" s="595">
        <v>2</v>
      </c>
      <c r="B1172" s="3395" t="s">
        <v>1001</v>
      </c>
      <c r="C1172" s="156" t="s">
        <v>138</v>
      </c>
      <c r="D1172" s="156" t="s">
        <v>1008</v>
      </c>
      <c r="E1172" s="156" t="s">
        <v>965</v>
      </c>
      <c r="F1172" s="156">
        <v>125000000</v>
      </c>
      <c r="G1172" s="156" t="s">
        <v>966</v>
      </c>
      <c r="H1172" s="156" t="s">
        <v>271</v>
      </c>
      <c r="I1172" s="156" t="s">
        <v>36</v>
      </c>
      <c r="J1172" s="144">
        <v>1</v>
      </c>
    </row>
    <row r="1173" spans="1:10" hidden="1" x14ac:dyDescent="0.3">
      <c r="A1173" s="595">
        <v>3</v>
      </c>
      <c r="B1173" s="3395" t="s">
        <v>1001</v>
      </c>
      <c r="C1173" s="156" t="s">
        <v>138</v>
      </c>
      <c r="D1173" s="156" t="s">
        <v>1040</v>
      </c>
      <c r="E1173" s="156" t="s">
        <v>78</v>
      </c>
      <c r="F1173" s="156">
        <v>170000000</v>
      </c>
      <c r="G1173" s="156" t="s">
        <v>1043</v>
      </c>
      <c r="H1173" s="156" t="s">
        <v>271</v>
      </c>
      <c r="I1173" s="156" t="s">
        <v>36</v>
      </c>
      <c r="J1173" s="144">
        <v>1</v>
      </c>
    </row>
    <row r="1174" spans="1:10" hidden="1" x14ac:dyDescent="0.3">
      <c r="A1174" s="595">
        <v>4</v>
      </c>
      <c r="B1174" s="3395" t="s">
        <v>1001</v>
      </c>
      <c r="C1174" s="156" t="s">
        <v>138</v>
      </c>
      <c r="D1174" s="156" t="s">
        <v>556</v>
      </c>
      <c r="E1174" s="156" t="s">
        <v>1044</v>
      </c>
      <c r="F1174" s="156">
        <v>200000000</v>
      </c>
      <c r="G1174" s="156" t="s">
        <v>558</v>
      </c>
      <c r="H1174" s="156" t="s">
        <v>271</v>
      </c>
      <c r="I1174" s="156" t="s">
        <v>36</v>
      </c>
      <c r="J1174" s="144">
        <v>1</v>
      </c>
    </row>
    <row r="1175" spans="1:10" hidden="1" x14ac:dyDescent="0.3">
      <c r="A1175" s="595">
        <v>5</v>
      </c>
      <c r="B1175" s="3395" t="s">
        <v>1019</v>
      </c>
      <c r="C1175" s="156" t="s">
        <v>74</v>
      </c>
      <c r="D1175" s="156" t="s">
        <v>1045</v>
      </c>
      <c r="E1175" s="156" t="s">
        <v>78</v>
      </c>
      <c r="F1175" s="156">
        <v>465000000</v>
      </c>
      <c r="G1175" s="156" t="s">
        <v>841</v>
      </c>
      <c r="H1175" s="156" t="s">
        <v>271</v>
      </c>
      <c r="I1175" s="156" t="s">
        <v>36</v>
      </c>
      <c r="J1175" s="144">
        <v>1</v>
      </c>
    </row>
    <row r="1176" spans="1:10" hidden="1" x14ac:dyDescent="0.3">
      <c r="A1176" s="595">
        <v>6</v>
      </c>
      <c r="B1176" s="3401" t="s">
        <v>1019</v>
      </c>
      <c r="C1176" s="1441" t="s">
        <v>138</v>
      </c>
      <c r="D1176" s="1441" t="s">
        <v>1046</v>
      </c>
      <c r="E1176" s="1441" t="s">
        <v>942</v>
      </c>
      <c r="F1176" s="1441">
        <v>130000000</v>
      </c>
      <c r="G1176" s="1441" t="s">
        <v>168</v>
      </c>
      <c r="H1176" s="1441" t="s">
        <v>271</v>
      </c>
      <c r="I1176" s="156" t="s">
        <v>36</v>
      </c>
      <c r="J1176" s="144">
        <v>1</v>
      </c>
    </row>
    <row r="1177" spans="1:10" hidden="1" x14ac:dyDescent="0.3">
      <c r="A1177" s="1439">
        <v>7</v>
      </c>
      <c r="B1177" s="595" t="s">
        <v>1021</v>
      </c>
      <c r="C1177" s="144" t="s">
        <v>138</v>
      </c>
      <c r="D1177" s="144" t="s">
        <v>1022</v>
      </c>
      <c r="E1177" s="144" t="s">
        <v>78</v>
      </c>
      <c r="F1177" s="144" t="s">
        <v>1047</v>
      </c>
      <c r="G1177" s="144" t="s">
        <v>1004</v>
      </c>
      <c r="H1177" s="144" t="s">
        <v>271</v>
      </c>
      <c r="I1177" s="1440" t="s">
        <v>36</v>
      </c>
      <c r="J1177" s="144">
        <v>1</v>
      </c>
    </row>
    <row r="1178" spans="1:10" hidden="1" x14ac:dyDescent="0.3">
      <c r="A1178" s="1439">
        <v>8</v>
      </c>
      <c r="B1178" s="595" t="s">
        <v>1023</v>
      </c>
      <c r="C1178" s="144" t="s">
        <v>138</v>
      </c>
      <c r="D1178" s="144" t="s">
        <v>1048</v>
      </c>
      <c r="E1178" s="144" t="s">
        <v>78</v>
      </c>
      <c r="F1178" s="144" t="s">
        <v>1049</v>
      </c>
      <c r="G1178" s="144" t="s">
        <v>829</v>
      </c>
      <c r="H1178" s="144" t="s">
        <v>271</v>
      </c>
      <c r="I1178" s="141" t="s">
        <v>36</v>
      </c>
      <c r="J1178" s="144">
        <v>1</v>
      </c>
    </row>
    <row r="1179" spans="1:10" ht="24.6" hidden="1" x14ac:dyDescent="0.4">
      <c r="A1179" s="144"/>
      <c r="B1179" s="922"/>
      <c r="C1179" s="887"/>
      <c r="D1179" s="887"/>
      <c r="E1179" s="887"/>
      <c r="F1179" s="887"/>
      <c r="G1179" s="887"/>
      <c r="H1179" s="887"/>
      <c r="I1179" s="144"/>
      <c r="J1179" s="935">
        <v>8</v>
      </c>
    </row>
    <row r="1180" spans="1:10" hidden="1" x14ac:dyDescent="0.3"/>
    <row r="1181" spans="1:10" hidden="1" x14ac:dyDescent="0.3"/>
    <row r="1182" spans="1:10" hidden="1" x14ac:dyDescent="0.3"/>
    <row r="1183" spans="1:10" ht="23.4" hidden="1" x14ac:dyDescent="0.3">
      <c r="A1183" s="3478" t="s">
        <v>582</v>
      </c>
      <c r="B1183" s="3478"/>
      <c r="C1183" s="3478"/>
      <c r="D1183" s="3478"/>
      <c r="E1183" s="3478"/>
      <c r="F1183" s="3478"/>
      <c r="G1183" s="3478"/>
      <c r="H1183" s="3478"/>
      <c r="I1183" s="3478"/>
      <c r="J1183" s="3478"/>
    </row>
    <row r="1184" spans="1:10" ht="15.6" hidden="1" x14ac:dyDescent="0.3">
      <c r="A1184" s="3461" t="s">
        <v>2</v>
      </c>
      <c r="B1184" s="3461"/>
      <c r="C1184" s="3461"/>
      <c r="D1184" s="3461"/>
      <c r="E1184" s="3461"/>
      <c r="F1184" s="3461"/>
      <c r="G1184" s="3461"/>
      <c r="H1184" s="3461"/>
      <c r="I1184" s="3461"/>
      <c r="J1184" s="3461"/>
    </row>
    <row r="1185" spans="1:10" hidden="1" x14ac:dyDescent="0.3">
      <c r="A1185" s="137" t="s">
        <v>3</v>
      </c>
      <c r="B1185" s="1781" t="s">
        <v>4</v>
      </c>
      <c r="C1185" s="137" t="s">
        <v>5</v>
      </c>
      <c r="D1185" s="137" t="s">
        <v>6</v>
      </c>
      <c r="E1185" s="137" t="s">
        <v>7</v>
      </c>
      <c r="F1185" s="137" t="s">
        <v>8</v>
      </c>
      <c r="G1185" s="137" t="s">
        <v>9</v>
      </c>
      <c r="H1185" s="137" t="s">
        <v>10</v>
      </c>
      <c r="I1185" s="137" t="s">
        <v>11</v>
      </c>
      <c r="J1185" s="137" t="s">
        <v>12</v>
      </c>
    </row>
    <row r="1186" spans="1:10" hidden="1" x14ac:dyDescent="0.3">
      <c r="A1186" s="137">
        <v>1</v>
      </c>
      <c r="B1186" s="765" t="s">
        <v>1001</v>
      </c>
      <c r="C1186" s="642" t="s">
        <v>138</v>
      </c>
      <c r="D1186" s="642" t="s">
        <v>1050</v>
      </c>
      <c r="E1186" s="642" t="s">
        <v>962</v>
      </c>
      <c r="F1186" s="641">
        <v>1250000</v>
      </c>
      <c r="G1186" s="642" t="s">
        <v>963</v>
      </c>
      <c r="H1186" s="642" t="s">
        <v>271</v>
      </c>
      <c r="I1186" s="642" t="s">
        <v>36</v>
      </c>
      <c r="J1186" s="642">
        <v>1</v>
      </c>
    </row>
    <row r="1187" spans="1:10" hidden="1" x14ac:dyDescent="0.3">
      <c r="A1187" s="137">
        <v>2</v>
      </c>
      <c r="B1187" s="765" t="s">
        <v>1001</v>
      </c>
      <c r="C1187" s="642" t="s">
        <v>138</v>
      </c>
      <c r="D1187" s="642" t="s">
        <v>1051</v>
      </c>
      <c r="E1187" s="642" t="s">
        <v>76</v>
      </c>
      <c r="F1187" s="641">
        <v>1250000</v>
      </c>
      <c r="G1187" s="642" t="s">
        <v>168</v>
      </c>
      <c r="H1187" s="642" t="s">
        <v>271</v>
      </c>
      <c r="I1187" s="642" t="s">
        <v>36</v>
      </c>
      <c r="J1187" s="642">
        <v>1</v>
      </c>
    </row>
    <row r="1188" spans="1:10" hidden="1" x14ac:dyDescent="0.3">
      <c r="A1188" s="137">
        <v>3</v>
      </c>
      <c r="B1188" s="765" t="s">
        <v>1052</v>
      </c>
      <c r="C1188" s="642" t="s">
        <v>138</v>
      </c>
      <c r="D1188" s="642" t="s">
        <v>1053</v>
      </c>
      <c r="E1188" s="642" t="s">
        <v>858</v>
      </c>
      <c r="F1188" s="641">
        <v>880000</v>
      </c>
      <c r="G1188" s="642" t="s">
        <v>168</v>
      </c>
      <c r="H1188" s="642" t="s">
        <v>271</v>
      </c>
      <c r="I1188" s="642" t="s">
        <v>36</v>
      </c>
      <c r="J1188" s="642">
        <v>1</v>
      </c>
    </row>
    <row r="1189" spans="1:10" hidden="1" x14ac:dyDescent="0.3">
      <c r="A1189" s="137">
        <v>4</v>
      </c>
      <c r="B1189" s="765" t="s">
        <v>1001</v>
      </c>
      <c r="C1189" s="642" t="s">
        <v>138</v>
      </c>
      <c r="D1189" s="642" t="s">
        <v>1054</v>
      </c>
      <c r="E1189" s="642" t="s">
        <v>962</v>
      </c>
      <c r="F1189" s="641">
        <v>1300000</v>
      </c>
      <c r="G1189" s="642" t="s">
        <v>963</v>
      </c>
      <c r="H1189" s="642" t="s">
        <v>271</v>
      </c>
      <c r="I1189" s="642" t="s">
        <v>36</v>
      </c>
      <c r="J1189" s="642">
        <v>1</v>
      </c>
    </row>
    <row r="1190" spans="1:10" hidden="1" x14ac:dyDescent="0.3">
      <c r="A1190" s="137">
        <v>5</v>
      </c>
      <c r="B1190" s="765" t="s">
        <v>1001</v>
      </c>
      <c r="C1190" s="642" t="s">
        <v>138</v>
      </c>
      <c r="D1190" s="642" t="s">
        <v>1055</v>
      </c>
      <c r="E1190" s="642" t="s">
        <v>858</v>
      </c>
      <c r="F1190" s="641">
        <v>1400000</v>
      </c>
      <c r="G1190" s="642" t="s">
        <v>724</v>
      </c>
      <c r="H1190" s="642" t="s">
        <v>271</v>
      </c>
      <c r="I1190" s="642" t="s">
        <v>36</v>
      </c>
      <c r="J1190" s="642">
        <v>1</v>
      </c>
    </row>
    <row r="1191" spans="1:10" hidden="1" x14ac:dyDescent="0.3">
      <c r="A1191" s="137">
        <v>6</v>
      </c>
      <c r="B1191" s="765" t="s">
        <v>1001</v>
      </c>
      <c r="C1191" s="642" t="s">
        <v>138</v>
      </c>
      <c r="D1191" s="642" t="s">
        <v>1056</v>
      </c>
      <c r="E1191" s="642" t="s">
        <v>962</v>
      </c>
      <c r="F1191" s="641">
        <v>1200000</v>
      </c>
      <c r="G1191" s="642" t="s">
        <v>963</v>
      </c>
      <c r="H1191" s="642" t="s">
        <v>271</v>
      </c>
      <c r="I1191" s="642" t="s">
        <v>36</v>
      </c>
      <c r="J1191" s="642">
        <v>1</v>
      </c>
    </row>
    <row r="1192" spans="1:10" hidden="1" x14ac:dyDescent="0.3">
      <c r="A1192" s="137">
        <v>7</v>
      </c>
      <c r="B1192" s="765" t="s">
        <v>1001</v>
      </c>
      <c r="C1192" s="642" t="s">
        <v>138</v>
      </c>
      <c r="D1192" s="642" t="s">
        <v>1057</v>
      </c>
      <c r="E1192" s="642" t="s">
        <v>962</v>
      </c>
      <c r="F1192" s="641">
        <v>1250000</v>
      </c>
      <c r="G1192" s="642" t="s">
        <v>963</v>
      </c>
      <c r="H1192" s="642" t="s">
        <v>271</v>
      </c>
      <c r="I1192" s="642" t="s">
        <v>36</v>
      </c>
      <c r="J1192" s="642">
        <v>1</v>
      </c>
    </row>
    <row r="1193" spans="1:10" hidden="1" x14ac:dyDescent="0.3">
      <c r="A1193" s="137">
        <v>8</v>
      </c>
      <c r="B1193" s="765" t="s">
        <v>1058</v>
      </c>
      <c r="C1193" s="642" t="s">
        <v>138</v>
      </c>
      <c r="D1193" s="642" t="s">
        <v>1059</v>
      </c>
      <c r="E1193" s="642" t="s">
        <v>802</v>
      </c>
      <c r="F1193" s="641">
        <v>1200000</v>
      </c>
      <c r="G1193" s="642" t="s">
        <v>854</v>
      </c>
      <c r="H1193" s="642" t="s">
        <v>271</v>
      </c>
      <c r="I1193" s="642" t="s">
        <v>36</v>
      </c>
      <c r="J1193" s="642">
        <v>1</v>
      </c>
    </row>
    <row r="1194" spans="1:10" hidden="1" x14ac:dyDescent="0.3">
      <c r="A1194" s="137">
        <v>9</v>
      </c>
      <c r="B1194" s="765" t="s">
        <v>1060</v>
      </c>
      <c r="C1194" s="642" t="s">
        <v>138</v>
      </c>
      <c r="D1194" s="642" t="s">
        <v>1061</v>
      </c>
      <c r="E1194" s="642" t="s">
        <v>802</v>
      </c>
      <c r="F1194" s="641">
        <v>1100000</v>
      </c>
      <c r="G1194" s="642" t="s">
        <v>854</v>
      </c>
      <c r="H1194" s="642" t="s">
        <v>271</v>
      </c>
      <c r="I1194" s="642" t="s">
        <v>36</v>
      </c>
      <c r="J1194" s="642">
        <v>1</v>
      </c>
    </row>
    <row r="1195" spans="1:10" hidden="1" x14ac:dyDescent="0.3">
      <c r="A1195" s="137">
        <v>10</v>
      </c>
      <c r="B1195" s="765" t="s">
        <v>1062</v>
      </c>
      <c r="C1195" s="642" t="s">
        <v>138</v>
      </c>
      <c r="D1195" s="642" t="s">
        <v>1063</v>
      </c>
      <c r="E1195" s="642" t="s">
        <v>180</v>
      </c>
      <c r="F1195" s="641">
        <v>1300000</v>
      </c>
      <c r="G1195" s="642" t="s">
        <v>1064</v>
      </c>
      <c r="H1195" s="642" t="s">
        <v>271</v>
      </c>
      <c r="I1195" s="642" t="s">
        <v>36</v>
      </c>
      <c r="J1195" s="642">
        <v>1</v>
      </c>
    </row>
    <row r="1196" spans="1:10" hidden="1" x14ac:dyDescent="0.3">
      <c r="A1196" s="137">
        <v>11</v>
      </c>
      <c r="B1196" s="1781" t="s">
        <v>874</v>
      </c>
      <c r="C1196" s="150" t="s">
        <v>138</v>
      </c>
      <c r="D1196" s="641" t="s">
        <v>875</v>
      </c>
      <c r="E1196" s="150" t="s">
        <v>180</v>
      </c>
      <c r="F1196" s="151">
        <v>1200000</v>
      </c>
      <c r="G1196" s="150" t="s">
        <v>144</v>
      </c>
      <c r="H1196" s="150" t="s">
        <v>271</v>
      </c>
      <c r="I1196" s="150" t="s">
        <v>36</v>
      </c>
      <c r="J1196" s="137">
        <v>1</v>
      </c>
    </row>
    <row r="1197" spans="1:10" hidden="1" x14ac:dyDescent="0.3">
      <c r="A1197" s="137">
        <v>12</v>
      </c>
      <c r="B1197" s="1781" t="s">
        <v>876</v>
      </c>
      <c r="C1197" s="150" t="s">
        <v>138</v>
      </c>
      <c r="D1197" s="641" t="s">
        <v>877</v>
      </c>
      <c r="E1197" s="150" t="s">
        <v>869</v>
      </c>
      <c r="F1197" s="151">
        <v>1150000</v>
      </c>
      <c r="G1197" s="150" t="s">
        <v>235</v>
      </c>
      <c r="H1197" s="150" t="s">
        <v>271</v>
      </c>
      <c r="I1197" s="150" t="s">
        <v>36</v>
      </c>
      <c r="J1197" s="137">
        <v>1</v>
      </c>
    </row>
    <row r="1198" spans="1:10" hidden="1" x14ac:dyDescent="0.3">
      <c r="A1198" s="137">
        <v>13</v>
      </c>
      <c r="B1198" s="1781" t="s">
        <v>876</v>
      </c>
      <c r="C1198" s="150" t="s">
        <v>138</v>
      </c>
      <c r="D1198" s="641" t="s">
        <v>878</v>
      </c>
      <c r="E1198" s="150" t="s">
        <v>869</v>
      </c>
      <c r="F1198" s="151">
        <v>1200000</v>
      </c>
      <c r="G1198" s="150" t="s">
        <v>235</v>
      </c>
      <c r="H1198" s="150" t="s">
        <v>271</v>
      </c>
      <c r="I1198" s="150" t="s">
        <v>36</v>
      </c>
      <c r="J1198" s="137">
        <v>1</v>
      </c>
    </row>
    <row r="1199" spans="1:10" hidden="1" x14ac:dyDescent="0.3">
      <c r="A1199" s="137">
        <v>14</v>
      </c>
      <c r="B1199" s="765" t="s">
        <v>1034</v>
      </c>
      <c r="C1199" s="642" t="s">
        <v>138</v>
      </c>
      <c r="D1199" s="642" t="s">
        <v>1065</v>
      </c>
      <c r="E1199" s="642" t="s">
        <v>1066</v>
      </c>
      <c r="F1199" s="641">
        <v>1200000</v>
      </c>
      <c r="G1199" s="642" t="s">
        <v>1067</v>
      </c>
      <c r="H1199" s="642" t="s">
        <v>271</v>
      </c>
      <c r="I1199" s="642" t="s">
        <v>36</v>
      </c>
      <c r="J1199" s="642">
        <v>1</v>
      </c>
    </row>
    <row r="1200" spans="1:10" hidden="1" x14ac:dyDescent="0.3">
      <c r="A1200" s="1781">
        <v>15</v>
      </c>
      <c r="B1200" s="3402" t="s">
        <v>1068</v>
      </c>
      <c r="C1200" s="641" t="s">
        <v>138</v>
      </c>
      <c r="D1200" s="641" t="s">
        <v>1069</v>
      </c>
      <c r="E1200" s="641" t="s">
        <v>802</v>
      </c>
      <c r="F1200" s="1358">
        <v>1150000</v>
      </c>
      <c r="G1200" s="641" t="s">
        <v>854</v>
      </c>
      <c r="H1200" s="641" t="s">
        <v>271</v>
      </c>
      <c r="I1200" s="641" t="s">
        <v>36</v>
      </c>
      <c r="J1200" s="642">
        <v>1</v>
      </c>
    </row>
    <row r="1201" spans="1:10" hidden="1" x14ac:dyDescent="0.3">
      <c r="A1201" s="1781">
        <v>16</v>
      </c>
      <c r="B1201" s="3402" t="s">
        <v>1070</v>
      </c>
      <c r="C1201" s="641" t="s">
        <v>138</v>
      </c>
      <c r="D1201" s="641" t="s">
        <v>1071</v>
      </c>
      <c r="E1201" s="641" t="s">
        <v>904</v>
      </c>
      <c r="F1201" s="1358">
        <v>1150000</v>
      </c>
      <c r="G1201" s="641" t="s">
        <v>168</v>
      </c>
      <c r="H1201" s="641" t="s">
        <v>271</v>
      </c>
      <c r="I1201" s="641" t="s">
        <v>36</v>
      </c>
      <c r="J1201" s="642">
        <v>1</v>
      </c>
    </row>
    <row r="1202" spans="1:10" hidden="1" x14ac:dyDescent="0.3">
      <c r="A1202" s="1781">
        <v>17</v>
      </c>
      <c r="B1202" s="3402" t="s">
        <v>1072</v>
      </c>
      <c r="C1202" s="641" t="s">
        <v>138</v>
      </c>
      <c r="D1202" s="641" t="s">
        <v>1073</v>
      </c>
      <c r="E1202" s="641" t="s">
        <v>148</v>
      </c>
      <c r="F1202" s="1358">
        <v>870000</v>
      </c>
      <c r="G1202" s="641" t="s">
        <v>168</v>
      </c>
      <c r="H1202" s="641" t="s">
        <v>271</v>
      </c>
      <c r="I1202" s="641" t="s">
        <v>36</v>
      </c>
      <c r="J1202" s="642">
        <v>1</v>
      </c>
    </row>
    <row r="1203" spans="1:10" hidden="1" x14ac:dyDescent="0.3">
      <c r="A1203" s="1781">
        <v>18</v>
      </c>
      <c r="B1203" s="3402" t="s">
        <v>1072</v>
      </c>
      <c r="C1203" s="641" t="s">
        <v>138</v>
      </c>
      <c r="D1203" s="641" t="s">
        <v>1074</v>
      </c>
      <c r="E1203" s="641" t="s">
        <v>802</v>
      </c>
      <c r="F1203" s="1358">
        <v>1350000</v>
      </c>
      <c r="G1203" s="641" t="s">
        <v>1075</v>
      </c>
      <c r="H1203" s="641" t="s">
        <v>271</v>
      </c>
      <c r="I1203" s="641" t="s">
        <v>36</v>
      </c>
      <c r="J1203" s="642">
        <v>1</v>
      </c>
    </row>
    <row r="1204" spans="1:10" hidden="1" x14ac:dyDescent="0.3">
      <c r="A1204" s="1781">
        <v>19</v>
      </c>
      <c r="B1204" s="765" t="s">
        <v>1076</v>
      </c>
      <c r="C1204" s="641" t="s">
        <v>138</v>
      </c>
      <c r="D1204" s="641" t="s">
        <v>1077</v>
      </c>
      <c r="E1204" s="641" t="s">
        <v>802</v>
      </c>
      <c r="F1204" s="1358">
        <v>1200000</v>
      </c>
      <c r="G1204" s="641" t="s">
        <v>1078</v>
      </c>
      <c r="H1204" s="641" t="s">
        <v>271</v>
      </c>
      <c r="I1204" s="641" t="s">
        <v>36</v>
      </c>
      <c r="J1204" s="642">
        <v>1</v>
      </c>
    </row>
    <row r="1205" spans="1:10" hidden="1" x14ac:dyDescent="0.3">
      <c r="A1205" s="1781">
        <v>20</v>
      </c>
      <c r="B1205" s="765" t="s">
        <v>1076</v>
      </c>
      <c r="C1205" s="641" t="s">
        <v>138</v>
      </c>
      <c r="D1205" s="641" t="s">
        <v>1079</v>
      </c>
      <c r="E1205" s="641" t="s">
        <v>802</v>
      </c>
      <c r="F1205" s="1358">
        <v>1250000</v>
      </c>
      <c r="G1205" s="641" t="s">
        <v>1075</v>
      </c>
      <c r="H1205" s="641" t="s">
        <v>271</v>
      </c>
      <c r="I1205" s="641" t="s">
        <v>36</v>
      </c>
      <c r="J1205" s="642">
        <v>1</v>
      </c>
    </row>
    <row r="1206" spans="1:10" ht="25.8" hidden="1" x14ac:dyDescent="0.5">
      <c r="A1206" s="1781"/>
      <c r="B1206" s="1781"/>
      <c r="C1206" s="150"/>
      <c r="D1206" s="641"/>
      <c r="E1206" s="150"/>
      <c r="F1206" s="151"/>
      <c r="G1206" s="150"/>
      <c r="H1206" s="150"/>
      <c r="I1206" s="150"/>
      <c r="J1206" s="934">
        <f>SUM(J1186:J1205)</f>
        <v>20</v>
      </c>
    </row>
    <row r="1207" spans="1:10" hidden="1" x14ac:dyDescent="0.3">
      <c r="A1207" s="3473" t="s">
        <v>33</v>
      </c>
      <c r="B1207" s="3473"/>
      <c r="C1207" s="3473"/>
      <c r="D1207" s="3473"/>
      <c r="E1207" s="3473"/>
      <c r="F1207" s="3473"/>
      <c r="G1207" s="3473"/>
      <c r="H1207" s="3473"/>
      <c r="I1207" s="3473"/>
      <c r="J1207" s="3473"/>
    </row>
    <row r="1208" spans="1:10" hidden="1" x14ac:dyDescent="0.3">
      <c r="A1208" s="137" t="s">
        <v>3</v>
      </c>
      <c r="B1208" s="1781" t="s">
        <v>4</v>
      </c>
      <c r="C1208" s="137" t="s">
        <v>5</v>
      </c>
      <c r="D1208" s="137" t="s">
        <v>6</v>
      </c>
      <c r="E1208" s="137" t="s">
        <v>7</v>
      </c>
      <c r="F1208" s="137" t="s">
        <v>8</v>
      </c>
      <c r="G1208" s="137" t="s">
        <v>9</v>
      </c>
      <c r="H1208" s="137" t="s">
        <v>10</v>
      </c>
      <c r="I1208" s="137" t="s">
        <v>11</v>
      </c>
      <c r="J1208" s="137" t="s">
        <v>12</v>
      </c>
    </row>
    <row r="1209" spans="1:10" hidden="1" x14ac:dyDescent="0.3">
      <c r="A1209" s="549">
        <v>1</v>
      </c>
      <c r="B1209" s="3393" t="s">
        <v>1080</v>
      </c>
      <c r="C1209" s="152" t="s">
        <v>138</v>
      </c>
      <c r="D1209" s="152" t="s">
        <v>622</v>
      </c>
      <c r="E1209" s="152" t="s">
        <v>883</v>
      </c>
      <c r="F1209" s="152">
        <v>225000000</v>
      </c>
      <c r="G1209" s="152" t="s">
        <v>235</v>
      </c>
      <c r="H1209" s="152" t="s">
        <v>271</v>
      </c>
      <c r="I1209" s="152" t="s">
        <v>36</v>
      </c>
      <c r="J1209" s="200">
        <v>1</v>
      </c>
    </row>
    <row r="1210" spans="1:10" hidden="1" x14ac:dyDescent="0.3">
      <c r="A1210" s="549">
        <v>2</v>
      </c>
      <c r="B1210" s="3393" t="s">
        <v>1081</v>
      </c>
      <c r="C1210" s="152" t="s">
        <v>138</v>
      </c>
      <c r="D1210" s="152" t="s">
        <v>1082</v>
      </c>
      <c r="E1210" s="152" t="s">
        <v>883</v>
      </c>
      <c r="F1210" s="152">
        <v>190000000</v>
      </c>
      <c r="G1210" s="152" t="s">
        <v>235</v>
      </c>
      <c r="H1210" s="152" t="s">
        <v>271</v>
      </c>
      <c r="I1210" s="152" t="s">
        <v>36</v>
      </c>
      <c r="J1210" s="200">
        <v>1</v>
      </c>
    </row>
    <row r="1211" spans="1:10" hidden="1" x14ac:dyDescent="0.3">
      <c r="A1211" s="597">
        <v>3</v>
      </c>
      <c r="B1211" s="3394" t="s">
        <v>1031</v>
      </c>
      <c r="C1211" s="154" t="s">
        <v>138</v>
      </c>
      <c r="D1211" s="154" t="s">
        <v>1083</v>
      </c>
      <c r="E1211" s="154" t="s">
        <v>904</v>
      </c>
      <c r="F1211" s="154">
        <v>245000000</v>
      </c>
      <c r="G1211" s="154" t="s">
        <v>1084</v>
      </c>
      <c r="H1211" s="154" t="s">
        <v>271</v>
      </c>
      <c r="I1211" s="154" t="s">
        <v>36</v>
      </c>
      <c r="J1211" s="598">
        <v>1</v>
      </c>
    </row>
    <row r="1212" spans="1:10" hidden="1" x14ac:dyDescent="0.3">
      <c r="A1212" s="597">
        <v>4</v>
      </c>
      <c r="B1212" s="3394" t="s">
        <v>1034</v>
      </c>
      <c r="C1212" s="154" t="s">
        <v>138</v>
      </c>
      <c r="D1212" s="154" t="s">
        <v>1065</v>
      </c>
      <c r="E1212" s="154" t="s">
        <v>1066</v>
      </c>
      <c r="F1212" s="154">
        <v>178000000</v>
      </c>
      <c r="G1212" s="154" t="s">
        <v>1067</v>
      </c>
      <c r="H1212" s="154" t="s">
        <v>271</v>
      </c>
      <c r="I1212" s="154" t="s">
        <v>36</v>
      </c>
      <c r="J1212" s="598">
        <v>1</v>
      </c>
    </row>
    <row r="1213" spans="1:10" hidden="1" x14ac:dyDescent="0.3">
      <c r="A1213" s="595"/>
      <c r="B1213" s="3395"/>
      <c r="C1213" s="156"/>
      <c r="D1213" s="156"/>
      <c r="E1213" s="156"/>
      <c r="F1213" s="156"/>
      <c r="G1213" s="156"/>
      <c r="H1213" s="156"/>
      <c r="I1213" s="156"/>
      <c r="J1213" s="144"/>
    </row>
    <row r="1214" spans="1:10" ht="24.6" hidden="1" x14ac:dyDescent="0.4">
      <c r="A1214" s="887"/>
      <c r="B1214" s="922"/>
      <c r="C1214" s="887"/>
      <c r="D1214" s="887"/>
      <c r="E1214" s="887"/>
      <c r="F1214" s="887"/>
      <c r="G1214" s="887"/>
      <c r="H1214" s="887"/>
      <c r="I1214" s="887"/>
      <c r="J1214" s="933">
        <f>J1209+J1210+J1212+J1211</f>
        <v>4</v>
      </c>
    </row>
    <row r="1215" spans="1:10" hidden="1" x14ac:dyDescent="0.3"/>
    <row r="1216" spans="1:10" hidden="1" x14ac:dyDescent="0.3"/>
    <row r="1217" spans="1:10" ht="23.4" hidden="1" x14ac:dyDescent="0.3">
      <c r="A1217" s="3478" t="s">
        <v>523</v>
      </c>
      <c r="B1217" s="3478"/>
      <c r="C1217" s="3478"/>
      <c r="D1217" s="3478"/>
      <c r="E1217" s="3478"/>
      <c r="F1217" s="3478"/>
      <c r="G1217" s="3478"/>
      <c r="H1217" s="3478"/>
      <c r="I1217" s="3478"/>
      <c r="J1217" s="3478"/>
    </row>
    <row r="1218" spans="1:10" ht="15.6" hidden="1" x14ac:dyDescent="0.3">
      <c r="A1218" s="3461" t="s">
        <v>2</v>
      </c>
      <c r="B1218" s="3461"/>
      <c r="C1218" s="3461"/>
      <c r="D1218" s="3461"/>
      <c r="E1218" s="3461"/>
      <c r="F1218" s="3461"/>
      <c r="G1218" s="3461"/>
      <c r="H1218" s="3461"/>
      <c r="I1218" s="3461"/>
      <c r="J1218" s="3461"/>
    </row>
    <row r="1219" spans="1:10" hidden="1" x14ac:dyDescent="0.3">
      <c r="A1219" s="137" t="s">
        <v>3</v>
      </c>
      <c r="B1219" s="1781" t="s">
        <v>4</v>
      </c>
      <c r="C1219" s="137" t="s">
        <v>5</v>
      </c>
      <c r="D1219" s="137" t="s">
        <v>6</v>
      </c>
      <c r="E1219" s="137" t="s">
        <v>7</v>
      </c>
      <c r="F1219" s="137" t="s">
        <v>8</v>
      </c>
      <c r="G1219" s="137" t="s">
        <v>9</v>
      </c>
      <c r="H1219" s="137" t="s">
        <v>10</v>
      </c>
      <c r="I1219" s="137" t="s">
        <v>11</v>
      </c>
      <c r="J1219" s="137" t="s">
        <v>12</v>
      </c>
    </row>
    <row r="1220" spans="1:10" hidden="1" x14ac:dyDescent="0.3">
      <c r="A1220" s="137">
        <v>1</v>
      </c>
      <c r="B1220" s="3402" t="s">
        <v>1085</v>
      </c>
      <c r="C1220" s="641" t="s">
        <v>138</v>
      </c>
      <c r="D1220" s="641" t="s">
        <v>1086</v>
      </c>
      <c r="E1220" s="641" t="s">
        <v>925</v>
      </c>
      <c r="F1220" s="1358">
        <v>1000000</v>
      </c>
      <c r="G1220" s="641" t="s">
        <v>1087</v>
      </c>
      <c r="H1220" s="641" t="s">
        <v>271</v>
      </c>
      <c r="I1220" s="641" t="s">
        <v>36</v>
      </c>
      <c r="J1220" s="642">
        <v>1</v>
      </c>
    </row>
    <row r="1221" spans="1:10" hidden="1" x14ac:dyDescent="0.3">
      <c r="A1221" s="137">
        <v>2</v>
      </c>
      <c r="B1221" s="765" t="s">
        <v>1088</v>
      </c>
      <c r="C1221" s="642" t="s">
        <v>138</v>
      </c>
      <c r="D1221" s="642" t="s">
        <v>1089</v>
      </c>
      <c r="E1221" s="642" t="s">
        <v>883</v>
      </c>
      <c r="F1221" s="642">
        <v>1200000</v>
      </c>
      <c r="G1221" s="642" t="s">
        <v>1090</v>
      </c>
      <c r="H1221" s="642" t="s">
        <v>271</v>
      </c>
      <c r="I1221" s="642" t="s">
        <v>36</v>
      </c>
      <c r="J1221" s="642">
        <v>1</v>
      </c>
    </row>
    <row r="1222" spans="1:10" hidden="1" x14ac:dyDescent="0.3">
      <c r="A1222" s="137">
        <v>3</v>
      </c>
      <c r="B1222" s="765" t="s">
        <v>1091</v>
      </c>
      <c r="C1222" s="642" t="s">
        <v>662</v>
      </c>
      <c r="D1222" s="642" t="s">
        <v>1092</v>
      </c>
      <c r="E1222" s="642" t="s">
        <v>1093</v>
      </c>
      <c r="F1222" s="642">
        <v>1200000</v>
      </c>
      <c r="G1222" s="1359" t="s">
        <v>897</v>
      </c>
      <c r="H1222" s="642" t="s">
        <v>271</v>
      </c>
      <c r="I1222" s="642" t="s">
        <v>36</v>
      </c>
      <c r="J1222" s="642">
        <v>1</v>
      </c>
    </row>
    <row r="1223" spans="1:10" hidden="1" x14ac:dyDescent="0.3">
      <c r="A1223" s="137">
        <v>4</v>
      </c>
      <c r="B1223" s="765" t="s">
        <v>1091</v>
      </c>
      <c r="C1223" s="642" t="s">
        <v>138</v>
      </c>
      <c r="D1223" s="642" t="s">
        <v>1094</v>
      </c>
      <c r="E1223" s="642" t="s">
        <v>869</v>
      </c>
      <c r="F1223" s="642">
        <v>1200000</v>
      </c>
      <c r="G1223" s="642" t="s">
        <v>1095</v>
      </c>
      <c r="H1223" s="642" t="s">
        <v>271</v>
      </c>
      <c r="I1223" s="642" t="s">
        <v>36</v>
      </c>
      <c r="J1223" s="642">
        <v>1</v>
      </c>
    </row>
    <row r="1224" spans="1:10" hidden="1" x14ac:dyDescent="0.3">
      <c r="A1224" s="137">
        <v>5</v>
      </c>
      <c r="B1224" s="765" t="s">
        <v>1021</v>
      </c>
      <c r="C1224" s="642" t="s">
        <v>138</v>
      </c>
      <c r="D1224" s="642" t="s">
        <v>1096</v>
      </c>
      <c r="E1224" s="642" t="s">
        <v>925</v>
      </c>
      <c r="F1224" s="642">
        <v>1050000</v>
      </c>
      <c r="G1224" s="642" t="s">
        <v>1097</v>
      </c>
      <c r="H1224" s="642" t="s">
        <v>271</v>
      </c>
      <c r="I1224" s="642" t="s">
        <v>36</v>
      </c>
      <c r="J1224" s="642">
        <v>1</v>
      </c>
    </row>
    <row r="1225" spans="1:10" hidden="1" x14ac:dyDescent="0.3">
      <c r="A1225" s="137">
        <v>6</v>
      </c>
      <c r="B1225" s="765" t="s">
        <v>1098</v>
      </c>
      <c r="C1225" s="642" t="s">
        <v>662</v>
      </c>
      <c r="D1225" s="642" t="s">
        <v>1099</v>
      </c>
      <c r="E1225" s="642" t="s">
        <v>1093</v>
      </c>
      <c r="F1225" s="642">
        <v>1400000</v>
      </c>
      <c r="G1225" s="642" t="s">
        <v>914</v>
      </c>
      <c r="H1225" s="642" t="s">
        <v>271</v>
      </c>
      <c r="I1225" s="642" t="s">
        <v>36</v>
      </c>
      <c r="J1225" s="642">
        <v>1</v>
      </c>
    </row>
    <row r="1226" spans="1:10" hidden="1" x14ac:dyDescent="0.3">
      <c r="A1226" s="137">
        <v>7</v>
      </c>
      <c r="B1226" s="765" t="s">
        <v>1098</v>
      </c>
      <c r="C1226" s="642" t="s">
        <v>138</v>
      </c>
      <c r="D1226" s="642" t="s">
        <v>1100</v>
      </c>
      <c r="E1226" s="642" t="s">
        <v>883</v>
      </c>
      <c r="F1226" s="642">
        <v>1100000</v>
      </c>
      <c r="G1226" s="642" t="s">
        <v>1095</v>
      </c>
      <c r="H1226" s="642" t="s">
        <v>271</v>
      </c>
      <c r="I1226" s="642" t="s">
        <v>36</v>
      </c>
      <c r="J1226" s="642">
        <v>1</v>
      </c>
    </row>
    <row r="1227" spans="1:10" hidden="1" x14ac:dyDescent="0.3">
      <c r="A1227" s="137">
        <v>8</v>
      </c>
      <c r="B1227" s="765" t="s">
        <v>1098</v>
      </c>
      <c r="C1227" s="642" t="s">
        <v>138</v>
      </c>
      <c r="D1227" s="642" t="s">
        <v>1101</v>
      </c>
      <c r="E1227" s="642" t="s">
        <v>883</v>
      </c>
      <c r="F1227" s="642">
        <v>1100000</v>
      </c>
      <c r="G1227" s="642" t="s">
        <v>1102</v>
      </c>
      <c r="H1227" s="642" t="s">
        <v>271</v>
      </c>
      <c r="I1227" s="642" t="s">
        <v>36</v>
      </c>
      <c r="J1227" s="642">
        <v>1</v>
      </c>
    </row>
    <row r="1228" spans="1:10" hidden="1" x14ac:dyDescent="0.3">
      <c r="A1228" s="137">
        <v>9</v>
      </c>
      <c r="B1228" s="765" t="s">
        <v>1103</v>
      </c>
      <c r="C1228" s="642" t="s">
        <v>138</v>
      </c>
      <c r="D1228" s="642" t="s">
        <v>1104</v>
      </c>
      <c r="E1228" s="642" t="s">
        <v>1105</v>
      </c>
      <c r="F1228" s="642">
        <v>1200000</v>
      </c>
      <c r="G1228" s="642" t="s">
        <v>1106</v>
      </c>
      <c r="H1228" s="642" t="s">
        <v>271</v>
      </c>
      <c r="I1228" s="642" t="s">
        <v>36</v>
      </c>
      <c r="J1228" s="642">
        <v>1</v>
      </c>
    </row>
    <row r="1229" spans="1:10" hidden="1" x14ac:dyDescent="0.3">
      <c r="A1229" s="137">
        <v>10</v>
      </c>
      <c r="B1229" s="765" t="s">
        <v>1107</v>
      </c>
      <c r="C1229" s="642" t="s">
        <v>138</v>
      </c>
      <c r="D1229" s="642" t="s">
        <v>1108</v>
      </c>
      <c r="E1229" s="642" t="s">
        <v>1105</v>
      </c>
      <c r="F1229" s="642">
        <v>1200000</v>
      </c>
      <c r="G1229" s="642" t="s">
        <v>1109</v>
      </c>
      <c r="H1229" s="642" t="s">
        <v>271</v>
      </c>
      <c r="I1229" s="642" t="s">
        <v>36</v>
      </c>
      <c r="J1229" s="642">
        <v>1</v>
      </c>
    </row>
    <row r="1230" spans="1:10" hidden="1" x14ac:dyDescent="0.3">
      <c r="A1230" s="137">
        <v>11</v>
      </c>
      <c r="B1230" s="765" t="s">
        <v>1031</v>
      </c>
      <c r="C1230" s="642" t="s">
        <v>138</v>
      </c>
      <c r="D1230" s="642" t="s">
        <v>1110</v>
      </c>
      <c r="E1230" s="642" t="s">
        <v>869</v>
      </c>
      <c r="F1230" s="642">
        <v>1300000</v>
      </c>
      <c r="G1230" s="642" t="s">
        <v>634</v>
      </c>
      <c r="H1230" s="642" t="s">
        <v>271</v>
      </c>
      <c r="I1230" s="642" t="s">
        <v>36</v>
      </c>
      <c r="J1230" s="642">
        <v>1</v>
      </c>
    </row>
    <row r="1231" spans="1:10" hidden="1" x14ac:dyDescent="0.3">
      <c r="A1231" s="137">
        <v>12</v>
      </c>
      <c r="B1231" s="765" t="s">
        <v>1031</v>
      </c>
      <c r="C1231" s="642" t="s">
        <v>138</v>
      </c>
      <c r="D1231" s="642" t="s">
        <v>1111</v>
      </c>
      <c r="E1231" s="642" t="s">
        <v>1112</v>
      </c>
      <c r="F1231" s="642">
        <v>700000</v>
      </c>
      <c r="G1231" s="642" t="s">
        <v>168</v>
      </c>
      <c r="H1231" s="642" t="s">
        <v>271</v>
      </c>
      <c r="I1231" s="642" t="s">
        <v>36</v>
      </c>
      <c r="J1231" s="642">
        <v>1</v>
      </c>
    </row>
    <row r="1232" spans="1:10" hidden="1" x14ac:dyDescent="0.3">
      <c r="A1232" s="137">
        <v>13</v>
      </c>
      <c r="B1232" s="765" t="s">
        <v>1062</v>
      </c>
      <c r="C1232" s="642" t="s">
        <v>138</v>
      </c>
      <c r="D1232" s="642" t="s">
        <v>1113</v>
      </c>
      <c r="E1232" s="642" t="s">
        <v>869</v>
      </c>
      <c r="F1232" s="642">
        <v>1200000</v>
      </c>
      <c r="G1232" s="642" t="s">
        <v>1114</v>
      </c>
      <c r="H1232" s="642" t="s">
        <v>271</v>
      </c>
      <c r="I1232" s="642" t="s">
        <v>36</v>
      </c>
      <c r="J1232" s="642">
        <v>1</v>
      </c>
    </row>
    <row r="1233" spans="1:10" hidden="1" x14ac:dyDescent="0.3">
      <c r="A1233" s="137">
        <v>14</v>
      </c>
      <c r="B1233" s="765" t="s">
        <v>1062</v>
      </c>
      <c r="C1233" s="642" t="s">
        <v>138</v>
      </c>
      <c r="D1233" s="642" t="s">
        <v>1115</v>
      </c>
      <c r="E1233" s="642" t="s">
        <v>913</v>
      </c>
      <c r="F1233" s="642">
        <v>1300000</v>
      </c>
      <c r="G1233" s="642" t="s">
        <v>1116</v>
      </c>
      <c r="H1233" s="642" t="s">
        <v>271</v>
      </c>
      <c r="I1233" s="642" t="s">
        <v>36</v>
      </c>
      <c r="J1233" s="642">
        <v>1</v>
      </c>
    </row>
    <row r="1234" spans="1:10" hidden="1" x14ac:dyDescent="0.3">
      <c r="A1234" s="1781">
        <v>15</v>
      </c>
      <c r="B1234" s="3402" t="s">
        <v>1070</v>
      </c>
      <c r="C1234" s="641" t="s">
        <v>138</v>
      </c>
      <c r="D1234" s="641" t="s">
        <v>1117</v>
      </c>
      <c r="E1234" s="641" t="s">
        <v>869</v>
      </c>
      <c r="F1234" s="1358">
        <v>1300000</v>
      </c>
      <c r="G1234" s="641" t="s">
        <v>140</v>
      </c>
      <c r="H1234" s="641" t="s">
        <v>271</v>
      </c>
      <c r="I1234" s="641" t="s">
        <v>36</v>
      </c>
      <c r="J1234" s="642">
        <v>1</v>
      </c>
    </row>
    <row r="1235" spans="1:10" hidden="1" x14ac:dyDescent="0.3">
      <c r="A1235" s="1781">
        <v>16</v>
      </c>
      <c r="B1235" s="3402" t="s">
        <v>1070</v>
      </c>
      <c r="C1235" s="641" t="s">
        <v>138</v>
      </c>
      <c r="D1235" s="641" t="s">
        <v>1118</v>
      </c>
      <c r="E1235" s="641" t="s">
        <v>869</v>
      </c>
      <c r="F1235" s="1358">
        <v>1200000</v>
      </c>
      <c r="G1235" s="641" t="s">
        <v>1114</v>
      </c>
      <c r="H1235" s="641" t="s">
        <v>271</v>
      </c>
      <c r="I1235" s="641" t="s">
        <v>36</v>
      </c>
      <c r="J1235" s="642">
        <v>1</v>
      </c>
    </row>
    <row r="1236" spans="1:10" hidden="1" x14ac:dyDescent="0.3">
      <c r="A1236" s="1781">
        <v>17</v>
      </c>
      <c r="B1236" s="3402" t="s">
        <v>1070</v>
      </c>
      <c r="C1236" s="641" t="s">
        <v>138</v>
      </c>
      <c r="D1236" s="641" t="s">
        <v>1119</v>
      </c>
      <c r="E1236" s="641" t="s">
        <v>802</v>
      </c>
      <c r="F1236" s="1358">
        <v>1250000</v>
      </c>
      <c r="G1236" s="641" t="s">
        <v>1078</v>
      </c>
      <c r="H1236" s="641" t="s">
        <v>271</v>
      </c>
      <c r="I1236" s="641" t="s">
        <v>36</v>
      </c>
      <c r="J1236" s="642">
        <v>1</v>
      </c>
    </row>
    <row r="1237" spans="1:10" hidden="1" x14ac:dyDescent="0.3">
      <c r="A1237" s="1781">
        <v>18</v>
      </c>
      <c r="B1237" s="765" t="s">
        <v>1120</v>
      </c>
      <c r="C1237" s="641" t="s">
        <v>138</v>
      </c>
      <c r="D1237" s="641" t="s">
        <v>1121</v>
      </c>
      <c r="E1237" s="641" t="s">
        <v>869</v>
      </c>
      <c r="F1237" s="1358">
        <v>1200000</v>
      </c>
      <c r="G1237" s="641" t="s">
        <v>1122</v>
      </c>
      <c r="H1237" s="641" t="s">
        <v>271</v>
      </c>
      <c r="I1237" s="641" t="s">
        <v>36</v>
      </c>
      <c r="J1237" s="642">
        <v>1</v>
      </c>
    </row>
    <row r="1238" spans="1:10" hidden="1" x14ac:dyDescent="0.3">
      <c r="A1238" s="1781">
        <v>19</v>
      </c>
      <c r="B1238" s="765" t="s">
        <v>1120</v>
      </c>
      <c r="C1238" s="641" t="s">
        <v>138</v>
      </c>
      <c r="D1238" s="641" t="s">
        <v>1123</v>
      </c>
      <c r="E1238" s="641" t="s">
        <v>1124</v>
      </c>
      <c r="F1238" s="1358">
        <v>900000</v>
      </c>
      <c r="G1238" s="641" t="s">
        <v>1125</v>
      </c>
      <c r="H1238" s="641" t="s">
        <v>271</v>
      </c>
      <c r="I1238" s="641" t="s">
        <v>36</v>
      </c>
      <c r="J1238" s="642">
        <v>1</v>
      </c>
    </row>
    <row r="1239" spans="1:10" hidden="1" x14ac:dyDescent="0.3">
      <c r="A1239" s="1781">
        <v>20</v>
      </c>
      <c r="B1239" s="765" t="s">
        <v>1120</v>
      </c>
      <c r="C1239" s="641" t="s">
        <v>662</v>
      </c>
      <c r="D1239" s="641" t="s">
        <v>1126</v>
      </c>
      <c r="E1239" s="641" t="s">
        <v>1127</v>
      </c>
      <c r="F1239" s="1358">
        <v>550000</v>
      </c>
      <c r="G1239" s="641" t="s">
        <v>1128</v>
      </c>
      <c r="H1239" s="641" t="s">
        <v>271</v>
      </c>
      <c r="I1239" s="641" t="s">
        <v>36</v>
      </c>
      <c r="J1239" s="642">
        <v>1</v>
      </c>
    </row>
    <row r="1240" spans="1:10" hidden="1" x14ac:dyDescent="0.3">
      <c r="A1240" s="1781"/>
      <c r="B1240" s="765"/>
      <c r="C1240" s="641"/>
      <c r="D1240" s="641"/>
      <c r="E1240" s="641"/>
      <c r="F1240" s="1358"/>
      <c r="G1240" s="641"/>
      <c r="H1240" s="641"/>
      <c r="I1240" s="641"/>
      <c r="J1240" s="642"/>
    </row>
    <row r="1241" spans="1:10" ht="25.8" hidden="1" x14ac:dyDescent="0.5">
      <c r="A1241" s="1781"/>
      <c r="B1241" s="1781"/>
      <c r="C1241" s="150"/>
      <c r="D1241" s="641"/>
      <c r="E1241" s="150"/>
      <c r="F1241" s="151"/>
      <c r="G1241" s="150"/>
      <c r="H1241" s="150"/>
      <c r="I1241" s="150"/>
      <c r="J1241" s="934">
        <f>SUM(J1220:J1239)</f>
        <v>20</v>
      </c>
    </row>
    <row r="1242" spans="1:10" hidden="1" x14ac:dyDescent="0.3">
      <c r="A1242" s="3473" t="s">
        <v>33</v>
      </c>
      <c r="B1242" s="3473"/>
      <c r="C1242" s="3473"/>
      <c r="D1242" s="3473"/>
      <c r="E1242" s="3473"/>
      <c r="F1242" s="3473"/>
      <c r="G1242" s="3473"/>
      <c r="H1242" s="3473"/>
      <c r="I1242" s="3473"/>
      <c r="J1242" s="3473"/>
    </row>
    <row r="1243" spans="1:10" hidden="1" x14ac:dyDescent="0.3">
      <c r="A1243" s="137" t="s">
        <v>3</v>
      </c>
      <c r="B1243" s="1781" t="s">
        <v>4</v>
      </c>
      <c r="C1243" s="137" t="s">
        <v>5</v>
      </c>
      <c r="D1243" s="137" t="s">
        <v>6</v>
      </c>
      <c r="E1243" s="137" t="s">
        <v>7</v>
      </c>
      <c r="F1243" s="137" t="s">
        <v>8</v>
      </c>
      <c r="G1243" s="137" t="s">
        <v>9</v>
      </c>
      <c r="H1243" s="137" t="s">
        <v>10</v>
      </c>
      <c r="I1243" s="137" t="s">
        <v>11</v>
      </c>
      <c r="J1243" s="137" t="s">
        <v>12</v>
      </c>
    </row>
    <row r="1244" spans="1:10" hidden="1" x14ac:dyDescent="0.3">
      <c r="A1244" s="549">
        <v>1</v>
      </c>
      <c r="B1244" s="3393" t="s">
        <v>1013</v>
      </c>
      <c r="C1244" s="152" t="s">
        <v>138</v>
      </c>
      <c r="D1244" s="152" t="s">
        <v>1129</v>
      </c>
      <c r="E1244" s="152" t="s">
        <v>1130</v>
      </c>
      <c r="F1244" s="152">
        <v>250000000</v>
      </c>
      <c r="G1244" s="152" t="s">
        <v>1131</v>
      </c>
      <c r="H1244" s="152" t="s">
        <v>271</v>
      </c>
      <c r="I1244" s="152" t="s">
        <v>36</v>
      </c>
      <c r="J1244" s="200">
        <v>1</v>
      </c>
    </row>
    <row r="1245" spans="1:10" hidden="1" x14ac:dyDescent="0.3">
      <c r="A1245" s="549">
        <v>2</v>
      </c>
      <c r="B1245" s="3393" t="s">
        <v>1098</v>
      </c>
      <c r="C1245" s="152" t="s">
        <v>138</v>
      </c>
      <c r="D1245" s="152" t="s">
        <v>1132</v>
      </c>
      <c r="E1245" s="152" t="s">
        <v>1133</v>
      </c>
      <c r="F1245" s="152">
        <v>245000000</v>
      </c>
      <c r="G1245" s="152" t="s">
        <v>1095</v>
      </c>
      <c r="H1245" s="152" t="s">
        <v>271</v>
      </c>
      <c r="I1245" s="152" t="s">
        <v>36</v>
      </c>
      <c r="J1245" s="200">
        <v>1</v>
      </c>
    </row>
    <row r="1246" spans="1:10" hidden="1" x14ac:dyDescent="0.3">
      <c r="A1246" s="597">
        <v>3</v>
      </c>
      <c r="B1246" s="3394" t="s">
        <v>1120</v>
      </c>
      <c r="C1246" s="154" t="s">
        <v>138</v>
      </c>
      <c r="D1246" s="154" t="s">
        <v>1121</v>
      </c>
      <c r="E1246" s="154" t="s">
        <v>1134</v>
      </c>
      <c r="F1246" s="154">
        <v>2365000000</v>
      </c>
      <c r="G1246" s="154" t="s">
        <v>1114</v>
      </c>
      <c r="H1246" s="154" t="s">
        <v>271</v>
      </c>
      <c r="I1246" s="154" t="s">
        <v>36</v>
      </c>
      <c r="J1246" s="598">
        <v>1</v>
      </c>
    </row>
    <row r="1247" spans="1:10" ht="24.6" hidden="1" x14ac:dyDescent="0.4">
      <c r="A1247" s="144"/>
      <c r="B1247" s="595"/>
      <c r="C1247" s="144"/>
      <c r="D1247" s="144"/>
      <c r="E1247" s="144"/>
      <c r="F1247" s="144"/>
      <c r="G1247" s="144"/>
      <c r="H1247" s="144"/>
      <c r="I1247" s="144"/>
      <c r="J1247" s="935">
        <f>J1244+J1245+J1246</f>
        <v>3</v>
      </c>
    </row>
    <row r="1248" spans="1:10" hidden="1" x14ac:dyDescent="0.3"/>
    <row r="1249" spans="1:10" hidden="1" x14ac:dyDescent="0.3"/>
    <row r="1250" spans="1:10" hidden="1" x14ac:dyDescent="0.3"/>
    <row r="1251" spans="1:10" ht="23.4" hidden="1" x14ac:dyDescent="0.3">
      <c r="A1251" s="3478" t="s">
        <v>748</v>
      </c>
      <c r="B1251" s="3478"/>
      <c r="C1251" s="3478"/>
      <c r="D1251" s="3478"/>
      <c r="E1251" s="3478"/>
      <c r="F1251" s="3478"/>
      <c r="G1251" s="3478"/>
      <c r="H1251" s="3478"/>
      <c r="I1251" s="3478"/>
      <c r="J1251" s="3478"/>
    </row>
    <row r="1252" spans="1:10" ht="15.6" hidden="1" x14ac:dyDescent="0.3">
      <c r="A1252" s="3461" t="s">
        <v>2</v>
      </c>
      <c r="B1252" s="3461"/>
      <c r="C1252" s="3461"/>
      <c r="D1252" s="3461"/>
      <c r="E1252" s="3461"/>
      <c r="F1252" s="3461"/>
      <c r="G1252" s="3461"/>
      <c r="H1252" s="3461"/>
      <c r="I1252" s="3461"/>
      <c r="J1252" s="3461"/>
    </row>
    <row r="1253" spans="1:10" hidden="1" x14ac:dyDescent="0.3">
      <c r="A1253" s="137" t="s">
        <v>3</v>
      </c>
      <c r="B1253" s="1781" t="s">
        <v>4</v>
      </c>
      <c r="C1253" s="137" t="s">
        <v>5</v>
      </c>
      <c r="D1253" s="137" t="s">
        <v>6</v>
      </c>
      <c r="E1253" s="137" t="s">
        <v>7</v>
      </c>
      <c r="F1253" s="137" t="s">
        <v>8</v>
      </c>
      <c r="G1253" s="137" t="s">
        <v>9</v>
      </c>
      <c r="H1253" s="137" t="s">
        <v>10</v>
      </c>
      <c r="I1253" s="137" t="s">
        <v>11</v>
      </c>
      <c r="J1253" s="137" t="s">
        <v>12</v>
      </c>
    </row>
    <row r="1254" spans="1:10" hidden="1" x14ac:dyDescent="0.3">
      <c r="A1254" s="137">
        <v>1</v>
      </c>
      <c r="B1254" s="765" t="s">
        <v>1080</v>
      </c>
      <c r="C1254" s="642" t="s">
        <v>138</v>
      </c>
      <c r="D1254" s="642" t="s">
        <v>1135</v>
      </c>
      <c r="E1254" s="642" t="s">
        <v>1130</v>
      </c>
      <c r="F1254" s="642">
        <v>1150000</v>
      </c>
      <c r="G1254" s="642" t="s">
        <v>1136</v>
      </c>
      <c r="H1254" s="642" t="s">
        <v>271</v>
      </c>
      <c r="I1254" s="642" t="s">
        <v>36</v>
      </c>
      <c r="J1254" s="642">
        <v>1</v>
      </c>
    </row>
    <row r="1255" spans="1:10" hidden="1" x14ac:dyDescent="0.3">
      <c r="A1255" s="137">
        <v>2</v>
      </c>
      <c r="B1255" s="765" t="s">
        <v>1080</v>
      </c>
      <c r="C1255" s="642" t="s">
        <v>138</v>
      </c>
      <c r="D1255" s="642" t="s">
        <v>1137</v>
      </c>
      <c r="E1255" s="642" t="s">
        <v>858</v>
      </c>
      <c r="F1255" s="642">
        <v>1300000</v>
      </c>
      <c r="G1255" s="642" t="s">
        <v>1138</v>
      </c>
      <c r="H1255" s="642" t="s">
        <v>271</v>
      </c>
      <c r="I1255" s="642" t="s">
        <v>36</v>
      </c>
      <c r="J1255" s="642">
        <v>1</v>
      </c>
    </row>
    <row r="1256" spans="1:10" hidden="1" x14ac:dyDescent="0.3">
      <c r="A1256" s="137">
        <v>3</v>
      </c>
      <c r="B1256" s="765" t="s">
        <v>1088</v>
      </c>
      <c r="C1256" s="642" t="s">
        <v>138</v>
      </c>
      <c r="D1256" s="642" t="s">
        <v>1139</v>
      </c>
      <c r="E1256" s="642" t="s">
        <v>1140</v>
      </c>
      <c r="F1256" s="642">
        <v>900000</v>
      </c>
      <c r="G1256" s="642" t="s">
        <v>1141</v>
      </c>
      <c r="H1256" s="642" t="s">
        <v>271</v>
      </c>
      <c r="I1256" s="642" t="s">
        <v>36</v>
      </c>
      <c r="J1256" s="642">
        <v>1</v>
      </c>
    </row>
    <row r="1257" spans="1:10" hidden="1" x14ac:dyDescent="0.3">
      <c r="A1257" s="137">
        <v>4</v>
      </c>
      <c r="B1257" s="765" t="s">
        <v>1021</v>
      </c>
      <c r="C1257" s="642" t="s">
        <v>138</v>
      </c>
      <c r="D1257" s="642" t="s">
        <v>1074</v>
      </c>
      <c r="E1257" s="642" t="s">
        <v>802</v>
      </c>
      <c r="F1257" s="642">
        <v>1300000</v>
      </c>
      <c r="G1257" s="642" t="s">
        <v>1142</v>
      </c>
      <c r="H1257" s="642" t="s">
        <v>271</v>
      </c>
      <c r="I1257" s="642" t="s">
        <v>36</v>
      </c>
      <c r="J1257" s="642">
        <v>1</v>
      </c>
    </row>
    <row r="1258" spans="1:10" hidden="1" x14ac:dyDescent="0.3">
      <c r="A1258" s="137">
        <v>5</v>
      </c>
      <c r="B1258" s="765" t="s">
        <v>1143</v>
      </c>
      <c r="C1258" s="642" t="s">
        <v>138</v>
      </c>
      <c r="D1258" s="642" t="s">
        <v>1144</v>
      </c>
      <c r="E1258" s="642" t="s">
        <v>802</v>
      </c>
      <c r="F1258" s="642">
        <v>1250000</v>
      </c>
      <c r="G1258" s="642" t="s">
        <v>1145</v>
      </c>
      <c r="H1258" s="642" t="s">
        <v>271</v>
      </c>
      <c r="I1258" s="642" t="s">
        <v>36</v>
      </c>
      <c r="J1258" s="642">
        <v>1</v>
      </c>
    </row>
    <row r="1259" spans="1:10" hidden="1" x14ac:dyDescent="0.3">
      <c r="A1259" s="137">
        <v>6</v>
      </c>
      <c r="B1259" s="765" t="s">
        <v>1023</v>
      </c>
      <c r="C1259" s="642" t="s">
        <v>138</v>
      </c>
      <c r="D1259" s="642" t="s">
        <v>1146</v>
      </c>
      <c r="E1259" s="642" t="s">
        <v>802</v>
      </c>
      <c r="F1259" s="642">
        <v>1200000</v>
      </c>
      <c r="G1259" s="642" t="s">
        <v>963</v>
      </c>
      <c r="H1259" s="642" t="s">
        <v>271</v>
      </c>
      <c r="I1259" s="642" t="s">
        <v>36</v>
      </c>
      <c r="J1259" s="642">
        <v>1</v>
      </c>
    </row>
    <row r="1260" spans="1:10" hidden="1" x14ac:dyDescent="0.3">
      <c r="A1260" s="137">
        <v>7</v>
      </c>
      <c r="B1260" s="765" t="s">
        <v>1103</v>
      </c>
      <c r="C1260" s="642" t="s">
        <v>138</v>
      </c>
      <c r="D1260" s="642" t="s">
        <v>1147</v>
      </c>
      <c r="E1260" s="642" t="s">
        <v>778</v>
      </c>
      <c r="F1260" s="642">
        <v>600000</v>
      </c>
      <c r="G1260" s="642" t="s">
        <v>168</v>
      </c>
      <c r="H1260" s="642" t="s">
        <v>271</v>
      </c>
      <c r="I1260" s="642" t="s">
        <v>36</v>
      </c>
      <c r="J1260" s="642">
        <v>1</v>
      </c>
    </row>
    <row r="1261" spans="1:10" hidden="1" x14ac:dyDescent="0.3">
      <c r="A1261" s="137">
        <v>8</v>
      </c>
      <c r="B1261" s="765" t="s">
        <v>1028</v>
      </c>
      <c r="C1261" s="642" t="s">
        <v>138</v>
      </c>
      <c r="D1261" s="642" t="s">
        <v>1148</v>
      </c>
      <c r="E1261" s="642" t="s">
        <v>180</v>
      </c>
      <c r="F1261" s="642">
        <v>1250000</v>
      </c>
      <c r="G1261" s="642" t="s">
        <v>1149</v>
      </c>
      <c r="H1261" s="642" t="s">
        <v>271</v>
      </c>
      <c r="I1261" s="642" t="s">
        <v>36</v>
      </c>
      <c r="J1261" s="642">
        <v>1</v>
      </c>
    </row>
    <row r="1262" spans="1:10" hidden="1" x14ac:dyDescent="0.3">
      <c r="A1262" s="137">
        <v>9</v>
      </c>
      <c r="B1262" s="765" t="s">
        <v>1031</v>
      </c>
      <c r="C1262" s="642" t="s">
        <v>138</v>
      </c>
      <c r="D1262" s="642" t="s">
        <v>1150</v>
      </c>
      <c r="E1262" s="642" t="s">
        <v>1066</v>
      </c>
      <c r="F1262" s="642">
        <v>750000</v>
      </c>
      <c r="G1262" s="642" t="s">
        <v>1151</v>
      </c>
      <c r="H1262" s="642" t="s">
        <v>271</v>
      </c>
      <c r="I1262" s="642" t="s">
        <v>36</v>
      </c>
      <c r="J1262" s="642">
        <v>1</v>
      </c>
    </row>
    <row r="1263" spans="1:10" hidden="1" x14ac:dyDescent="0.3">
      <c r="A1263" s="137">
        <v>10</v>
      </c>
      <c r="B1263" s="765" t="s">
        <v>1031</v>
      </c>
      <c r="C1263" s="642" t="s">
        <v>138</v>
      </c>
      <c r="D1263" s="642" t="s">
        <v>1152</v>
      </c>
      <c r="E1263" s="642" t="s">
        <v>180</v>
      </c>
      <c r="F1263" s="642">
        <v>1300000</v>
      </c>
      <c r="G1263" s="642" t="s">
        <v>1149</v>
      </c>
      <c r="H1263" s="642" t="s">
        <v>271</v>
      </c>
      <c r="I1263" s="642" t="s">
        <v>36</v>
      </c>
      <c r="J1263" s="642">
        <v>1</v>
      </c>
    </row>
    <row r="1264" spans="1:10" hidden="1" x14ac:dyDescent="0.3">
      <c r="A1264" s="137">
        <v>11</v>
      </c>
      <c r="B1264" s="765" t="s">
        <v>1031</v>
      </c>
      <c r="C1264" s="642" t="s">
        <v>138</v>
      </c>
      <c r="D1264" s="642" t="s">
        <v>1153</v>
      </c>
      <c r="E1264" s="642" t="s">
        <v>180</v>
      </c>
      <c r="F1264" s="642">
        <v>1250000</v>
      </c>
      <c r="G1264" s="642" t="s">
        <v>1064</v>
      </c>
      <c r="H1264" s="642" t="s">
        <v>271</v>
      </c>
      <c r="I1264" s="642" t="s">
        <v>36</v>
      </c>
      <c r="J1264" s="642">
        <v>1</v>
      </c>
    </row>
    <row r="1265" spans="1:10" hidden="1" x14ac:dyDescent="0.3">
      <c r="A1265" s="137">
        <v>12</v>
      </c>
      <c r="B1265" s="765" t="s">
        <v>1031</v>
      </c>
      <c r="C1265" s="642" t="s">
        <v>138</v>
      </c>
      <c r="D1265" s="642" t="s">
        <v>1154</v>
      </c>
      <c r="E1265" s="642" t="s">
        <v>78</v>
      </c>
      <c r="F1265" s="642">
        <v>1500000</v>
      </c>
      <c r="G1265" s="642" t="s">
        <v>168</v>
      </c>
      <c r="H1265" s="642" t="s">
        <v>271</v>
      </c>
      <c r="I1265" s="642" t="s">
        <v>36</v>
      </c>
      <c r="J1265" s="642">
        <v>1</v>
      </c>
    </row>
    <row r="1266" spans="1:10" hidden="1" x14ac:dyDescent="0.3">
      <c r="A1266" s="137">
        <v>13</v>
      </c>
      <c r="B1266" s="765" t="s">
        <v>1031</v>
      </c>
      <c r="C1266" s="642" t="s">
        <v>138</v>
      </c>
      <c r="D1266" s="642" t="s">
        <v>1155</v>
      </c>
      <c r="E1266" s="642" t="s">
        <v>802</v>
      </c>
      <c r="F1266" s="642">
        <v>1200000</v>
      </c>
      <c r="G1266" s="642" t="s">
        <v>724</v>
      </c>
      <c r="H1266" s="642" t="s">
        <v>271</v>
      </c>
      <c r="I1266" s="642" t="s">
        <v>36</v>
      </c>
      <c r="J1266" s="642">
        <v>1</v>
      </c>
    </row>
    <row r="1267" spans="1:10" hidden="1" x14ac:dyDescent="0.3">
      <c r="A1267" s="137">
        <v>14</v>
      </c>
      <c r="B1267" s="765" t="s">
        <v>1156</v>
      </c>
      <c r="C1267" s="642" t="s">
        <v>138</v>
      </c>
      <c r="D1267" s="642" t="s">
        <v>1157</v>
      </c>
      <c r="E1267" s="642" t="s">
        <v>869</v>
      </c>
      <c r="F1267" s="642">
        <v>1200000</v>
      </c>
      <c r="G1267" s="642" t="s">
        <v>1095</v>
      </c>
      <c r="H1267" s="642" t="s">
        <v>271</v>
      </c>
      <c r="I1267" s="642" t="s">
        <v>36</v>
      </c>
      <c r="J1267" s="642">
        <v>1</v>
      </c>
    </row>
    <row r="1268" spans="1:10" hidden="1" x14ac:dyDescent="0.3">
      <c r="A1268" s="1781">
        <v>15</v>
      </c>
      <c r="B1268" s="3402" t="s">
        <v>1068</v>
      </c>
      <c r="C1268" s="641" t="s">
        <v>138</v>
      </c>
      <c r="D1268" s="641" t="s">
        <v>1158</v>
      </c>
      <c r="E1268" s="641" t="s">
        <v>904</v>
      </c>
      <c r="F1268" s="1358">
        <v>580000</v>
      </c>
      <c r="G1268" s="641" t="s">
        <v>168</v>
      </c>
      <c r="H1268" s="641" t="s">
        <v>271</v>
      </c>
      <c r="I1268" s="641" t="s">
        <v>36</v>
      </c>
      <c r="J1268" s="642">
        <v>1</v>
      </c>
    </row>
    <row r="1269" spans="1:10" hidden="1" x14ac:dyDescent="0.3">
      <c r="A1269" s="1781">
        <v>16</v>
      </c>
      <c r="B1269" s="3402" t="s">
        <v>1068</v>
      </c>
      <c r="C1269" s="641" t="s">
        <v>138</v>
      </c>
      <c r="D1269" s="641" t="s">
        <v>1159</v>
      </c>
      <c r="E1269" s="641" t="s">
        <v>990</v>
      </c>
      <c r="F1269" s="1358">
        <v>600000</v>
      </c>
      <c r="G1269" s="641" t="s">
        <v>936</v>
      </c>
      <c r="H1269" s="641" t="s">
        <v>271</v>
      </c>
      <c r="I1269" s="641" t="s">
        <v>36</v>
      </c>
      <c r="J1269" s="642">
        <v>1</v>
      </c>
    </row>
    <row r="1270" spans="1:10" hidden="1" x14ac:dyDescent="0.3">
      <c r="A1270" s="1781">
        <v>17</v>
      </c>
      <c r="B1270" s="3402" t="s">
        <v>1068</v>
      </c>
      <c r="C1270" s="641" t="s">
        <v>138</v>
      </c>
      <c r="D1270" s="641" t="s">
        <v>1160</v>
      </c>
      <c r="E1270" s="641" t="s">
        <v>805</v>
      </c>
      <c r="F1270" s="1358">
        <v>1100000</v>
      </c>
      <c r="G1270" s="641" t="s">
        <v>1161</v>
      </c>
      <c r="H1270" s="641" t="s">
        <v>271</v>
      </c>
      <c r="I1270" s="641" t="s">
        <v>36</v>
      </c>
      <c r="J1270" s="642">
        <v>1</v>
      </c>
    </row>
    <row r="1271" spans="1:10" hidden="1" x14ac:dyDescent="0.3">
      <c r="A1271" s="1781">
        <v>18</v>
      </c>
      <c r="B1271" s="3402" t="s">
        <v>1070</v>
      </c>
      <c r="C1271" s="641" t="s">
        <v>138</v>
      </c>
      <c r="D1271" s="641" t="s">
        <v>1162</v>
      </c>
      <c r="E1271" s="641" t="s">
        <v>805</v>
      </c>
      <c r="F1271" s="1358">
        <v>1200000</v>
      </c>
      <c r="G1271" s="641" t="s">
        <v>1161</v>
      </c>
      <c r="H1271" s="641" t="s">
        <v>271</v>
      </c>
      <c r="I1271" s="641" t="s">
        <v>36</v>
      </c>
      <c r="J1271" s="642">
        <v>1</v>
      </c>
    </row>
    <row r="1272" spans="1:10" hidden="1" x14ac:dyDescent="0.3">
      <c r="A1272" s="1781">
        <v>19</v>
      </c>
      <c r="B1272" s="765" t="s">
        <v>1072</v>
      </c>
      <c r="C1272" s="641" t="s">
        <v>138</v>
      </c>
      <c r="D1272" s="641" t="s">
        <v>1163</v>
      </c>
      <c r="E1272" s="641" t="s">
        <v>802</v>
      </c>
      <c r="F1272" s="1358">
        <v>1250000</v>
      </c>
      <c r="G1272" s="641" t="s">
        <v>1078</v>
      </c>
      <c r="H1272" s="641" t="s">
        <v>271</v>
      </c>
      <c r="I1272" s="641" t="s">
        <v>36</v>
      </c>
      <c r="J1272" s="642">
        <v>1</v>
      </c>
    </row>
    <row r="1273" spans="1:10" hidden="1" x14ac:dyDescent="0.3">
      <c r="A1273" s="1781">
        <v>20</v>
      </c>
      <c r="B1273" s="765" t="s">
        <v>1120</v>
      </c>
      <c r="C1273" s="641" t="s">
        <v>138</v>
      </c>
      <c r="D1273" s="641" t="s">
        <v>1164</v>
      </c>
      <c r="E1273" s="641" t="s">
        <v>802</v>
      </c>
      <c r="F1273" s="1358"/>
      <c r="G1273" s="641" t="s">
        <v>1078</v>
      </c>
      <c r="H1273" s="641" t="s">
        <v>271</v>
      </c>
      <c r="I1273" s="641" t="s">
        <v>36</v>
      </c>
      <c r="J1273" s="642">
        <v>1</v>
      </c>
    </row>
    <row r="1274" spans="1:10" hidden="1" x14ac:dyDescent="0.3">
      <c r="A1274" s="1781"/>
      <c r="B1274" s="765"/>
      <c r="C1274" s="641"/>
      <c r="D1274" s="641"/>
      <c r="E1274" s="641"/>
      <c r="F1274" s="1358"/>
      <c r="G1274" s="641"/>
      <c r="H1274" s="641"/>
      <c r="I1274" s="641"/>
      <c r="J1274" s="642"/>
    </row>
    <row r="1275" spans="1:10" ht="25.8" hidden="1" x14ac:dyDescent="0.5">
      <c r="A1275" s="1781"/>
      <c r="B1275" s="1781"/>
      <c r="C1275" s="150"/>
      <c r="D1275" s="641"/>
      <c r="E1275" s="150"/>
      <c r="F1275" s="151"/>
      <c r="G1275" s="150"/>
      <c r="H1275" s="150"/>
      <c r="I1275" s="150"/>
      <c r="J1275" s="934">
        <f>SUM(J1254:J1274)</f>
        <v>20</v>
      </c>
    </row>
    <row r="1276" spans="1:10" hidden="1" x14ac:dyDescent="0.3">
      <c r="A1276" s="3473" t="s">
        <v>33</v>
      </c>
      <c r="B1276" s="3473"/>
      <c r="C1276" s="3473"/>
      <c r="D1276" s="3473"/>
      <c r="E1276" s="3473"/>
      <c r="F1276" s="3473"/>
      <c r="G1276" s="3473"/>
      <c r="H1276" s="3473"/>
      <c r="I1276" s="3473"/>
      <c r="J1276" s="3473"/>
    </row>
    <row r="1277" spans="1:10" hidden="1" x14ac:dyDescent="0.3">
      <c r="A1277" s="137" t="s">
        <v>3</v>
      </c>
      <c r="B1277" s="1781" t="s">
        <v>4</v>
      </c>
      <c r="C1277" s="137" t="s">
        <v>5</v>
      </c>
      <c r="D1277" s="137" t="s">
        <v>6</v>
      </c>
      <c r="E1277" s="137" t="s">
        <v>7</v>
      </c>
      <c r="F1277" s="137" t="s">
        <v>8</v>
      </c>
      <c r="G1277" s="137" t="s">
        <v>9</v>
      </c>
      <c r="H1277" s="137" t="s">
        <v>10</v>
      </c>
      <c r="I1277" s="137" t="s">
        <v>11</v>
      </c>
      <c r="J1277" s="137" t="s">
        <v>12</v>
      </c>
    </row>
    <row r="1278" spans="1:10" hidden="1" x14ac:dyDescent="0.3">
      <c r="A1278" s="549">
        <v>1</v>
      </c>
      <c r="B1278" s="3393" t="s">
        <v>1015</v>
      </c>
      <c r="C1278" s="152" t="s">
        <v>138</v>
      </c>
      <c r="D1278" s="152" t="s">
        <v>1165</v>
      </c>
      <c r="E1278" s="152" t="s">
        <v>1166</v>
      </c>
      <c r="F1278" s="152">
        <v>95000000</v>
      </c>
      <c r="G1278" s="152" t="s">
        <v>359</v>
      </c>
      <c r="H1278" s="152" t="s">
        <v>271</v>
      </c>
      <c r="I1278" s="152" t="s">
        <v>36</v>
      </c>
      <c r="J1278" s="200">
        <v>1</v>
      </c>
    </row>
    <row r="1279" spans="1:10" hidden="1" x14ac:dyDescent="0.3">
      <c r="A1279" s="549">
        <v>2</v>
      </c>
      <c r="B1279" s="549" t="s">
        <v>1031</v>
      </c>
      <c r="C1279" s="140" t="s">
        <v>138</v>
      </c>
      <c r="D1279" s="140" t="s">
        <v>1167</v>
      </c>
      <c r="E1279" s="140" t="s">
        <v>1130</v>
      </c>
      <c r="F1279" s="140">
        <v>240000000</v>
      </c>
      <c r="G1279" s="140" t="s">
        <v>1161</v>
      </c>
      <c r="H1279" s="140" t="s">
        <v>271</v>
      </c>
      <c r="I1279" s="140" t="s">
        <v>36</v>
      </c>
      <c r="J1279" s="140">
        <v>1</v>
      </c>
    </row>
    <row r="1280" spans="1:10" hidden="1" x14ac:dyDescent="0.3">
      <c r="A1280" s="597">
        <v>3</v>
      </c>
      <c r="B1280" s="3394" t="s">
        <v>1031</v>
      </c>
      <c r="C1280" s="154" t="s">
        <v>138</v>
      </c>
      <c r="D1280" s="154" t="s">
        <v>1168</v>
      </c>
      <c r="E1280" s="154" t="s">
        <v>775</v>
      </c>
      <c r="F1280" s="154">
        <v>165000000</v>
      </c>
      <c r="G1280" s="154" t="s">
        <v>168</v>
      </c>
      <c r="H1280" s="154" t="s">
        <v>271</v>
      </c>
      <c r="I1280" s="154" t="s">
        <v>36</v>
      </c>
      <c r="J1280" s="598">
        <v>1</v>
      </c>
    </row>
    <row r="1281" spans="1:10" ht="24.6" hidden="1" x14ac:dyDescent="0.4">
      <c r="A1281" s="144"/>
      <c r="B1281" s="595"/>
      <c r="C1281" s="144"/>
      <c r="D1281" s="144"/>
      <c r="E1281" s="144"/>
      <c r="F1281" s="144"/>
      <c r="G1281" s="144"/>
      <c r="H1281" s="144"/>
      <c r="I1281" s="144"/>
      <c r="J1281" s="935">
        <f>J1278+J1279+J1280</f>
        <v>3</v>
      </c>
    </row>
    <row r="1282" spans="1:10" hidden="1" x14ac:dyDescent="0.3"/>
    <row r="1283" spans="1:10" hidden="1" x14ac:dyDescent="0.3"/>
    <row r="1284" spans="1:10" ht="23.4" hidden="1" x14ac:dyDescent="0.3">
      <c r="A1284" s="3478" t="s">
        <v>1169</v>
      </c>
      <c r="B1284" s="3478"/>
      <c r="C1284" s="3478"/>
      <c r="D1284" s="3478"/>
      <c r="E1284" s="3478"/>
      <c r="F1284" s="3478"/>
      <c r="G1284" s="3478"/>
      <c r="H1284" s="3478"/>
      <c r="I1284" s="3478"/>
      <c r="J1284" s="3478"/>
    </row>
    <row r="1285" spans="1:10" ht="15.6" hidden="1" x14ac:dyDescent="0.3">
      <c r="A1285" s="3461" t="s">
        <v>2</v>
      </c>
      <c r="B1285" s="3461"/>
      <c r="C1285" s="3461"/>
      <c r="D1285" s="3461"/>
      <c r="E1285" s="3461"/>
      <c r="F1285" s="3461"/>
      <c r="G1285" s="3461"/>
      <c r="H1285" s="3461"/>
      <c r="I1285" s="3461"/>
      <c r="J1285" s="3461"/>
    </row>
    <row r="1286" spans="1:10" hidden="1" x14ac:dyDescent="0.3">
      <c r="A1286" s="137" t="s">
        <v>3</v>
      </c>
      <c r="B1286" s="1781" t="s">
        <v>4</v>
      </c>
      <c r="C1286" s="137" t="s">
        <v>5</v>
      </c>
      <c r="D1286" s="137" t="s">
        <v>6</v>
      </c>
      <c r="E1286" s="137" t="s">
        <v>7</v>
      </c>
      <c r="F1286" s="137" t="s">
        <v>8</v>
      </c>
      <c r="G1286" s="137" t="s">
        <v>9</v>
      </c>
      <c r="H1286" s="137" t="s">
        <v>10</v>
      </c>
      <c r="I1286" s="137" t="s">
        <v>11</v>
      </c>
      <c r="J1286" s="137" t="s">
        <v>12</v>
      </c>
    </row>
    <row r="1287" spans="1:10" hidden="1" x14ac:dyDescent="0.3">
      <c r="A1287" s="137">
        <v>1</v>
      </c>
      <c r="B1287" s="1781" t="s">
        <v>1019</v>
      </c>
      <c r="C1287" s="137" t="s">
        <v>138</v>
      </c>
      <c r="D1287" s="137" t="s">
        <v>1170</v>
      </c>
      <c r="E1287" s="137" t="s">
        <v>1171</v>
      </c>
      <c r="F1287" s="137">
        <v>900000</v>
      </c>
      <c r="G1287" s="137" t="s">
        <v>1172</v>
      </c>
      <c r="H1287" s="137" t="s">
        <v>271</v>
      </c>
      <c r="I1287" s="137" t="s">
        <v>36</v>
      </c>
      <c r="J1287" s="137">
        <v>1</v>
      </c>
    </row>
    <row r="1288" spans="1:10" hidden="1" x14ac:dyDescent="0.3">
      <c r="A1288" s="137">
        <v>2</v>
      </c>
      <c r="B1288" s="1781" t="s">
        <v>1023</v>
      </c>
      <c r="C1288" s="137" t="s">
        <v>138</v>
      </c>
      <c r="D1288" s="137" t="s">
        <v>1173</v>
      </c>
      <c r="E1288" s="137" t="s">
        <v>787</v>
      </c>
      <c r="F1288" s="137">
        <v>850000</v>
      </c>
      <c r="G1288" s="137" t="s">
        <v>1172</v>
      </c>
      <c r="H1288" s="137" t="s">
        <v>271</v>
      </c>
      <c r="I1288" s="137" t="s">
        <v>36</v>
      </c>
      <c r="J1288" s="137">
        <v>1</v>
      </c>
    </row>
    <row r="1289" spans="1:10" hidden="1" x14ac:dyDescent="0.3">
      <c r="A1289" s="137">
        <v>3</v>
      </c>
      <c r="B1289" s="1781" t="s">
        <v>1098</v>
      </c>
      <c r="C1289" s="137" t="s">
        <v>138</v>
      </c>
      <c r="D1289" s="137" t="s">
        <v>1174</v>
      </c>
      <c r="E1289" s="137" t="s">
        <v>76</v>
      </c>
      <c r="F1289" s="137">
        <v>1050000</v>
      </c>
      <c r="G1289" s="137" t="s">
        <v>1175</v>
      </c>
      <c r="H1289" s="137" t="s">
        <v>271</v>
      </c>
      <c r="I1289" s="137" t="s">
        <v>36</v>
      </c>
      <c r="J1289" s="137">
        <v>1</v>
      </c>
    </row>
    <row r="1290" spans="1:10" hidden="1" x14ac:dyDescent="0.3">
      <c r="A1290" s="137">
        <v>4</v>
      </c>
      <c r="B1290" s="1781" t="s">
        <v>1098</v>
      </c>
      <c r="C1290" s="137" t="s">
        <v>37</v>
      </c>
      <c r="D1290" s="137" t="s">
        <v>1176</v>
      </c>
      <c r="E1290" s="137" t="s">
        <v>76</v>
      </c>
      <c r="F1290" s="137">
        <v>950000</v>
      </c>
      <c r="G1290" s="137" t="s">
        <v>1036</v>
      </c>
      <c r="H1290" s="137" t="s">
        <v>271</v>
      </c>
      <c r="I1290" s="137" t="s">
        <v>36</v>
      </c>
      <c r="J1290" s="137">
        <v>1</v>
      </c>
    </row>
    <row r="1291" spans="1:10" hidden="1" x14ac:dyDescent="0.3">
      <c r="A1291" s="137">
        <v>5</v>
      </c>
      <c r="B1291" s="1781" t="s">
        <v>1072</v>
      </c>
      <c r="C1291" s="137" t="s">
        <v>138</v>
      </c>
      <c r="D1291" s="137" t="s">
        <v>1177</v>
      </c>
      <c r="E1291" s="137" t="s">
        <v>78</v>
      </c>
      <c r="F1291" s="137">
        <v>1050000</v>
      </c>
      <c r="G1291" s="137" t="s">
        <v>799</v>
      </c>
      <c r="H1291" s="137" t="s">
        <v>271</v>
      </c>
      <c r="I1291" s="137" t="s">
        <v>36</v>
      </c>
      <c r="J1291" s="137">
        <v>1</v>
      </c>
    </row>
    <row r="1292" spans="1:10" hidden="1" x14ac:dyDescent="0.3">
      <c r="A1292" s="137">
        <v>6</v>
      </c>
      <c r="B1292" s="1781" t="s">
        <v>1178</v>
      </c>
      <c r="C1292" s="137" t="s">
        <v>138</v>
      </c>
      <c r="D1292" s="137" t="s">
        <v>1179</v>
      </c>
      <c r="E1292" s="137" t="s">
        <v>78</v>
      </c>
      <c r="F1292" s="137">
        <v>1300000</v>
      </c>
      <c r="G1292" s="137" t="s">
        <v>1180</v>
      </c>
      <c r="H1292" s="137" t="s">
        <v>271</v>
      </c>
      <c r="I1292" s="137" t="s">
        <v>36</v>
      </c>
      <c r="J1292" s="137">
        <v>1</v>
      </c>
    </row>
    <row r="1293" spans="1:10" hidden="1" x14ac:dyDescent="0.3">
      <c r="A1293" s="137">
        <v>7</v>
      </c>
      <c r="B1293" s="1781" t="s">
        <v>1178</v>
      </c>
      <c r="C1293" s="137" t="s">
        <v>138</v>
      </c>
      <c r="D1293" s="137" t="s">
        <v>1181</v>
      </c>
      <c r="E1293" s="137" t="s">
        <v>78</v>
      </c>
      <c r="F1293" s="137">
        <v>1050000</v>
      </c>
      <c r="G1293" s="137" t="s">
        <v>1182</v>
      </c>
      <c r="H1293" s="137" t="s">
        <v>271</v>
      </c>
      <c r="I1293" s="137" t="s">
        <v>36</v>
      </c>
      <c r="J1293" s="137">
        <v>1</v>
      </c>
    </row>
    <row r="1294" spans="1:10" hidden="1" x14ac:dyDescent="0.3">
      <c r="A1294" s="137">
        <v>8</v>
      </c>
      <c r="B1294" s="1781" t="s">
        <v>1178</v>
      </c>
      <c r="C1294" s="137" t="s">
        <v>138</v>
      </c>
      <c r="D1294" s="137" t="s">
        <v>1183</v>
      </c>
      <c r="E1294" s="137" t="s">
        <v>180</v>
      </c>
      <c r="F1294" s="137">
        <v>1100000</v>
      </c>
      <c r="G1294" s="137" t="s">
        <v>1180</v>
      </c>
      <c r="H1294" s="137" t="s">
        <v>271</v>
      </c>
      <c r="I1294" s="137" t="s">
        <v>36</v>
      </c>
      <c r="J1294" s="137">
        <v>1</v>
      </c>
    </row>
    <row r="1295" spans="1:10" hidden="1" x14ac:dyDescent="0.3">
      <c r="A1295" s="137">
        <v>9</v>
      </c>
      <c r="B1295" s="1781" t="s">
        <v>1120</v>
      </c>
      <c r="C1295" s="137" t="s">
        <v>138</v>
      </c>
      <c r="D1295" s="137" t="s">
        <v>1184</v>
      </c>
      <c r="E1295" s="137" t="s">
        <v>78</v>
      </c>
      <c r="F1295" s="137">
        <v>1300000</v>
      </c>
      <c r="G1295" s="137" t="s">
        <v>1185</v>
      </c>
      <c r="H1295" s="137" t="s">
        <v>271</v>
      </c>
      <c r="I1295" s="137" t="s">
        <v>36</v>
      </c>
      <c r="J1295" s="137">
        <v>1</v>
      </c>
    </row>
    <row r="1296" spans="1:10" hidden="1" x14ac:dyDescent="0.3">
      <c r="A1296" s="137">
        <v>10</v>
      </c>
      <c r="B1296" s="1781" t="s">
        <v>1120</v>
      </c>
      <c r="C1296" s="137" t="s">
        <v>138</v>
      </c>
      <c r="D1296" s="137" t="s">
        <v>1186</v>
      </c>
      <c r="E1296" s="137" t="s">
        <v>390</v>
      </c>
      <c r="F1296" s="137">
        <v>950000</v>
      </c>
      <c r="G1296" s="137" t="s">
        <v>1172</v>
      </c>
      <c r="H1296" s="137" t="s">
        <v>271</v>
      </c>
      <c r="I1296" s="137" t="s">
        <v>36</v>
      </c>
      <c r="J1296" s="137">
        <v>1</v>
      </c>
    </row>
    <row r="1297" spans="1:10" hidden="1" x14ac:dyDescent="0.3">
      <c r="A1297" s="137">
        <v>11</v>
      </c>
      <c r="B1297" s="1781" t="s">
        <v>1120</v>
      </c>
      <c r="C1297" s="137" t="s">
        <v>138</v>
      </c>
      <c r="D1297" s="137" t="s">
        <v>1187</v>
      </c>
      <c r="E1297" s="137" t="s">
        <v>1066</v>
      </c>
      <c r="F1297" s="137">
        <v>950000</v>
      </c>
      <c r="G1297" s="137" t="s">
        <v>1175</v>
      </c>
      <c r="H1297" s="137" t="s">
        <v>271</v>
      </c>
      <c r="I1297" s="137" t="s">
        <v>36</v>
      </c>
      <c r="J1297" s="137">
        <v>1</v>
      </c>
    </row>
    <row r="1298" spans="1:10" hidden="1" x14ac:dyDescent="0.3">
      <c r="A1298" s="137">
        <v>12</v>
      </c>
      <c r="B1298" s="1781" t="s">
        <v>1120</v>
      </c>
      <c r="C1298" s="137" t="s">
        <v>138</v>
      </c>
      <c r="D1298" s="137" t="s">
        <v>1188</v>
      </c>
      <c r="E1298" s="137" t="s">
        <v>390</v>
      </c>
      <c r="F1298" s="137">
        <v>800000</v>
      </c>
      <c r="G1298" s="137" t="s">
        <v>168</v>
      </c>
      <c r="H1298" s="137" t="s">
        <v>271</v>
      </c>
      <c r="I1298" s="137" t="s">
        <v>36</v>
      </c>
      <c r="J1298" s="137">
        <v>1</v>
      </c>
    </row>
    <row r="1299" spans="1:10" hidden="1" x14ac:dyDescent="0.3">
      <c r="A1299" s="137">
        <v>13</v>
      </c>
      <c r="B1299" s="1781" t="s">
        <v>1120</v>
      </c>
      <c r="C1299" s="137" t="s">
        <v>135</v>
      </c>
      <c r="D1299" s="137" t="s">
        <v>1189</v>
      </c>
      <c r="E1299" s="137" t="s">
        <v>441</v>
      </c>
      <c r="F1299" s="137">
        <v>2850000</v>
      </c>
      <c r="G1299" s="137" t="s">
        <v>43</v>
      </c>
      <c r="H1299" s="137" t="s">
        <v>271</v>
      </c>
      <c r="I1299" s="137" t="s">
        <v>36</v>
      </c>
      <c r="J1299" s="137">
        <v>1</v>
      </c>
    </row>
    <row r="1300" spans="1:10" hidden="1" x14ac:dyDescent="0.3">
      <c r="A1300" s="137">
        <v>14</v>
      </c>
      <c r="B1300" s="1781" t="s">
        <v>1120</v>
      </c>
      <c r="C1300" s="137" t="s">
        <v>138</v>
      </c>
      <c r="D1300" s="137" t="s">
        <v>1190</v>
      </c>
      <c r="E1300" s="137" t="s">
        <v>1191</v>
      </c>
      <c r="F1300" s="137">
        <v>1050000</v>
      </c>
      <c r="G1300" s="137" t="s">
        <v>1192</v>
      </c>
      <c r="H1300" s="137" t="s">
        <v>271</v>
      </c>
      <c r="I1300" s="137" t="s">
        <v>36</v>
      </c>
      <c r="J1300" s="137">
        <v>1</v>
      </c>
    </row>
    <row r="1301" spans="1:10" hidden="1" x14ac:dyDescent="0.3">
      <c r="A1301" s="1781">
        <v>15</v>
      </c>
      <c r="B1301" s="3392"/>
      <c r="C1301" s="150"/>
      <c r="D1301" s="641"/>
      <c r="E1301" s="150"/>
      <c r="F1301" s="151"/>
      <c r="G1301" s="150"/>
      <c r="H1301" s="150"/>
      <c r="I1301" s="150"/>
      <c r="J1301" s="137"/>
    </row>
    <row r="1302" spans="1:10" hidden="1" x14ac:dyDescent="0.3">
      <c r="A1302" s="1781">
        <v>16</v>
      </c>
      <c r="B1302" s="3392"/>
      <c r="C1302" s="150"/>
      <c r="D1302" s="641"/>
      <c r="E1302" s="150"/>
      <c r="F1302" s="151"/>
      <c r="G1302" s="150"/>
      <c r="H1302" s="150"/>
      <c r="I1302" s="150"/>
      <c r="J1302" s="137"/>
    </row>
    <row r="1303" spans="1:10" hidden="1" x14ac:dyDescent="0.3">
      <c r="A1303" s="1781">
        <v>17</v>
      </c>
      <c r="B1303" s="3392"/>
      <c r="C1303" s="150"/>
      <c r="D1303" s="641"/>
      <c r="E1303" s="150"/>
      <c r="F1303" s="151"/>
      <c r="G1303" s="150"/>
      <c r="H1303" s="150"/>
      <c r="I1303" s="150"/>
      <c r="J1303" s="137"/>
    </row>
    <row r="1304" spans="1:10" hidden="1" x14ac:dyDescent="0.3">
      <c r="A1304" s="1781">
        <v>18</v>
      </c>
      <c r="B1304" s="3392"/>
      <c r="C1304" s="150"/>
      <c r="D1304" s="641"/>
      <c r="E1304" s="150"/>
      <c r="F1304" s="151"/>
      <c r="G1304" s="150"/>
      <c r="H1304" s="150"/>
      <c r="I1304" s="150"/>
      <c r="J1304" s="137"/>
    </row>
    <row r="1305" spans="1:10" hidden="1" x14ac:dyDescent="0.3">
      <c r="A1305" s="1781">
        <v>19</v>
      </c>
      <c r="B1305" s="1781"/>
      <c r="C1305" s="150"/>
      <c r="D1305" s="641"/>
      <c r="E1305" s="150"/>
      <c r="F1305" s="151"/>
      <c r="G1305" s="150"/>
      <c r="H1305" s="150"/>
      <c r="I1305" s="150"/>
      <c r="J1305" s="137"/>
    </row>
    <row r="1306" spans="1:10" hidden="1" x14ac:dyDescent="0.3">
      <c r="A1306" s="1781">
        <v>20</v>
      </c>
      <c r="B1306" s="1781"/>
      <c r="C1306" s="150"/>
      <c r="D1306" s="641"/>
      <c r="E1306" s="150"/>
      <c r="F1306" s="151"/>
      <c r="G1306" s="150"/>
      <c r="H1306" s="150"/>
      <c r="I1306" s="150"/>
      <c r="J1306" s="137"/>
    </row>
    <row r="1307" spans="1:10" ht="25.8" hidden="1" x14ac:dyDescent="0.5">
      <c r="A1307" s="1781"/>
      <c r="B1307" s="1781"/>
      <c r="C1307" s="150"/>
      <c r="D1307" s="641"/>
      <c r="E1307" s="150"/>
      <c r="F1307" s="151"/>
      <c r="G1307" s="150"/>
      <c r="H1307" s="150"/>
      <c r="I1307" s="150"/>
      <c r="J1307" s="934">
        <f>SUM(J1287:J1300)</f>
        <v>14</v>
      </c>
    </row>
    <row r="1308" spans="1:10" hidden="1" x14ac:dyDescent="0.3">
      <c r="A1308" s="3473" t="s">
        <v>33</v>
      </c>
      <c r="B1308" s="3473"/>
      <c r="C1308" s="3473"/>
      <c r="D1308" s="3473"/>
      <c r="E1308" s="3473"/>
      <c r="F1308" s="3473"/>
      <c r="G1308" s="3473"/>
      <c r="H1308" s="3473"/>
      <c r="I1308" s="3473"/>
      <c r="J1308" s="3473"/>
    </row>
    <row r="1309" spans="1:10" hidden="1" x14ac:dyDescent="0.3">
      <c r="A1309" s="137" t="s">
        <v>3</v>
      </c>
      <c r="B1309" s="1781" t="s">
        <v>4</v>
      </c>
      <c r="C1309" s="137" t="s">
        <v>5</v>
      </c>
      <c r="D1309" s="137" t="s">
        <v>6</v>
      </c>
      <c r="E1309" s="137" t="s">
        <v>7</v>
      </c>
      <c r="F1309" s="137" t="s">
        <v>8</v>
      </c>
      <c r="G1309" s="137" t="s">
        <v>9</v>
      </c>
      <c r="H1309" s="137" t="s">
        <v>10</v>
      </c>
      <c r="I1309" s="137" t="s">
        <v>11</v>
      </c>
      <c r="J1309" s="137" t="s">
        <v>12</v>
      </c>
    </row>
    <row r="1310" spans="1:10" hidden="1" x14ac:dyDescent="0.3">
      <c r="A1310" s="549">
        <v>1</v>
      </c>
      <c r="B1310" s="3393" t="s">
        <v>1178</v>
      </c>
      <c r="C1310" s="152" t="s">
        <v>138</v>
      </c>
      <c r="D1310" s="152" t="s">
        <v>1193</v>
      </c>
      <c r="E1310" s="152" t="s">
        <v>805</v>
      </c>
      <c r="F1310" s="152">
        <v>225000000</v>
      </c>
      <c r="G1310" s="152" t="s">
        <v>1194</v>
      </c>
      <c r="H1310" s="152" t="s">
        <v>271</v>
      </c>
      <c r="I1310" s="152" t="s">
        <v>36</v>
      </c>
      <c r="J1310" s="200">
        <v>1</v>
      </c>
    </row>
    <row r="1311" spans="1:10" hidden="1" x14ac:dyDescent="0.3">
      <c r="A1311" s="549">
        <v>2</v>
      </c>
      <c r="B1311" s="3393" t="s">
        <v>1120</v>
      </c>
      <c r="C1311" s="152" t="s">
        <v>138</v>
      </c>
      <c r="D1311" s="152" t="s">
        <v>1195</v>
      </c>
      <c r="E1311" s="152" t="s">
        <v>78</v>
      </c>
      <c r="F1311" s="152">
        <v>145000000</v>
      </c>
      <c r="G1311" s="152" t="s">
        <v>1175</v>
      </c>
      <c r="H1311" s="152" t="s">
        <v>271</v>
      </c>
      <c r="I1311" s="152" t="s">
        <v>36</v>
      </c>
      <c r="J1311" s="200">
        <v>1</v>
      </c>
    </row>
    <row r="1312" spans="1:10" hidden="1" x14ac:dyDescent="0.3">
      <c r="A1312" s="597">
        <v>3</v>
      </c>
      <c r="B1312" s="3394"/>
      <c r="C1312" s="154"/>
      <c r="D1312" s="154"/>
      <c r="E1312" s="154"/>
      <c r="F1312" s="154"/>
      <c r="G1312" s="154"/>
      <c r="H1312" s="154"/>
      <c r="I1312" s="154"/>
      <c r="J1312" s="598"/>
    </row>
    <row r="1313" spans="1:10" ht="24.6" hidden="1" x14ac:dyDescent="0.4">
      <c r="A1313" s="144"/>
      <c r="B1313" s="595"/>
      <c r="C1313" s="144"/>
      <c r="D1313" s="144"/>
      <c r="E1313" s="144"/>
      <c r="F1313" s="144"/>
      <c r="G1313" s="144"/>
      <c r="H1313" s="144"/>
      <c r="I1313" s="144"/>
      <c r="J1313" s="935">
        <f>J1310+J1311+J1312</f>
        <v>2</v>
      </c>
    </row>
    <row r="1314" spans="1:10" hidden="1" x14ac:dyDescent="0.3"/>
    <row r="1315" spans="1:10" hidden="1" x14ac:dyDescent="0.3"/>
    <row r="1316" spans="1:10" hidden="1" x14ac:dyDescent="0.3"/>
    <row r="1317" spans="1:10" hidden="1" x14ac:dyDescent="0.3">
      <c r="A1317" s="3490" t="s">
        <v>1196</v>
      </c>
      <c r="B1317" s="3491"/>
      <c r="C1317" s="3491"/>
      <c r="D1317" s="3491"/>
      <c r="E1317" s="3491"/>
      <c r="F1317" s="3491"/>
      <c r="G1317" s="3491"/>
      <c r="H1317" s="3491"/>
      <c r="I1317" s="3491"/>
      <c r="J1317" s="3491"/>
    </row>
    <row r="1318" spans="1:10" hidden="1" x14ac:dyDescent="0.3">
      <c r="A1318" s="3491"/>
      <c r="B1318" s="3491"/>
      <c r="C1318" s="3491"/>
      <c r="D1318" s="3491"/>
      <c r="E1318" s="3491"/>
      <c r="F1318" s="3491"/>
      <c r="G1318" s="3491"/>
      <c r="H1318" s="3491"/>
      <c r="I1318" s="3491"/>
      <c r="J1318" s="3491"/>
    </row>
    <row r="1319" spans="1:10" ht="46.2" hidden="1" x14ac:dyDescent="0.3">
      <c r="B1319" s="136"/>
      <c r="C1319" s="136"/>
      <c r="D1319" s="136"/>
      <c r="E1319" s="136"/>
      <c r="F1319" s="136"/>
      <c r="G1319" s="136"/>
      <c r="H1319" s="136"/>
      <c r="I1319" s="136"/>
      <c r="J1319" s="136"/>
    </row>
    <row r="1320" spans="1:10" ht="23.4" hidden="1" x14ac:dyDescent="0.3">
      <c r="A1320" s="3487" t="s">
        <v>527</v>
      </c>
      <c r="B1320" s="3487"/>
      <c r="C1320" s="3487"/>
      <c r="D1320" s="3487"/>
      <c r="E1320" s="3487"/>
      <c r="F1320" s="3487"/>
      <c r="G1320" s="3487"/>
      <c r="H1320" s="3487"/>
      <c r="I1320" s="3487"/>
      <c r="J1320" s="3487"/>
    </row>
    <row r="1321" spans="1:10" ht="15.6" hidden="1" x14ac:dyDescent="0.3">
      <c r="A1321" s="3461" t="s">
        <v>2</v>
      </c>
      <c r="B1321" s="3461"/>
      <c r="C1321" s="3461"/>
      <c r="D1321" s="3461"/>
      <c r="E1321" s="3461"/>
      <c r="F1321" s="3461"/>
      <c r="G1321" s="3461"/>
      <c r="H1321" s="3461"/>
      <c r="I1321" s="3461"/>
      <c r="J1321" s="3461"/>
    </row>
    <row r="1322" spans="1:10" hidden="1" x14ac:dyDescent="0.3">
      <c r="A1322" s="137" t="s">
        <v>3</v>
      </c>
      <c r="B1322" s="1781" t="s">
        <v>4</v>
      </c>
      <c r="C1322" s="137" t="s">
        <v>5</v>
      </c>
      <c r="D1322" s="137" t="s">
        <v>6</v>
      </c>
      <c r="E1322" s="137" t="s">
        <v>7</v>
      </c>
      <c r="F1322" s="137" t="s">
        <v>8</v>
      </c>
      <c r="G1322" s="137" t="s">
        <v>9</v>
      </c>
      <c r="H1322" s="137" t="s">
        <v>10</v>
      </c>
      <c r="I1322" s="137" t="s">
        <v>11</v>
      </c>
      <c r="J1322" s="137" t="s">
        <v>12</v>
      </c>
    </row>
    <row r="1323" spans="1:10" hidden="1" x14ac:dyDescent="0.3">
      <c r="A1323" s="137">
        <v>1</v>
      </c>
      <c r="B1323" s="1781" t="s">
        <v>1197</v>
      </c>
      <c r="C1323" s="137" t="s">
        <v>138</v>
      </c>
      <c r="D1323" s="642" t="s">
        <v>1198</v>
      </c>
      <c r="E1323" s="137" t="s">
        <v>78</v>
      </c>
      <c r="F1323" s="137">
        <v>1300000</v>
      </c>
      <c r="G1323" s="137" t="s">
        <v>1004</v>
      </c>
      <c r="H1323" s="137" t="s">
        <v>271</v>
      </c>
      <c r="I1323" s="137" t="s">
        <v>36</v>
      </c>
      <c r="J1323" s="137">
        <v>1</v>
      </c>
    </row>
    <row r="1324" spans="1:10" hidden="1" x14ac:dyDescent="0.3">
      <c r="A1324" s="137">
        <v>2</v>
      </c>
      <c r="B1324" s="1781" t="s">
        <v>1199</v>
      </c>
      <c r="C1324" s="137" t="s">
        <v>138</v>
      </c>
      <c r="D1324" s="642" t="s">
        <v>1200</v>
      </c>
      <c r="E1324" s="137" t="s">
        <v>965</v>
      </c>
      <c r="F1324" s="137">
        <v>850000</v>
      </c>
      <c r="G1324" s="137" t="s">
        <v>966</v>
      </c>
      <c r="H1324" s="137" t="s">
        <v>271</v>
      </c>
      <c r="I1324" s="137" t="s">
        <v>36</v>
      </c>
      <c r="J1324" s="137">
        <v>1</v>
      </c>
    </row>
    <row r="1325" spans="1:10" hidden="1" x14ac:dyDescent="0.3">
      <c r="A1325" s="137">
        <v>3</v>
      </c>
      <c r="B1325" s="1781" t="s">
        <v>1201</v>
      </c>
      <c r="C1325" s="137" t="s">
        <v>138</v>
      </c>
      <c r="D1325" s="642" t="s">
        <v>1202</v>
      </c>
      <c r="E1325" s="137" t="s">
        <v>1044</v>
      </c>
      <c r="F1325" s="137">
        <v>1100000</v>
      </c>
      <c r="G1325" s="137" t="s">
        <v>1203</v>
      </c>
      <c r="H1325" s="137" t="s">
        <v>271</v>
      </c>
      <c r="I1325" s="137" t="s">
        <v>36</v>
      </c>
      <c r="J1325" s="137">
        <v>1</v>
      </c>
    </row>
    <row r="1326" spans="1:10" hidden="1" x14ac:dyDescent="0.3">
      <c r="A1326" s="137">
        <v>4</v>
      </c>
      <c r="B1326" s="1781" t="s">
        <v>1204</v>
      </c>
      <c r="C1326" s="137" t="s">
        <v>138</v>
      </c>
      <c r="D1326" s="642" t="s">
        <v>1205</v>
      </c>
      <c r="E1326" s="137" t="s">
        <v>805</v>
      </c>
      <c r="F1326" s="137">
        <v>1150000</v>
      </c>
      <c r="G1326" s="137" t="s">
        <v>576</v>
      </c>
      <c r="H1326" s="137" t="s">
        <v>271</v>
      </c>
      <c r="I1326" s="137" t="s">
        <v>36</v>
      </c>
      <c r="J1326" s="137">
        <v>1</v>
      </c>
    </row>
    <row r="1327" spans="1:10" hidden="1" x14ac:dyDescent="0.3">
      <c r="A1327" s="137">
        <v>5</v>
      </c>
      <c r="B1327" s="1781" t="s">
        <v>1204</v>
      </c>
      <c r="C1327" s="137" t="s">
        <v>138</v>
      </c>
      <c r="D1327" s="642" t="s">
        <v>1206</v>
      </c>
      <c r="E1327" s="137" t="s">
        <v>1207</v>
      </c>
      <c r="F1327" s="137">
        <v>1000000</v>
      </c>
      <c r="G1327" s="137" t="s">
        <v>1208</v>
      </c>
      <c r="H1327" s="137" t="s">
        <v>271</v>
      </c>
      <c r="I1327" s="137" t="s">
        <v>36</v>
      </c>
      <c r="J1327" s="137">
        <v>1</v>
      </c>
    </row>
    <row r="1328" spans="1:10" hidden="1" x14ac:dyDescent="0.3">
      <c r="A1328" s="137">
        <v>6</v>
      </c>
      <c r="B1328" s="1781" t="s">
        <v>1209</v>
      </c>
      <c r="C1328" s="137" t="s">
        <v>138</v>
      </c>
      <c r="D1328" s="642" t="s">
        <v>1210</v>
      </c>
      <c r="E1328" s="137" t="s">
        <v>78</v>
      </c>
      <c r="F1328" s="137">
        <v>1200000</v>
      </c>
      <c r="G1328" s="137" t="s">
        <v>1004</v>
      </c>
      <c r="H1328" s="137" t="s">
        <v>271</v>
      </c>
      <c r="I1328" s="137" t="s">
        <v>36</v>
      </c>
      <c r="J1328" s="137">
        <v>1</v>
      </c>
    </row>
    <row r="1329" spans="1:11" hidden="1" x14ac:dyDescent="0.3">
      <c r="A1329" s="137">
        <v>7</v>
      </c>
      <c r="B1329" s="1781" t="s">
        <v>1211</v>
      </c>
      <c r="C1329" s="150" t="s">
        <v>138</v>
      </c>
      <c r="D1329" s="641" t="s">
        <v>1212</v>
      </c>
      <c r="E1329" s="150" t="s">
        <v>1213</v>
      </c>
      <c r="F1329" s="1223">
        <v>850000</v>
      </c>
      <c r="G1329" s="150" t="s">
        <v>796</v>
      </c>
      <c r="H1329" s="150" t="s">
        <v>271</v>
      </c>
      <c r="I1329" s="150" t="s">
        <v>36</v>
      </c>
      <c r="J1329" s="137">
        <v>1</v>
      </c>
    </row>
    <row r="1330" spans="1:11" hidden="1" x14ac:dyDescent="0.3">
      <c r="A1330" s="137">
        <v>8</v>
      </c>
      <c r="B1330" s="1781" t="s">
        <v>1211</v>
      </c>
      <c r="C1330" s="137" t="s">
        <v>138</v>
      </c>
      <c r="D1330" s="642" t="s">
        <v>1214</v>
      </c>
      <c r="E1330" s="137" t="s">
        <v>390</v>
      </c>
      <c r="F1330" s="137">
        <v>1050000</v>
      </c>
      <c r="G1330" s="137" t="s">
        <v>796</v>
      </c>
      <c r="H1330" s="137" t="s">
        <v>271</v>
      </c>
      <c r="I1330" s="137" t="s">
        <v>36</v>
      </c>
      <c r="J1330" s="137">
        <v>1</v>
      </c>
    </row>
    <row r="1331" spans="1:11" hidden="1" x14ac:dyDescent="0.3">
      <c r="A1331" s="137">
        <v>9</v>
      </c>
      <c r="B1331" s="1781" t="s">
        <v>1215</v>
      </c>
      <c r="C1331" s="137" t="s">
        <v>138</v>
      </c>
      <c r="D1331" s="642" t="s">
        <v>1216</v>
      </c>
      <c r="E1331" s="137" t="s">
        <v>390</v>
      </c>
      <c r="F1331" s="137">
        <v>1050000</v>
      </c>
      <c r="G1331" s="137" t="s">
        <v>796</v>
      </c>
      <c r="H1331" s="137" t="s">
        <v>271</v>
      </c>
      <c r="I1331" s="137" t="s">
        <v>36</v>
      </c>
      <c r="J1331" s="137">
        <v>1</v>
      </c>
    </row>
    <row r="1332" spans="1:11" hidden="1" x14ac:dyDescent="0.3">
      <c r="A1332" s="137">
        <v>10</v>
      </c>
      <c r="B1332" s="1781" t="s">
        <v>1217</v>
      </c>
      <c r="C1332" s="137" t="s">
        <v>138</v>
      </c>
      <c r="D1332" s="642" t="s">
        <v>1218</v>
      </c>
      <c r="E1332" s="137" t="s">
        <v>869</v>
      </c>
      <c r="F1332" s="137">
        <v>1150000</v>
      </c>
      <c r="G1332" s="137" t="s">
        <v>43</v>
      </c>
      <c r="H1332" s="137" t="s">
        <v>271</v>
      </c>
      <c r="I1332" s="137" t="s">
        <v>36</v>
      </c>
      <c r="J1332" s="137">
        <v>1</v>
      </c>
    </row>
    <row r="1333" spans="1:11" hidden="1" x14ac:dyDescent="0.3">
      <c r="A1333" s="137">
        <v>11</v>
      </c>
      <c r="B1333" s="1781" t="s">
        <v>1211</v>
      </c>
      <c r="C1333" s="137" t="s">
        <v>138</v>
      </c>
      <c r="D1333" s="642" t="s">
        <v>1219</v>
      </c>
      <c r="E1333" s="137" t="s">
        <v>78</v>
      </c>
      <c r="F1333" s="137">
        <v>1700000</v>
      </c>
      <c r="G1333" s="137" t="s">
        <v>1220</v>
      </c>
      <c r="H1333" s="137" t="s">
        <v>271</v>
      </c>
      <c r="I1333" s="137" t="s">
        <v>36</v>
      </c>
      <c r="J1333" s="137">
        <v>1</v>
      </c>
    </row>
    <row r="1334" spans="1:11" hidden="1" x14ac:dyDescent="0.3">
      <c r="A1334" s="137">
        <v>12</v>
      </c>
      <c r="B1334" s="1781" t="s">
        <v>1221</v>
      </c>
      <c r="C1334" s="137" t="s">
        <v>138</v>
      </c>
      <c r="D1334" s="642" t="s">
        <v>1222</v>
      </c>
      <c r="E1334" s="137" t="s">
        <v>78</v>
      </c>
      <c r="F1334" s="137">
        <v>900000</v>
      </c>
      <c r="G1334" s="137" t="s">
        <v>1223</v>
      </c>
      <c r="H1334" s="137" t="s">
        <v>271</v>
      </c>
      <c r="I1334" s="137" t="s">
        <v>36</v>
      </c>
      <c r="J1334" s="137">
        <v>1</v>
      </c>
    </row>
    <row r="1335" spans="1:11" hidden="1" x14ac:dyDescent="0.3">
      <c r="A1335" s="137">
        <v>13</v>
      </c>
      <c r="B1335" s="1781" t="s">
        <v>1221</v>
      </c>
      <c r="C1335" s="137" t="s">
        <v>138</v>
      </c>
      <c r="D1335" s="642" t="s">
        <v>1224</v>
      </c>
      <c r="E1335" s="137" t="s">
        <v>390</v>
      </c>
      <c r="F1335" s="137">
        <v>1000000</v>
      </c>
      <c r="G1335" s="137" t="s">
        <v>796</v>
      </c>
      <c r="H1335" s="137" t="s">
        <v>271</v>
      </c>
      <c r="I1335" s="137" t="s">
        <v>36</v>
      </c>
      <c r="J1335" s="137">
        <v>1</v>
      </c>
    </row>
    <row r="1336" spans="1:11" hidden="1" x14ac:dyDescent="0.3">
      <c r="A1336" s="137">
        <v>14</v>
      </c>
      <c r="B1336" s="1781" t="s">
        <v>1221</v>
      </c>
      <c r="C1336" s="137" t="s">
        <v>138</v>
      </c>
      <c r="D1336" s="642" t="s">
        <v>1225</v>
      </c>
      <c r="E1336" s="137" t="s">
        <v>1207</v>
      </c>
      <c r="F1336" s="137">
        <v>950000</v>
      </c>
      <c r="G1336" s="137" t="s">
        <v>785</v>
      </c>
      <c r="H1336" s="137" t="s">
        <v>271</v>
      </c>
      <c r="I1336" s="137" t="s">
        <v>36</v>
      </c>
      <c r="J1336" s="137">
        <v>1</v>
      </c>
    </row>
    <row r="1337" spans="1:11" hidden="1" x14ac:dyDescent="0.3">
      <c r="A1337" s="1781">
        <v>15</v>
      </c>
      <c r="B1337" s="3392" t="s">
        <v>1226</v>
      </c>
      <c r="C1337" s="150" t="s">
        <v>138</v>
      </c>
      <c r="D1337" s="641" t="s">
        <v>1227</v>
      </c>
      <c r="E1337" s="150" t="s">
        <v>1228</v>
      </c>
      <c r="F1337" s="1223">
        <v>1800000</v>
      </c>
      <c r="G1337" s="150" t="s">
        <v>1229</v>
      </c>
      <c r="H1337" s="150" t="s">
        <v>271</v>
      </c>
      <c r="I1337" s="150" t="s">
        <v>36</v>
      </c>
      <c r="J1337" s="137">
        <v>1</v>
      </c>
      <c r="K1337" t="s">
        <v>133</v>
      </c>
    </row>
    <row r="1338" spans="1:11" hidden="1" x14ac:dyDescent="0.3">
      <c r="A1338" s="1781">
        <v>16</v>
      </c>
      <c r="B1338" s="3392" t="s">
        <v>1230</v>
      </c>
      <c r="C1338" s="150" t="s">
        <v>138</v>
      </c>
      <c r="D1338" s="641" t="s">
        <v>1231</v>
      </c>
      <c r="E1338" s="150" t="s">
        <v>965</v>
      </c>
      <c r="F1338" s="1223">
        <v>900000</v>
      </c>
      <c r="G1338" s="150" t="s">
        <v>966</v>
      </c>
      <c r="H1338" s="150" t="s">
        <v>271</v>
      </c>
      <c r="I1338" s="150" t="s">
        <v>36</v>
      </c>
      <c r="J1338" s="137">
        <v>1</v>
      </c>
      <c r="K1338" t="s">
        <v>1232</v>
      </c>
    </row>
    <row r="1339" spans="1:11" hidden="1" x14ac:dyDescent="0.3">
      <c r="A1339" s="1781">
        <v>17</v>
      </c>
      <c r="B1339" s="3392" t="s">
        <v>1230</v>
      </c>
      <c r="C1339" s="150" t="s">
        <v>138</v>
      </c>
      <c r="D1339" s="641" t="s">
        <v>1233</v>
      </c>
      <c r="E1339" s="150" t="s">
        <v>1234</v>
      </c>
      <c r="F1339" s="1223">
        <v>850000</v>
      </c>
      <c r="G1339" s="150" t="s">
        <v>43</v>
      </c>
      <c r="H1339" s="150" t="s">
        <v>271</v>
      </c>
      <c r="I1339" s="150" t="s">
        <v>36</v>
      </c>
      <c r="J1339" s="137">
        <v>1</v>
      </c>
      <c r="K1339" t="s">
        <v>133</v>
      </c>
    </row>
    <row r="1340" spans="1:11" hidden="1" x14ac:dyDescent="0.3">
      <c r="A1340" s="1781">
        <v>18</v>
      </c>
      <c r="B1340" s="3392" t="s">
        <v>1235</v>
      </c>
      <c r="C1340" s="150" t="s">
        <v>138</v>
      </c>
      <c r="D1340" s="641" t="s">
        <v>1236</v>
      </c>
      <c r="E1340" s="150" t="s">
        <v>78</v>
      </c>
      <c r="F1340" s="1223">
        <v>900000</v>
      </c>
      <c r="G1340" s="150" t="s">
        <v>1237</v>
      </c>
      <c r="H1340" s="150" t="s">
        <v>271</v>
      </c>
      <c r="I1340" s="150" t="s">
        <v>36</v>
      </c>
      <c r="J1340" s="137">
        <v>1</v>
      </c>
      <c r="K1340" t="s">
        <v>133</v>
      </c>
    </row>
    <row r="1341" spans="1:11" hidden="1" x14ac:dyDescent="0.3">
      <c r="A1341" s="1781">
        <v>19</v>
      </c>
      <c r="B1341" s="1781" t="s">
        <v>1238</v>
      </c>
      <c r="C1341" s="150" t="s">
        <v>138</v>
      </c>
      <c r="D1341" s="641" t="s">
        <v>1239</v>
      </c>
      <c r="E1341" s="150" t="s">
        <v>78</v>
      </c>
      <c r="F1341" s="1223">
        <v>1250000</v>
      </c>
      <c r="G1341" s="150" t="s">
        <v>820</v>
      </c>
      <c r="H1341" s="150" t="s">
        <v>271</v>
      </c>
      <c r="I1341" s="150" t="s">
        <v>36</v>
      </c>
      <c r="J1341" s="137">
        <v>1</v>
      </c>
      <c r="K1341" t="s">
        <v>1232</v>
      </c>
    </row>
    <row r="1342" spans="1:11" hidden="1" x14ac:dyDescent="0.3">
      <c r="A1342" s="1781">
        <v>20</v>
      </c>
      <c r="B1342" s="1781" t="s">
        <v>1240</v>
      </c>
      <c r="C1342" s="150" t="s">
        <v>138</v>
      </c>
      <c r="D1342" s="641" t="s">
        <v>1241</v>
      </c>
      <c r="E1342" s="150" t="s">
        <v>802</v>
      </c>
      <c r="F1342" s="1223">
        <v>1250000</v>
      </c>
      <c r="G1342" s="150" t="s">
        <v>1242</v>
      </c>
      <c r="H1342" s="150" t="s">
        <v>271</v>
      </c>
      <c r="I1342" s="150" t="s">
        <v>36</v>
      </c>
      <c r="J1342" s="137">
        <v>1</v>
      </c>
      <c r="K1342" t="s">
        <v>133</v>
      </c>
    </row>
    <row r="1343" spans="1:11" hidden="1" x14ac:dyDescent="0.3">
      <c r="A1343" s="1781"/>
      <c r="B1343" s="1781"/>
      <c r="C1343" s="150"/>
      <c r="D1343" s="641"/>
      <c r="E1343" s="150"/>
      <c r="F1343" s="1223"/>
      <c r="G1343" s="150"/>
      <c r="H1343" s="150"/>
      <c r="I1343" s="150"/>
      <c r="J1343" s="137"/>
    </row>
    <row r="1344" spans="1:11" ht="24.6" hidden="1" x14ac:dyDescent="0.4">
      <c r="A1344" s="1781"/>
      <c r="B1344" s="1781"/>
      <c r="C1344" s="150"/>
      <c r="D1344" s="641"/>
      <c r="E1344" s="150"/>
      <c r="F1344" s="151"/>
      <c r="G1344" s="150"/>
      <c r="H1344" s="150"/>
      <c r="I1344" s="150"/>
      <c r="J1344" s="932">
        <f>SUM(J1323:J1343)</f>
        <v>20</v>
      </c>
    </row>
    <row r="1345" spans="1:10" hidden="1" x14ac:dyDescent="0.3">
      <c r="A1345" s="3473" t="s">
        <v>33</v>
      </c>
      <c r="B1345" s="3473"/>
      <c r="C1345" s="3473"/>
      <c r="D1345" s="3473"/>
      <c r="E1345" s="3473"/>
      <c r="F1345" s="3473"/>
      <c r="G1345" s="3473"/>
      <c r="H1345" s="3473"/>
      <c r="I1345" s="3473"/>
      <c r="J1345" s="3473"/>
    </row>
    <row r="1346" spans="1:10" hidden="1" x14ac:dyDescent="0.3">
      <c r="A1346" s="137" t="s">
        <v>3</v>
      </c>
      <c r="B1346" s="1781" t="s">
        <v>4</v>
      </c>
      <c r="C1346" s="137" t="s">
        <v>5</v>
      </c>
      <c r="D1346" s="137" t="s">
        <v>6</v>
      </c>
      <c r="E1346" s="137" t="s">
        <v>7</v>
      </c>
      <c r="F1346" s="137" t="s">
        <v>8</v>
      </c>
      <c r="G1346" s="137" t="s">
        <v>9</v>
      </c>
      <c r="H1346" s="137" t="s">
        <v>10</v>
      </c>
      <c r="I1346" s="137" t="s">
        <v>11</v>
      </c>
      <c r="J1346" s="137" t="s">
        <v>12</v>
      </c>
    </row>
    <row r="1347" spans="1:10" hidden="1" x14ac:dyDescent="0.3">
      <c r="A1347" s="597">
        <v>1</v>
      </c>
      <c r="B1347" s="3394" t="s">
        <v>1204</v>
      </c>
      <c r="C1347" s="154" t="s">
        <v>138</v>
      </c>
      <c r="D1347" s="154" t="s">
        <v>1032</v>
      </c>
      <c r="E1347" s="154" t="s">
        <v>965</v>
      </c>
      <c r="F1347" s="154">
        <v>155000000</v>
      </c>
      <c r="G1347" s="154" t="s">
        <v>966</v>
      </c>
      <c r="H1347" s="154" t="s">
        <v>271</v>
      </c>
      <c r="I1347" s="154" t="s">
        <v>36</v>
      </c>
      <c r="J1347" s="598">
        <v>1</v>
      </c>
    </row>
    <row r="1348" spans="1:10" hidden="1" x14ac:dyDescent="0.3">
      <c r="A1348" s="595">
        <v>2</v>
      </c>
      <c r="B1348" s="3395" t="s">
        <v>1204</v>
      </c>
      <c r="C1348" s="156" t="s">
        <v>138</v>
      </c>
      <c r="D1348" s="156" t="s">
        <v>1037</v>
      </c>
      <c r="E1348" s="156" t="s">
        <v>390</v>
      </c>
      <c r="F1348" s="156">
        <v>246000000</v>
      </c>
      <c r="G1348" s="156" t="s">
        <v>1243</v>
      </c>
      <c r="H1348" s="156" t="s">
        <v>1244</v>
      </c>
      <c r="I1348" s="156" t="s">
        <v>24</v>
      </c>
      <c r="J1348" s="144">
        <v>1</v>
      </c>
    </row>
    <row r="1349" spans="1:10" hidden="1" x14ac:dyDescent="0.3">
      <c r="A1349" s="595">
        <v>3</v>
      </c>
      <c r="B1349" s="3395" t="s">
        <v>1226</v>
      </c>
      <c r="C1349" s="156" t="s">
        <v>138</v>
      </c>
      <c r="D1349" s="156" t="s">
        <v>1245</v>
      </c>
      <c r="E1349" s="156" t="s">
        <v>1207</v>
      </c>
      <c r="F1349" s="156">
        <v>179500000</v>
      </c>
      <c r="G1349" s="156" t="s">
        <v>553</v>
      </c>
      <c r="H1349" s="156" t="s">
        <v>271</v>
      </c>
      <c r="I1349" s="156" t="s">
        <v>36</v>
      </c>
      <c r="J1349" s="144">
        <v>1</v>
      </c>
    </row>
    <row r="1350" spans="1:10" hidden="1" x14ac:dyDescent="0.3">
      <c r="A1350" s="595">
        <v>4</v>
      </c>
      <c r="B1350" s="3395" t="s">
        <v>1246</v>
      </c>
      <c r="C1350" s="156" t="s">
        <v>138</v>
      </c>
      <c r="D1350" s="156" t="s">
        <v>1247</v>
      </c>
      <c r="E1350" s="156" t="s">
        <v>180</v>
      </c>
      <c r="F1350" s="156">
        <v>210000000</v>
      </c>
      <c r="G1350" s="156" t="s">
        <v>907</v>
      </c>
      <c r="H1350" s="156" t="s">
        <v>271</v>
      </c>
      <c r="I1350" s="156" t="s">
        <v>36</v>
      </c>
      <c r="J1350" s="144">
        <v>1</v>
      </c>
    </row>
    <row r="1351" spans="1:10" ht="24.6" hidden="1" x14ac:dyDescent="0.4">
      <c r="A1351" s="144"/>
      <c r="B1351" s="922"/>
      <c r="C1351" s="887"/>
      <c r="D1351" s="887"/>
      <c r="E1351" s="887"/>
      <c r="F1351" s="887"/>
      <c r="G1351" s="887"/>
      <c r="H1351" s="887"/>
      <c r="I1351" s="144"/>
      <c r="J1351" s="935">
        <v>4</v>
      </c>
    </row>
    <row r="1352" spans="1:10" hidden="1" x14ac:dyDescent="0.3"/>
    <row r="1353" spans="1:10" hidden="1" x14ac:dyDescent="0.3"/>
    <row r="1354" spans="1:10" hidden="1" x14ac:dyDescent="0.3"/>
    <row r="1355" spans="1:10" ht="23.4" hidden="1" x14ac:dyDescent="0.3">
      <c r="A1355" s="3487" t="s">
        <v>582</v>
      </c>
      <c r="B1355" s="3487"/>
      <c r="C1355" s="3487"/>
      <c r="D1355" s="3487"/>
      <c r="E1355" s="3487"/>
      <c r="F1355" s="3487"/>
      <c r="G1355" s="3487"/>
      <c r="H1355" s="3487"/>
      <c r="I1355" s="3487"/>
      <c r="J1355" s="3487"/>
    </row>
    <row r="1356" spans="1:10" ht="15.6" hidden="1" x14ac:dyDescent="0.3">
      <c r="A1356" s="3461" t="s">
        <v>2</v>
      </c>
      <c r="B1356" s="3461"/>
      <c r="C1356" s="3461"/>
      <c r="D1356" s="3461"/>
      <c r="E1356" s="3461"/>
      <c r="F1356" s="3461"/>
      <c r="G1356" s="3461"/>
      <c r="H1356" s="3461"/>
      <c r="I1356" s="3461"/>
      <c r="J1356" s="3461"/>
    </row>
    <row r="1357" spans="1:10" hidden="1" x14ac:dyDescent="0.3">
      <c r="A1357" s="137" t="s">
        <v>3</v>
      </c>
      <c r="B1357" s="1781" t="s">
        <v>4</v>
      </c>
      <c r="C1357" s="137" t="s">
        <v>5</v>
      </c>
      <c r="D1357" s="137" t="s">
        <v>6</v>
      </c>
      <c r="E1357" s="137" t="s">
        <v>7</v>
      </c>
      <c r="F1357" s="137" t="s">
        <v>8</v>
      </c>
      <c r="G1357" s="137" t="s">
        <v>9</v>
      </c>
      <c r="H1357" s="137" t="s">
        <v>10</v>
      </c>
      <c r="I1357" s="137" t="s">
        <v>11</v>
      </c>
      <c r="J1357" s="137" t="s">
        <v>12</v>
      </c>
    </row>
    <row r="1358" spans="1:10" hidden="1" x14ac:dyDescent="0.3">
      <c r="A1358" s="137">
        <v>1</v>
      </c>
      <c r="B1358" s="765" t="s">
        <v>1199</v>
      </c>
      <c r="C1358" s="642" t="s">
        <v>138</v>
      </c>
      <c r="D1358" s="642" t="s">
        <v>1248</v>
      </c>
      <c r="E1358" s="642" t="s">
        <v>1105</v>
      </c>
      <c r="F1358" s="641">
        <v>1300000</v>
      </c>
      <c r="G1358" s="642" t="s">
        <v>397</v>
      </c>
      <c r="H1358" s="642" t="s">
        <v>271</v>
      </c>
      <c r="I1358" s="642" t="s">
        <v>36</v>
      </c>
      <c r="J1358" s="642">
        <v>1</v>
      </c>
    </row>
    <row r="1359" spans="1:10" hidden="1" x14ac:dyDescent="0.3">
      <c r="A1359" s="137">
        <v>2</v>
      </c>
      <c r="B1359" s="765" t="s">
        <v>1199</v>
      </c>
      <c r="C1359" s="642" t="s">
        <v>138</v>
      </c>
      <c r="D1359" s="642" t="s">
        <v>1249</v>
      </c>
      <c r="E1359" s="642" t="s">
        <v>1105</v>
      </c>
      <c r="F1359" s="641">
        <v>1800000</v>
      </c>
      <c r="G1359" s="642" t="s">
        <v>612</v>
      </c>
      <c r="H1359" s="642" t="s">
        <v>271</v>
      </c>
      <c r="I1359" s="642" t="s">
        <v>36</v>
      </c>
      <c r="J1359" s="642">
        <v>1</v>
      </c>
    </row>
    <row r="1360" spans="1:10" hidden="1" x14ac:dyDescent="0.3">
      <c r="A1360" s="137">
        <v>3</v>
      </c>
      <c r="B1360" s="765" t="s">
        <v>1199</v>
      </c>
      <c r="C1360" s="642" t="s">
        <v>138</v>
      </c>
      <c r="D1360" s="642" t="s">
        <v>1250</v>
      </c>
      <c r="E1360" s="642" t="s">
        <v>1105</v>
      </c>
      <c r="F1360" s="641">
        <v>1800000</v>
      </c>
      <c r="G1360" s="642" t="s">
        <v>612</v>
      </c>
      <c r="H1360" s="642" t="s">
        <v>271</v>
      </c>
      <c r="I1360" s="642" t="s">
        <v>36</v>
      </c>
      <c r="J1360" s="642">
        <v>1</v>
      </c>
    </row>
    <row r="1361" spans="1:11" hidden="1" x14ac:dyDescent="0.3">
      <c r="A1361" s="137">
        <v>4</v>
      </c>
      <c r="B1361" s="765" t="s">
        <v>1204</v>
      </c>
      <c r="C1361" s="642" t="s">
        <v>138</v>
      </c>
      <c r="D1361" s="642" t="s">
        <v>1251</v>
      </c>
      <c r="E1361" s="642" t="s">
        <v>869</v>
      </c>
      <c r="F1361" s="641">
        <v>1200000</v>
      </c>
      <c r="G1361" s="642" t="s">
        <v>1095</v>
      </c>
      <c r="H1361" s="642" t="s">
        <v>271</v>
      </c>
      <c r="I1361" s="642" t="s">
        <v>36</v>
      </c>
      <c r="J1361" s="642">
        <v>1</v>
      </c>
    </row>
    <row r="1362" spans="1:11" hidden="1" x14ac:dyDescent="0.3">
      <c r="A1362" s="137">
        <v>5</v>
      </c>
      <c r="B1362" s="765" t="s">
        <v>1211</v>
      </c>
      <c r="C1362" s="642" t="s">
        <v>138</v>
      </c>
      <c r="D1362" s="642" t="s">
        <v>1252</v>
      </c>
      <c r="E1362" s="642" t="s">
        <v>1105</v>
      </c>
      <c r="F1362" s="641">
        <v>1500000</v>
      </c>
      <c r="G1362" s="642" t="s">
        <v>612</v>
      </c>
      <c r="H1362" s="642" t="s">
        <v>271</v>
      </c>
      <c r="I1362" s="642" t="s">
        <v>36</v>
      </c>
      <c r="J1362" s="642">
        <v>1</v>
      </c>
    </row>
    <row r="1363" spans="1:11" hidden="1" x14ac:dyDescent="0.3">
      <c r="A1363" s="137">
        <v>6</v>
      </c>
      <c r="B1363" s="765" t="s">
        <v>1253</v>
      </c>
      <c r="C1363" s="642" t="s">
        <v>138</v>
      </c>
      <c r="D1363" s="642" t="s">
        <v>1254</v>
      </c>
      <c r="E1363" s="642" t="s">
        <v>78</v>
      </c>
      <c r="F1363" s="641">
        <v>1350000</v>
      </c>
      <c r="G1363" s="642" t="s">
        <v>1255</v>
      </c>
      <c r="H1363" s="642" t="s">
        <v>271</v>
      </c>
      <c r="I1363" s="642" t="s">
        <v>36</v>
      </c>
      <c r="J1363" s="642">
        <v>1</v>
      </c>
    </row>
    <row r="1364" spans="1:11" hidden="1" x14ac:dyDescent="0.3">
      <c r="A1364" s="137">
        <v>7</v>
      </c>
      <c r="B1364" s="765" t="s">
        <v>1256</v>
      </c>
      <c r="C1364" s="642" t="s">
        <v>138</v>
      </c>
      <c r="D1364" s="642" t="s">
        <v>1257</v>
      </c>
      <c r="E1364" s="642" t="s">
        <v>869</v>
      </c>
      <c r="F1364" s="641">
        <v>1200000</v>
      </c>
      <c r="G1364" s="642" t="s">
        <v>1095</v>
      </c>
      <c r="H1364" s="642" t="s">
        <v>271</v>
      </c>
      <c r="I1364" s="642" t="s">
        <v>36</v>
      </c>
      <c r="J1364" s="642">
        <v>1</v>
      </c>
    </row>
    <row r="1365" spans="1:11" hidden="1" x14ac:dyDescent="0.3">
      <c r="A1365" s="137">
        <v>8</v>
      </c>
      <c r="B1365" s="765" t="s">
        <v>1258</v>
      </c>
      <c r="C1365" s="642" t="s">
        <v>138</v>
      </c>
      <c r="D1365" s="642" t="s">
        <v>1259</v>
      </c>
      <c r="E1365" s="642" t="s">
        <v>180</v>
      </c>
      <c r="F1365" s="641">
        <v>1300000</v>
      </c>
      <c r="G1365" s="642" t="s">
        <v>1064</v>
      </c>
      <c r="H1365" s="642" t="s">
        <v>271</v>
      </c>
      <c r="I1365" s="642" t="s">
        <v>36</v>
      </c>
      <c r="J1365" s="642">
        <v>1</v>
      </c>
    </row>
    <row r="1366" spans="1:11" hidden="1" x14ac:dyDescent="0.3">
      <c r="A1366" s="137">
        <v>9</v>
      </c>
      <c r="B1366" s="765" t="s">
        <v>1258</v>
      </c>
      <c r="C1366" s="642" t="s">
        <v>138</v>
      </c>
      <c r="D1366" s="642" t="s">
        <v>1260</v>
      </c>
      <c r="E1366" s="642" t="s">
        <v>962</v>
      </c>
      <c r="F1366" s="641">
        <v>1100000</v>
      </c>
      <c r="G1366" s="642" t="s">
        <v>1078</v>
      </c>
      <c r="H1366" s="642" t="s">
        <v>271</v>
      </c>
      <c r="I1366" s="642" t="s">
        <v>36</v>
      </c>
      <c r="J1366" s="642">
        <v>1</v>
      </c>
    </row>
    <row r="1367" spans="1:11" hidden="1" x14ac:dyDescent="0.3">
      <c r="A1367" s="137">
        <v>10</v>
      </c>
      <c r="B1367" s="765" t="s">
        <v>1261</v>
      </c>
      <c r="C1367" s="642" t="s">
        <v>138</v>
      </c>
      <c r="D1367" s="642" t="s">
        <v>1262</v>
      </c>
      <c r="E1367" s="642" t="s">
        <v>1105</v>
      </c>
      <c r="F1367" s="641">
        <v>1400000</v>
      </c>
      <c r="G1367" s="642" t="s">
        <v>724</v>
      </c>
      <c r="H1367" s="642" t="s">
        <v>271</v>
      </c>
      <c r="I1367" s="642" t="s">
        <v>36</v>
      </c>
      <c r="J1367" s="642">
        <v>1</v>
      </c>
      <c r="K1367" t="s">
        <v>133</v>
      </c>
    </row>
    <row r="1368" spans="1:11" hidden="1" x14ac:dyDescent="0.3">
      <c r="A1368" s="137">
        <v>11</v>
      </c>
      <c r="B1368" s="1781" t="s">
        <v>1261</v>
      </c>
      <c r="C1368" s="150" t="s">
        <v>138</v>
      </c>
      <c r="D1368" s="641" t="s">
        <v>1263</v>
      </c>
      <c r="E1368" s="150" t="s">
        <v>962</v>
      </c>
      <c r="F1368" s="151">
        <v>1250000</v>
      </c>
      <c r="G1368" s="150" t="s">
        <v>1078</v>
      </c>
      <c r="H1368" s="150" t="s">
        <v>271</v>
      </c>
      <c r="I1368" s="150" t="s">
        <v>36</v>
      </c>
      <c r="J1368" s="137">
        <v>1</v>
      </c>
      <c r="K1368" t="s">
        <v>1232</v>
      </c>
    </row>
    <row r="1369" spans="1:11" hidden="1" x14ac:dyDescent="0.3">
      <c r="A1369" s="137">
        <v>12</v>
      </c>
      <c r="B1369" s="1781" t="s">
        <v>1226</v>
      </c>
      <c r="C1369" s="150" t="s">
        <v>138</v>
      </c>
      <c r="D1369" s="641" t="s">
        <v>1264</v>
      </c>
      <c r="E1369" s="150" t="s">
        <v>148</v>
      </c>
      <c r="F1369" s="151">
        <v>1700000</v>
      </c>
      <c r="G1369" s="150" t="s">
        <v>43</v>
      </c>
      <c r="H1369" s="150" t="s">
        <v>271</v>
      </c>
      <c r="I1369" s="150" t="s">
        <v>36</v>
      </c>
      <c r="J1369" s="137">
        <v>1</v>
      </c>
      <c r="K1369" t="s">
        <v>1232</v>
      </c>
    </row>
    <row r="1370" spans="1:11" hidden="1" x14ac:dyDescent="0.3">
      <c r="A1370" s="137">
        <v>13</v>
      </c>
      <c r="B1370" s="1781" t="s">
        <v>1265</v>
      </c>
      <c r="C1370" s="150" t="s">
        <v>138</v>
      </c>
      <c r="D1370" s="641" t="s">
        <v>1266</v>
      </c>
      <c r="E1370" s="150" t="s">
        <v>180</v>
      </c>
      <c r="F1370" s="151">
        <v>1450000</v>
      </c>
      <c r="G1370" s="150" t="s">
        <v>1267</v>
      </c>
      <c r="H1370" s="150" t="s">
        <v>271</v>
      </c>
      <c r="I1370" s="150" t="s">
        <v>36</v>
      </c>
      <c r="J1370" s="137">
        <v>1</v>
      </c>
      <c r="K1370" t="s">
        <v>133</v>
      </c>
    </row>
    <row r="1371" spans="1:11" hidden="1" x14ac:dyDescent="0.3">
      <c r="A1371" s="137">
        <v>14</v>
      </c>
      <c r="B1371" s="765" t="s">
        <v>1265</v>
      </c>
      <c r="C1371" s="642" t="s">
        <v>138</v>
      </c>
      <c r="D1371" s="642" t="s">
        <v>1268</v>
      </c>
      <c r="E1371" s="642" t="s">
        <v>180</v>
      </c>
      <c r="F1371" s="641">
        <v>1250000</v>
      </c>
      <c r="G1371" s="642" t="s">
        <v>1269</v>
      </c>
      <c r="H1371" s="642" t="s">
        <v>271</v>
      </c>
      <c r="I1371" s="642" t="s">
        <v>36</v>
      </c>
      <c r="J1371" s="642">
        <v>1</v>
      </c>
      <c r="K1371" t="s">
        <v>1232</v>
      </c>
    </row>
    <row r="1372" spans="1:11" hidden="1" x14ac:dyDescent="0.3">
      <c r="A1372" s="1781">
        <v>15</v>
      </c>
      <c r="B1372" s="3402" t="s">
        <v>1270</v>
      </c>
      <c r="C1372" s="641" t="s">
        <v>138</v>
      </c>
      <c r="D1372" s="641" t="s">
        <v>1271</v>
      </c>
      <c r="E1372" s="641" t="s">
        <v>962</v>
      </c>
      <c r="F1372" s="1358">
        <v>1300000</v>
      </c>
      <c r="G1372" s="641" t="s">
        <v>1078</v>
      </c>
      <c r="H1372" s="641" t="s">
        <v>271</v>
      </c>
      <c r="I1372" s="641" t="s">
        <v>36</v>
      </c>
      <c r="J1372" s="642">
        <v>1</v>
      </c>
      <c r="K1372" t="s">
        <v>133</v>
      </c>
    </row>
    <row r="1373" spans="1:11" hidden="1" x14ac:dyDescent="0.3">
      <c r="A1373" s="1781">
        <v>16</v>
      </c>
      <c r="B1373" s="3402" t="s">
        <v>1272</v>
      </c>
      <c r="C1373" s="641" t="s">
        <v>138</v>
      </c>
      <c r="D1373" s="641" t="s">
        <v>1273</v>
      </c>
      <c r="E1373" s="641" t="s">
        <v>1105</v>
      </c>
      <c r="F1373" s="1358">
        <v>1200000</v>
      </c>
      <c r="G1373" s="641" t="s">
        <v>397</v>
      </c>
      <c r="H1373" s="641" t="s">
        <v>271</v>
      </c>
      <c r="I1373" s="641" t="s">
        <v>36</v>
      </c>
      <c r="J1373" s="642">
        <v>1</v>
      </c>
      <c r="K1373" t="s">
        <v>1232</v>
      </c>
    </row>
    <row r="1374" spans="1:11" hidden="1" x14ac:dyDescent="0.3">
      <c r="A1374" s="1781">
        <v>17</v>
      </c>
      <c r="B1374" s="3402" t="s">
        <v>1230</v>
      </c>
      <c r="C1374" s="641" t="s">
        <v>138</v>
      </c>
      <c r="D1374" s="641" t="s">
        <v>1274</v>
      </c>
      <c r="E1374" s="641" t="s">
        <v>180</v>
      </c>
      <c r="F1374" s="1358">
        <v>1250000</v>
      </c>
      <c r="G1374" s="641" t="s">
        <v>1275</v>
      </c>
      <c r="H1374" s="641" t="s">
        <v>271</v>
      </c>
      <c r="I1374" s="641" t="s">
        <v>36</v>
      </c>
      <c r="J1374" s="642">
        <v>1</v>
      </c>
      <c r="K1374" t="s">
        <v>133</v>
      </c>
    </row>
    <row r="1375" spans="1:11" hidden="1" x14ac:dyDescent="0.3">
      <c r="A1375" s="1781">
        <v>18</v>
      </c>
      <c r="B1375" s="3402" t="s">
        <v>1230</v>
      </c>
      <c r="C1375" s="641" t="s">
        <v>138</v>
      </c>
      <c r="D1375" s="641" t="s">
        <v>1276</v>
      </c>
      <c r="E1375" s="641" t="s">
        <v>805</v>
      </c>
      <c r="F1375" s="1358">
        <v>1200000</v>
      </c>
      <c r="G1375" s="641" t="s">
        <v>1075</v>
      </c>
      <c r="H1375" s="641" t="s">
        <v>271</v>
      </c>
      <c r="I1375" s="641" t="s">
        <v>36</v>
      </c>
      <c r="J1375" s="642">
        <v>1</v>
      </c>
      <c r="K1375" t="s">
        <v>1232</v>
      </c>
    </row>
    <row r="1376" spans="1:11" hidden="1" x14ac:dyDescent="0.3">
      <c r="A1376" s="1781">
        <v>19</v>
      </c>
      <c r="B1376" s="765" t="s">
        <v>1230</v>
      </c>
      <c r="C1376" s="641" t="s">
        <v>138</v>
      </c>
      <c r="D1376" s="641" t="s">
        <v>1277</v>
      </c>
      <c r="E1376" s="641" t="s">
        <v>869</v>
      </c>
      <c r="F1376" s="1358">
        <v>1100000</v>
      </c>
      <c r="G1376" s="641" t="s">
        <v>907</v>
      </c>
      <c r="H1376" s="641" t="s">
        <v>271</v>
      </c>
      <c r="I1376" s="641" t="s">
        <v>36</v>
      </c>
      <c r="J1376" s="642">
        <v>1</v>
      </c>
      <c r="K1376" t="s">
        <v>1232</v>
      </c>
    </row>
    <row r="1377" spans="1:11" hidden="1" x14ac:dyDescent="0.3">
      <c r="A1377" s="1781">
        <v>20</v>
      </c>
      <c r="B1377" s="765" t="s">
        <v>1246</v>
      </c>
      <c r="C1377" s="641" t="s">
        <v>138</v>
      </c>
      <c r="D1377" s="641" t="s">
        <v>1278</v>
      </c>
      <c r="E1377" s="641" t="s">
        <v>962</v>
      </c>
      <c r="F1377" s="1358">
        <v>1100000</v>
      </c>
      <c r="G1377" s="641" t="s">
        <v>1078</v>
      </c>
      <c r="H1377" s="641" t="s">
        <v>271</v>
      </c>
      <c r="I1377" s="641" t="s">
        <v>36</v>
      </c>
      <c r="J1377" s="642">
        <v>1</v>
      </c>
    </row>
    <row r="1378" spans="1:11" hidden="1" x14ac:dyDescent="0.3">
      <c r="A1378" s="1781">
        <v>21</v>
      </c>
      <c r="B1378" s="765" t="s">
        <v>1238</v>
      </c>
      <c r="C1378" s="641" t="s">
        <v>138</v>
      </c>
      <c r="D1378" s="641" t="s">
        <v>1279</v>
      </c>
      <c r="E1378" s="641" t="s">
        <v>1105</v>
      </c>
      <c r="F1378" s="1358">
        <v>1750000</v>
      </c>
      <c r="G1378" s="641" t="s">
        <v>1280</v>
      </c>
      <c r="H1378" s="641" t="s">
        <v>271</v>
      </c>
      <c r="I1378" s="641" t="s">
        <v>36</v>
      </c>
      <c r="J1378" s="642">
        <v>1</v>
      </c>
      <c r="K1378" t="s">
        <v>1232</v>
      </c>
    </row>
    <row r="1379" spans="1:11" hidden="1" x14ac:dyDescent="0.3">
      <c r="A1379" s="1781">
        <v>22</v>
      </c>
      <c r="B1379" s="765" t="s">
        <v>1240</v>
      </c>
      <c r="C1379" s="641" t="s">
        <v>138</v>
      </c>
      <c r="D1379" s="641" t="s">
        <v>1281</v>
      </c>
      <c r="E1379" s="641" t="s">
        <v>802</v>
      </c>
      <c r="F1379" s="1358">
        <v>2000000</v>
      </c>
      <c r="G1379" s="641" t="s">
        <v>1282</v>
      </c>
      <c r="H1379" s="641" t="s">
        <v>271</v>
      </c>
      <c r="I1379" s="641">
        <v>1</v>
      </c>
      <c r="J1379" s="642">
        <v>1</v>
      </c>
      <c r="K1379" t="s">
        <v>1232</v>
      </c>
    </row>
    <row r="1380" spans="1:11" ht="25.8" hidden="1" x14ac:dyDescent="0.5">
      <c r="A1380" s="1781"/>
      <c r="B1380" s="1781"/>
      <c r="C1380" s="150"/>
      <c r="D1380" s="641"/>
      <c r="E1380" s="150"/>
      <c r="F1380" s="151"/>
      <c r="G1380" s="150"/>
      <c r="H1380" s="150"/>
      <c r="I1380" s="150"/>
      <c r="J1380" s="934">
        <f>SUM(J1358:J1379)</f>
        <v>22</v>
      </c>
    </row>
    <row r="1381" spans="1:11" hidden="1" x14ac:dyDescent="0.3">
      <c r="A1381" s="3473" t="s">
        <v>33</v>
      </c>
      <c r="B1381" s="3473"/>
      <c r="C1381" s="3473"/>
      <c r="D1381" s="3473"/>
      <c r="E1381" s="3473"/>
      <c r="F1381" s="3473"/>
      <c r="G1381" s="3473"/>
      <c r="H1381" s="3473"/>
      <c r="I1381" s="3473"/>
      <c r="J1381" s="3473"/>
    </row>
    <row r="1382" spans="1:11" hidden="1" x14ac:dyDescent="0.3">
      <c r="A1382" s="137" t="s">
        <v>3</v>
      </c>
      <c r="B1382" s="1781" t="s">
        <v>4</v>
      </c>
      <c r="C1382" s="137" t="s">
        <v>5</v>
      </c>
      <c r="D1382" s="137" t="s">
        <v>6</v>
      </c>
      <c r="E1382" s="137" t="s">
        <v>7</v>
      </c>
      <c r="F1382" s="137" t="s">
        <v>8</v>
      </c>
      <c r="G1382" s="137" t="s">
        <v>9</v>
      </c>
      <c r="H1382" s="137" t="s">
        <v>10</v>
      </c>
      <c r="I1382" s="137" t="s">
        <v>11</v>
      </c>
      <c r="J1382" s="137" t="s">
        <v>12</v>
      </c>
    </row>
    <row r="1383" spans="1:11" hidden="1" x14ac:dyDescent="0.3">
      <c r="A1383" s="549">
        <v>1</v>
      </c>
      <c r="B1383" s="3393" t="s">
        <v>1204</v>
      </c>
      <c r="C1383" s="152" t="s">
        <v>138</v>
      </c>
      <c r="D1383" s="152" t="s">
        <v>1249</v>
      </c>
      <c r="E1383" s="152" t="s">
        <v>1105</v>
      </c>
      <c r="F1383" s="152">
        <v>470000000</v>
      </c>
      <c r="G1383" s="152" t="s">
        <v>612</v>
      </c>
      <c r="H1383" s="152" t="s">
        <v>271</v>
      </c>
      <c r="I1383" s="152" t="s">
        <v>36</v>
      </c>
      <c r="J1383" s="200">
        <v>1</v>
      </c>
    </row>
    <row r="1384" spans="1:11" hidden="1" x14ac:dyDescent="0.3">
      <c r="A1384" s="549">
        <v>2</v>
      </c>
      <c r="B1384" s="3393" t="s">
        <v>1204</v>
      </c>
      <c r="C1384" s="152" t="s">
        <v>138</v>
      </c>
      <c r="D1384" s="152" t="s">
        <v>1283</v>
      </c>
      <c r="E1384" s="152" t="s">
        <v>1234</v>
      </c>
      <c r="F1384" s="152">
        <v>335000000</v>
      </c>
      <c r="G1384" s="152" t="s">
        <v>1284</v>
      </c>
      <c r="H1384" s="152" t="s">
        <v>271</v>
      </c>
      <c r="I1384" s="152" t="s">
        <v>36</v>
      </c>
      <c r="J1384" s="200">
        <v>1</v>
      </c>
    </row>
    <row r="1385" spans="1:11" hidden="1" x14ac:dyDescent="0.3">
      <c r="A1385" s="597">
        <v>3</v>
      </c>
      <c r="B1385" s="3394" t="s">
        <v>1091</v>
      </c>
      <c r="C1385" s="154" t="s">
        <v>138</v>
      </c>
      <c r="D1385" s="154" t="s">
        <v>1259</v>
      </c>
      <c r="E1385" s="154" t="s">
        <v>180</v>
      </c>
      <c r="F1385" s="154">
        <v>260000000</v>
      </c>
      <c r="G1385" s="154" t="s">
        <v>1064</v>
      </c>
      <c r="H1385" s="154" t="s">
        <v>271</v>
      </c>
      <c r="I1385" s="154" t="s">
        <v>36</v>
      </c>
      <c r="J1385" s="598">
        <v>1</v>
      </c>
    </row>
    <row r="1386" spans="1:11" hidden="1" x14ac:dyDescent="0.3">
      <c r="A1386" s="597">
        <v>4</v>
      </c>
      <c r="B1386" s="549" t="s">
        <v>1258</v>
      </c>
      <c r="C1386" s="140" t="s">
        <v>135</v>
      </c>
      <c r="D1386" s="140" t="s">
        <v>1285</v>
      </c>
      <c r="E1386" s="140" t="s">
        <v>1286</v>
      </c>
      <c r="F1386" s="152">
        <v>165000000</v>
      </c>
      <c r="G1386" s="140" t="s">
        <v>43</v>
      </c>
      <c r="H1386" s="140" t="s">
        <v>271</v>
      </c>
      <c r="I1386" s="140" t="s">
        <v>36</v>
      </c>
      <c r="J1386" s="140">
        <v>1</v>
      </c>
    </row>
    <row r="1387" spans="1:11" hidden="1" x14ac:dyDescent="0.3">
      <c r="A1387" s="1569">
        <v>5</v>
      </c>
      <c r="B1387" s="597" t="s">
        <v>1258</v>
      </c>
      <c r="C1387" s="143" t="s">
        <v>135</v>
      </c>
      <c r="D1387" s="143" t="s">
        <v>1287</v>
      </c>
      <c r="E1387" s="143" t="s">
        <v>1286</v>
      </c>
      <c r="F1387" s="154">
        <v>265000000</v>
      </c>
      <c r="G1387" s="143" t="s">
        <v>43</v>
      </c>
      <c r="H1387" s="143" t="s">
        <v>271</v>
      </c>
      <c r="I1387" s="143" t="s">
        <v>36</v>
      </c>
      <c r="J1387" s="143">
        <v>1</v>
      </c>
    </row>
    <row r="1388" spans="1:11" hidden="1" x14ac:dyDescent="0.3">
      <c r="A1388" s="595">
        <v>6</v>
      </c>
      <c r="B1388" s="595" t="s">
        <v>1288</v>
      </c>
      <c r="C1388" s="144" t="s">
        <v>146</v>
      </c>
      <c r="D1388" s="144" t="s">
        <v>1264</v>
      </c>
      <c r="E1388" s="144" t="s">
        <v>148</v>
      </c>
      <c r="F1388" s="156">
        <v>200000000</v>
      </c>
      <c r="G1388" s="144" t="s">
        <v>43</v>
      </c>
      <c r="H1388" s="144" t="s">
        <v>271</v>
      </c>
      <c r="I1388" s="144" t="s">
        <v>36</v>
      </c>
      <c r="J1388" s="144">
        <v>1</v>
      </c>
    </row>
    <row r="1389" spans="1:11" ht="24.6" hidden="1" x14ac:dyDescent="0.4">
      <c r="A1389" s="887"/>
      <c r="B1389" s="922"/>
      <c r="C1389" s="887"/>
      <c r="D1389" s="887"/>
      <c r="E1389" s="887"/>
      <c r="F1389" s="887"/>
      <c r="G1389" s="887"/>
      <c r="H1389" s="887"/>
      <c r="I1389" s="887"/>
      <c r="J1389" s="933">
        <v>6</v>
      </c>
    </row>
    <row r="1390" spans="1:11" hidden="1" x14ac:dyDescent="0.3"/>
    <row r="1391" spans="1:11" hidden="1" x14ac:dyDescent="0.3"/>
    <row r="1392" spans="1:11" ht="23.4" hidden="1" x14ac:dyDescent="0.3">
      <c r="A1392" s="3478" t="s">
        <v>523</v>
      </c>
      <c r="B1392" s="3478"/>
      <c r="C1392" s="3478"/>
      <c r="D1392" s="3478"/>
      <c r="E1392" s="3478"/>
      <c r="F1392" s="3478"/>
      <c r="G1392" s="3478"/>
      <c r="H1392" s="3478"/>
      <c r="I1392" s="3478"/>
      <c r="J1392" s="3478"/>
    </row>
    <row r="1393" spans="1:11" ht="15.6" hidden="1" x14ac:dyDescent="0.3">
      <c r="A1393" s="3461" t="s">
        <v>2</v>
      </c>
      <c r="B1393" s="3461"/>
      <c r="C1393" s="3461"/>
      <c r="D1393" s="3461"/>
      <c r="E1393" s="3461"/>
      <c r="F1393" s="3461"/>
      <c r="G1393" s="3461"/>
      <c r="H1393" s="3461"/>
      <c r="I1393" s="3461"/>
      <c r="J1393" s="3461"/>
    </row>
    <row r="1394" spans="1:11" hidden="1" x14ac:dyDescent="0.3">
      <c r="A1394" s="137" t="s">
        <v>3</v>
      </c>
      <c r="B1394" s="1781" t="s">
        <v>4</v>
      </c>
      <c r="C1394" s="137" t="s">
        <v>5</v>
      </c>
      <c r="D1394" s="137" t="s">
        <v>6</v>
      </c>
      <c r="E1394" s="137" t="s">
        <v>7</v>
      </c>
      <c r="F1394" s="137" t="s">
        <v>8</v>
      </c>
      <c r="G1394" s="137" t="s">
        <v>9</v>
      </c>
      <c r="H1394" s="137" t="s">
        <v>10</v>
      </c>
      <c r="I1394" s="137" t="s">
        <v>11</v>
      </c>
      <c r="J1394" s="137" t="s">
        <v>12</v>
      </c>
    </row>
    <row r="1395" spans="1:11" hidden="1" x14ac:dyDescent="0.3">
      <c r="A1395" s="137">
        <v>1</v>
      </c>
      <c r="B1395" s="3402">
        <v>44443</v>
      </c>
      <c r="C1395" s="641" t="s">
        <v>37</v>
      </c>
      <c r="D1395" s="641" t="s">
        <v>1289</v>
      </c>
      <c r="E1395" s="641" t="s">
        <v>925</v>
      </c>
      <c r="F1395" s="1575">
        <v>1200000</v>
      </c>
      <c r="G1395" s="642" t="s">
        <v>295</v>
      </c>
      <c r="H1395" s="642" t="s">
        <v>271</v>
      </c>
      <c r="I1395" s="642" t="s">
        <v>36</v>
      </c>
      <c r="J1395" s="642">
        <v>1</v>
      </c>
    </row>
    <row r="1396" spans="1:11" hidden="1" x14ac:dyDescent="0.3">
      <c r="A1396" s="137">
        <v>2</v>
      </c>
      <c r="B1396" s="765" t="s">
        <v>1290</v>
      </c>
      <c r="C1396" s="642" t="s">
        <v>138</v>
      </c>
      <c r="D1396" s="642" t="s">
        <v>1291</v>
      </c>
      <c r="E1396" s="642" t="s">
        <v>1105</v>
      </c>
      <c r="F1396" s="642">
        <v>1200000</v>
      </c>
      <c r="G1396" s="642" t="s">
        <v>1106</v>
      </c>
      <c r="H1396" s="642" t="s">
        <v>271</v>
      </c>
      <c r="I1396" s="642" t="s">
        <v>36</v>
      </c>
      <c r="J1396" s="642">
        <v>1</v>
      </c>
    </row>
    <row r="1397" spans="1:11" hidden="1" x14ac:dyDescent="0.3">
      <c r="A1397" s="137">
        <v>3</v>
      </c>
      <c r="B1397" s="765" t="s">
        <v>1290</v>
      </c>
      <c r="C1397" s="642" t="s">
        <v>138</v>
      </c>
      <c r="D1397" s="642" t="s">
        <v>1292</v>
      </c>
      <c r="E1397" s="642" t="s">
        <v>869</v>
      </c>
      <c r="F1397" s="642">
        <v>1100000</v>
      </c>
      <c r="G1397" s="1359" t="s">
        <v>1095</v>
      </c>
      <c r="H1397" s="642" t="s">
        <v>271</v>
      </c>
      <c r="I1397" s="642" t="s">
        <v>36</v>
      </c>
      <c r="J1397" s="642">
        <v>1</v>
      </c>
    </row>
    <row r="1398" spans="1:11" hidden="1" x14ac:dyDescent="0.3">
      <c r="A1398" s="137">
        <v>4</v>
      </c>
      <c r="B1398" s="765" t="s">
        <v>1293</v>
      </c>
      <c r="C1398" s="642" t="s">
        <v>138</v>
      </c>
      <c r="D1398" s="642" t="s">
        <v>1294</v>
      </c>
      <c r="E1398" s="642" t="s">
        <v>869</v>
      </c>
      <c r="F1398" s="642">
        <v>1100000</v>
      </c>
      <c r="G1398" s="642" t="s">
        <v>1095</v>
      </c>
      <c r="H1398" s="642" t="s">
        <v>271</v>
      </c>
      <c r="I1398" s="642" t="s">
        <v>36</v>
      </c>
      <c r="J1398" s="642">
        <v>1</v>
      </c>
    </row>
    <row r="1399" spans="1:11" hidden="1" x14ac:dyDescent="0.3">
      <c r="A1399" s="137">
        <v>5</v>
      </c>
      <c r="B1399" s="765" t="s">
        <v>1258</v>
      </c>
      <c r="C1399" s="642" t="s">
        <v>138</v>
      </c>
      <c r="D1399" s="642" t="s">
        <v>1295</v>
      </c>
      <c r="E1399" s="642" t="s">
        <v>869</v>
      </c>
      <c r="F1399" s="642">
        <v>1600000</v>
      </c>
      <c r="G1399" s="642" t="s">
        <v>494</v>
      </c>
      <c r="H1399" s="642" t="s">
        <v>271</v>
      </c>
      <c r="I1399" s="642" t="s">
        <v>36</v>
      </c>
      <c r="J1399" s="642">
        <v>1</v>
      </c>
    </row>
    <row r="1400" spans="1:11" hidden="1" x14ac:dyDescent="0.3">
      <c r="A1400" s="137">
        <v>6</v>
      </c>
      <c r="B1400" s="765" t="s">
        <v>1296</v>
      </c>
      <c r="C1400" s="642" t="s">
        <v>138</v>
      </c>
      <c r="D1400" s="642" t="s">
        <v>1297</v>
      </c>
      <c r="E1400" s="642" t="s">
        <v>869</v>
      </c>
      <c r="F1400" s="642">
        <v>1200000</v>
      </c>
      <c r="G1400" s="642" t="s">
        <v>907</v>
      </c>
      <c r="H1400" s="642" t="s">
        <v>271</v>
      </c>
      <c r="I1400" s="642" t="s">
        <v>36</v>
      </c>
      <c r="J1400" s="642">
        <v>1</v>
      </c>
      <c r="K1400" t="s">
        <v>133</v>
      </c>
    </row>
    <row r="1401" spans="1:11" hidden="1" x14ac:dyDescent="0.3">
      <c r="A1401" s="137">
        <v>7</v>
      </c>
      <c r="B1401" s="765" t="s">
        <v>1261</v>
      </c>
      <c r="C1401" s="642" t="s">
        <v>138</v>
      </c>
      <c r="D1401" s="642" t="s">
        <v>1298</v>
      </c>
      <c r="E1401" s="642" t="s">
        <v>998</v>
      </c>
      <c r="F1401" s="642">
        <v>1000000</v>
      </c>
      <c r="G1401" s="642" t="s">
        <v>1299</v>
      </c>
      <c r="H1401" s="642" t="s">
        <v>271</v>
      </c>
      <c r="I1401" s="642" t="s">
        <v>36</v>
      </c>
      <c r="J1401" s="642">
        <v>1</v>
      </c>
      <c r="K1401" t="s">
        <v>1232</v>
      </c>
    </row>
    <row r="1402" spans="1:11" hidden="1" x14ac:dyDescent="0.3">
      <c r="A1402" s="137">
        <v>8</v>
      </c>
      <c r="B1402" s="765" t="s">
        <v>1261</v>
      </c>
      <c r="C1402" s="642" t="s">
        <v>1300</v>
      </c>
      <c r="D1402" s="642" t="s">
        <v>1301</v>
      </c>
      <c r="E1402" s="642" t="s">
        <v>848</v>
      </c>
      <c r="F1402" s="642">
        <v>3000000</v>
      </c>
      <c r="G1402" s="642" t="s">
        <v>1302</v>
      </c>
      <c r="H1402" s="642" t="s">
        <v>271</v>
      </c>
      <c r="I1402" s="642" t="s">
        <v>36</v>
      </c>
      <c r="J1402" s="642">
        <v>1</v>
      </c>
      <c r="K1402" t="s">
        <v>133</v>
      </c>
    </row>
    <row r="1403" spans="1:11" hidden="1" x14ac:dyDescent="0.3">
      <c r="A1403" s="137">
        <v>9</v>
      </c>
      <c r="B1403" s="765" t="s">
        <v>1261</v>
      </c>
      <c r="C1403" s="642" t="s">
        <v>1303</v>
      </c>
      <c r="D1403" s="642" t="s">
        <v>1304</v>
      </c>
      <c r="E1403" s="642" t="s">
        <v>1305</v>
      </c>
      <c r="F1403" s="642">
        <v>1700000</v>
      </c>
      <c r="G1403" s="642" t="s">
        <v>1306</v>
      </c>
      <c r="H1403" s="642" t="s">
        <v>271</v>
      </c>
      <c r="I1403" s="642" t="s">
        <v>36</v>
      </c>
      <c r="J1403" s="642">
        <v>1</v>
      </c>
      <c r="K1403" t="s">
        <v>1232</v>
      </c>
    </row>
    <row r="1404" spans="1:11" hidden="1" x14ac:dyDescent="0.3">
      <c r="A1404" s="137">
        <v>10</v>
      </c>
      <c r="B1404" s="765" t="s">
        <v>1261</v>
      </c>
      <c r="C1404" s="642" t="s">
        <v>1303</v>
      </c>
      <c r="D1404" s="642" t="s">
        <v>1307</v>
      </c>
      <c r="E1404" s="642" t="s">
        <v>1305</v>
      </c>
      <c r="F1404" s="642">
        <v>1100000</v>
      </c>
      <c r="G1404" s="642" t="s">
        <v>1306</v>
      </c>
      <c r="H1404" s="642" t="s">
        <v>271</v>
      </c>
      <c r="I1404" s="642" t="s">
        <v>36</v>
      </c>
      <c r="J1404" s="642">
        <v>1</v>
      </c>
      <c r="K1404" t="s">
        <v>133</v>
      </c>
    </row>
    <row r="1405" spans="1:11" hidden="1" x14ac:dyDescent="0.3">
      <c r="A1405" s="137">
        <v>11</v>
      </c>
      <c r="B1405" s="765" t="s">
        <v>1261</v>
      </c>
      <c r="C1405" s="642" t="s">
        <v>1303</v>
      </c>
      <c r="D1405" s="642" t="s">
        <v>1308</v>
      </c>
      <c r="E1405" s="642" t="s">
        <v>1305</v>
      </c>
      <c r="F1405" s="642">
        <v>3000000</v>
      </c>
      <c r="G1405" s="642" t="s">
        <v>1306</v>
      </c>
      <c r="H1405" s="642" t="s">
        <v>271</v>
      </c>
      <c r="I1405" s="642" t="s">
        <v>36</v>
      </c>
      <c r="J1405" s="642">
        <v>1</v>
      </c>
      <c r="K1405" t="s">
        <v>1232</v>
      </c>
    </row>
    <row r="1406" spans="1:11" hidden="1" x14ac:dyDescent="0.3">
      <c r="A1406" s="137">
        <v>12</v>
      </c>
      <c r="B1406" s="765" t="s">
        <v>1261</v>
      </c>
      <c r="C1406" s="642" t="s">
        <v>1303</v>
      </c>
      <c r="D1406" s="642" t="s">
        <v>1309</v>
      </c>
      <c r="E1406" s="642" t="s">
        <v>1305</v>
      </c>
      <c r="F1406" s="642">
        <v>5000000</v>
      </c>
      <c r="G1406" s="642" t="s">
        <v>1306</v>
      </c>
      <c r="H1406" s="642" t="s">
        <v>271</v>
      </c>
      <c r="I1406" s="642" t="s">
        <v>36</v>
      </c>
      <c r="J1406" s="642">
        <v>1</v>
      </c>
      <c r="K1406" t="s">
        <v>133</v>
      </c>
    </row>
    <row r="1407" spans="1:11" hidden="1" x14ac:dyDescent="0.3">
      <c r="A1407" s="137">
        <v>13</v>
      </c>
      <c r="B1407" s="765" t="s">
        <v>1261</v>
      </c>
      <c r="C1407" s="642" t="s">
        <v>138</v>
      </c>
      <c r="D1407" s="642" t="s">
        <v>1310</v>
      </c>
      <c r="E1407" s="642" t="s">
        <v>1311</v>
      </c>
      <c r="F1407" s="642">
        <v>950000</v>
      </c>
      <c r="G1407" s="642" t="s">
        <v>1116</v>
      </c>
      <c r="H1407" s="642" t="s">
        <v>271</v>
      </c>
      <c r="I1407" s="642" t="s">
        <v>36</v>
      </c>
      <c r="J1407" s="642">
        <v>1</v>
      </c>
      <c r="K1407" t="s">
        <v>1232</v>
      </c>
    </row>
    <row r="1408" spans="1:11" hidden="1" x14ac:dyDescent="0.3">
      <c r="A1408" s="137">
        <v>14</v>
      </c>
      <c r="B1408" s="765" t="s">
        <v>1261</v>
      </c>
      <c r="C1408" s="642" t="s">
        <v>138</v>
      </c>
      <c r="D1408" s="642" t="s">
        <v>1312</v>
      </c>
      <c r="E1408" s="642" t="s">
        <v>962</v>
      </c>
      <c r="F1408" s="642">
        <v>1200000</v>
      </c>
      <c r="G1408" s="642" t="s">
        <v>1313</v>
      </c>
      <c r="H1408" s="642" t="s">
        <v>271</v>
      </c>
      <c r="I1408" s="642" t="s">
        <v>36</v>
      </c>
      <c r="J1408" s="642">
        <v>1</v>
      </c>
      <c r="K1408" t="s">
        <v>133</v>
      </c>
    </row>
    <row r="1409" spans="1:11" hidden="1" x14ac:dyDescent="0.3">
      <c r="A1409" s="1781">
        <v>15</v>
      </c>
      <c r="B1409" s="3402" t="s">
        <v>1265</v>
      </c>
      <c r="C1409" s="641" t="s">
        <v>138</v>
      </c>
      <c r="D1409" s="641" t="s">
        <v>1314</v>
      </c>
      <c r="E1409" s="641" t="s">
        <v>805</v>
      </c>
      <c r="F1409" s="1575">
        <v>1250000</v>
      </c>
      <c r="G1409" s="642" t="s">
        <v>1315</v>
      </c>
      <c r="H1409" s="642" t="s">
        <v>271</v>
      </c>
      <c r="I1409" s="642" t="s">
        <v>36</v>
      </c>
      <c r="J1409" s="642">
        <v>1</v>
      </c>
      <c r="K1409" t="s">
        <v>1232</v>
      </c>
    </row>
    <row r="1410" spans="1:11" hidden="1" x14ac:dyDescent="0.3">
      <c r="A1410" s="1781">
        <v>16</v>
      </c>
      <c r="B1410" s="3402" t="s">
        <v>1316</v>
      </c>
      <c r="C1410" s="641" t="s">
        <v>138</v>
      </c>
      <c r="D1410" s="641" t="s">
        <v>1317</v>
      </c>
      <c r="E1410" s="641" t="s">
        <v>869</v>
      </c>
      <c r="F1410" s="1575">
        <v>1500000</v>
      </c>
      <c r="G1410" s="642" t="s">
        <v>634</v>
      </c>
      <c r="H1410" s="642" t="s">
        <v>271</v>
      </c>
      <c r="I1410" s="642" t="s">
        <v>36</v>
      </c>
      <c r="J1410" s="642">
        <v>1</v>
      </c>
      <c r="K1410" t="s">
        <v>133</v>
      </c>
    </row>
    <row r="1411" spans="1:11" hidden="1" x14ac:dyDescent="0.3">
      <c r="A1411" s="1781">
        <v>17</v>
      </c>
      <c r="B1411" s="3402" t="s">
        <v>1272</v>
      </c>
      <c r="C1411" s="641" t="s">
        <v>138</v>
      </c>
      <c r="D1411" s="641" t="s">
        <v>1318</v>
      </c>
      <c r="E1411" s="641" t="s">
        <v>869</v>
      </c>
      <c r="F1411" s="1575">
        <v>1250000</v>
      </c>
      <c r="G1411" s="642" t="s">
        <v>1319</v>
      </c>
      <c r="H1411" s="642" t="s">
        <v>271</v>
      </c>
      <c r="I1411" s="642" t="s">
        <v>36</v>
      </c>
      <c r="J1411" s="642">
        <v>1</v>
      </c>
      <c r="K1411" t="s">
        <v>1232</v>
      </c>
    </row>
    <row r="1412" spans="1:11" hidden="1" x14ac:dyDescent="0.3">
      <c r="A1412" s="1781">
        <v>18</v>
      </c>
      <c r="B1412" s="765" t="s">
        <v>1272</v>
      </c>
      <c r="C1412" s="641" t="s">
        <v>138</v>
      </c>
      <c r="D1412" s="641" t="s">
        <v>1320</v>
      </c>
      <c r="E1412" s="641" t="s">
        <v>869</v>
      </c>
      <c r="F1412" s="1358">
        <v>1300000</v>
      </c>
      <c r="G1412" s="641" t="s">
        <v>1321</v>
      </c>
      <c r="H1412" s="641" t="s">
        <v>271</v>
      </c>
      <c r="I1412" s="641" t="s">
        <v>36</v>
      </c>
      <c r="J1412" s="642">
        <v>1</v>
      </c>
      <c r="K1412" t="s">
        <v>133</v>
      </c>
    </row>
    <row r="1413" spans="1:11" hidden="1" x14ac:dyDescent="0.3">
      <c r="A1413" s="1781">
        <v>19</v>
      </c>
      <c r="B1413" s="765" t="s">
        <v>1322</v>
      </c>
      <c r="C1413" s="641" t="s">
        <v>138</v>
      </c>
      <c r="D1413" s="641" t="s">
        <v>1323</v>
      </c>
      <c r="E1413" s="641" t="s">
        <v>1324</v>
      </c>
      <c r="F1413" s="1358">
        <v>1200000</v>
      </c>
      <c r="G1413" s="641" t="s">
        <v>43</v>
      </c>
      <c r="H1413" s="641" t="s">
        <v>271</v>
      </c>
      <c r="I1413" s="641" t="s">
        <v>36</v>
      </c>
      <c r="J1413" s="642">
        <v>1</v>
      </c>
      <c r="K1413" t="s">
        <v>1232</v>
      </c>
    </row>
    <row r="1414" spans="1:11" hidden="1" x14ac:dyDescent="0.3">
      <c r="A1414" s="1781">
        <v>20</v>
      </c>
      <c r="B1414" s="765" t="s">
        <v>1325</v>
      </c>
      <c r="C1414" s="641" t="s">
        <v>138</v>
      </c>
      <c r="D1414" s="641" t="s">
        <v>1326</v>
      </c>
      <c r="E1414" s="641" t="s">
        <v>869</v>
      </c>
      <c r="F1414" s="1358">
        <v>1200000</v>
      </c>
      <c r="G1414" s="641" t="s">
        <v>1095</v>
      </c>
      <c r="H1414" s="641" t="s">
        <v>271</v>
      </c>
      <c r="I1414" s="641" t="s">
        <v>36</v>
      </c>
      <c r="J1414" s="642">
        <v>1</v>
      </c>
      <c r="K1414" t="s">
        <v>1232</v>
      </c>
    </row>
    <row r="1415" spans="1:11" hidden="1" x14ac:dyDescent="0.3">
      <c r="A1415" s="1781">
        <v>21</v>
      </c>
      <c r="B1415" s="3402" t="s">
        <v>1327</v>
      </c>
      <c r="C1415" s="641" t="s">
        <v>138</v>
      </c>
      <c r="D1415" s="641" t="s">
        <v>1328</v>
      </c>
      <c r="E1415" s="641" t="s">
        <v>869</v>
      </c>
      <c r="F1415" s="1358">
        <v>1200000</v>
      </c>
      <c r="G1415" s="641" t="s">
        <v>1095</v>
      </c>
      <c r="H1415" s="641" t="s">
        <v>271</v>
      </c>
      <c r="I1415" s="641" t="s">
        <v>36</v>
      </c>
      <c r="J1415" s="642">
        <v>1</v>
      </c>
      <c r="K1415" t="s">
        <v>133</v>
      </c>
    </row>
    <row r="1416" spans="1:11" hidden="1" x14ac:dyDescent="0.3">
      <c r="A1416" s="1781"/>
      <c r="B1416" s="765"/>
      <c r="C1416" s="641"/>
      <c r="D1416" s="641"/>
      <c r="E1416" s="641"/>
      <c r="F1416" s="1358"/>
      <c r="G1416" s="641"/>
      <c r="H1416" s="641"/>
      <c r="I1416" s="641"/>
      <c r="J1416" s="642"/>
    </row>
    <row r="1417" spans="1:11" ht="25.8" hidden="1" x14ac:dyDescent="0.5">
      <c r="A1417" s="1781"/>
      <c r="B1417" s="1781"/>
      <c r="C1417" s="150"/>
      <c r="D1417" s="641"/>
      <c r="E1417" s="150"/>
      <c r="F1417" s="151"/>
      <c r="G1417" s="150"/>
      <c r="H1417" s="150"/>
      <c r="I1417" s="150"/>
      <c r="J1417" s="934">
        <f>SUM(J1395:J1414)</f>
        <v>20</v>
      </c>
    </row>
    <row r="1418" spans="1:11" hidden="1" x14ac:dyDescent="0.3">
      <c r="A1418" s="3473" t="s">
        <v>33</v>
      </c>
      <c r="B1418" s="3473"/>
      <c r="C1418" s="3473"/>
      <c r="D1418" s="3473"/>
      <c r="E1418" s="3473"/>
      <c r="F1418" s="3473"/>
      <c r="G1418" s="3473"/>
      <c r="H1418" s="3473"/>
      <c r="I1418" s="3473"/>
      <c r="J1418" s="3473"/>
    </row>
    <row r="1419" spans="1:11" hidden="1" x14ac:dyDescent="0.3">
      <c r="A1419" s="137" t="s">
        <v>3</v>
      </c>
      <c r="B1419" s="1781" t="s">
        <v>4</v>
      </c>
      <c r="C1419" s="137" t="s">
        <v>5</v>
      </c>
      <c r="D1419" s="137" t="s">
        <v>6</v>
      </c>
      <c r="E1419" s="137" t="s">
        <v>7</v>
      </c>
      <c r="F1419" s="137" t="s">
        <v>8</v>
      </c>
      <c r="G1419" s="137" t="s">
        <v>9</v>
      </c>
      <c r="H1419" s="137" t="s">
        <v>10</v>
      </c>
      <c r="I1419" s="137" t="s">
        <v>11</v>
      </c>
      <c r="J1419" s="137" t="s">
        <v>12</v>
      </c>
    </row>
    <row r="1420" spans="1:11" hidden="1" x14ac:dyDescent="0.3">
      <c r="A1420" s="549">
        <v>1</v>
      </c>
      <c r="B1420" s="3393" t="s">
        <v>1329</v>
      </c>
      <c r="C1420" s="152" t="s">
        <v>138</v>
      </c>
      <c r="D1420" s="152" t="s">
        <v>1330</v>
      </c>
      <c r="E1420" s="152" t="s">
        <v>869</v>
      </c>
      <c r="F1420" s="152">
        <v>320000000</v>
      </c>
      <c r="G1420" s="152" t="s">
        <v>1331</v>
      </c>
      <c r="H1420" s="152" t="s">
        <v>271</v>
      </c>
      <c r="I1420" s="152" t="s">
        <v>36</v>
      </c>
      <c r="J1420" s="200">
        <v>1</v>
      </c>
    </row>
    <row r="1421" spans="1:11" hidden="1" x14ac:dyDescent="0.3">
      <c r="A1421" s="549">
        <v>2</v>
      </c>
      <c r="B1421" s="3393" t="s">
        <v>1332</v>
      </c>
      <c r="C1421" s="152" t="s">
        <v>138</v>
      </c>
      <c r="D1421" s="152" t="s">
        <v>1333</v>
      </c>
      <c r="E1421" s="152" t="s">
        <v>805</v>
      </c>
      <c r="F1421" s="152">
        <v>350000000</v>
      </c>
      <c r="G1421" s="152" t="s">
        <v>652</v>
      </c>
      <c r="H1421" s="152" t="s">
        <v>271</v>
      </c>
      <c r="I1421" s="152" t="s">
        <v>36</v>
      </c>
      <c r="J1421" s="200">
        <v>1</v>
      </c>
    </row>
    <row r="1422" spans="1:11" hidden="1" x14ac:dyDescent="0.3">
      <c r="A1422" s="597">
        <v>3</v>
      </c>
      <c r="B1422" s="3394" t="s">
        <v>1334</v>
      </c>
      <c r="C1422" s="154" t="s">
        <v>138</v>
      </c>
      <c r="D1422" s="154" t="s">
        <v>1335</v>
      </c>
      <c r="E1422" s="154" t="s">
        <v>840</v>
      </c>
      <c r="F1422" s="154">
        <v>349000000</v>
      </c>
      <c r="G1422" s="154" t="s">
        <v>1313</v>
      </c>
      <c r="H1422" s="154" t="s">
        <v>271</v>
      </c>
      <c r="I1422" s="154" t="s">
        <v>36</v>
      </c>
      <c r="J1422" s="200">
        <v>1</v>
      </c>
    </row>
    <row r="1423" spans="1:11" s="11" customFormat="1" hidden="1" x14ac:dyDescent="0.3">
      <c r="A1423" s="595">
        <v>4</v>
      </c>
      <c r="B1423" s="3395" t="s">
        <v>1332</v>
      </c>
      <c r="C1423" s="156" t="s">
        <v>74</v>
      </c>
      <c r="D1423" s="156" t="s">
        <v>1336</v>
      </c>
      <c r="E1423" s="156" t="s">
        <v>1337</v>
      </c>
      <c r="F1423" s="156">
        <v>1300000000</v>
      </c>
      <c r="G1423" s="156" t="s">
        <v>1313</v>
      </c>
      <c r="H1423" s="156" t="s">
        <v>271</v>
      </c>
      <c r="I1423" s="156" t="s">
        <v>36</v>
      </c>
      <c r="J1423" s="200">
        <v>1</v>
      </c>
    </row>
    <row r="1424" spans="1:11" ht="24.6" hidden="1" x14ac:dyDescent="0.4">
      <c r="A1424" s="887"/>
      <c r="B1424" s="922"/>
      <c r="C1424" s="887"/>
      <c r="D1424" s="887"/>
      <c r="E1424" s="887"/>
      <c r="F1424" s="887"/>
      <c r="G1424" s="887"/>
      <c r="H1424" s="887"/>
      <c r="I1424" s="887"/>
      <c r="J1424" s="933">
        <f>SUM(J1420:J1423)</f>
        <v>4</v>
      </c>
    </row>
    <row r="1425" spans="1:11" hidden="1" x14ac:dyDescent="0.3"/>
    <row r="1426" spans="1:11" hidden="1" x14ac:dyDescent="0.3"/>
    <row r="1427" spans="1:11" hidden="1" x14ac:dyDescent="0.3"/>
    <row r="1428" spans="1:11" ht="23.4" hidden="1" x14ac:dyDescent="0.3">
      <c r="A1428" s="3487" t="s">
        <v>748</v>
      </c>
      <c r="B1428" s="3487"/>
      <c r="C1428" s="3487"/>
      <c r="D1428" s="3487"/>
      <c r="E1428" s="3487"/>
      <c r="F1428" s="3487"/>
      <c r="G1428" s="3487"/>
      <c r="H1428" s="3487"/>
      <c r="I1428" s="3487"/>
      <c r="J1428" s="3487"/>
    </row>
    <row r="1429" spans="1:11" ht="15.6" hidden="1" x14ac:dyDescent="0.3">
      <c r="A1429" s="3461" t="s">
        <v>2</v>
      </c>
      <c r="B1429" s="3461"/>
      <c r="C1429" s="3461"/>
      <c r="D1429" s="3461"/>
      <c r="E1429" s="3461"/>
      <c r="F1429" s="3461"/>
      <c r="G1429" s="3461"/>
      <c r="H1429" s="3461"/>
      <c r="I1429" s="3461"/>
      <c r="J1429" s="3461"/>
    </row>
    <row r="1430" spans="1:11" hidden="1" x14ac:dyDescent="0.3">
      <c r="A1430" s="137" t="s">
        <v>3</v>
      </c>
      <c r="B1430" s="1781" t="s">
        <v>4</v>
      </c>
      <c r="C1430" s="137" t="s">
        <v>5</v>
      </c>
      <c r="D1430" s="137" t="s">
        <v>6</v>
      </c>
      <c r="E1430" s="137" t="s">
        <v>7</v>
      </c>
      <c r="F1430" s="137" t="s">
        <v>8</v>
      </c>
      <c r="G1430" s="137" t="s">
        <v>9</v>
      </c>
      <c r="H1430" s="137" t="s">
        <v>10</v>
      </c>
      <c r="I1430" s="137" t="s">
        <v>11</v>
      </c>
      <c r="J1430" s="137" t="s">
        <v>12</v>
      </c>
    </row>
    <row r="1431" spans="1:11" hidden="1" x14ac:dyDescent="0.3">
      <c r="A1431" s="137">
        <v>1</v>
      </c>
      <c r="B1431" s="765" t="s">
        <v>1338</v>
      </c>
      <c r="C1431" s="642" t="s">
        <v>138</v>
      </c>
      <c r="D1431" s="642" t="s">
        <v>1339</v>
      </c>
      <c r="E1431" s="642" t="s">
        <v>805</v>
      </c>
      <c r="F1431" s="642">
        <v>1200000</v>
      </c>
      <c r="G1431" s="642" t="s">
        <v>43</v>
      </c>
      <c r="H1431" s="642" t="s">
        <v>271</v>
      </c>
      <c r="I1431" s="642" t="s">
        <v>36</v>
      </c>
      <c r="J1431" s="642">
        <v>1</v>
      </c>
    </row>
    <row r="1432" spans="1:11" hidden="1" x14ac:dyDescent="0.3">
      <c r="A1432" s="137">
        <v>2</v>
      </c>
      <c r="B1432" s="765" t="s">
        <v>1340</v>
      </c>
      <c r="C1432" s="642" t="s">
        <v>138</v>
      </c>
      <c r="D1432" s="642" t="s">
        <v>1341</v>
      </c>
      <c r="E1432" s="642" t="s">
        <v>1234</v>
      </c>
      <c r="F1432" s="642">
        <v>900000</v>
      </c>
      <c r="G1432" s="642" t="s">
        <v>43</v>
      </c>
      <c r="H1432" s="642" t="s">
        <v>271</v>
      </c>
      <c r="I1432" s="642" t="s">
        <v>36</v>
      </c>
      <c r="J1432" s="642">
        <v>1</v>
      </c>
    </row>
    <row r="1433" spans="1:11" hidden="1" x14ac:dyDescent="0.3">
      <c r="A1433" s="137">
        <v>3</v>
      </c>
      <c r="B1433" s="765" t="s">
        <v>1342</v>
      </c>
      <c r="C1433" s="642" t="s">
        <v>138</v>
      </c>
      <c r="D1433" s="642" t="s">
        <v>1343</v>
      </c>
      <c r="E1433" s="642" t="s">
        <v>962</v>
      </c>
      <c r="F1433" s="642">
        <v>1200000</v>
      </c>
      <c r="G1433" s="642" t="s">
        <v>1078</v>
      </c>
      <c r="H1433" s="642" t="s">
        <v>271</v>
      </c>
      <c r="I1433" s="642" t="s">
        <v>36</v>
      </c>
      <c r="J1433" s="642">
        <v>1</v>
      </c>
    </row>
    <row r="1434" spans="1:11" hidden="1" x14ac:dyDescent="0.3">
      <c r="A1434" s="137">
        <v>4</v>
      </c>
      <c r="B1434" s="765" t="s">
        <v>1344</v>
      </c>
      <c r="C1434" s="642" t="s">
        <v>138</v>
      </c>
      <c r="D1434" s="642" t="s">
        <v>1345</v>
      </c>
      <c r="E1434" s="642" t="s">
        <v>805</v>
      </c>
      <c r="F1434" s="642">
        <v>105000</v>
      </c>
      <c r="G1434" s="642" t="s">
        <v>1346</v>
      </c>
      <c r="H1434" s="642" t="s">
        <v>271</v>
      </c>
      <c r="I1434" s="642" t="s">
        <v>36</v>
      </c>
      <c r="J1434" s="642">
        <v>1</v>
      </c>
    </row>
    <row r="1435" spans="1:11" hidden="1" x14ac:dyDescent="0.3">
      <c r="A1435" s="137">
        <v>5</v>
      </c>
      <c r="B1435" s="765" t="s">
        <v>1347</v>
      </c>
      <c r="C1435" s="642" t="s">
        <v>138</v>
      </c>
      <c r="D1435" s="642" t="s">
        <v>1348</v>
      </c>
      <c r="E1435" s="642" t="s">
        <v>1134</v>
      </c>
      <c r="F1435" s="642">
        <v>1100000</v>
      </c>
      <c r="G1435" s="642" t="s">
        <v>1349</v>
      </c>
      <c r="H1435" s="642" t="s">
        <v>271</v>
      </c>
      <c r="I1435" s="642" t="s">
        <v>36</v>
      </c>
      <c r="J1435" s="642">
        <v>1</v>
      </c>
    </row>
    <row r="1436" spans="1:11" hidden="1" x14ac:dyDescent="0.3">
      <c r="A1436" s="137">
        <v>6</v>
      </c>
      <c r="B1436" s="765" t="s">
        <v>1350</v>
      </c>
      <c r="C1436" s="642" t="s">
        <v>138</v>
      </c>
      <c r="D1436" s="642" t="s">
        <v>1351</v>
      </c>
      <c r="E1436" s="642" t="s">
        <v>180</v>
      </c>
      <c r="F1436" s="642">
        <v>1300000</v>
      </c>
      <c r="G1436" s="642" t="s">
        <v>140</v>
      </c>
      <c r="H1436" s="642" t="s">
        <v>271</v>
      </c>
      <c r="I1436" s="642" t="s">
        <v>36</v>
      </c>
      <c r="J1436" s="642">
        <v>1</v>
      </c>
    </row>
    <row r="1437" spans="1:11" hidden="1" x14ac:dyDescent="0.3">
      <c r="A1437" s="137">
        <v>7</v>
      </c>
      <c r="B1437" s="765" t="s">
        <v>1350</v>
      </c>
      <c r="C1437" s="642" t="s">
        <v>138</v>
      </c>
      <c r="D1437" s="642" t="s">
        <v>1352</v>
      </c>
      <c r="E1437" s="642" t="s">
        <v>805</v>
      </c>
      <c r="F1437" s="642">
        <v>1100000</v>
      </c>
      <c r="G1437" s="642" t="s">
        <v>1353</v>
      </c>
      <c r="H1437" s="642" t="s">
        <v>271</v>
      </c>
      <c r="I1437" s="642" t="s">
        <v>36</v>
      </c>
      <c r="J1437" s="642">
        <v>1</v>
      </c>
    </row>
    <row r="1438" spans="1:11" hidden="1" x14ac:dyDescent="0.3">
      <c r="A1438" s="137">
        <v>8</v>
      </c>
      <c r="B1438" s="765" t="s">
        <v>1221</v>
      </c>
      <c r="C1438" s="642" t="s">
        <v>138</v>
      </c>
      <c r="D1438" s="642" t="s">
        <v>1354</v>
      </c>
      <c r="E1438" s="642" t="s">
        <v>180</v>
      </c>
      <c r="F1438" s="642">
        <v>1200000</v>
      </c>
      <c r="G1438" s="642" t="s">
        <v>1149</v>
      </c>
      <c r="H1438" s="642" t="s">
        <v>271</v>
      </c>
      <c r="I1438" s="642" t="s">
        <v>36</v>
      </c>
      <c r="J1438" s="642">
        <v>1</v>
      </c>
    </row>
    <row r="1439" spans="1:11" hidden="1" x14ac:dyDescent="0.3">
      <c r="A1439" s="137">
        <v>9</v>
      </c>
      <c r="B1439" s="765" t="s">
        <v>1261</v>
      </c>
      <c r="C1439" s="642" t="s">
        <v>138</v>
      </c>
      <c r="D1439" s="642" t="s">
        <v>1355</v>
      </c>
      <c r="E1439" s="642" t="s">
        <v>1140</v>
      </c>
      <c r="F1439" s="642">
        <v>950000</v>
      </c>
      <c r="G1439" s="642" t="s">
        <v>1356</v>
      </c>
      <c r="H1439" s="642" t="s">
        <v>271</v>
      </c>
      <c r="I1439" s="642" t="s">
        <v>36</v>
      </c>
      <c r="J1439" s="642">
        <v>1</v>
      </c>
      <c r="K1439" t="s">
        <v>1232</v>
      </c>
    </row>
    <row r="1440" spans="1:11" hidden="1" x14ac:dyDescent="0.3">
      <c r="A1440" s="137">
        <v>10</v>
      </c>
      <c r="B1440" s="765" t="s">
        <v>1272</v>
      </c>
      <c r="C1440" s="642" t="s">
        <v>138</v>
      </c>
      <c r="D1440" s="642" t="s">
        <v>1357</v>
      </c>
      <c r="E1440" s="642" t="s">
        <v>1234</v>
      </c>
      <c r="F1440" s="642">
        <v>1300000</v>
      </c>
      <c r="G1440" s="642" t="s">
        <v>1358</v>
      </c>
      <c r="H1440" s="642" t="s">
        <v>271</v>
      </c>
      <c r="I1440" s="642" t="s">
        <v>36</v>
      </c>
      <c r="J1440" s="642">
        <v>1</v>
      </c>
      <c r="K1440" t="s">
        <v>133</v>
      </c>
    </row>
    <row r="1441" spans="1:11" hidden="1" x14ac:dyDescent="0.3">
      <c r="A1441" s="137">
        <v>11</v>
      </c>
      <c r="B1441" s="765" t="s">
        <v>1359</v>
      </c>
      <c r="C1441" s="642" t="s">
        <v>138</v>
      </c>
      <c r="D1441" s="642" t="s">
        <v>1360</v>
      </c>
      <c r="E1441" s="642" t="s">
        <v>390</v>
      </c>
      <c r="F1441" s="642">
        <v>1100000</v>
      </c>
      <c r="G1441" s="642" t="s">
        <v>43</v>
      </c>
      <c r="H1441" s="642" t="s">
        <v>271</v>
      </c>
      <c r="I1441" s="642" t="s">
        <v>36</v>
      </c>
      <c r="J1441" s="642">
        <v>1</v>
      </c>
      <c r="K1441" t="s">
        <v>133</v>
      </c>
    </row>
    <row r="1442" spans="1:11" hidden="1" x14ac:dyDescent="0.3">
      <c r="A1442" s="137">
        <v>12</v>
      </c>
      <c r="B1442" s="765" t="s">
        <v>1322</v>
      </c>
      <c r="C1442" s="642" t="s">
        <v>138</v>
      </c>
      <c r="D1442" s="642" t="s">
        <v>1361</v>
      </c>
      <c r="E1442" s="642" t="s">
        <v>180</v>
      </c>
      <c r="F1442" s="642">
        <v>1400000</v>
      </c>
      <c r="G1442" s="642" t="s">
        <v>1275</v>
      </c>
      <c r="H1442" s="642" t="s">
        <v>271</v>
      </c>
      <c r="I1442" s="642" t="s">
        <v>36</v>
      </c>
      <c r="J1442" s="642">
        <v>1</v>
      </c>
      <c r="K1442" t="s">
        <v>1232</v>
      </c>
    </row>
    <row r="1443" spans="1:11" hidden="1" x14ac:dyDescent="0.3">
      <c r="A1443" s="137">
        <v>13</v>
      </c>
      <c r="B1443" s="765" t="s">
        <v>1322</v>
      </c>
      <c r="C1443" s="642" t="s">
        <v>1303</v>
      </c>
      <c r="D1443" s="642" t="s">
        <v>1362</v>
      </c>
      <c r="E1443" s="642" t="s">
        <v>972</v>
      </c>
      <c r="F1443" s="642">
        <v>7750000</v>
      </c>
      <c r="G1443" s="642" t="s">
        <v>1349</v>
      </c>
      <c r="H1443" s="642" t="s">
        <v>271</v>
      </c>
      <c r="I1443" s="642" t="s">
        <v>36</v>
      </c>
      <c r="J1443" s="642">
        <v>1</v>
      </c>
      <c r="K1443" t="s">
        <v>133</v>
      </c>
    </row>
    <row r="1444" spans="1:11" hidden="1" x14ac:dyDescent="0.3">
      <c r="A1444" s="137">
        <v>14</v>
      </c>
      <c r="B1444" s="765" t="s">
        <v>1363</v>
      </c>
      <c r="C1444" s="642" t="s">
        <v>138</v>
      </c>
      <c r="D1444" s="642" t="s">
        <v>1364</v>
      </c>
      <c r="E1444" s="642" t="s">
        <v>1365</v>
      </c>
      <c r="F1444" s="1647">
        <v>1350000</v>
      </c>
      <c r="G1444" s="642" t="s">
        <v>724</v>
      </c>
      <c r="H1444" s="642" t="s">
        <v>271</v>
      </c>
      <c r="I1444" s="642" t="s">
        <v>36</v>
      </c>
      <c r="J1444" s="642">
        <v>1</v>
      </c>
      <c r="K1444" t="s">
        <v>1232</v>
      </c>
    </row>
    <row r="1445" spans="1:11" hidden="1" x14ac:dyDescent="0.3">
      <c r="A1445" s="1781">
        <v>15</v>
      </c>
      <c r="B1445" s="3402" t="s">
        <v>1366</v>
      </c>
      <c r="C1445" s="641" t="s">
        <v>138</v>
      </c>
      <c r="D1445" s="641" t="s">
        <v>1367</v>
      </c>
      <c r="E1445" s="641" t="s">
        <v>869</v>
      </c>
      <c r="F1445" s="1646">
        <v>1200000</v>
      </c>
      <c r="G1445" s="641" t="s">
        <v>1368</v>
      </c>
      <c r="H1445" s="641" t="s">
        <v>271</v>
      </c>
      <c r="I1445" s="641" t="s">
        <v>36</v>
      </c>
      <c r="J1445" s="642">
        <v>1</v>
      </c>
      <c r="K1445" t="s">
        <v>1232</v>
      </c>
    </row>
    <row r="1446" spans="1:11" hidden="1" x14ac:dyDescent="0.3">
      <c r="A1446" s="1781">
        <v>16</v>
      </c>
      <c r="B1446" s="3402" t="s">
        <v>1363</v>
      </c>
      <c r="C1446" s="641" t="s">
        <v>138</v>
      </c>
      <c r="D1446" s="641" t="s">
        <v>1369</v>
      </c>
      <c r="E1446" s="641" t="s">
        <v>869</v>
      </c>
      <c r="F1446" s="1646">
        <v>1000000</v>
      </c>
      <c r="G1446" s="641" t="s">
        <v>1095</v>
      </c>
      <c r="H1446" s="641" t="s">
        <v>271</v>
      </c>
      <c r="I1446" s="641" t="s">
        <v>36</v>
      </c>
      <c r="J1446" s="642">
        <v>1</v>
      </c>
      <c r="K1446" t="s">
        <v>133</v>
      </c>
    </row>
    <row r="1447" spans="1:11" hidden="1" x14ac:dyDescent="0.3">
      <c r="A1447" s="1781">
        <v>17</v>
      </c>
      <c r="B1447" s="3402" t="s">
        <v>1370</v>
      </c>
      <c r="C1447" s="641" t="s">
        <v>138</v>
      </c>
      <c r="D1447" s="641" t="s">
        <v>1371</v>
      </c>
      <c r="E1447" s="641" t="s">
        <v>869</v>
      </c>
      <c r="F1447" s="1646">
        <v>1150000</v>
      </c>
      <c r="G1447" s="641" t="s">
        <v>1078</v>
      </c>
      <c r="H1447" s="641" t="s">
        <v>271</v>
      </c>
      <c r="I1447" s="641" t="s">
        <v>36</v>
      </c>
      <c r="J1447" s="642">
        <v>1</v>
      </c>
      <c r="K1447" t="s">
        <v>1232</v>
      </c>
    </row>
    <row r="1448" spans="1:11" hidden="1" x14ac:dyDescent="0.3">
      <c r="A1448" s="1781">
        <v>18</v>
      </c>
      <c r="B1448" s="3402" t="s">
        <v>1372</v>
      </c>
      <c r="C1448" s="641" t="s">
        <v>138</v>
      </c>
      <c r="D1448" s="641" t="s">
        <v>1373</v>
      </c>
      <c r="E1448" s="641" t="s">
        <v>885</v>
      </c>
      <c r="F1448" s="1358">
        <v>950000</v>
      </c>
      <c r="G1448" s="641" t="s">
        <v>1313</v>
      </c>
      <c r="H1448" s="641" t="s">
        <v>271</v>
      </c>
      <c r="I1448" s="641" t="s">
        <v>36</v>
      </c>
      <c r="J1448" s="642">
        <v>1</v>
      </c>
      <c r="K1448" t="s">
        <v>133</v>
      </c>
    </row>
    <row r="1449" spans="1:11" hidden="1" x14ac:dyDescent="0.3">
      <c r="A1449" s="1781">
        <v>19</v>
      </c>
      <c r="B1449" s="765" t="s">
        <v>1374</v>
      </c>
      <c r="C1449" s="641" t="s">
        <v>138</v>
      </c>
      <c r="D1449" s="641" t="s">
        <v>1375</v>
      </c>
      <c r="E1449" s="641" t="s">
        <v>1105</v>
      </c>
      <c r="F1449" s="1358">
        <v>4000000</v>
      </c>
      <c r="G1449" s="641" t="s">
        <v>43</v>
      </c>
      <c r="H1449" s="641" t="s">
        <v>271</v>
      </c>
      <c r="I1449" s="641" t="s">
        <v>36</v>
      </c>
      <c r="J1449" s="642">
        <v>1</v>
      </c>
      <c r="K1449" t="s">
        <v>133</v>
      </c>
    </row>
    <row r="1450" spans="1:11" hidden="1" x14ac:dyDescent="0.3">
      <c r="A1450" s="1781">
        <v>20</v>
      </c>
      <c r="B1450" s="765" t="s">
        <v>1332</v>
      </c>
      <c r="C1450" s="641" t="s">
        <v>662</v>
      </c>
      <c r="D1450" s="641" t="s">
        <v>1376</v>
      </c>
      <c r="E1450" s="641" t="s">
        <v>78</v>
      </c>
      <c r="F1450" s="1358">
        <v>2500000</v>
      </c>
      <c r="G1450" s="641" t="s">
        <v>1377</v>
      </c>
      <c r="H1450" s="641" t="s">
        <v>271</v>
      </c>
      <c r="I1450" s="641" t="s">
        <v>36</v>
      </c>
      <c r="J1450" s="642">
        <v>1</v>
      </c>
      <c r="K1450" t="s">
        <v>133</v>
      </c>
    </row>
    <row r="1451" spans="1:11" hidden="1" x14ac:dyDescent="0.3">
      <c r="A1451" s="1781"/>
      <c r="B1451" s="765"/>
      <c r="C1451" s="641"/>
      <c r="D1451" s="641"/>
      <c r="E1451" s="641"/>
      <c r="F1451" s="1358"/>
      <c r="G1451" s="641"/>
      <c r="H1451" s="641"/>
      <c r="I1451" s="641"/>
      <c r="J1451" s="642"/>
    </row>
    <row r="1452" spans="1:11" ht="25.8" hidden="1" x14ac:dyDescent="0.5">
      <c r="A1452" s="1781"/>
      <c r="B1452" s="1781"/>
      <c r="C1452" s="150"/>
      <c r="D1452" s="641"/>
      <c r="E1452" s="150"/>
      <c r="F1452" s="151"/>
      <c r="G1452" s="150"/>
      <c r="H1452" s="150"/>
      <c r="I1452" s="150"/>
      <c r="J1452" s="934">
        <f>SUM(J1431:J1451)</f>
        <v>20</v>
      </c>
    </row>
    <row r="1453" spans="1:11" hidden="1" x14ac:dyDescent="0.3">
      <c r="A1453" s="3473" t="s">
        <v>33</v>
      </c>
      <c r="B1453" s="3473"/>
      <c r="C1453" s="3473"/>
      <c r="D1453" s="3473"/>
      <c r="E1453" s="3473"/>
      <c r="F1453" s="3473"/>
      <c r="G1453" s="3473"/>
      <c r="H1453" s="3473"/>
      <c r="I1453" s="3473"/>
      <c r="J1453" s="3473"/>
    </row>
    <row r="1454" spans="1:11" hidden="1" x14ac:dyDescent="0.3">
      <c r="A1454" s="137" t="s">
        <v>3</v>
      </c>
      <c r="B1454" s="1781" t="s">
        <v>4</v>
      </c>
      <c r="C1454" s="137" t="s">
        <v>5</v>
      </c>
      <c r="D1454" s="137" t="s">
        <v>6</v>
      </c>
      <c r="E1454" s="137" t="s">
        <v>7</v>
      </c>
      <c r="F1454" s="137" t="s">
        <v>8</v>
      </c>
      <c r="G1454" s="137" t="s">
        <v>9</v>
      </c>
      <c r="H1454" s="137" t="s">
        <v>10</v>
      </c>
      <c r="I1454" s="137" t="s">
        <v>11</v>
      </c>
      <c r="J1454" s="137" t="s">
        <v>12</v>
      </c>
    </row>
    <row r="1455" spans="1:11" hidden="1" x14ac:dyDescent="0.3">
      <c r="A1455" s="549">
        <v>1</v>
      </c>
      <c r="B1455" s="3393" t="s">
        <v>1261</v>
      </c>
      <c r="C1455" s="152" t="s">
        <v>138</v>
      </c>
      <c r="D1455" s="152" t="s">
        <v>1378</v>
      </c>
      <c r="E1455" s="152" t="s">
        <v>180</v>
      </c>
      <c r="F1455" s="152">
        <v>248000000</v>
      </c>
      <c r="G1455" s="152" t="s">
        <v>1064</v>
      </c>
      <c r="H1455" s="152" t="s">
        <v>271</v>
      </c>
      <c r="I1455" s="152" t="s">
        <v>36</v>
      </c>
      <c r="J1455" s="200">
        <v>1</v>
      </c>
    </row>
    <row r="1456" spans="1:11" hidden="1" x14ac:dyDescent="0.3">
      <c r="A1456" s="597">
        <v>2</v>
      </c>
      <c r="B1456" s="597" t="s">
        <v>1379</v>
      </c>
      <c r="C1456" s="143" t="s">
        <v>138</v>
      </c>
      <c r="D1456" s="143" t="s">
        <v>1380</v>
      </c>
      <c r="E1456" s="143" t="s">
        <v>1234</v>
      </c>
      <c r="F1456" s="143">
        <v>180000000</v>
      </c>
      <c r="G1456" s="143" t="s">
        <v>43</v>
      </c>
      <c r="H1456" s="143" t="s">
        <v>271</v>
      </c>
      <c r="I1456" s="143" t="s">
        <v>36</v>
      </c>
      <c r="J1456" s="143">
        <v>1</v>
      </c>
    </row>
    <row r="1457" spans="1:11" hidden="1" x14ac:dyDescent="0.3">
      <c r="A1457" s="595">
        <v>3</v>
      </c>
      <c r="B1457" s="3395" t="s">
        <v>1265</v>
      </c>
      <c r="C1457" s="156" t="s">
        <v>138</v>
      </c>
      <c r="D1457" s="156" t="s">
        <v>1355</v>
      </c>
      <c r="E1457" s="156" t="s">
        <v>836</v>
      </c>
      <c r="F1457" s="156">
        <v>165000000</v>
      </c>
      <c r="G1457" s="156" t="s">
        <v>1356</v>
      </c>
      <c r="H1457" s="156" t="s">
        <v>271</v>
      </c>
      <c r="I1457" s="156" t="s">
        <v>36</v>
      </c>
      <c r="J1457" s="144">
        <v>1</v>
      </c>
    </row>
    <row r="1458" spans="1:11" hidden="1" x14ac:dyDescent="0.3">
      <c r="A1458" s="595">
        <v>4</v>
      </c>
      <c r="B1458" s="3395" t="s">
        <v>1359</v>
      </c>
      <c r="C1458" s="156" t="s">
        <v>138</v>
      </c>
      <c r="D1458" s="156" t="s">
        <v>1360</v>
      </c>
      <c r="E1458" s="156" t="s">
        <v>390</v>
      </c>
      <c r="F1458" s="156">
        <v>185000000</v>
      </c>
      <c r="G1458" s="156" t="s">
        <v>43</v>
      </c>
      <c r="H1458" s="156" t="s">
        <v>271</v>
      </c>
      <c r="I1458" s="156" t="s">
        <v>36</v>
      </c>
      <c r="J1458" s="144">
        <v>1</v>
      </c>
    </row>
    <row r="1459" spans="1:11" ht="24.6" hidden="1" x14ac:dyDescent="0.4">
      <c r="A1459" s="887"/>
      <c r="B1459" s="922"/>
      <c r="C1459" s="887"/>
      <c r="D1459" s="887"/>
      <c r="E1459" s="887"/>
      <c r="F1459" s="887"/>
      <c r="G1459" s="887"/>
      <c r="H1459" s="887"/>
      <c r="I1459" s="887"/>
      <c r="J1459" s="933">
        <v>4</v>
      </c>
    </row>
    <row r="1460" spans="1:11" hidden="1" x14ac:dyDescent="0.3"/>
    <row r="1461" spans="1:11" hidden="1" x14ac:dyDescent="0.3"/>
    <row r="1462" spans="1:11" ht="23.4" hidden="1" x14ac:dyDescent="0.3">
      <c r="A1462" s="3487" t="s">
        <v>1169</v>
      </c>
      <c r="B1462" s="3487"/>
      <c r="C1462" s="3487"/>
      <c r="D1462" s="3487"/>
      <c r="E1462" s="3487"/>
      <c r="F1462" s="3487"/>
      <c r="G1462" s="3487"/>
      <c r="H1462" s="3487"/>
      <c r="I1462" s="3487"/>
      <c r="J1462" s="3487"/>
    </row>
    <row r="1463" spans="1:11" ht="15.6" hidden="1" x14ac:dyDescent="0.3">
      <c r="A1463" s="3461" t="s">
        <v>2</v>
      </c>
      <c r="B1463" s="3461"/>
      <c r="C1463" s="3461"/>
      <c r="D1463" s="3461"/>
      <c r="E1463" s="3461"/>
      <c r="F1463" s="3461"/>
      <c r="G1463" s="3461"/>
      <c r="H1463" s="3461"/>
      <c r="I1463" s="3461"/>
      <c r="J1463" s="3461"/>
    </row>
    <row r="1464" spans="1:11" hidden="1" x14ac:dyDescent="0.3">
      <c r="A1464" s="137" t="s">
        <v>3</v>
      </c>
      <c r="B1464" s="1781" t="s">
        <v>4</v>
      </c>
      <c r="C1464" s="137" t="s">
        <v>5</v>
      </c>
      <c r="D1464" s="137" t="s">
        <v>6</v>
      </c>
      <c r="E1464" s="137" t="s">
        <v>7</v>
      </c>
      <c r="F1464" s="137" t="s">
        <v>8</v>
      </c>
      <c r="G1464" s="137" t="s">
        <v>9</v>
      </c>
      <c r="H1464" s="137" t="s">
        <v>10</v>
      </c>
      <c r="I1464" s="137" t="s">
        <v>11</v>
      </c>
      <c r="J1464" s="137" t="s">
        <v>12</v>
      </c>
    </row>
    <row r="1465" spans="1:11" hidden="1" x14ac:dyDescent="0.3">
      <c r="A1465" s="137">
        <v>1</v>
      </c>
      <c r="B1465" s="1781" t="s">
        <v>1340</v>
      </c>
      <c r="C1465" s="137" t="s">
        <v>138</v>
      </c>
      <c r="D1465" s="137" t="s">
        <v>1381</v>
      </c>
      <c r="E1465" s="137" t="s">
        <v>390</v>
      </c>
      <c r="F1465" s="137">
        <v>930000</v>
      </c>
      <c r="G1465" s="137" t="s">
        <v>1382</v>
      </c>
      <c r="H1465" s="137" t="s">
        <v>271</v>
      </c>
      <c r="I1465" s="137" t="s">
        <v>36</v>
      </c>
      <c r="J1465" s="137">
        <v>1</v>
      </c>
    </row>
    <row r="1466" spans="1:11" hidden="1" x14ac:dyDescent="0.3">
      <c r="A1466" s="137">
        <v>2</v>
      </c>
      <c r="B1466" s="1781" t="s">
        <v>1340</v>
      </c>
      <c r="C1466" s="137" t="s">
        <v>138</v>
      </c>
      <c r="D1466" s="137" t="s">
        <v>1383</v>
      </c>
      <c r="E1466" s="137" t="s">
        <v>390</v>
      </c>
      <c r="F1466" s="137">
        <v>850000</v>
      </c>
      <c r="G1466" s="137" t="s">
        <v>1384</v>
      </c>
      <c r="H1466" s="137" t="s">
        <v>271</v>
      </c>
      <c r="I1466" s="137" t="s">
        <v>36</v>
      </c>
      <c r="J1466" s="137">
        <v>1</v>
      </c>
    </row>
    <row r="1467" spans="1:11" hidden="1" x14ac:dyDescent="0.3">
      <c r="A1467" s="137">
        <v>3</v>
      </c>
      <c r="B1467" s="1781" t="s">
        <v>1342</v>
      </c>
      <c r="C1467" s="137" t="s">
        <v>138</v>
      </c>
      <c r="D1467" s="137" t="s">
        <v>1385</v>
      </c>
      <c r="E1467" s="137" t="s">
        <v>76</v>
      </c>
      <c r="F1467" s="137">
        <v>1050000</v>
      </c>
      <c r="G1467" s="137" t="s">
        <v>1175</v>
      </c>
      <c r="H1467" s="137" t="s">
        <v>271</v>
      </c>
      <c r="I1467" s="137" t="s">
        <v>36</v>
      </c>
      <c r="J1467" s="137">
        <v>1</v>
      </c>
    </row>
    <row r="1468" spans="1:11" hidden="1" x14ac:dyDescent="0.3">
      <c r="A1468" s="137">
        <v>4</v>
      </c>
      <c r="B1468" s="1781" t="s">
        <v>1342</v>
      </c>
      <c r="C1468" s="137" t="s">
        <v>138</v>
      </c>
      <c r="D1468" s="137" t="s">
        <v>1386</v>
      </c>
      <c r="E1468" s="137" t="s">
        <v>390</v>
      </c>
      <c r="F1468" s="137">
        <v>950000</v>
      </c>
      <c r="G1468" s="137" t="s">
        <v>520</v>
      </c>
      <c r="H1468" s="137" t="s">
        <v>271</v>
      </c>
      <c r="I1468" s="137" t="s">
        <v>36</v>
      </c>
      <c r="J1468" s="137">
        <v>1</v>
      </c>
    </row>
    <row r="1469" spans="1:11" hidden="1" x14ac:dyDescent="0.3">
      <c r="A1469" s="137">
        <v>5</v>
      </c>
      <c r="B1469" s="1781" t="s">
        <v>1080</v>
      </c>
      <c r="C1469" s="137" t="s">
        <v>138</v>
      </c>
      <c r="D1469" s="137" t="s">
        <v>1387</v>
      </c>
      <c r="E1469" s="137" t="s">
        <v>390</v>
      </c>
      <c r="F1469" s="137">
        <v>850000</v>
      </c>
      <c r="G1469" s="137" t="s">
        <v>520</v>
      </c>
      <c r="H1469" s="137" t="s">
        <v>271</v>
      </c>
      <c r="I1469" s="137" t="s">
        <v>36</v>
      </c>
      <c r="J1469" s="137">
        <v>1</v>
      </c>
    </row>
    <row r="1470" spans="1:11" hidden="1" x14ac:dyDescent="0.3">
      <c r="A1470" s="137">
        <v>6</v>
      </c>
      <c r="B1470" s="1781" t="s">
        <v>1388</v>
      </c>
      <c r="C1470" s="137" t="s">
        <v>138</v>
      </c>
      <c r="D1470" s="137" t="s">
        <v>1389</v>
      </c>
      <c r="E1470" s="137" t="s">
        <v>76</v>
      </c>
      <c r="F1470" s="137">
        <v>1100000</v>
      </c>
      <c r="G1470" s="137" t="s">
        <v>1390</v>
      </c>
      <c r="H1470" s="137" t="s">
        <v>271</v>
      </c>
      <c r="I1470" s="137" t="s">
        <v>36</v>
      </c>
      <c r="J1470" s="137">
        <v>1</v>
      </c>
    </row>
    <row r="1471" spans="1:11" hidden="1" x14ac:dyDescent="0.3">
      <c r="A1471" s="137">
        <v>7</v>
      </c>
      <c r="B1471" s="1781" t="s">
        <v>1388</v>
      </c>
      <c r="C1471" s="137" t="s">
        <v>138</v>
      </c>
      <c r="D1471" s="137" t="s">
        <v>1391</v>
      </c>
      <c r="E1471" s="137" t="s">
        <v>1392</v>
      </c>
      <c r="F1471" s="137">
        <v>2000000</v>
      </c>
      <c r="G1471" s="137" t="s">
        <v>1192</v>
      </c>
      <c r="H1471" s="137" t="s">
        <v>271</v>
      </c>
      <c r="I1471" s="137" t="s">
        <v>36</v>
      </c>
      <c r="J1471" s="137">
        <v>1</v>
      </c>
    </row>
    <row r="1472" spans="1:11" hidden="1" x14ac:dyDescent="0.3">
      <c r="A1472" s="137">
        <v>8</v>
      </c>
      <c r="B1472" s="1781" t="s">
        <v>1393</v>
      </c>
      <c r="C1472" s="137" t="s">
        <v>138</v>
      </c>
      <c r="D1472" s="137" t="s">
        <v>1394</v>
      </c>
      <c r="E1472" s="137" t="s">
        <v>78</v>
      </c>
      <c r="F1472" s="137">
        <v>1100000</v>
      </c>
      <c r="G1472" s="137" t="s">
        <v>1175</v>
      </c>
      <c r="H1472" s="137" t="s">
        <v>271</v>
      </c>
      <c r="I1472" s="137" t="s">
        <v>36</v>
      </c>
      <c r="J1472" s="137">
        <v>1</v>
      </c>
      <c r="K1472" t="s">
        <v>133</v>
      </c>
    </row>
    <row r="1473" spans="1:11" hidden="1" x14ac:dyDescent="0.3">
      <c r="A1473" s="137">
        <v>9</v>
      </c>
      <c r="B1473" s="1781" t="s">
        <v>1395</v>
      </c>
      <c r="C1473" s="137" t="s">
        <v>138</v>
      </c>
      <c r="D1473" s="137" t="s">
        <v>1396</v>
      </c>
      <c r="E1473" s="137" t="s">
        <v>78</v>
      </c>
      <c r="F1473" s="137">
        <v>1000000</v>
      </c>
      <c r="G1473" s="137" t="s">
        <v>1397</v>
      </c>
      <c r="H1473" s="137" t="s">
        <v>271</v>
      </c>
      <c r="I1473" s="137" t="s">
        <v>36</v>
      </c>
      <c r="J1473" s="137">
        <v>1</v>
      </c>
      <c r="K1473" t="s">
        <v>1232</v>
      </c>
    </row>
    <row r="1474" spans="1:11" hidden="1" x14ac:dyDescent="0.3">
      <c r="A1474" s="137">
        <v>10</v>
      </c>
      <c r="B1474" s="1781" t="s">
        <v>1395</v>
      </c>
      <c r="C1474" s="137" t="s">
        <v>138</v>
      </c>
      <c r="D1474" s="137" t="s">
        <v>1398</v>
      </c>
      <c r="E1474" s="137" t="s">
        <v>390</v>
      </c>
      <c r="F1474" s="137">
        <v>1100000</v>
      </c>
      <c r="G1474" s="137" t="s">
        <v>1399</v>
      </c>
      <c r="H1474" s="137" t="s">
        <v>271</v>
      </c>
      <c r="I1474" s="137" t="s">
        <v>36</v>
      </c>
      <c r="J1474" s="137">
        <v>1</v>
      </c>
      <c r="K1474" t="s">
        <v>133</v>
      </c>
    </row>
    <row r="1475" spans="1:11" hidden="1" x14ac:dyDescent="0.3">
      <c r="A1475" s="137">
        <v>11</v>
      </c>
      <c r="B1475" s="1781" t="s">
        <v>1238</v>
      </c>
      <c r="C1475" s="137" t="s">
        <v>138</v>
      </c>
      <c r="D1475" s="137" t="s">
        <v>1400</v>
      </c>
      <c r="E1475" s="137" t="s">
        <v>390</v>
      </c>
      <c r="F1475" s="137">
        <v>1050000</v>
      </c>
      <c r="G1475" s="137" t="s">
        <v>1192</v>
      </c>
      <c r="H1475" s="137" t="s">
        <v>271</v>
      </c>
      <c r="I1475" s="137" t="s">
        <v>36</v>
      </c>
      <c r="J1475" s="137">
        <v>1</v>
      </c>
      <c r="K1475" t="s">
        <v>133</v>
      </c>
    </row>
    <row r="1476" spans="1:11" hidden="1" x14ac:dyDescent="0.3">
      <c r="A1476" s="137">
        <v>12</v>
      </c>
      <c r="B1476" s="1781" t="s">
        <v>1238</v>
      </c>
      <c r="C1476" s="137" t="s">
        <v>138</v>
      </c>
      <c r="D1476" s="137" t="s">
        <v>1401</v>
      </c>
      <c r="E1476" s="137" t="s">
        <v>78</v>
      </c>
      <c r="F1476" s="137">
        <v>1000000</v>
      </c>
      <c r="G1476" s="137" t="s">
        <v>1390</v>
      </c>
      <c r="H1476" s="137" t="s">
        <v>271</v>
      </c>
      <c r="I1476" s="137" t="s">
        <v>36</v>
      </c>
      <c r="J1476" s="137">
        <v>1</v>
      </c>
      <c r="K1476" t="s">
        <v>1232</v>
      </c>
    </row>
    <row r="1477" spans="1:11" hidden="1" x14ac:dyDescent="0.3">
      <c r="A1477" s="137">
        <v>13</v>
      </c>
      <c r="B1477" s="1781" t="s">
        <v>1370</v>
      </c>
      <c r="C1477" s="137" t="s">
        <v>138</v>
      </c>
      <c r="D1477" s="137" t="s">
        <v>1402</v>
      </c>
      <c r="E1477" s="137" t="s">
        <v>390</v>
      </c>
      <c r="F1477" s="137">
        <v>1050000</v>
      </c>
      <c r="G1477" s="137" t="s">
        <v>520</v>
      </c>
      <c r="H1477" s="137" t="s">
        <v>271</v>
      </c>
      <c r="I1477" s="137" t="s">
        <v>36</v>
      </c>
      <c r="J1477" s="137">
        <v>1</v>
      </c>
      <c r="K1477" t="s">
        <v>133</v>
      </c>
    </row>
    <row r="1478" spans="1:11" hidden="1" x14ac:dyDescent="0.3">
      <c r="A1478" s="137">
        <v>14</v>
      </c>
      <c r="B1478" s="1781" t="s">
        <v>1370</v>
      </c>
      <c r="C1478" s="137" t="s">
        <v>138</v>
      </c>
      <c r="D1478" s="137" t="s">
        <v>1403</v>
      </c>
      <c r="E1478" s="137" t="s">
        <v>775</v>
      </c>
      <c r="F1478" s="137">
        <v>850000</v>
      </c>
      <c r="G1478" s="137" t="s">
        <v>1404</v>
      </c>
      <c r="H1478" s="137" t="s">
        <v>271</v>
      </c>
      <c r="I1478" s="137" t="s">
        <v>36</v>
      </c>
      <c r="J1478" s="137">
        <v>1</v>
      </c>
      <c r="K1478" t="s">
        <v>1232</v>
      </c>
    </row>
    <row r="1479" spans="1:11" hidden="1" x14ac:dyDescent="0.3">
      <c r="A1479" s="1781">
        <v>15</v>
      </c>
      <c r="B1479" s="3392" t="s">
        <v>1405</v>
      </c>
      <c r="C1479" s="150" t="s">
        <v>138</v>
      </c>
      <c r="D1479" s="641" t="s">
        <v>1406</v>
      </c>
      <c r="E1479" s="150" t="s">
        <v>78</v>
      </c>
      <c r="F1479" s="151">
        <v>800000</v>
      </c>
      <c r="G1479" s="150" t="s">
        <v>203</v>
      </c>
      <c r="H1479" s="150" t="s">
        <v>271</v>
      </c>
      <c r="I1479" s="150" t="s">
        <v>36</v>
      </c>
      <c r="J1479" s="137">
        <v>1</v>
      </c>
      <c r="K1479" t="s">
        <v>133</v>
      </c>
    </row>
    <row r="1480" spans="1:11" hidden="1" x14ac:dyDescent="0.3">
      <c r="A1480" s="1781">
        <v>16</v>
      </c>
      <c r="B1480" s="3392" t="s">
        <v>1405</v>
      </c>
      <c r="C1480" s="150" t="s">
        <v>138</v>
      </c>
      <c r="D1480" s="641" t="s">
        <v>1407</v>
      </c>
      <c r="E1480" s="150" t="s">
        <v>78</v>
      </c>
      <c r="F1480" s="151">
        <v>850000</v>
      </c>
      <c r="G1480" s="150" t="s">
        <v>1408</v>
      </c>
      <c r="H1480" s="150" t="s">
        <v>271</v>
      </c>
      <c r="I1480" s="150" t="s">
        <v>36</v>
      </c>
      <c r="J1480" s="137">
        <v>1</v>
      </c>
      <c r="K1480" t="s">
        <v>1232</v>
      </c>
    </row>
    <row r="1481" spans="1:11" hidden="1" x14ac:dyDescent="0.3">
      <c r="A1481" s="1781">
        <v>17</v>
      </c>
      <c r="B1481" s="3392" t="s">
        <v>1405</v>
      </c>
      <c r="C1481" s="150" t="s">
        <v>138</v>
      </c>
      <c r="D1481" s="641" t="s">
        <v>1409</v>
      </c>
      <c r="E1481" s="150" t="s">
        <v>822</v>
      </c>
      <c r="F1481" s="151">
        <v>1100000</v>
      </c>
      <c r="G1481" s="150" t="s">
        <v>1410</v>
      </c>
      <c r="H1481" s="150" t="s">
        <v>271</v>
      </c>
      <c r="I1481" s="150" t="s">
        <v>36</v>
      </c>
      <c r="J1481" s="137">
        <v>1</v>
      </c>
      <c r="K1481" t="s">
        <v>133</v>
      </c>
    </row>
    <row r="1482" spans="1:11" hidden="1" x14ac:dyDescent="0.3">
      <c r="A1482" s="1781">
        <v>18</v>
      </c>
      <c r="B1482" s="3392" t="s">
        <v>1332</v>
      </c>
      <c r="C1482" s="150" t="s">
        <v>138</v>
      </c>
      <c r="D1482" s="641" t="s">
        <v>1411</v>
      </c>
      <c r="E1482" s="150" t="s">
        <v>869</v>
      </c>
      <c r="F1482" s="151">
        <v>1880000</v>
      </c>
      <c r="G1482" s="150" t="s">
        <v>1331</v>
      </c>
      <c r="H1482" s="150" t="s">
        <v>271</v>
      </c>
      <c r="I1482" s="150" t="s">
        <v>36</v>
      </c>
      <c r="J1482" s="137">
        <v>1</v>
      </c>
      <c r="K1482" t="s">
        <v>1232</v>
      </c>
    </row>
    <row r="1483" spans="1:11" hidden="1" x14ac:dyDescent="0.3">
      <c r="A1483" s="1781">
        <v>19</v>
      </c>
      <c r="B1483" s="1781" t="s">
        <v>1334</v>
      </c>
      <c r="C1483" s="150" t="s">
        <v>135</v>
      </c>
      <c r="D1483" s="641" t="s">
        <v>1412</v>
      </c>
      <c r="E1483" s="150" t="s">
        <v>1413</v>
      </c>
      <c r="F1483" s="151">
        <v>980000</v>
      </c>
      <c r="G1483" s="150" t="s">
        <v>43</v>
      </c>
      <c r="H1483" s="150" t="s">
        <v>1414</v>
      </c>
      <c r="I1483" s="150" t="s">
        <v>36</v>
      </c>
      <c r="J1483" s="137">
        <v>1</v>
      </c>
      <c r="K1483" t="s">
        <v>1232</v>
      </c>
    </row>
    <row r="1484" spans="1:11" hidden="1" x14ac:dyDescent="0.3">
      <c r="A1484" s="1781">
        <v>20</v>
      </c>
      <c r="B1484" s="1781" t="s">
        <v>1332</v>
      </c>
      <c r="C1484" s="150" t="s">
        <v>662</v>
      </c>
      <c r="D1484" s="641" t="s">
        <v>1415</v>
      </c>
      <c r="E1484" s="150" t="s">
        <v>105</v>
      </c>
      <c r="F1484" s="151">
        <v>1500000</v>
      </c>
      <c r="G1484" s="150" t="s">
        <v>43</v>
      </c>
      <c r="H1484" s="150" t="s">
        <v>44</v>
      </c>
      <c r="I1484" s="150" t="s">
        <v>36</v>
      </c>
      <c r="J1484" s="137">
        <v>1</v>
      </c>
      <c r="K1484" t="s">
        <v>133</v>
      </c>
    </row>
    <row r="1485" spans="1:11" ht="25.8" hidden="1" x14ac:dyDescent="0.5">
      <c r="A1485" s="1781"/>
      <c r="B1485" s="1781"/>
      <c r="C1485" s="150"/>
      <c r="D1485" s="641"/>
      <c r="E1485" s="150"/>
      <c r="F1485" s="151"/>
      <c r="G1485" s="150"/>
      <c r="H1485" s="150"/>
      <c r="I1485" s="150"/>
      <c r="J1485" s="934">
        <f>SUM(J1465:J1484)</f>
        <v>20</v>
      </c>
    </row>
    <row r="1486" spans="1:11" hidden="1" x14ac:dyDescent="0.3">
      <c r="A1486" s="3473" t="s">
        <v>33</v>
      </c>
      <c r="B1486" s="3473"/>
      <c r="C1486" s="3473"/>
      <c r="D1486" s="3473"/>
      <c r="E1486" s="3473"/>
      <c r="F1486" s="3473"/>
      <c r="G1486" s="3473"/>
      <c r="H1486" s="3473"/>
      <c r="I1486" s="3473"/>
      <c r="J1486" s="3473"/>
    </row>
    <row r="1487" spans="1:11" hidden="1" x14ac:dyDescent="0.3">
      <c r="A1487" s="137" t="s">
        <v>3</v>
      </c>
      <c r="B1487" s="1781" t="s">
        <v>4</v>
      </c>
      <c r="C1487" s="137" t="s">
        <v>5</v>
      </c>
      <c r="D1487" s="137" t="s">
        <v>6</v>
      </c>
      <c r="E1487" s="137" t="s">
        <v>7</v>
      </c>
      <c r="F1487" s="137" t="s">
        <v>8</v>
      </c>
      <c r="G1487" s="137" t="s">
        <v>9</v>
      </c>
      <c r="H1487" s="137" t="s">
        <v>10</v>
      </c>
      <c r="I1487" s="137" t="s">
        <v>11</v>
      </c>
      <c r="J1487" s="137" t="s">
        <v>12</v>
      </c>
    </row>
    <row r="1488" spans="1:11" hidden="1" x14ac:dyDescent="0.3">
      <c r="A1488" s="549">
        <v>1</v>
      </c>
      <c r="B1488" s="3393" t="s">
        <v>1370</v>
      </c>
      <c r="C1488" s="152" t="s">
        <v>138</v>
      </c>
      <c r="D1488" s="152" t="s">
        <v>1416</v>
      </c>
      <c r="E1488" s="152" t="s">
        <v>390</v>
      </c>
      <c r="F1488" s="152">
        <v>119000000</v>
      </c>
      <c r="G1488" s="152" t="s">
        <v>520</v>
      </c>
      <c r="H1488" s="152" t="s">
        <v>44</v>
      </c>
      <c r="I1488" s="152" t="s">
        <v>36</v>
      </c>
      <c r="J1488" s="200">
        <v>1</v>
      </c>
    </row>
    <row r="1489" spans="1:11" hidden="1" x14ac:dyDescent="0.3">
      <c r="A1489" s="549" t="s">
        <v>3</v>
      </c>
      <c r="B1489" s="3393" t="s">
        <v>1363</v>
      </c>
      <c r="C1489" s="152" t="s">
        <v>138</v>
      </c>
      <c r="D1489" s="152" t="s">
        <v>1417</v>
      </c>
      <c r="E1489" s="152" t="s">
        <v>1418</v>
      </c>
      <c r="F1489" s="152">
        <v>149000000</v>
      </c>
      <c r="G1489" s="152" t="s">
        <v>520</v>
      </c>
      <c r="H1489" s="152" t="s">
        <v>44</v>
      </c>
      <c r="I1489" s="152" t="s">
        <v>36</v>
      </c>
      <c r="J1489" s="200">
        <v>1</v>
      </c>
    </row>
    <row r="1490" spans="1:11" hidden="1" x14ac:dyDescent="0.3">
      <c r="A1490" s="597">
        <v>3</v>
      </c>
      <c r="B1490" s="3394" t="s">
        <v>1332</v>
      </c>
      <c r="C1490" s="154" t="s">
        <v>138</v>
      </c>
      <c r="D1490" s="154" t="s">
        <v>1419</v>
      </c>
      <c r="E1490" s="154" t="s">
        <v>390</v>
      </c>
      <c r="F1490" s="154">
        <v>180000000</v>
      </c>
      <c r="G1490" s="154" t="s">
        <v>520</v>
      </c>
      <c r="H1490" s="154" t="s">
        <v>44</v>
      </c>
      <c r="I1490" s="154" t="s">
        <v>36</v>
      </c>
      <c r="J1490" s="598">
        <v>1</v>
      </c>
    </row>
    <row r="1491" spans="1:11" ht="24.6" hidden="1" x14ac:dyDescent="0.4">
      <c r="A1491" s="144"/>
      <c r="B1491" s="595"/>
      <c r="C1491" s="144"/>
      <c r="D1491" s="144"/>
      <c r="E1491" s="144"/>
      <c r="F1491" s="144"/>
      <c r="G1491" s="144"/>
      <c r="H1491" s="144"/>
      <c r="I1491" s="144"/>
      <c r="J1491" s="935">
        <f>J1488+J1489+J1490</f>
        <v>3</v>
      </c>
    </row>
    <row r="1492" spans="1:11" hidden="1" x14ac:dyDescent="0.3"/>
    <row r="1493" spans="1:11" hidden="1" x14ac:dyDescent="0.3"/>
    <row r="1494" spans="1:11" hidden="1" x14ac:dyDescent="0.3"/>
    <row r="1495" spans="1:11" hidden="1" x14ac:dyDescent="0.3">
      <c r="A1495" s="3471" t="s">
        <v>1420</v>
      </c>
      <c r="B1495" s="3472"/>
      <c r="C1495" s="3472"/>
      <c r="D1495" s="3472"/>
      <c r="E1495" s="3472"/>
      <c r="F1495" s="3472"/>
      <c r="G1495" s="3472"/>
      <c r="H1495" s="3472"/>
      <c r="I1495" s="3472"/>
      <c r="J1495" s="3472"/>
    </row>
    <row r="1496" spans="1:11" ht="22.5" hidden="1" customHeight="1" x14ac:dyDescent="0.3">
      <c r="A1496" s="3472"/>
      <c r="B1496" s="3472"/>
      <c r="C1496" s="3472"/>
      <c r="D1496" s="3472"/>
      <c r="E1496" s="3472"/>
      <c r="F1496" s="3472"/>
      <c r="G1496" s="3472"/>
      <c r="H1496" s="3472"/>
      <c r="I1496" s="3472"/>
      <c r="J1496" s="3472"/>
    </row>
    <row r="1497" spans="1:11" ht="19.5" hidden="1" customHeight="1" x14ac:dyDescent="0.3">
      <c r="B1497" s="136"/>
      <c r="C1497" s="136"/>
      <c r="D1497" s="136"/>
      <c r="E1497" s="136"/>
      <c r="F1497" s="136"/>
      <c r="G1497" s="136"/>
      <c r="H1497" s="136"/>
      <c r="I1497" s="136"/>
      <c r="J1497" s="136"/>
    </row>
    <row r="1498" spans="1:11" ht="23.4" hidden="1" x14ac:dyDescent="0.3">
      <c r="A1498" s="3470" t="s">
        <v>527</v>
      </c>
      <c r="B1498" s="3470"/>
      <c r="C1498" s="3470"/>
      <c r="D1498" s="3470"/>
      <c r="E1498" s="3470"/>
      <c r="F1498" s="3470"/>
      <c r="G1498" s="3470"/>
      <c r="H1498" s="3470"/>
      <c r="I1498" s="3470"/>
      <c r="J1498" s="3470"/>
    </row>
    <row r="1499" spans="1:11" ht="15.6" hidden="1" x14ac:dyDescent="0.3">
      <c r="A1499" s="3461" t="s">
        <v>2</v>
      </c>
      <c r="B1499" s="3461"/>
      <c r="C1499" s="3461"/>
      <c r="D1499" s="3461"/>
      <c r="E1499" s="3461"/>
      <c r="F1499" s="3461"/>
      <c r="G1499" s="3461"/>
      <c r="H1499" s="3461"/>
      <c r="I1499" s="3461"/>
      <c r="J1499" s="3461"/>
    </row>
    <row r="1500" spans="1:11" hidden="1" x14ac:dyDescent="0.3">
      <c r="A1500" s="137" t="s">
        <v>3</v>
      </c>
      <c r="B1500" s="1781" t="s">
        <v>4</v>
      </c>
      <c r="C1500" s="137" t="s">
        <v>5</v>
      </c>
      <c r="D1500" s="137" t="s">
        <v>6</v>
      </c>
      <c r="E1500" s="137" t="s">
        <v>7</v>
      </c>
      <c r="F1500" s="137" t="s">
        <v>8</v>
      </c>
      <c r="G1500" s="137" t="s">
        <v>9</v>
      </c>
      <c r="H1500" s="137" t="s">
        <v>10</v>
      </c>
      <c r="I1500" s="137" t="s">
        <v>11</v>
      </c>
      <c r="J1500" s="137" t="s">
        <v>12</v>
      </c>
    </row>
    <row r="1501" spans="1:11" hidden="1" x14ac:dyDescent="0.3">
      <c r="A1501" s="137">
        <v>1</v>
      </c>
      <c r="B1501" s="1781" t="s">
        <v>1421</v>
      </c>
      <c r="C1501" s="137" t="s">
        <v>138</v>
      </c>
      <c r="D1501" s="1221" t="s">
        <v>1422</v>
      </c>
      <c r="E1501" s="137" t="s">
        <v>78</v>
      </c>
      <c r="F1501" s="137">
        <v>1350000</v>
      </c>
      <c r="G1501" s="137" t="s">
        <v>1423</v>
      </c>
      <c r="H1501" s="137" t="s">
        <v>271</v>
      </c>
      <c r="I1501" s="137" t="s">
        <v>36</v>
      </c>
      <c r="J1501" s="137">
        <v>1</v>
      </c>
      <c r="K1501" t="s">
        <v>133</v>
      </c>
    </row>
    <row r="1502" spans="1:11" hidden="1" x14ac:dyDescent="0.3">
      <c r="A1502" s="137">
        <v>2</v>
      </c>
      <c r="B1502" s="1781" t="s">
        <v>1421</v>
      </c>
      <c r="C1502" s="137" t="s">
        <v>138</v>
      </c>
      <c r="D1502" s="1221" t="s">
        <v>1424</v>
      </c>
      <c r="E1502" s="137" t="s">
        <v>78</v>
      </c>
      <c r="F1502" s="137">
        <v>1200000</v>
      </c>
      <c r="G1502" s="137" t="s">
        <v>1423</v>
      </c>
      <c r="H1502" s="137" t="s">
        <v>271</v>
      </c>
      <c r="I1502" s="137" t="s">
        <v>36</v>
      </c>
      <c r="J1502" s="137">
        <v>1</v>
      </c>
      <c r="K1502" t="s">
        <v>1232</v>
      </c>
    </row>
    <row r="1503" spans="1:11" hidden="1" x14ac:dyDescent="0.3">
      <c r="A1503" s="137">
        <v>3</v>
      </c>
      <c r="B1503" s="1781" t="s">
        <v>1421</v>
      </c>
      <c r="C1503" s="137" t="s">
        <v>138</v>
      </c>
      <c r="D1503" s="1221" t="s">
        <v>1425</v>
      </c>
      <c r="E1503" s="137" t="s">
        <v>78</v>
      </c>
      <c r="F1503" s="137">
        <v>950000</v>
      </c>
      <c r="G1503" s="137" t="s">
        <v>1426</v>
      </c>
      <c r="H1503" s="137" t="s">
        <v>271</v>
      </c>
      <c r="I1503" s="137" t="s">
        <v>36</v>
      </c>
      <c r="J1503" s="137">
        <v>1</v>
      </c>
      <c r="K1503" t="s">
        <v>133</v>
      </c>
    </row>
    <row r="1504" spans="1:11" hidden="1" x14ac:dyDescent="0.3">
      <c r="A1504" s="137">
        <v>4</v>
      </c>
      <c r="B1504" s="1781" t="s">
        <v>1427</v>
      </c>
      <c r="C1504" s="137" t="s">
        <v>138</v>
      </c>
      <c r="D1504" s="1221" t="s">
        <v>1428</v>
      </c>
      <c r="E1504" s="137" t="s">
        <v>784</v>
      </c>
      <c r="F1504" s="137">
        <v>1000000</v>
      </c>
      <c r="G1504" s="137" t="s">
        <v>1208</v>
      </c>
      <c r="H1504" s="137" t="s">
        <v>271</v>
      </c>
      <c r="I1504" s="137" t="s">
        <v>36</v>
      </c>
      <c r="J1504" s="137">
        <v>1</v>
      </c>
      <c r="K1504" t="s">
        <v>133</v>
      </c>
    </row>
    <row r="1505" spans="1:11" hidden="1" x14ac:dyDescent="0.3">
      <c r="A1505" s="137">
        <v>5</v>
      </c>
      <c r="B1505" s="1781" t="s">
        <v>1429</v>
      </c>
      <c r="C1505" s="137" t="s">
        <v>138</v>
      </c>
      <c r="D1505" s="1221" t="s">
        <v>1430</v>
      </c>
      <c r="E1505" s="137" t="s">
        <v>78</v>
      </c>
      <c r="F1505" s="137">
        <v>1350000</v>
      </c>
      <c r="G1505" s="137" t="s">
        <v>1237</v>
      </c>
      <c r="H1505" s="137" t="s">
        <v>271</v>
      </c>
      <c r="I1505" s="137" t="s">
        <v>36</v>
      </c>
      <c r="J1505" s="137">
        <v>1</v>
      </c>
      <c r="K1505" t="s">
        <v>1431</v>
      </c>
    </row>
    <row r="1506" spans="1:11" hidden="1" x14ac:dyDescent="0.3">
      <c r="A1506" s="137">
        <v>6</v>
      </c>
      <c r="B1506" s="1781" t="s">
        <v>1429</v>
      </c>
      <c r="C1506" s="137" t="s">
        <v>138</v>
      </c>
      <c r="D1506" s="1221" t="s">
        <v>1432</v>
      </c>
      <c r="E1506" s="137" t="s">
        <v>840</v>
      </c>
      <c r="F1506" s="137">
        <v>820000</v>
      </c>
      <c r="G1506" s="137" t="s">
        <v>1433</v>
      </c>
      <c r="H1506" s="137" t="s">
        <v>271</v>
      </c>
      <c r="I1506" s="137" t="s">
        <v>36</v>
      </c>
      <c r="J1506" s="137">
        <v>1</v>
      </c>
      <c r="K1506" t="s">
        <v>1434</v>
      </c>
    </row>
    <row r="1507" spans="1:11" hidden="1" x14ac:dyDescent="0.3">
      <c r="A1507" s="137">
        <v>7</v>
      </c>
      <c r="B1507" s="1781" t="s">
        <v>1435</v>
      </c>
      <c r="C1507" s="150" t="s">
        <v>138</v>
      </c>
      <c r="D1507" s="1222" t="s">
        <v>1436</v>
      </c>
      <c r="E1507" s="150" t="s">
        <v>1130</v>
      </c>
      <c r="F1507" s="1223">
        <v>1100000</v>
      </c>
      <c r="G1507" s="150" t="s">
        <v>1437</v>
      </c>
      <c r="H1507" s="150" t="s">
        <v>271</v>
      </c>
      <c r="I1507" s="150" t="s">
        <v>36</v>
      </c>
      <c r="J1507" s="137">
        <v>1</v>
      </c>
      <c r="K1507" t="s">
        <v>1434</v>
      </c>
    </row>
    <row r="1508" spans="1:11" hidden="1" x14ac:dyDescent="0.3">
      <c r="A1508" s="137">
        <v>8</v>
      </c>
      <c r="B1508" s="1781" t="s">
        <v>1438</v>
      </c>
      <c r="C1508" s="137" t="s">
        <v>138</v>
      </c>
      <c r="D1508" s="1221" t="s">
        <v>1439</v>
      </c>
      <c r="E1508" s="137" t="s">
        <v>1413</v>
      </c>
      <c r="F1508" s="137">
        <v>1200000</v>
      </c>
      <c r="G1508" s="137" t="s">
        <v>43</v>
      </c>
      <c r="H1508" s="137" t="s">
        <v>271</v>
      </c>
      <c r="I1508" s="137" t="s">
        <v>36</v>
      </c>
      <c r="J1508" s="137">
        <v>1</v>
      </c>
      <c r="K1508" t="s">
        <v>1434</v>
      </c>
    </row>
    <row r="1509" spans="1:11" hidden="1" x14ac:dyDescent="0.3">
      <c r="A1509" s="137">
        <v>9</v>
      </c>
      <c r="B1509" s="1781" t="s">
        <v>1440</v>
      </c>
      <c r="C1509" s="137" t="s">
        <v>138</v>
      </c>
      <c r="D1509" s="1221" t="s">
        <v>1441</v>
      </c>
      <c r="E1509" s="137" t="s">
        <v>1130</v>
      </c>
      <c r="F1509" s="137">
        <v>1200000</v>
      </c>
      <c r="G1509" s="137" t="s">
        <v>1442</v>
      </c>
      <c r="H1509" s="137" t="s">
        <v>271</v>
      </c>
      <c r="I1509" s="137" t="s">
        <v>36</v>
      </c>
      <c r="J1509" s="137">
        <v>1</v>
      </c>
      <c r="K1509" t="s">
        <v>1434</v>
      </c>
    </row>
    <row r="1510" spans="1:11" hidden="1" x14ac:dyDescent="0.3">
      <c r="A1510" s="137">
        <v>10</v>
      </c>
      <c r="B1510" s="1781" t="s">
        <v>1440</v>
      </c>
      <c r="C1510" s="137" t="s">
        <v>138</v>
      </c>
      <c r="D1510" s="1221" t="s">
        <v>1443</v>
      </c>
      <c r="E1510" s="137" t="s">
        <v>1130</v>
      </c>
      <c r="F1510" s="137">
        <v>1000000</v>
      </c>
      <c r="G1510" s="137" t="s">
        <v>1223</v>
      </c>
      <c r="H1510" s="137" t="s">
        <v>271</v>
      </c>
      <c r="I1510" s="137" t="s">
        <v>36</v>
      </c>
      <c r="J1510" s="137">
        <v>1</v>
      </c>
      <c r="K1510" t="s">
        <v>1434</v>
      </c>
    </row>
    <row r="1511" spans="1:11" hidden="1" x14ac:dyDescent="0.3">
      <c r="A1511" s="137">
        <v>11</v>
      </c>
      <c r="B1511" s="1781" t="s">
        <v>1444</v>
      </c>
      <c r="C1511" s="137" t="s">
        <v>138</v>
      </c>
      <c r="D1511" s="1221" t="s">
        <v>1445</v>
      </c>
      <c r="E1511" s="137" t="s">
        <v>1446</v>
      </c>
      <c r="F1511" s="137">
        <v>980000</v>
      </c>
      <c r="G1511" s="137" t="s">
        <v>1208</v>
      </c>
      <c r="H1511" s="137" t="s">
        <v>271</v>
      </c>
      <c r="I1511" s="137" t="s">
        <v>36</v>
      </c>
      <c r="J1511" s="137">
        <v>1</v>
      </c>
      <c r="K1511" t="s">
        <v>1434</v>
      </c>
    </row>
    <row r="1512" spans="1:11" hidden="1" x14ac:dyDescent="0.3">
      <c r="A1512" s="137">
        <v>12</v>
      </c>
      <c r="B1512" s="1781" t="s">
        <v>1447</v>
      </c>
      <c r="C1512" s="137" t="s">
        <v>138</v>
      </c>
      <c r="D1512" s="1221" t="s">
        <v>1448</v>
      </c>
      <c r="E1512" s="137" t="s">
        <v>128</v>
      </c>
      <c r="F1512" s="137">
        <v>2000000</v>
      </c>
      <c r="G1512" s="137" t="s">
        <v>43</v>
      </c>
      <c r="H1512" s="137" t="s">
        <v>271</v>
      </c>
      <c r="I1512" s="137" t="s">
        <v>36</v>
      </c>
      <c r="J1512" s="137">
        <v>1</v>
      </c>
      <c r="K1512" t="s">
        <v>133</v>
      </c>
    </row>
    <row r="1513" spans="1:11" hidden="1" x14ac:dyDescent="0.3">
      <c r="A1513" s="137">
        <v>13</v>
      </c>
      <c r="B1513" s="1781" t="s">
        <v>1449</v>
      </c>
      <c r="C1513" s="137" t="s">
        <v>138</v>
      </c>
      <c r="D1513" s="1221" t="s">
        <v>1450</v>
      </c>
      <c r="E1513" s="137" t="s">
        <v>78</v>
      </c>
      <c r="F1513" s="137">
        <v>1400000</v>
      </c>
      <c r="G1513" s="137" t="s">
        <v>1423</v>
      </c>
      <c r="H1513" s="137" t="s">
        <v>271</v>
      </c>
      <c r="I1513" s="137" t="s">
        <v>36</v>
      </c>
      <c r="J1513" s="137">
        <v>1</v>
      </c>
      <c r="K1513" t="s">
        <v>1232</v>
      </c>
    </row>
    <row r="1514" spans="1:11" hidden="1" x14ac:dyDescent="0.3">
      <c r="A1514" s="137">
        <v>14</v>
      </c>
      <c r="B1514" s="1781" t="s">
        <v>1449</v>
      </c>
      <c r="C1514" s="137" t="s">
        <v>138</v>
      </c>
      <c r="D1514" s="1221" t="s">
        <v>1451</v>
      </c>
      <c r="E1514" s="137" t="s">
        <v>1452</v>
      </c>
      <c r="F1514" s="137">
        <v>1200000</v>
      </c>
      <c r="G1514" s="137" t="s">
        <v>43</v>
      </c>
      <c r="H1514" s="137" t="s">
        <v>271</v>
      </c>
      <c r="I1514" s="137" t="s">
        <v>36</v>
      </c>
      <c r="J1514" s="137">
        <v>1</v>
      </c>
      <c r="K1514" t="s">
        <v>133</v>
      </c>
    </row>
    <row r="1515" spans="1:11" hidden="1" x14ac:dyDescent="0.3">
      <c r="A1515" s="1781">
        <v>15</v>
      </c>
      <c r="B1515" s="3392" t="s">
        <v>1453</v>
      </c>
      <c r="C1515" s="150" t="s">
        <v>135</v>
      </c>
      <c r="D1515" s="1222" t="s">
        <v>1454</v>
      </c>
      <c r="E1515" s="150" t="s">
        <v>128</v>
      </c>
      <c r="F1515" s="1223">
        <v>1000000</v>
      </c>
      <c r="G1515" s="150" t="s">
        <v>43</v>
      </c>
      <c r="H1515" s="150" t="s">
        <v>271</v>
      </c>
      <c r="I1515" s="150" t="s">
        <v>36</v>
      </c>
      <c r="J1515" s="137">
        <v>1</v>
      </c>
      <c r="K1515" t="s">
        <v>133</v>
      </c>
    </row>
    <row r="1516" spans="1:11" hidden="1" x14ac:dyDescent="0.3">
      <c r="A1516" s="1781">
        <v>16</v>
      </c>
      <c r="B1516" s="3392" t="s">
        <v>1453</v>
      </c>
      <c r="C1516" s="150" t="s">
        <v>138</v>
      </c>
      <c r="D1516" s="1222" t="s">
        <v>710</v>
      </c>
      <c r="E1516" s="150" t="s">
        <v>869</v>
      </c>
      <c r="F1516" s="1223">
        <v>1200000</v>
      </c>
      <c r="G1516" s="150" t="s">
        <v>1095</v>
      </c>
      <c r="H1516" s="150" t="s">
        <v>271</v>
      </c>
      <c r="I1516" s="150" t="s">
        <v>36</v>
      </c>
      <c r="J1516" s="137">
        <v>1</v>
      </c>
      <c r="K1516" t="s">
        <v>1455</v>
      </c>
    </row>
    <row r="1517" spans="1:11" hidden="1" x14ac:dyDescent="0.3">
      <c r="A1517" s="1781">
        <v>17</v>
      </c>
      <c r="B1517" s="3392" t="s">
        <v>1456</v>
      </c>
      <c r="C1517" s="150" t="s">
        <v>138</v>
      </c>
      <c r="D1517" s="1222" t="s">
        <v>886</v>
      </c>
      <c r="E1517" s="150" t="s">
        <v>1452</v>
      </c>
      <c r="F1517" s="1223">
        <v>980000</v>
      </c>
      <c r="G1517" s="150" t="s">
        <v>43</v>
      </c>
      <c r="H1517" s="150" t="s">
        <v>271</v>
      </c>
      <c r="I1517" s="150" t="s">
        <v>36</v>
      </c>
      <c r="J1517" s="137">
        <v>1</v>
      </c>
      <c r="K1517" t="s">
        <v>1455</v>
      </c>
    </row>
    <row r="1518" spans="1:11" hidden="1" x14ac:dyDescent="0.3">
      <c r="A1518" s="1781">
        <v>18</v>
      </c>
      <c r="B1518" s="3392" t="s">
        <v>1457</v>
      </c>
      <c r="C1518" s="150" t="s">
        <v>138</v>
      </c>
      <c r="D1518" s="1222" t="s">
        <v>1458</v>
      </c>
      <c r="E1518" s="150" t="s">
        <v>148</v>
      </c>
      <c r="F1518" s="1223">
        <v>1380000</v>
      </c>
      <c r="G1518" s="150" t="s">
        <v>1459</v>
      </c>
      <c r="H1518" s="150" t="s">
        <v>271</v>
      </c>
      <c r="I1518" s="150" t="s">
        <v>36</v>
      </c>
      <c r="J1518" s="137">
        <v>1</v>
      </c>
      <c r="K1518" t="s">
        <v>1455</v>
      </c>
    </row>
    <row r="1519" spans="1:11" hidden="1" x14ac:dyDescent="0.3">
      <c r="A1519" s="1781">
        <v>19</v>
      </c>
      <c r="B1519" s="1781" t="s">
        <v>1457</v>
      </c>
      <c r="C1519" s="150" t="s">
        <v>138</v>
      </c>
      <c r="D1519" s="1222" t="s">
        <v>1460</v>
      </c>
      <c r="E1519" s="150" t="s">
        <v>125</v>
      </c>
      <c r="F1519" s="1223">
        <v>1500000</v>
      </c>
      <c r="G1519" s="150"/>
      <c r="H1519" s="150" t="s">
        <v>271</v>
      </c>
      <c r="I1519" s="150" t="s">
        <v>36</v>
      </c>
      <c r="J1519" s="137">
        <v>1</v>
      </c>
      <c r="K1519" t="s">
        <v>1232</v>
      </c>
    </row>
    <row r="1520" spans="1:11" hidden="1" x14ac:dyDescent="0.3">
      <c r="A1520" s="1781">
        <v>20</v>
      </c>
      <c r="B1520" s="1781" t="s">
        <v>1457</v>
      </c>
      <c r="C1520" s="150" t="s">
        <v>138</v>
      </c>
      <c r="D1520" s="641" t="s">
        <v>1461</v>
      </c>
      <c r="E1520" s="150" t="s">
        <v>78</v>
      </c>
      <c r="F1520" s="1223">
        <v>1900000</v>
      </c>
      <c r="G1520" s="150" t="s">
        <v>1462</v>
      </c>
      <c r="H1520" s="150" t="s">
        <v>271</v>
      </c>
      <c r="I1520" s="150" t="s">
        <v>36</v>
      </c>
      <c r="J1520" s="137">
        <v>1</v>
      </c>
      <c r="K1520" t="s">
        <v>133</v>
      </c>
    </row>
    <row r="1521" spans="1:11" hidden="1" x14ac:dyDescent="0.3">
      <c r="A1521" s="1781"/>
      <c r="B1521" s="1781"/>
      <c r="C1521" s="150"/>
      <c r="D1521" s="641"/>
      <c r="E1521" s="150"/>
      <c r="F1521" s="1223"/>
      <c r="G1521" s="150"/>
      <c r="H1521" s="150"/>
      <c r="I1521" s="150"/>
      <c r="J1521" s="137"/>
    </row>
    <row r="1522" spans="1:11" ht="24.6" hidden="1" x14ac:dyDescent="0.4">
      <c r="A1522" s="1781"/>
      <c r="B1522" s="1781"/>
      <c r="C1522" s="150"/>
      <c r="D1522" s="641"/>
      <c r="E1522" s="150"/>
      <c r="F1522" s="151"/>
      <c r="G1522" s="150"/>
      <c r="H1522" s="150"/>
      <c r="I1522" s="150"/>
      <c r="J1522" s="932">
        <f>SUM(J1501:J1521)</f>
        <v>20</v>
      </c>
    </row>
    <row r="1523" spans="1:11" ht="24.6" hidden="1" x14ac:dyDescent="0.4">
      <c r="A1523" s="3462" t="s">
        <v>33</v>
      </c>
      <c r="B1523" s="3462"/>
      <c r="C1523" s="3462"/>
      <c r="D1523" s="3462"/>
      <c r="E1523" s="3462"/>
      <c r="F1523" s="3462"/>
      <c r="G1523" s="3462"/>
      <c r="H1523" s="3462"/>
      <c r="I1523" s="3462"/>
      <c r="J1523" s="3462"/>
    </row>
    <row r="1524" spans="1:11" hidden="1" x14ac:dyDescent="0.3">
      <c r="A1524" s="137" t="s">
        <v>3</v>
      </c>
      <c r="B1524" s="1781" t="s">
        <v>4</v>
      </c>
      <c r="C1524" s="137" t="s">
        <v>5</v>
      </c>
      <c r="D1524" s="137" t="s">
        <v>6</v>
      </c>
      <c r="E1524" s="137" t="s">
        <v>7</v>
      </c>
      <c r="F1524" s="137" t="s">
        <v>8</v>
      </c>
      <c r="G1524" s="137" t="s">
        <v>9</v>
      </c>
      <c r="H1524" s="137" t="s">
        <v>10</v>
      </c>
      <c r="I1524" s="137" t="s">
        <v>11</v>
      </c>
      <c r="J1524" s="137" t="s">
        <v>12</v>
      </c>
    </row>
    <row r="1525" spans="1:11" hidden="1" x14ac:dyDescent="0.3">
      <c r="A1525" s="549">
        <v>1</v>
      </c>
      <c r="B1525" s="3393" t="s">
        <v>1463</v>
      </c>
      <c r="C1525" s="152" t="s">
        <v>138</v>
      </c>
      <c r="D1525" s="1222" t="s">
        <v>1239</v>
      </c>
      <c r="E1525" s="152" t="s">
        <v>78</v>
      </c>
      <c r="F1525" s="152">
        <v>260000000</v>
      </c>
      <c r="G1525" s="152" t="s">
        <v>1237</v>
      </c>
      <c r="H1525" s="152" t="s">
        <v>271</v>
      </c>
      <c r="I1525" s="152" t="s">
        <v>36</v>
      </c>
      <c r="J1525" s="200">
        <v>1</v>
      </c>
    </row>
    <row r="1526" spans="1:11" hidden="1" x14ac:dyDescent="0.3">
      <c r="A1526" s="549" t="s">
        <v>3</v>
      </c>
      <c r="B1526" s="3393" t="s">
        <v>1464</v>
      </c>
      <c r="C1526" s="152" t="s">
        <v>138</v>
      </c>
      <c r="D1526" s="1222" t="s">
        <v>1465</v>
      </c>
      <c r="E1526" s="152" t="s">
        <v>78</v>
      </c>
      <c r="F1526" s="152">
        <v>300000000</v>
      </c>
      <c r="G1526" s="152" t="s">
        <v>1255</v>
      </c>
      <c r="H1526" s="152" t="s">
        <v>271</v>
      </c>
      <c r="I1526" s="152" t="s">
        <v>36</v>
      </c>
      <c r="J1526" s="200">
        <v>1</v>
      </c>
    </row>
    <row r="1527" spans="1:11" hidden="1" x14ac:dyDescent="0.3">
      <c r="A1527" s="597">
        <v>3</v>
      </c>
      <c r="B1527" s="3394" t="s">
        <v>1466</v>
      </c>
      <c r="C1527" s="154" t="s">
        <v>138</v>
      </c>
      <c r="D1527" s="1822" t="s">
        <v>1467</v>
      </c>
      <c r="E1527" s="154" t="s">
        <v>125</v>
      </c>
      <c r="F1527" s="154">
        <v>160000000</v>
      </c>
      <c r="G1527" s="154" t="s">
        <v>43</v>
      </c>
      <c r="H1527" s="154" t="s">
        <v>1468</v>
      </c>
      <c r="I1527" s="154" t="s">
        <v>44</v>
      </c>
      <c r="J1527" s="598">
        <v>1</v>
      </c>
    </row>
    <row r="1528" spans="1:11" hidden="1" x14ac:dyDescent="0.3">
      <c r="A1528" s="595">
        <v>4</v>
      </c>
      <c r="B1528" s="3395" t="s">
        <v>1463</v>
      </c>
      <c r="C1528" s="156" t="s">
        <v>223</v>
      </c>
      <c r="D1528" s="1088" t="s">
        <v>1469</v>
      </c>
      <c r="E1528" s="156" t="s">
        <v>125</v>
      </c>
      <c r="F1528" s="156">
        <v>170000000</v>
      </c>
      <c r="G1528" s="156" t="s">
        <v>43</v>
      </c>
      <c r="H1528" s="156" t="s">
        <v>1468</v>
      </c>
      <c r="I1528" s="156" t="s">
        <v>44</v>
      </c>
      <c r="J1528" s="144">
        <v>1</v>
      </c>
    </row>
    <row r="1529" spans="1:11" hidden="1" x14ac:dyDescent="0.3">
      <c r="A1529" s="595">
        <v>5</v>
      </c>
      <c r="B1529" s="3395" t="s">
        <v>1470</v>
      </c>
      <c r="C1529" s="156" t="s">
        <v>135</v>
      </c>
      <c r="D1529" s="1088" t="s">
        <v>1471</v>
      </c>
      <c r="E1529" s="156" t="s">
        <v>39</v>
      </c>
      <c r="F1529" s="156">
        <v>425500000</v>
      </c>
      <c r="G1529" s="156" t="s">
        <v>43</v>
      </c>
      <c r="H1529" s="156" t="s">
        <v>1468</v>
      </c>
      <c r="I1529" s="156" t="s">
        <v>44</v>
      </c>
      <c r="J1529" s="144">
        <v>1</v>
      </c>
    </row>
    <row r="1530" spans="1:11" ht="24.6" hidden="1" x14ac:dyDescent="0.4">
      <c r="A1530" s="887"/>
      <c r="B1530" s="922"/>
      <c r="C1530" s="887"/>
      <c r="D1530" s="887"/>
      <c r="E1530" s="887"/>
      <c r="F1530" s="887"/>
      <c r="G1530" s="887"/>
      <c r="H1530" s="887"/>
      <c r="I1530" s="887"/>
      <c r="J1530" s="933">
        <f>J1525+J1526+J1527+J1528+J1529</f>
        <v>5</v>
      </c>
    </row>
    <row r="1531" spans="1:11" hidden="1" x14ac:dyDescent="0.3"/>
    <row r="1532" spans="1:11" hidden="1" x14ac:dyDescent="0.3"/>
    <row r="1533" spans="1:11" ht="23.4" hidden="1" x14ac:dyDescent="0.3">
      <c r="A1533" s="3470" t="s">
        <v>582</v>
      </c>
      <c r="B1533" s="3470"/>
      <c r="C1533" s="3470"/>
      <c r="D1533" s="3470"/>
      <c r="E1533" s="3470"/>
      <c r="F1533" s="3470"/>
      <c r="G1533" s="3470"/>
      <c r="H1533" s="3470"/>
      <c r="I1533" s="3470"/>
      <c r="J1533" s="3470"/>
    </row>
    <row r="1534" spans="1:11" ht="15.6" hidden="1" x14ac:dyDescent="0.3">
      <c r="A1534" s="3461" t="s">
        <v>2</v>
      </c>
      <c r="B1534" s="3461"/>
      <c r="C1534" s="3461"/>
      <c r="D1534" s="3461"/>
      <c r="E1534" s="3461"/>
      <c r="F1534" s="3461"/>
      <c r="G1534" s="3461"/>
      <c r="H1534" s="3461"/>
      <c r="I1534" s="3461"/>
      <c r="J1534" s="3461"/>
    </row>
    <row r="1535" spans="1:11" hidden="1" x14ac:dyDescent="0.3">
      <c r="A1535" s="137" t="s">
        <v>3</v>
      </c>
      <c r="B1535" s="1781" t="s">
        <v>4</v>
      </c>
      <c r="C1535" s="137" t="s">
        <v>5</v>
      </c>
      <c r="D1535" s="137" t="s">
        <v>6</v>
      </c>
      <c r="E1535" s="137" t="s">
        <v>7</v>
      </c>
      <c r="F1535" s="137" t="s">
        <v>8</v>
      </c>
      <c r="G1535" s="137" t="s">
        <v>9</v>
      </c>
      <c r="H1535" s="137" t="s">
        <v>10</v>
      </c>
      <c r="I1535" s="137" t="s">
        <v>11</v>
      </c>
      <c r="J1535" s="137" t="s">
        <v>12</v>
      </c>
    </row>
    <row r="1536" spans="1:11" hidden="1" x14ac:dyDescent="0.3">
      <c r="A1536" s="137">
        <v>1</v>
      </c>
      <c r="B1536" s="1781" t="s">
        <v>1421</v>
      </c>
      <c r="C1536" s="137" t="s">
        <v>138</v>
      </c>
      <c r="D1536" s="1221" t="s">
        <v>1472</v>
      </c>
      <c r="E1536" s="137" t="s">
        <v>180</v>
      </c>
      <c r="F1536" s="137">
        <v>1600000</v>
      </c>
      <c r="G1536" s="137" t="s">
        <v>1064</v>
      </c>
      <c r="H1536" s="137" t="s">
        <v>271</v>
      </c>
      <c r="I1536" s="137" t="s">
        <v>36</v>
      </c>
      <c r="J1536" s="137">
        <v>1</v>
      </c>
      <c r="K1536" t="s">
        <v>133</v>
      </c>
    </row>
    <row r="1537" spans="1:11" hidden="1" x14ac:dyDescent="0.3">
      <c r="A1537" s="137">
        <v>2</v>
      </c>
      <c r="B1537" s="1781" t="s">
        <v>1421</v>
      </c>
      <c r="C1537" s="137" t="s">
        <v>138</v>
      </c>
      <c r="D1537" s="1221" t="s">
        <v>1473</v>
      </c>
      <c r="E1537" s="137" t="s">
        <v>962</v>
      </c>
      <c r="F1537" s="137">
        <v>1100000</v>
      </c>
      <c r="G1537" s="137" t="s">
        <v>43</v>
      </c>
      <c r="H1537" s="137" t="s">
        <v>271</v>
      </c>
      <c r="I1537" s="137" t="s">
        <v>36</v>
      </c>
      <c r="J1537" s="137">
        <v>1</v>
      </c>
      <c r="K1537" t="s">
        <v>1232</v>
      </c>
    </row>
    <row r="1538" spans="1:11" hidden="1" x14ac:dyDescent="0.3">
      <c r="A1538" s="137">
        <v>3</v>
      </c>
      <c r="B1538" s="1781" t="s">
        <v>1421</v>
      </c>
      <c r="C1538" s="137" t="s">
        <v>138</v>
      </c>
      <c r="D1538" s="1221" t="s">
        <v>1474</v>
      </c>
      <c r="E1538" s="137" t="s">
        <v>1105</v>
      </c>
      <c r="F1538" s="137">
        <v>1300000</v>
      </c>
      <c r="G1538" s="137" t="s">
        <v>397</v>
      </c>
      <c r="H1538" s="137" t="s">
        <v>271</v>
      </c>
      <c r="I1538" s="137" t="s">
        <v>36</v>
      </c>
      <c r="J1538" s="137">
        <v>1</v>
      </c>
      <c r="K1538" t="s">
        <v>133</v>
      </c>
    </row>
    <row r="1539" spans="1:11" hidden="1" x14ac:dyDescent="0.3">
      <c r="A1539" s="137">
        <v>4</v>
      </c>
      <c r="B1539" s="1781" t="s">
        <v>1427</v>
      </c>
      <c r="C1539" s="137" t="s">
        <v>138</v>
      </c>
      <c r="D1539" s="1221" t="s">
        <v>1475</v>
      </c>
      <c r="E1539" s="137" t="s">
        <v>1476</v>
      </c>
      <c r="F1539" s="137">
        <v>1600000</v>
      </c>
      <c r="G1539" s="137" t="s">
        <v>1477</v>
      </c>
      <c r="H1539" s="137" t="s">
        <v>271</v>
      </c>
      <c r="I1539" s="137" t="s">
        <v>36</v>
      </c>
      <c r="J1539" s="137">
        <v>1</v>
      </c>
      <c r="K1539" t="s">
        <v>133</v>
      </c>
    </row>
    <row r="1540" spans="1:11" hidden="1" x14ac:dyDescent="0.3">
      <c r="A1540" s="137">
        <v>5</v>
      </c>
      <c r="B1540" s="1781" t="s">
        <v>1478</v>
      </c>
      <c r="C1540" s="137" t="s">
        <v>138</v>
      </c>
      <c r="D1540" s="1221" t="s">
        <v>1479</v>
      </c>
      <c r="E1540" s="137" t="s">
        <v>962</v>
      </c>
      <c r="F1540" s="137">
        <v>1200000</v>
      </c>
      <c r="G1540" s="137" t="s">
        <v>854</v>
      </c>
      <c r="H1540" s="137" t="s">
        <v>271</v>
      </c>
      <c r="I1540" s="137" t="s">
        <v>36</v>
      </c>
      <c r="J1540" s="137">
        <v>1</v>
      </c>
      <c r="K1540" t="s">
        <v>133</v>
      </c>
    </row>
    <row r="1541" spans="1:11" hidden="1" x14ac:dyDescent="0.3">
      <c r="A1541" s="137">
        <v>6</v>
      </c>
      <c r="B1541" s="1781" t="s">
        <v>1478</v>
      </c>
      <c r="C1541" s="137" t="s">
        <v>138</v>
      </c>
      <c r="D1541" s="1221" t="s">
        <v>1480</v>
      </c>
      <c r="E1541" s="137" t="s">
        <v>962</v>
      </c>
      <c r="F1541" s="137">
        <v>1300000</v>
      </c>
      <c r="G1541" s="137" t="s">
        <v>854</v>
      </c>
      <c r="H1541" s="137" t="s">
        <v>271</v>
      </c>
      <c r="I1541" s="137" t="s">
        <v>36</v>
      </c>
      <c r="J1541" s="137">
        <v>1</v>
      </c>
      <c r="K1541" t="s">
        <v>133</v>
      </c>
    </row>
    <row r="1542" spans="1:11" hidden="1" x14ac:dyDescent="0.3">
      <c r="A1542" s="137">
        <v>7</v>
      </c>
      <c r="B1542" s="1781" t="s">
        <v>1435</v>
      </c>
      <c r="C1542" s="150" t="s">
        <v>138</v>
      </c>
      <c r="D1542" s="1222" t="s">
        <v>1481</v>
      </c>
      <c r="E1542" s="150" t="s">
        <v>962</v>
      </c>
      <c r="F1542" s="1223">
        <v>1200000</v>
      </c>
      <c r="G1542" s="150" t="s">
        <v>854</v>
      </c>
      <c r="H1542" s="150" t="s">
        <v>271</v>
      </c>
      <c r="I1542" s="150" t="s">
        <v>36</v>
      </c>
      <c r="J1542" s="137">
        <v>1</v>
      </c>
      <c r="K1542" t="s">
        <v>1482</v>
      </c>
    </row>
    <row r="1543" spans="1:11" hidden="1" x14ac:dyDescent="0.3">
      <c r="A1543" s="137">
        <v>8</v>
      </c>
      <c r="B1543" s="1781" t="s">
        <v>1435</v>
      </c>
      <c r="C1543" s="137" t="s">
        <v>138</v>
      </c>
      <c r="D1543" s="1221" t="s">
        <v>1483</v>
      </c>
      <c r="E1543" s="137" t="s">
        <v>883</v>
      </c>
      <c r="F1543" s="137">
        <v>1150000</v>
      </c>
      <c r="G1543" s="137" t="s">
        <v>1122</v>
      </c>
      <c r="H1543" s="137" t="s">
        <v>271</v>
      </c>
      <c r="I1543" s="137" t="s">
        <v>36</v>
      </c>
      <c r="J1543" s="137">
        <v>1</v>
      </c>
      <c r="K1543" t="s">
        <v>1482</v>
      </c>
    </row>
    <row r="1544" spans="1:11" hidden="1" x14ac:dyDescent="0.3">
      <c r="A1544" s="137">
        <v>9</v>
      </c>
      <c r="B1544" s="1781" t="s">
        <v>1435</v>
      </c>
      <c r="C1544" s="137" t="s">
        <v>138</v>
      </c>
      <c r="D1544" s="1221" t="s">
        <v>1484</v>
      </c>
      <c r="E1544" s="137" t="s">
        <v>1105</v>
      </c>
      <c r="F1544" s="137">
        <v>1200000</v>
      </c>
      <c r="G1544" s="137" t="s">
        <v>1106</v>
      </c>
      <c r="H1544" s="137" t="s">
        <v>271</v>
      </c>
      <c r="I1544" s="137" t="s">
        <v>36</v>
      </c>
      <c r="J1544" s="137">
        <v>1</v>
      </c>
      <c r="K1544" t="s">
        <v>1485</v>
      </c>
    </row>
    <row r="1545" spans="1:11" hidden="1" x14ac:dyDescent="0.3">
      <c r="A1545" s="137">
        <v>10</v>
      </c>
      <c r="B1545" s="1781" t="s">
        <v>1486</v>
      </c>
      <c r="C1545" s="137" t="s">
        <v>138</v>
      </c>
      <c r="D1545" s="1221" t="s">
        <v>1487</v>
      </c>
      <c r="E1545" s="137" t="s">
        <v>1488</v>
      </c>
      <c r="F1545" s="137">
        <v>1400000</v>
      </c>
      <c r="G1545" s="137" t="s">
        <v>43</v>
      </c>
      <c r="H1545" s="137" t="s">
        <v>271</v>
      </c>
      <c r="I1545" s="137" t="s">
        <v>36</v>
      </c>
      <c r="J1545" s="137">
        <v>1</v>
      </c>
      <c r="K1545" t="s">
        <v>1485</v>
      </c>
    </row>
    <row r="1546" spans="1:11" hidden="1" x14ac:dyDescent="0.3">
      <c r="A1546" s="137">
        <v>11</v>
      </c>
      <c r="B1546" s="1781" t="s">
        <v>1486</v>
      </c>
      <c r="C1546" s="137" t="s">
        <v>138</v>
      </c>
      <c r="D1546" s="1221" t="s">
        <v>1489</v>
      </c>
      <c r="E1546" s="137" t="s">
        <v>962</v>
      </c>
      <c r="F1546" s="137">
        <v>1250000</v>
      </c>
      <c r="G1546" s="137" t="s">
        <v>854</v>
      </c>
      <c r="H1546" s="137" t="s">
        <v>271</v>
      </c>
      <c r="I1546" s="137" t="s">
        <v>36</v>
      </c>
      <c r="J1546" s="137">
        <v>1</v>
      </c>
      <c r="K1546" t="s">
        <v>1485</v>
      </c>
    </row>
    <row r="1547" spans="1:11" hidden="1" x14ac:dyDescent="0.3">
      <c r="A1547" s="137">
        <v>12</v>
      </c>
      <c r="B1547" s="1781" t="s">
        <v>1490</v>
      </c>
      <c r="C1547" s="137" t="s">
        <v>138</v>
      </c>
      <c r="D1547" s="1221" t="s">
        <v>1491</v>
      </c>
      <c r="E1547" s="137" t="s">
        <v>1105</v>
      </c>
      <c r="F1547" s="137">
        <v>1400000</v>
      </c>
      <c r="G1547" s="137" t="s">
        <v>1492</v>
      </c>
      <c r="H1547" s="137" t="s">
        <v>271</v>
      </c>
      <c r="I1547" s="137" t="s">
        <v>36</v>
      </c>
      <c r="J1547" s="137">
        <v>1</v>
      </c>
      <c r="K1547" t="s">
        <v>1485</v>
      </c>
    </row>
    <row r="1548" spans="1:11" hidden="1" x14ac:dyDescent="0.3">
      <c r="A1548" s="137">
        <v>13</v>
      </c>
      <c r="B1548" s="1781" t="s">
        <v>1490</v>
      </c>
      <c r="C1548" s="137" t="s">
        <v>138</v>
      </c>
      <c r="D1548" s="1221" t="s">
        <v>1493</v>
      </c>
      <c r="E1548" s="137" t="s">
        <v>1494</v>
      </c>
      <c r="F1548" s="137">
        <v>1250000</v>
      </c>
      <c r="G1548" s="137" t="s">
        <v>854</v>
      </c>
      <c r="H1548" s="137" t="s">
        <v>271</v>
      </c>
      <c r="I1548" s="137" t="s">
        <v>36</v>
      </c>
      <c r="J1548" s="137">
        <v>1</v>
      </c>
      <c r="K1548" t="s">
        <v>1485</v>
      </c>
    </row>
    <row r="1549" spans="1:11" hidden="1" x14ac:dyDescent="0.3">
      <c r="A1549" s="137">
        <v>14</v>
      </c>
      <c r="B1549" s="1781" t="s">
        <v>1490</v>
      </c>
      <c r="C1549" s="137" t="s">
        <v>138</v>
      </c>
      <c r="D1549" s="1221" t="s">
        <v>1495</v>
      </c>
      <c r="E1549" s="137" t="s">
        <v>962</v>
      </c>
      <c r="F1549" s="137">
        <v>1300000</v>
      </c>
      <c r="G1549" s="137" t="s">
        <v>854</v>
      </c>
      <c r="H1549" s="137" t="s">
        <v>271</v>
      </c>
      <c r="I1549" s="137" t="s">
        <v>36</v>
      </c>
      <c r="J1549" s="137">
        <v>1</v>
      </c>
      <c r="K1549" t="s">
        <v>1485</v>
      </c>
    </row>
    <row r="1550" spans="1:11" hidden="1" x14ac:dyDescent="0.3">
      <c r="A1550" s="1781">
        <v>15</v>
      </c>
      <c r="B1550" s="3392" t="s">
        <v>1496</v>
      </c>
      <c r="C1550" s="150" t="s">
        <v>138</v>
      </c>
      <c r="D1550" s="1222" t="s">
        <v>1497</v>
      </c>
      <c r="E1550" s="150" t="s">
        <v>1498</v>
      </c>
      <c r="F1550" s="1223">
        <v>1500000</v>
      </c>
      <c r="G1550" s="150" t="s">
        <v>43</v>
      </c>
      <c r="H1550" s="150" t="s">
        <v>271</v>
      </c>
      <c r="I1550" s="150" t="s">
        <v>36</v>
      </c>
      <c r="J1550" s="137">
        <v>1</v>
      </c>
      <c r="K1550" t="s">
        <v>1455</v>
      </c>
    </row>
    <row r="1551" spans="1:11" hidden="1" x14ac:dyDescent="0.3">
      <c r="A1551" s="1781">
        <v>16</v>
      </c>
      <c r="B1551" s="3392" t="s">
        <v>1499</v>
      </c>
      <c r="C1551" s="150" t="s">
        <v>135</v>
      </c>
      <c r="D1551" s="1222" t="s">
        <v>1500</v>
      </c>
      <c r="E1551" s="150" t="s">
        <v>1501</v>
      </c>
      <c r="F1551" s="1223">
        <v>600000</v>
      </c>
      <c r="G1551" s="150" t="s">
        <v>43</v>
      </c>
      <c r="H1551" s="150" t="s">
        <v>271</v>
      </c>
      <c r="I1551" s="150" t="s">
        <v>36</v>
      </c>
      <c r="J1551" s="137">
        <v>1</v>
      </c>
      <c r="K1551" t="s">
        <v>133</v>
      </c>
    </row>
    <row r="1552" spans="1:11" hidden="1" x14ac:dyDescent="0.3">
      <c r="A1552" s="1781">
        <v>17</v>
      </c>
      <c r="B1552" s="3392" t="s">
        <v>1502</v>
      </c>
      <c r="C1552" s="150" t="s">
        <v>138</v>
      </c>
      <c r="D1552" s="1222" t="s">
        <v>457</v>
      </c>
      <c r="E1552" s="150" t="s">
        <v>1105</v>
      </c>
      <c r="F1552" s="1223">
        <v>1300000</v>
      </c>
      <c r="G1552" s="150" t="s">
        <v>397</v>
      </c>
      <c r="H1552" s="150" t="s">
        <v>271</v>
      </c>
      <c r="I1552" s="150" t="s">
        <v>36</v>
      </c>
      <c r="J1552" s="137">
        <v>1</v>
      </c>
      <c r="K1552" t="s">
        <v>133</v>
      </c>
    </row>
    <row r="1553" spans="1:11" hidden="1" x14ac:dyDescent="0.3">
      <c r="A1553" s="1781">
        <v>18</v>
      </c>
      <c r="B1553" s="3392" t="s">
        <v>1502</v>
      </c>
      <c r="C1553" s="150" t="s">
        <v>138</v>
      </c>
      <c r="D1553" s="1222" t="s">
        <v>1503</v>
      </c>
      <c r="E1553" s="150" t="s">
        <v>1105</v>
      </c>
      <c r="F1553" s="1223">
        <v>1500000</v>
      </c>
      <c r="G1553" s="150" t="s">
        <v>397</v>
      </c>
      <c r="H1553" s="150" t="s">
        <v>271</v>
      </c>
      <c r="I1553" s="150" t="s">
        <v>36</v>
      </c>
      <c r="J1553" s="137">
        <v>1</v>
      </c>
      <c r="K1553" t="s">
        <v>1455</v>
      </c>
    </row>
    <row r="1554" spans="1:11" hidden="1" x14ac:dyDescent="0.3">
      <c r="A1554" s="1781">
        <v>19</v>
      </c>
      <c r="B1554" s="1781" t="s">
        <v>1447</v>
      </c>
      <c r="C1554" s="150" t="s">
        <v>138</v>
      </c>
      <c r="D1554" s="1222" t="s">
        <v>1504</v>
      </c>
      <c r="E1554" s="150" t="s">
        <v>1105</v>
      </c>
      <c r="F1554" s="1223">
        <v>1350000</v>
      </c>
      <c r="G1554" s="150" t="s">
        <v>397</v>
      </c>
      <c r="H1554" s="150" t="s">
        <v>271</v>
      </c>
      <c r="I1554" s="150" t="s">
        <v>36</v>
      </c>
      <c r="J1554" s="137">
        <v>1</v>
      </c>
      <c r="K1554" t="s">
        <v>133</v>
      </c>
    </row>
    <row r="1555" spans="1:11" hidden="1" x14ac:dyDescent="0.3">
      <c r="A1555" s="1781">
        <v>20</v>
      </c>
      <c r="B1555" s="1781" t="s">
        <v>1447</v>
      </c>
      <c r="C1555" s="150" t="s">
        <v>138</v>
      </c>
      <c r="D1555" s="1222" t="s">
        <v>1505</v>
      </c>
      <c r="E1555" s="150" t="s">
        <v>802</v>
      </c>
      <c r="F1555" s="1223">
        <v>1150000</v>
      </c>
      <c r="G1555" s="150" t="s">
        <v>962</v>
      </c>
      <c r="H1555" s="150" t="s">
        <v>271</v>
      </c>
      <c r="I1555" s="150" t="s">
        <v>36</v>
      </c>
      <c r="J1555" s="137">
        <v>1</v>
      </c>
      <c r="K1555" t="s">
        <v>1232</v>
      </c>
    </row>
    <row r="1556" spans="1:11" hidden="1" x14ac:dyDescent="0.3">
      <c r="A1556" s="1781"/>
      <c r="B1556" s="1781"/>
      <c r="C1556" s="150"/>
      <c r="D1556" s="641"/>
      <c r="E1556" s="150"/>
      <c r="F1556" s="1223"/>
      <c r="G1556" s="150"/>
      <c r="H1556" s="150"/>
      <c r="I1556" s="150"/>
      <c r="J1556" s="137"/>
    </row>
    <row r="1557" spans="1:11" ht="24.6" hidden="1" x14ac:dyDescent="0.4">
      <c r="A1557" s="1781"/>
      <c r="B1557" s="1781"/>
      <c r="C1557" s="150"/>
      <c r="D1557" s="641"/>
      <c r="E1557" s="150"/>
      <c r="F1557" s="151"/>
      <c r="G1557" s="150"/>
      <c r="H1557" s="150"/>
      <c r="I1557" s="150"/>
      <c r="J1557" s="932">
        <f>SUM(J1536:J1556)</f>
        <v>20</v>
      </c>
    </row>
    <row r="1558" spans="1:11" ht="24.6" hidden="1" x14ac:dyDescent="0.4">
      <c r="A1558" s="3462" t="s">
        <v>33</v>
      </c>
      <c r="B1558" s="3462"/>
      <c r="C1558" s="3462"/>
      <c r="D1558" s="3462"/>
      <c r="E1558" s="3462"/>
      <c r="F1558" s="3462"/>
      <c r="G1558" s="3462"/>
      <c r="H1558" s="3462"/>
      <c r="I1558" s="3462"/>
      <c r="J1558" s="3462"/>
    </row>
    <row r="1559" spans="1:11" hidden="1" x14ac:dyDescent="0.3">
      <c r="A1559" s="137" t="s">
        <v>3</v>
      </c>
      <c r="B1559" s="1781" t="s">
        <v>4</v>
      </c>
      <c r="C1559" s="137" t="s">
        <v>5</v>
      </c>
      <c r="D1559" s="137" t="s">
        <v>6</v>
      </c>
      <c r="E1559" s="137" t="s">
        <v>7</v>
      </c>
      <c r="F1559" s="137" t="s">
        <v>8</v>
      </c>
      <c r="G1559" s="137" t="s">
        <v>9</v>
      </c>
      <c r="H1559" s="137" t="s">
        <v>10</v>
      </c>
      <c r="I1559" s="137" t="s">
        <v>11</v>
      </c>
      <c r="J1559" s="147" t="s">
        <v>12</v>
      </c>
    </row>
    <row r="1560" spans="1:11" hidden="1" x14ac:dyDescent="0.3">
      <c r="A1560" s="549">
        <v>1</v>
      </c>
      <c r="B1560" s="3393" t="s">
        <v>1506</v>
      </c>
      <c r="C1560" s="152" t="s">
        <v>138</v>
      </c>
      <c r="D1560" s="1222" t="s">
        <v>1507</v>
      </c>
      <c r="E1560" s="152" t="s">
        <v>180</v>
      </c>
      <c r="F1560" s="152">
        <v>330000000</v>
      </c>
      <c r="G1560" s="152" t="s">
        <v>1064</v>
      </c>
      <c r="H1560" s="152" t="s">
        <v>271</v>
      </c>
      <c r="I1560" s="1825" t="s">
        <v>36</v>
      </c>
      <c r="J1560" s="144">
        <v>1</v>
      </c>
    </row>
    <row r="1561" spans="1:11" hidden="1" x14ac:dyDescent="0.3">
      <c r="A1561" s="549" t="s">
        <v>3</v>
      </c>
      <c r="B1561" s="3393" t="s">
        <v>1421</v>
      </c>
      <c r="C1561" s="152" t="s">
        <v>138</v>
      </c>
      <c r="D1561" s="1222" t="s">
        <v>1508</v>
      </c>
      <c r="E1561" s="152" t="s">
        <v>962</v>
      </c>
      <c r="F1561" s="152">
        <v>320000000</v>
      </c>
      <c r="G1561" s="152" t="s">
        <v>604</v>
      </c>
      <c r="H1561" s="152" t="s">
        <v>271</v>
      </c>
      <c r="I1561" s="1825" t="s">
        <v>36</v>
      </c>
      <c r="J1561" s="144">
        <v>1</v>
      </c>
    </row>
    <row r="1562" spans="1:11" hidden="1" x14ac:dyDescent="0.3">
      <c r="A1562" s="597">
        <v>3</v>
      </c>
      <c r="B1562" s="3394" t="s">
        <v>1421</v>
      </c>
      <c r="C1562" s="154" t="s">
        <v>138</v>
      </c>
      <c r="D1562" s="1822" t="s">
        <v>1509</v>
      </c>
      <c r="E1562" s="154" t="s">
        <v>1105</v>
      </c>
      <c r="F1562" s="154">
        <v>265000000</v>
      </c>
      <c r="G1562" s="154" t="s">
        <v>1510</v>
      </c>
      <c r="H1562" s="154" t="s">
        <v>271</v>
      </c>
      <c r="I1562" s="1826" t="s">
        <v>36</v>
      </c>
      <c r="J1562" s="144">
        <v>1</v>
      </c>
    </row>
    <row r="1563" spans="1:11" hidden="1" x14ac:dyDescent="0.3">
      <c r="A1563" s="1828">
        <v>4</v>
      </c>
      <c r="B1563" s="1569" t="s">
        <v>1511</v>
      </c>
      <c r="C1563" s="1828" t="s">
        <v>138</v>
      </c>
      <c r="D1563" s="1828" t="s">
        <v>1512</v>
      </c>
      <c r="E1563" s="1828" t="s">
        <v>904</v>
      </c>
      <c r="F1563" s="1828">
        <v>220000000</v>
      </c>
      <c r="G1563" s="1828" t="s">
        <v>1513</v>
      </c>
      <c r="H1563" s="1828" t="s">
        <v>271</v>
      </c>
      <c r="I1563" s="1829" t="s">
        <v>36</v>
      </c>
      <c r="J1563" s="144">
        <v>1</v>
      </c>
    </row>
    <row r="1564" spans="1:11" hidden="1" x14ac:dyDescent="0.3">
      <c r="A1564" s="11"/>
      <c r="B1564" s="3403"/>
      <c r="C1564" s="1827"/>
      <c r="D1564" s="1827"/>
      <c r="E1564" s="1827"/>
      <c r="F1564" s="1827"/>
      <c r="G1564" s="1827"/>
      <c r="H1564" s="1827"/>
      <c r="I1564" s="1827"/>
      <c r="J1564" s="1830">
        <v>4</v>
      </c>
    </row>
    <row r="1565" spans="1:11" hidden="1" x14ac:dyDescent="0.3"/>
    <row r="1566" spans="1:11" ht="23.4" hidden="1" x14ac:dyDescent="0.3">
      <c r="A1566" s="3470" t="s">
        <v>1169</v>
      </c>
      <c r="B1566" s="3470"/>
      <c r="C1566" s="3470"/>
      <c r="D1566" s="3470"/>
      <c r="E1566" s="3470"/>
      <c r="F1566" s="3470"/>
      <c r="G1566" s="3470"/>
      <c r="H1566" s="3470"/>
      <c r="I1566" s="3470"/>
      <c r="J1566" s="3470"/>
    </row>
    <row r="1567" spans="1:11" ht="15.6" hidden="1" x14ac:dyDescent="0.3">
      <c r="A1567" s="3461" t="s">
        <v>2</v>
      </c>
      <c r="B1567" s="3461"/>
      <c r="C1567" s="3461"/>
      <c r="D1567" s="3461"/>
      <c r="E1567" s="3461"/>
      <c r="F1567" s="3461"/>
      <c r="G1567" s="3461"/>
      <c r="H1567" s="3461"/>
      <c r="I1567" s="3461"/>
      <c r="J1567" s="3461"/>
    </row>
    <row r="1568" spans="1:11" hidden="1" x14ac:dyDescent="0.3">
      <c r="A1568" s="137" t="s">
        <v>3</v>
      </c>
      <c r="B1568" s="1781" t="s">
        <v>4</v>
      </c>
      <c r="C1568" s="137" t="s">
        <v>5</v>
      </c>
      <c r="D1568" s="137" t="s">
        <v>6</v>
      </c>
      <c r="E1568" s="137" t="s">
        <v>7</v>
      </c>
      <c r="F1568" s="137" t="s">
        <v>8</v>
      </c>
      <c r="G1568" s="137" t="s">
        <v>9</v>
      </c>
      <c r="H1568" s="137" t="s">
        <v>10</v>
      </c>
      <c r="I1568" s="137" t="s">
        <v>11</v>
      </c>
      <c r="J1568" s="137" t="s">
        <v>12</v>
      </c>
    </row>
    <row r="1569" spans="1:11" hidden="1" x14ac:dyDescent="0.3">
      <c r="A1569" s="137">
        <v>1</v>
      </c>
      <c r="B1569" s="1781" t="s">
        <v>1514</v>
      </c>
      <c r="C1569" s="137" t="s">
        <v>138</v>
      </c>
      <c r="D1569" s="1221" t="s">
        <v>1515</v>
      </c>
      <c r="E1569" s="137" t="s">
        <v>180</v>
      </c>
      <c r="F1569" s="137">
        <v>1100000</v>
      </c>
      <c r="G1569" s="137" t="s">
        <v>1516</v>
      </c>
      <c r="H1569" s="137" t="s">
        <v>271</v>
      </c>
      <c r="I1569" s="137" t="s">
        <v>36</v>
      </c>
      <c r="J1569" s="137">
        <v>1</v>
      </c>
      <c r="K1569" t="s">
        <v>1232</v>
      </c>
    </row>
    <row r="1570" spans="1:11" hidden="1" x14ac:dyDescent="0.3">
      <c r="A1570" s="137">
        <v>2</v>
      </c>
      <c r="B1570" s="1781" t="s">
        <v>1514</v>
      </c>
      <c r="C1570" s="137" t="s">
        <v>138</v>
      </c>
      <c r="D1570" s="1221" t="s">
        <v>1517</v>
      </c>
      <c r="E1570" s="137" t="s">
        <v>148</v>
      </c>
      <c r="F1570" s="137">
        <v>2300000</v>
      </c>
      <c r="G1570" s="137" t="s">
        <v>1518</v>
      </c>
      <c r="H1570" s="137" t="s">
        <v>44</v>
      </c>
      <c r="I1570" s="137" t="s">
        <v>36</v>
      </c>
      <c r="J1570" s="137">
        <v>1</v>
      </c>
      <c r="K1570" t="s">
        <v>217</v>
      </c>
    </row>
    <row r="1571" spans="1:11" hidden="1" x14ac:dyDescent="0.3">
      <c r="A1571" s="137">
        <v>3</v>
      </c>
      <c r="B1571" s="1781" t="s">
        <v>1514</v>
      </c>
      <c r="C1571" s="137" t="s">
        <v>138</v>
      </c>
      <c r="D1571" s="1221" t="s">
        <v>1519</v>
      </c>
      <c r="E1571" s="137" t="s">
        <v>962</v>
      </c>
      <c r="F1571" s="137">
        <v>1300000</v>
      </c>
      <c r="G1571" s="137" t="s">
        <v>1520</v>
      </c>
      <c r="H1571" s="137" t="s">
        <v>44</v>
      </c>
      <c r="I1571" s="137" t="s">
        <v>36</v>
      </c>
      <c r="J1571" s="137">
        <v>1</v>
      </c>
      <c r="K1571" t="s">
        <v>1232</v>
      </c>
    </row>
    <row r="1572" spans="1:11" hidden="1" x14ac:dyDescent="0.3">
      <c r="A1572" s="137">
        <v>4</v>
      </c>
      <c r="B1572" s="1781" t="s">
        <v>1521</v>
      </c>
      <c r="C1572" s="137" t="s">
        <v>138</v>
      </c>
      <c r="D1572" s="1221" t="s">
        <v>1522</v>
      </c>
      <c r="E1572" s="137" t="s">
        <v>787</v>
      </c>
      <c r="F1572" s="137">
        <v>900000</v>
      </c>
      <c r="G1572" s="137" t="s">
        <v>1382</v>
      </c>
      <c r="H1572" s="137" t="s">
        <v>271</v>
      </c>
      <c r="I1572" s="137" t="s">
        <v>36</v>
      </c>
      <c r="J1572" s="137">
        <v>1</v>
      </c>
      <c r="K1572" t="s">
        <v>133</v>
      </c>
    </row>
    <row r="1573" spans="1:11" hidden="1" x14ac:dyDescent="0.3">
      <c r="A1573" s="137">
        <v>5</v>
      </c>
      <c r="B1573" s="1781" t="s">
        <v>1478</v>
      </c>
      <c r="C1573" s="137" t="s">
        <v>138</v>
      </c>
      <c r="D1573" s="1221" t="s">
        <v>1523</v>
      </c>
      <c r="E1573" s="137" t="s">
        <v>78</v>
      </c>
      <c r="F1573" s="137">
        <v>1000000</v>
      </c>
      <c r="G1573" s="137" t="s">
        <v>43</v>
      </c>
      <c r="H1573" s="137" t="s">
        <v>271</v>
      </c>
      <c r="I1573" s="137" t="s">
        <v>36</v>
      </c>
      <c r="J1573" s="137">
        <v>1</v>
      </c>
      <c r="K1573" t="s">
        <v>133</v>
      </c>
    </row>
    <row r="1574" spans="1:11" hidden="1" x14ac:dyDescent="0.3">
      <c r="A1574" s="137">
        <v>6</v>
      </c>
      <c r="B1574" s="1781" t="s">
        <v>1524</v>
      </c>
      <c r="C1574" s="137" t="s">
        <v>138</v>
      </c>
      <c r="D1574" s="1221" t="s">
        <v>1525</v>
      </c>
      <c r="E1574" s="137" t="s">
        <v>78</v>
      </c>
      <c r="F1574" s="137">
        <v>1300000</v>
      </c>
      <c r="G1574" s="137" t="s">
        <v>1175</v>
      </c>
      <c r="H1574" s="137" t="s">
        <v>271</v>
      </c>
      <c r="I1574" s="137" t="s">
        <v>36</v>
      </c>
      <c r="J1574" s="137">
        <v>1</v>
      </c>
      <c r="K1574" t="s">
        <v>1526</v>
      </c>
    </row>
    <row r="1575" spans="1:11" hidden="1" x14ac:dyDescent="0.3">
      <c r="A1575" s="137">
        <v>7</v>
      </c>
      <c r="B1575" s="1781" t="s">
        <v>1527</v>
      </c>
      <c r="C1575" s="150" t="s">
        <v>138</v>
      </c>
      <c r="D1575" s="1222" t="s">
        <v>1528</v>
      </c>
      <c r="E1575" s="150" t="s">
        <v>784</v>
      </c>
      <c r="F1575" s="1223">
        <v>1000000</v>
      </c>
      <c r="G1575" s="150" t="s">
        <v>1529</v>
      </c>
      <c r="H1575" s="150" t="s">
        <v>271</v>
      </c>
      <c r="I1575" s="150" t="s">
        <v>36</v>
      </c>
      <c r="J1575" s="137">
        <v>1</v>
      </c>
      <c r="K1575" t="s">
        <v>1530</v>
      </c>
    </row>
    <row r="1576" spans="1:11" hidden="1" x14ac:dyDescent="0.3">
      <c r="A1576" s="137">
        <v>8</v>
      </c>
      <c r="B1576" s="1781" t="s">
        <v>1531</v>
      </c>
      <c r="C1576" s="137" t="s">
        <v>138</v>
      </c>
      <c r="D1576" s="642" t="s">
        <v>1532</v>
      </c>
      <c r="E1576" s="137" t="s">
        <v>78</v>
      </c>
      <c r="F1576" s="137">
        <v>1050000</v>
      </c>
      <c r="G1576" s="137" t="s">
        <v>78</v>
      </c>
      <c r="H1576" s="137" t="s">
        <v>271</v>
      </c>
      <c r="I1576" s="137" t="s">
        <v>36</v>
      </c>
      <c r="J1576" s="137">
        <v>1</v>
      </c>
      <c r="K1576" t="s">
        <v>133</v>
      </c>
    </row>
    <row r="1577" spans="1:11" hidden="1" x14ac:dyDescent="0.3">
      <c r="A1577" s="137">
        <v>9</v>
      </c>
      <c r="B1577" s="1781" t="s">
        <v>1447</v>
      </c>
      <c r="C1577" s="137" t="s">
        <v>138</v>
      </c>
      <c r="D1577" s="642" t="s">
        <v>1533</v>
      </c>
      <c r="E1577" s="137" t="s">
        <v>78</v>
      </c>
      <c r="F1577" s="137">
        <v>1100000</v>
      </c>
      <c r="G1577" s="137" t="s">
        <v>78</v>
      </c>
      <c r="H1577" s="137" t="s">
        <v>271</v>
      </c>
      <c r="I1577" s="137" t="s">
        <v>36</v>
      </c>
      <c r="J1577" s="137">
        <v>1</v>
      </c>
      <c r="K1577" t="s">
        <v>1455</v>
      </c>
    </row>
    <row r="1578" spans="1:11" hidden="1" x14ac:dyDescent="0.3">
      <c r="A1578" s="137">
        <v>10</v>
      </c>
      <c r="B1578" s="1781" t="s">
        <v>1447</v>
      </c>
      <c r="C1578" s="137" t="s">
        <v>138</v>
      </c>
      <c r="D1578" s="642" t="s">
        <v>719</v>
      </c>
      <c r="E1578" s="137" t="s">
        <v>1452</v>
      </c>
      <c r="F1578" s="137">
        <v>900000</v>
      </c>
      <c r="G1578" s="137" t="s">
        <v>43</v>
      </c>
      <c r="H1578" s="137" t="s">
        <v>271</v>
      </c>
      <c r="I1578" s="137" t="s">
        <v>36</v>
      </c>
      <c r="J1578" s="137">
        <v>1</v>
      </c>
      <c r="K1578" t="s">
        <v>1232</v>
      </c>
    </row>
    <row r="1579" spans="1:11" hidden="1" x14ac:dyDescent="0.3">
      <c r="A1579" s="137">
        <v>11</v>
      </c>
      <c r="B1579" s="1781" t="s">
        <v>1447</v>
      </c>
      <c r="C1579" s="137" t="s">
        <v>138</v>
      </c>
      <c r="D1579" s="642" t="s">
        <v>1534</v>
      </c>
      <c r="E1579" s="137" t="s">
        <v>1535</v>
      </c>
      <c r="F1579" s="137">
        <v>895000</v>
      </c>
      <c r="G1579" s="137" t="s">
        <v>43</v>
      </c>
      <c r="H1579" s="137" t="s">
        <v>271</v>
      </c>
      <c r="I1579" s="137" t="s">
        <v>36</v>
      </c>
      <c r="J1579" s="137">
        <v>1</v>
      </c>
      <c r="K1579" t="s">
        <v>217</v>
      </c>
    </row>
    <row r="1580" spans="1:11" hidden="1" x14ac:dyDescent="0.3">
      <c r="A1580" s="137">
        <v>12</v>
      </c>
      <c r="B1580" s="1781" t="s">
        <v>1447</v>
      </c>
      <c r="C1580" s="137" t="s">
        <v>138</v>
      </c>
      <c r="D1580" s="642" t="s">
        <v>1536</v>
      </c>
      <c r="E1580" s="137" t="s">
        <v>822</v>
      </c>
      <c r="F1580" s="137">
        <v>500000</v>
      </c>
      <c r="G1580" s="137" t="s">
        <v>43</v>
      </c>
      <c r="H1580" s="137" t="s">
        <v>271</v>
      </c>
      <c r="I1580" s="137" t="s">
        <v>36</v>
      </c>
      <c r="J1580" s="137">
        <v>1</v>
      </c>
      <c r="K1580" t="s">
        <v>1455</v>
      </c>
    </row>
    <row r="1581" spans="1:11" hidden="1" x14ac:dyDescent="0.3">
      <c r="A1581" s="137">
        <v>13</v>
      </c>
      <c r="B1581" s="1781" t="s">
        <v>1449</v>
      </c>
      <c r="C1581" s="137" t="s">
        <v>662</v>
      </c>
      <c r="D1581" s="642" t="s">
        <v>1537</v>
      </c>
      <c r="E1581" s="137" t="s">
        <v>148</v>
      </c>
      <c r="F1581" s="137">
        <v>7000000</v>
      </c>
      <c r="G1581" s="137" t="s">
        <v>43</v>
      </c>
      <c r="H1581" s="137" t="s">
        <v>1468</v>
      </c>
      <c r="I1581" s="137" t="s">
        <v>36</v>
      </c>
      <c r="J1581" s="137">
        <v>1</v>
      </c>
      <c r="K1581" t="s">
        <v>1455</v>
      </c>
    </row>
    <row r="1582" spans="1:11" hidden="1" x14ac:dyDescent="0.3">
      <c r="A1582" s="137">
        <v>14</v>
      </c>
      <c r="B1582" s="1781" t="s">
        <v>1449</v>
      </c>
      <c r="C1582" s="137" t="s">
        <v>138</v>
      </c>
      <c r="D1582" s="642" t="s">
        <v>1538</v>
      </c>
      <c r="E1582" s="137" t="s">
        <v>1539</v>
      </c>
      <c r="F1582" s="137">
        <v>800000</v>
      </c>
      <c r="G1582" s="137" t="s">
        <v>43</v>
      </c>
      <c r="H1582" s="137" t="s">
        <v>271</v>
      </c>
      <c r="I1582" s="137" t="s">
        <v>36</v>
      </c>
      <c r="J1582" s="137">
        <v>1</v>
      </c>
      <c r="K1582" t="s">
        <v>1232</v>
      </c>
    </row>
    <row r="1583" spans="1:11" hidden="1" x14ac:dyDescent="0.3">
      <c r="A1583" s="1781">
        <v>15</v>
      </c>
      <c r="B1583" s="3392" t="s">
        <v>1449</v>
      </c>
      <c r="C1583" s="150" t="s">
        <v>138</v>
      </c>
      <c r="D1583" s="641" t="s">
        <v>1540</v>
      </c>
      <c r="E1583" s="150" t="s">
        <v>1452</v>
      </c>
      <c r="F1583" s="1223">
        <v>800000</v>
      </c>
      <c r="G1583" s="150" t="s">
        <v>43</v>
      </c>
      <c r="H1583" s="150" t="s">
        <v>271</v>
      </c>
      <c r="I1583" s="150" t="s">
        <v>36</v>
      </c>
      <c r="J1583" s="137">
        <v>1</v>
      </c>
      <c r="K1583" t="s">
        <v>1455</v>
      </c>
    </row>
    <row r="1584" spans="1:11" hidden="1" x14ac:dyDescent="0.3">
      <c r="A1584" s="1781">
        <v>16</v>
      </c>
      <c r="B1584" s="3392" t="s">
        <v>1449</v>
      </c>
      <c r="C1584" s="150" t="s">
        <v>1541</v>
      </c>
      <c r="D1584" s="641" t="s">
        <v>1542</v>
      </c>
      <c r="E1584" s="150" t="s">
        <v>78</v>
      </c>
      <c r="F1584" s="1223">
        <v>850000</v>
      </c>
      <c r="G1584" s="150" t="s">
        <v>43</v>
      </c>
      <c r="H1584" s="150" t="s">
        <v>271</v>
      </c>
      <c r="I1584" s="150" t="s">
        <v>36</v>
      </c>
      <c r="J1584" s="137">
        <v>1</v>
      </c>
      <c r="K1584" t="s">
        <v>1232</v>
      </c>
    </row>
    <row r="1585" spans="1:11" hidden="1" x14ac:dyDescent="0.3">
      <c r="A1585" s="1781">
        <v>17</v>
      </c>
      <c r="B1585" s="3392" t="s">
        <v>1449</v>
      </c>
      <c r="C1585" s="150" t="s">
        <v>138</v>
      </c>
      <c r="D1585" s="641" t="s">
        <v>1195</v>
      </c>
      <c r="E1585" s="150" t="s">
        <v>78</v>
      </c>
      <c r="F1585" s="1223">
        <v>1000000</v>
      </c>
      <c r="G1585" s="150" t="s">
        <v>1175</v>
      </c>
      <c r="H1585" s="150" t="s">
        <v>271</v>
      </c>
      <c r="I1585" s="150" t="s">
        <v>36</v>
      </c>
      <c r="J1585" s="137">
        <v>1</v>
      </c>
      <c r="K1585" t="s">
        <v>133</v>
      </c>
    </row>
    <row r="1586" spans="1:11" hidden="1" x14ac:dyDescent="0.3">
      <c r="A1586" s="1781">
        <v>18</v>
      </c>
      <c r="B1586" s="3392" t="s">
        <v>1456</v>
      </c>
      <c r="C1586" s="150" t="s">
        <v>138</v>
      </c>
      <c r="D1586" s="641" t="s">
        <v>1543</v>
      </c>
      <c r="E1586" s="150" t="s">
        <v>148</v>
      </c>
      <c r="F1586" s="1223">
        <v>950000</v>
      </c>
      <c r="G1586" s="150" t="s">
        <v>43</v>
      </c>
      <c r="H1586" s="150" t="s">
        <v>271</v>
      </c>
      <c r="I1586" s="150" t="s">
        <v>36</v>
      </c>
      <c r="J1586" s="137">
        <v>1</v>
      </c>
      <c r="K1586" t="s">
        <v>1232</v>
      </c>
    </row>
    <row r="1587" spans="1:11" hidden="1" x14ac:dyDescent="0.3">
      <c r="A1587" s="1781">
        <v>19</v>
      </c>
      <c r="B1587" s="1781" t="s">
        <v>1457</v>
      </c>
      <c r="C1587" s="150" t="s">
        <v>138</v>
      </c>
      <c r="D1587" s="641" t="s">
        <v>1544</v>
      </c>
      <c r="E1587" s="150" t="s">
        <v>78</v>
      </c>
      <c r="F1587" s="1223">
        <v>1300000</v>
      </c>
      <c r="G1587" s="150" t="s">
        <v>1175</v>
      </c>
      <c r="H1587" s="150" t="s">
        <v>271</v>
      </c>
      <c r="I1587" s="150" t="s">
        <v>36</v>
      </c>
      <c r="J1587" s="137">
        <v>1</v>
      </c>
      <c r="K1587" t="s">
        <v>1455</v>
      </c>
    </row>
    <row r="1588" spans="1:11" hidden="1" x14ac:dyDescent="0.3">
      <c r="A1588" s="1781">
        <v>20</v>
      </c>
      <c r="B1588" s="1781" t="s">
        <v>1457</v>
      </c>
      <c r="C1588" s="150" t="s">
        <v>138</v>
      </c>
      <c r="D1588" s="641" t="s">
        <v>1545</v>
      </c>
      <c r="E1588" s="150" t="s">
        <v>787</v>
      </c>
      <c r="F1588" s="1223">
        <v>850000</v>
      </c>
      <c r="G1588" s="150" t="s">
        <v>703</v>
      </c>
      <c r="H1588" s="150" t="s">
        <v>271</v>
      </c>
      <c r="I1588" s="150" t="s">
        <v>36</v>
      </c>
      <c r="J1588" s="137">
        <v>1</v>
      </c>
      <c r="K1588" t="s">
        <v>1455</v>
      </c>
    </row>
    <row r="1589" spans="1:11" hidden="1" x14ac:dyDescent="0.3">
      <c r="A1589" s="1781"/>
      <c r="B1589" s="1781"/>
      <c r="C1589" s="150"/>
      <c r="D1589" s="641"/>
      <c r="E1589" s="150"/>
      <c r="F1589" s="1223"/>
      <c r="G1589" s="150"/>
      <c r="H1589" s="150"/>
      <c r="I1589" s="150"/>
      <c r="J1589" s="137"/>
    </row>
    <row r="1590" spans="1:11" ht="24.6" hidden="1" x14ac:dyDescent="0.4">
      <c r="A1590" s="1781"/>
      <c r="B1590" s="1781"/>
      <c r="C1590" s="150"/>
      <c r="D1590" s="641"/>
      <c r="E1590" s="150"/>
      <c r="F1590" s="151"/>
      <c r="G1590" s="150"/>
      <c r="H1590" s="150"/>
      <c r="I1590" s="150"/>
      <c r="J1590" s="932">
        <f>SUM(J1569:J1589)</f>
        <v>20</v>
      </c>
    </row>
    <row r="1591" spans="1:11" ht="24.6" hidden="1" x14ac:dyDescent="0.4">
      <c r="A1591" s="3462" t="s">
        <v>33</v>
      </c>
      <c r="B1591" s="3462"/>
      <c r="C1591" s="3462"/>
      <c r="D1591" s="3462"/>
      <c r="E1591" s="3462"/>
      <c r="F1591" s="3462"/>
      <c r="G1591" s="3462"/>
      <c r="H1591" s="3462"/>
      <c r="I1591" s="3462"/>
      <c r="J1591" s="3462"/>
    </row>
    <row r="1592" spans="1:11" hidden="1" x14ac:dyDescent="0.3">
      <c r="A1592" s="137" t="s">
        <v>3</v>
      </c>
      <c r="B1592" s="1781" t="s">
        <v>4</v>
      </c>
      <c r="C1592" s="137" t="s">
        <v>5</v>
      </c>
      <c r="D1592" s="137" t="s">
        <v>6</v>
      </c>
      <c r="E1592" s="137" t="s">
        <v>7</v>
      </c>
      <c r="F1592" s="137" t="s">
        <v>8</v>
      </c>
      <c r="G1592" s="137" t="s">
        <v>9</v>
      </c>
      <c r="H1592" s="137" t="s">
        <v>10</v>
      </c>
      <c r="I1592" s="137" t="s">
        <v>11</v>
      </c>
      <c r="J1592" s="137" t="s">
        <v>12</v>
      </c>
    </row>
    <row r="1593" spans="1:11" hidden="1" x14ac:dyDescent="0.3">
      <c r="A1593" s="549">
        <v>1</v>
      </c>
      <c r="B1593" s="3393" t="s">
        <v>1546</v>
      </c>
      <c r="C1593" s="152" t="s">
        <v>138</v>
      </c>
      <c r="D1593" s="1222" t="s">
        <v>1533</v>
      </c>
      <c r="E1593" s="152" t="s">
        <v>78</v>
      </c>
      <c r="F1593" s="152">
        <v>230000000</v>
      </c>
      <c r="G1593" s="152" t="s">
        <v>1175</v>
      </c>
      <c r="H1593" s="152" t="s">
        <v>271</v>
      </c>
      <c r="I1593" s="152" t="s">
        <v>36</v>
      </c>
      <c r="J1593" s="200">
        <v>1</v>
      </c>
    </row>
    <row r="1594" spans="1:11" hidden="1" x14ac:dyDescent="0.3">
      <c r="A1594" s="549" t="s">
        <v>3</v>
      </c>
      <c r="B1594" s="3393" t="s">
        <v>1447</v>
      </c>
      <c r="C1594" s="152" t="s">
        <v>138</v>
      </c>
      <c r="D1594" s="1222" t="s">
        <v>1547</v>
      </c>
      <c r="E1594" s="152" t="s">
        <v>822</v>
      </c>
      <c r="F1594" s="152">
        <v>220000000</v>
      </c>
      <c r="G1594" s="152" t="s">
        <v>43</v>
      </c>
      <c r="H1594" s="152" t="s">
        <v>271</v>
      </c>
      <c r="I1594" s="152" t="s">
        <v>36</v>
      </c>
      <c r="J1594" s="200">
        <v>1</v>
      </c>
    </row>
    <row r="1595" spans="1:11" hidden="1" x14ac:dyDescent="0.3">
      <c r="A1595" s="597">
        <v>3</v>
      </c>
      <c r="B1595" s="3394" t="s">
        <v>1449</v>
      </c>
      <c r="C1595" s="154" t="s">
        <v>138</v>
      </c>
      <c r="D1595" s="1822" t="s">
        <v>1540</v>
      </c>
      <c r="E1595" s="154" t="s">
        <v>1548</v>
      </c>
      <c r="F1595" s="154">
        <v>148000000</v>
      </c>
      <c r="G1595" s="154" t="s">
        <v>43</v>
      </c>
      <c r="H1595" s="154" t="s">
        <v>271</v>
      </c>
      <c r="I1595" s="154" t="s">
        <v>36</v>
      </c>
      <c r="J1595" s="598">
        <v>1</v>
      </c>
    </row>
    <row r="1596" spans="1:11" ht="24.6" hidden="1" x14ac:dyDescent="0.4">
      <c r="A1596" s="144"/>
      <c r="B1596" s="595"/>
      <c r="C1596" s="144"/>
      <c r="D1596" s="144"/>
      <c r="E1596" s="144"/>
      <c r="F1596" s="144"/>
      <c r="G1596" s="144"/>
      <c r="H1596" s="144"/>
      <c r="I1596" s="144"/>
      <c r="J1596" s="935">
        <f>J1593+J1594+J1595</f>
        <v>3</v>
      </c>
    </row>
    <row r="1597" spans="1:11" hidden="1" x14ac:dyDescent="0.3"/>
    <row r="1598" spans="1:11" hidden="1" x14ac:dyDescent="0.3"/>
    <row r="1599" spans="1:11" ht="23.4" hidden="1" x14ac:dyDescent="0.3">
      <c r="A1599" s="3470" t="s">
        <v>748</v>
      </c>
      <c r="B1599" s="3470"/>
      <c r="C1599" s="3470"/>
      <c r="D1599" s="3470"/>
      <c r="E1599" s="3470"/>
      <c r="F1599" s="3470"/>
      <c r="G1599" s="3470"/>
      <c r="H1599" s="3470"/>
      <c r="I1599" s="3470"/>
      <c r="J1599" s="3470"/>
    </row>
    <row r="1600" spans="1:11" ht="15.6" hidden="1" x14ac:dyDescent="0.3">
      <c r="A1600" s="3461" t="s">
        <v>2</v>
      </c>
      <c r="B1600" s="3461"/>
      <c r="C1600" s="3461"/>
      <c r="D1600" s="3461"/>
      <c r="E1600" s="3461"/>
      <c r="F1600" s="3461"/>
      <c r="G1600" s="3461"/>
      <c r="H1600" s="3461"/>
      <c r="I1600" s="3461"/>
      <c r="J1600" s="3461"/>
    </row>
    <row r="1601" spans="1:11" hidden="1" x14ac:dyDescent="0.3">
      <c r="A1601" s="137" t="s">
        <v>3</v>
      </c>
      <c r="B1601" s="1781" t="s">
        <v>4</v>
      </c>
      <c r="C1601" s="137" t="s">
        <v>5</v>
      </c>
      <c r="D1601" s="137" t="s">
        <v>6</v>
      </c>
      <c r="E1601" s="137" t="s">
        <v>7</v>
      </c>
      <c r="F1601" s="137" t="s">
        <v>8</v>
      </c>
      <c r="G1601" s="137" t="s">
        <v>9</v>
      </c>
      <c r="H1601" s="137" t="s">
        <v>10</v>
      </c>
      <c r="I1601" s="137" t="s">
        <v>11</v>
      </c>
      <c r="J1601" s="137" t="s">
        <v>12</v>
      </c>
    </row>
    <row r="1602" spans="1:11" hidden="1" x14ac:dyDescent="0.3">
      <c r="A1602" s="137">
        <v>1</v>
      </c>
      <c r="B1602" s="1781" t="s">
        <v>1549</v>
      </c>
      <c r="C1602" s="137" t="s">
        <v>138</v>
      </c>
      <c r="D1602" s="1221" t="s">
        <v>1550</v>
      </c>
      <c r="E1602" s="137" t="s">
        <v>822</v>
      </c>
      <c r="F1602" s="137">
        <v>1100000</v>
      </c>
      <c r="G1602" s="137" t="s">
        <v>598</v>
      </c>
      <c r="H1602" s="137" t="s">
        <v>271</v>
      </c>
      <c r="I1602" s="137" t="s">
        <v>36</v>
      </c>
      <c r="J1602" s="137">
        <v>1</v>
      </c>
      <c r="K1602" t="s">
        <v>133</v>
      </c>
    </row>
    <row r="1603" spans="1:11" hidden="1" x14ac:dyDescent="0.3">
      <c r="A1603" s="137">
        <v>2</v>
      </c>
      <c r="B1603" s="1781" t="s">
        <v>1549</v>
      </c>
      <c r="C1603" s="137" t="s">
        <v>138</v>
      </c>
      <c r="D1603" s="1221" t="s">
        <v>1551</v>
      </c>
      <c r="E1603" s="137" t="s">
        <v>1552</v>
      </c>
      <c r="F1603" s="137">
        <v>1200000</v>
      </c>
      <c r="G1603" s="137" t="s">
        <v>1553</v>
      </c>
      <c r="H1603" s="137" t="s">
        <v>271</v>
      </c>
      <c r="I1603" s="137" t="s">
        <v>36</v>
      </c>
      <c r="J1603" s="137">
        <v>1</v>
      </c>
      <c r="K1603" t="s">
        <v>1232</v>
      </c>
    </row>
    <row r="1604" spans="1:11" hidden="1" x14ac:dyDescent="0.3">
      <c r="A1604" s="137">
        <v>3</v>
      </c>
      <c r="B1604" s="1781" t="s">
        <v>1524</v>
      </c>
      <c r="C1604" s="137" t="s">
        <v>138</v>
      </c>
      <c r="D1604" s="1221" t="s">
        <v>1554</v>
      </c>
      <c r="E1604" s="137" t="s">
        <v>180</v>
      </c>
      <c r="F1604" s="137">
        <v>13000000</v>
      </c>
      <c r="G1604" s="137" t="s">
        <v>1064</v>
      </c>
      <c r="H1604" s="137" t="s">
        <v>271</v>
      </c>
      <c r="I1604" s="137" t="s">
        <v>36</v>
      </c>
      <c r="J1604" s="137">
        <v>1</v>
      </c>
      <c r="K1604" t="s">
        <v>1555</v>
      </c>
    </row>
    <row r="1605" spans="1:11" hidden="1" x14ac:dyDescent="0.3">
      <c r="A1605" s="137">
        <v>4</v>
      </c>
      <c r="B1605" s="1781" t="s">
        <v>1524</v>
      </c>
      <c r="C1605" s="137" t="s">
        <v>138</v>
      </c>
      <c r="D1605" s="1221" t="s">
        <v>1556</v>
      </c>
      <c r="E1605" s="137" t="s">
        <v>180</v>
      </c>
      <c r="F1605" s="137">
        <v>1300000</v>
      </c>
      <c r="G1605" s="137" t="s">
        <v>1064</v>
      </c>
      <c r="H1605" s="137" t="s">
        <v>271</v>
      </c>
      <c r="I1605" s="137" t="s">
        <v>36</v>
      </c>
      <c r="J1605" s="137">
        <v>1</v>
      </c>
      <c r="K1605" t="s">
        <v>1557</v>
      </c>
    </row>
    <row r="1606" spans="1:11" hidden="1" x14ac:dyDescent="0.3">
      <c r="A1606" s="137">
        <v>5</v>
      </c>
      <c r="B1606" s="1781" t="s">
        <v>1486</v>
      </c>
      <c r="C1606" s="137" t="s">
        <v>138</v>
      </c>
      <c r="D1606" s="1221" t="s">
        <v>1558</v>
      </c>
      <c r="E1606" s="137" t="s">
        <v>1105</v>
      </c>
      <c r="F1606" s="137">
        <v>1200000</v>
      </c>
      <c r="G1606" s="137" t="s">
        <v>1109</v>
      </c>
      <c r="H1606" s="137" t="s">
        <v>271</v>
      </c>
      <c r="I1606" s="137" t="s">
        <v>36</v>
      </c>
      <c r="J1606" s="137">
        <v>1</v>
      </c>
      <c r="K1606" t="s">
        <v>1434</v>
      </c>
    </row>
    <row r="1607" spans="1:11" hidden="1" x14ac:dyDescent="0.3">
      <c r="A1607" s="137">
        <v>6</v>
      </c>
      <c r="B1607" s="1781" t="s">
        <v>1496</v>
      </c>
      <c r="C1607" s="137" t="s">
        <v>138</v>
      </c>
      <c r="D1607" s="1221" t="s">
        <v>189</v>
      </c>
      <c r="E1607" s="137" t="s">
        <v>1105</v>
      </c>
      <c r="F1607" s="137">
        <v>1200000</v>
      </c>
      <c r="G1607" s="137" t="s">
        <v>1559</v>
      </c>
      <c r="H1607" s="137" t="s">
        <v>271</v>
      </c>
      <c r="I1607" s="137" t="s">
        <v>36</v>
      </c>
      <c r="J1607" s="137">
        <v>1</v>
      </c>
      <c r="K1607" t="s">
        <v>1530</v>
      </c>
    </row>
    <row r="1608" spans="1:11" hidden="1" x14ac:dyDescent="0.3">
      <c r="A1608" s="137">
        <v>7</v>
      </c>
      <c r="B1608" s="1781" t="s">
        <v>1496</v>
      </c>
      <c r="C1608" s="150" t="s">
        <v>138</v>
      </c>
      <c r="D1608" s="1222" t="s">
        <v>1560</v>
      </c>
      <c r="E1608" s="150" t="s">
        <v>822</v>
      </c>
      <c r="F1608" s="1223">
        <v>1115000</v>
      </c>
      <c r="G1608" s="150" t="s">
        <v>1561</v>
      </c>
      <c r="H1608" s="150" t="s">
        <v>271</v>
      </c>
      <c r="I1608" s="150" t="s">
        <v>36</v>
      </c>
      <c r="J1608" s="137">
        <v>1</v>
      </c>
      <c r="K1608" t="s">
        <v>1455</v>
      </c>
    </row>
    <row r="1609" spans="1:11" hidden="1" x14ac:dyDescent="0.3">
      <c r="A1609" s="137">
        <v>8</v>
      </c>
      <c r="B1609" s="1781" t="s">
        <v>1562</v>
      </c>
      <c r="C1609" s="137" t="s">
        <v>138</v>
      </c>
      <c r="D1609" s="642" t="s">
        <v>1563</v>
      </c>
      <c r="E1609" s="137" t="s">
        <v>1564</v>
      </c>
      <c r="F1609" s="137">
        <v>530000</v>
      </c>
      <c r="G1609" s="137" t="s">
        <v>1561</v>
      </c>
      <c r="H1609" s="137" t="s">
        <v>271</v>
      </c>
      <c r="I1609" s="137" t="s">
        <v>36</v>
      </c>
      <c r="J1609" s="137">
        <v>1</v>
      </c>
      <c r="K1609" t="s">
        <v>133</v>
      </c>
    </row>
    <row r="1610" spans="1:11" hidden="1" x14ac:dyDescent="0.3">
      <c r="A1610" s="137">
        <v>9</v>
      </c>
      <c r="B1610" s="1781" t="s">
        <v>1562</v>
      </c>
      <c r="C1610" s="137" t="s">
        <v>1565</v>
      </c>
      <c r="D1610" s="642" t="s">
        <v>1566</v>
      </c>
      <c r="E1610" s="137" t="s">
        <v>1234</v>
      </c>
      <c r="F1610" s="137">
        <v>1000000</v>
      </c>
      <c r="G1610" s="137" t="s">
        <v>951</v>
      </c>
      <c r="H1610" s="137" t="s">
        <v>271</v>
      </c>
      <c r="I1610" s="137" t="s">
        <v>36</v>
      </c>
      <c r="J1610" s="137">
        <v>1</v>
      </c>
      <c r="K1610" t="s">
        <v>1455</v>
      </c>
    </row>
    <row r="1611" spans="1:11" hidden="1" x14ac:dyDescent="0.3">
      <c r="A1611" s="137">
        <v>10</v>
      </c>
      <c r="B1611" s="1781" t="s">
        <v>1502</v>
      </c>
      <c r="C1611" s="137" t="s">
        <v>138</v>
      </c>
      <c r="D1611" s="642" t="s">
        <v>1567</v>
      </c>
      <c r="E1611" s="137" t="s">
        <v>869</v>
      </c>
      <c r="F1611" s="137">
        <v>1100000</v>
      </c>
      <c r="G1611" s="137" t="s">
        <v>1095</v>
      </c>
      <c r="H1611" s="137" t="s">
        <v>271</v>
      </c>
      <c r="I1611" s="137" t="s">
        <v>36</v>
      </c>
      <c r="J1611" s="137">
        <v>1</v>
      </c>
      <c r="K1611" t="s">
        <v>1232</v>
      </c>
    </row>
    <row r="1612" spans="1:11" hidden="1" x14ac:dyDescent="0.3">
      <c r="A1612" s="137">
        <v>11</v>
      </c>
      <c r="B1612" s="1781" t="s">
        <v>1447</v>
      </c>
      <c r="C1612" s="137" t="s">
        <v>138</v>
      </c>
      <c r="D1612" s="642" t="s">
        <v>1568</v>
      </c>
      <c r="E1612" s="137" t="s">
        <v>1234</v>
      </c>
      <c r="F1612" s="137">
        <v>850000</v>
      </c>
      <c r="G1612" s="137" t="s">
        <v>951</v>
      </c>
      <c r="H1612" s="137" t="s">
        <v>271</v>
      </c>
      <c r="I1612" s="137" t="s">
        <v>36</v>
      </c>
      <c r="J1612" s="137">
        <v>1</v>
      </c>
      <c r="K1612" t="s">
        <v>1232</v>
      </c>
    </row>
    <row r="1613" spans="1:11" hidden="1" x14ac:dyDescent="0.3">
      <c r="A1613" s="137">
        <v>12</v>
      </c>
      <c r="B1613" s="1781" t="s">
        <v>1569</v>
      </c>
      <c r="C1613" s="137" t="s">
        <v>37</v>
      </c>
      <c r="D1613" s="642" t="s">
        <v>1570</v>
      </c>
      <c r="E1613" s="137" t="s">
        <v>805</v>
      </c>
      <c r="F1613" s="137">
        <v>1200000</v>
      </c>
      <c r="G1613" s="137" t="s">
        <v>231</v>
      </c>
      <c r="H1613" s="137" t="s">
        <v>271</v>
      </c>
      <c r="I1613" s="137" t="s">
        <v>36</v>
      </c>
      <c r="J1613" s="137">
        <v>1</v>
      </c>
      <c r="K1613" t="s">
        <v>1455</v>
      </c>
    </row>
    <row r="1614" spans="1:11" hidden="1" x14ac:dyDescent="0.3">
      <c r="A1614" s="137">
        <v>13</v>
      </c>
      <c r="B1614" s="1781" t="s">
        <v>1546</v>
      </c>
      <c r="C1614" s="137" t="s">
        <v>138</v>
      </c>
      <c r="D1614" s="642" t="s">
        <v>1571</v>
      </c>
      <c r="E1614" s="137" t="s">
        <v>805</v>
      </c>
      <c r="F1614" s="137">
        <v>1100000</v>
      </c>
      <c r="G1614" s="137" t="s">
        <v>481</v>
      </c>
      <c r="H1614" s="137" t="s">
        <v>271</v>
      </c>
      <c r="I1614" s="137" t="s">
        <v>36</v>
      </c>
      <c r="J1614" s="137">
        <v>1</v>
      </c>
      <c r="K1614" t="s">
        <v>1232</v>
      </c>
    </row>
    <row r="1615" spans="1:11" hidden="1" x14ac:dyDescent="0.3">
      <c r="A1615" s="137">
        <v>14</v>
      </c>
      <c r="B1615" s="1781" t="s">
        <v>1449</v>
      </c>
      <c r="C1615" s="137" t="s">
        <v>662</v>
      </c>
      <c r="D1615" s="642" t="s">
        <v>1572</v>
      </c>
      <c r="E1615" s="137" t="s">
        <v>78</v>
      </c>
      <c r="F1615" s="137">
        <v>1100000</v>
      </c>
      <c r="G1615" s="137" t="s">
        <v>43</v>
      </c>
      <c r="H1615" s="137" t="s">
        <v>271</v>
      </c>
      <c r="I1615" s="137" t="s">
        <v>36</v>
      </c>
      <c r="J1615" s="137">
        <v>1</v>
      </c>
      <c r="K1615" t="s">
        <v>133</v>
      </c>
    </row>
    <row r="1616" spans="1:11" hidden="1" x14ac:dyDescent="0.3">
      <c r="A1616" s="1781">
        <v>15</v>
      </c>
      <c r="B1616" s="3392" t="s">
        <v>1449</v>
      </c>
      <c r="C1616" s="150" t="s">
        <v>131</v>
      </c>
      <c r="D1616" s="641" t="s">
        <v>1573</v>
      </c>
      <c r="E1616" s="150" t="s">
        <v>1574</v>
      </c>
      <c r="F1616" s="1223">
        <v>4500000</v>
      </c>
      <c r="G1616" s="150" t="s">
        <v>1313</v>
      </c>
      <c r="H1616" s="150" t="s">
        <v>271</v>
      </c>
      <c r="I1616" s="150" t="s">
        <v>36</v>
      </c>
      <c r="J1616" s="137">
        <v>1</v>
      </c>
      <c r="K1616" t="s">
        <v>1455</v>
      </c>
    </row>
    <row r="1617" spans="1:11" hidden="1" x14ac:dyDescent="0.3">
      <c r="A1617" s="1781">
        <v>16</v>
      </c>
      <c r="B1617" s="3392" t="s">
        <v>1449</v>
      </c>
      <c r="C1617" s="150" t="s">
        <v>138</v>
      </c>
      <c r="D1617" s="641" t="s">
        <v>1575</v>
      </c>
      <c r="E1617" s="150" t="s">
        <v>805</v>
      </c>
      <c r="F1617" s="1223">
        <v>1100000</v>
      </c>
      <c r="G1617" s="150" t="s">
        <v>231</v>
      </c>
      <c r="H1617" s="150" t="s">
        <v>271</v>
      </c>
      <c r="I1617" s="150" t="s">
        <v>36</v>
      </c>
      <c r="J1617" s="137">
        <v>1</v>
      </c>
      <c r="K1617" t="s">
        <v>1232</v>
      </c>
    </row>
    <row r="1618" spans="1:11" hidden="1" x14ac:dyDescent="0.3">
      <c r="A1618" s="1781">
        <v>17</v>
      </c>
      <c r="B1618" s="3392" t="s">
        <v>1457</v>
      </c>
      <c r="C1618" s="150" t="s">
        <v>138</v>
      </c>
      <c r="D1618" s="641" t="s">
        <v>1576</v>
      </c>
      <c r="E1618" s="150" t="s">
        <v>962</v>
      </c>
      <c r="F1618" s="1223">
        <v>1250000</v>
      </c>
      <c r="G1618" s="150" t="s">
        <v>481</v>
      </c>
      <c r="H1618" s="150" t="s">
        <v>271</v>
      </c>
      <c r="I1618" s="150" t="s">
        <v>36</v>
      </c>
      <c r="J1618" s="137">
        <v>1</v>
      </c>
      <c r="K1618" t="s">
        <v>1232</v>
      </c>
    </row>
    <row r="1619" spans="1:11" hidden="1" x14ac:dyDescent="0.3">
      <c r="A1619" s="1781">
        <v>18</v>
      </c>
      <c r="B1619" s="3392" t="s">
        <v>1457</v>
      </c>
      <c r="C1619" s="150" t="s">
        <v>138</v>
      </c>
      <c r="D1619" s="641" t="s">
        <v>1577</v>
      </c>
      <c r="E1619" s="150" t="s">
        <v>942</v>
      </c>
      <c r="F1619" s="1223">
        <v>550000</v>
      </c>
      <c r="G1619" s="150" t="s">
        <v>43</v>
      </c>
      <c r="H1619" s="150" t="s">
        <v>271</v>
      </c>
      <c r="I1619" s="150" t="s">
        <v>36</v>
      </c>
      <c r="J1619" s="137">
        <v>1</v>
      </c>
      <c r="K1619" t="s">
        <v>133</v>
      </c>
    </row>
    <row r="1620" spans="1:11" hidden="1" x14ac:dyDescent="0.3">
      <c r="A1620" s="1781">
        <v>19</v>
      </c>
      <c r="B1620" s="1781" t="s">
        <v>1457</v>
      </c>
      <c r="C1620" s="150" t="s">
        <v>138</v>
      </c>
      <c r="D1620" s="641" t="s">
        <v>1578</v>
      </c>
      <c r="E1620" s="150" t="s">
        <v>78</v>
      </c>
      <c r="F1620" s="1223">
        <v>1300000</v>
      </c>
      <c r="G1620" s="150" t="s">
        <v>1579</v>
      </c>
      <c r="H1620" s="150" t="s">
        <v>271</v>
      </c>
      <c r="I1620" s="150" t="s">
        <v>36</v>
      </c>
      <c r="J1620" s="137">
        <v>1</v>
      </c>
      <c r="K1620" t="s">
        <v>1455</v>
      </c>
    </row>
    <row r="1621" spans="1:11" hidden="1" x14ac:dyDescent="0.3">
      <c r="A1621" s="1781">
        <v>20</v>
      </c>
      <c r="B1621" s="1781" t="s">
        <v>1457</v>
      </c>
      <c r="C1621" s="150" t="s">
        <v>138</v>
      </c>
      <c r="D1621" s="641" t="s">
        <v>1580</v>
      </c>
      <c r="E1621" s="150" t="s">
        <v>39</v>
      </c>
      <c r="F1621" s="1223">
        <v>13000000</v>
      </c>
      <c r="G1621" s="150" t="s">
        <v>1090</v>
      </c>
      <c r="H1621" s="150" t="s">
        <v>271</v>
      </c>
      <c r="I1621" s="150" t="s">
        <v>36</v>
      </c>
      <c r="J1621" s="137">
        <v>1</v>
      </c>
      <c r="K1621" t="s">
        <v>1232</v>
      </c>
    </row>
    <row r="1622" spans="1:11" hidden="1" x14ac:dyDescent="0.3">
      <c r="A1622" s="1781"/>
      <c r="B1622" s="1781"/>
      <c r="C1622" s="150"/>
      <c r="D1622" s="641"/>
      <c r="E1622" s="150"/>
      <c r="F1622" s="1223"/>
      <c r="G1622" s="150"/>
      <c r="H1622" s="150"/>
      <c r="I1622" s="150"/>
      <c r="J1622" s="137"/>
    </row>
    <row r="1623" spans="1:11" ht="24.6" hidden="1" x14ac:dyDescent="0.4">
      <c r="A1623" s="1781"/>
      <c r="B1623" s="1781"/>
      <c r="C1623" s="150"/>
      <c r="D1623" s="641"/>
      <c r="E1623" s="150"/>
      <c r="F1623" s="151"/>
      <c r="G1623" s="150"/>
      <c r="H1623" s="150"/>
      <c r="I1623" s="150"/>
      <c r="J1623" s="932">
        <f>SUM(J1602:J1622)</f>
        <v>20</v>
      </c>
    </row>
    <row r="1624" spans="1:11" ht="24.6" hidden="1" x14ac:dyDescent="0.4">
      <c r="A1624" s="3462" t="s">
        <v>33</v>
      </c>
      <c r="B1624" s="3462"/>
      <c r="C1624" s="3462"/>
      <c r="D1624" s="3462"/>
      <c r="E1624" s="3462"/>
      <c r="F1624" s="3462"/>
      <c r="G1624" s="3462"/>
      <c r="H1624" s="3462"/>
      <c r="I1624" s="3462"/>
      <c r="J1624" s="3462"/>
    </row>
    <row r="1625" spans="1:11" hidden="1" x14ac:dyDescent="0.3">
      <c r="A1625" s="137" t="s">
        <v>3</v>
      </c>
      <c r="B1625" s="1781" t="s">
        <v>4</v>
      </c>
      <c r="C1625" s="137" t="s">
        <v>5</v>
      </c>
      <c r="D1625" s="137" t="s">
        <v>6</v>
      </c>
      <c r="E1625" s="137" t="s">
        <v>7</v>
      </c>
      <c r="F1625" s="137" t="s">
        <v>8</v>
      </c>
      <c r="G1625" s="137" t="s">
        <v>9</v>
      </c>
      <c r="H1625" s="137" t="s">
        <v>10</v>
      </c>
      <c r="I1625" s="137" t="s">
        <v>11</v>
      </c>
      <c r="J1625" s="137" t="s">
        <v>12</v>
      </c>
    </row>
    <row r="1626" spans="1:11" hidden="1" x14ac:dyDescent="0.3">
      <c r="A1626" s="549">
        <v>1</v>
      </c>
      <c r="B1626" s="3393">
        <v>44469</v>
      </c>
      <c r="C1626" s="152" t="s">
        <v>138</v>
      </c>
      <c r="D1626" s="1222" t="s">
        <v>1581</v>
      </c>
      <c r="E1626" s="152" t="s">
        <v>125</v>
      </c>
      <c r="F1626" s="152">
        <v>200000000</v>
      </c>
      <c r="G1626" s="152" t="s">
        <v>43</v>
      </c>
      <c r="H1626" s="152" t="s">
        <v>271</v>
      </c>
      <c r="I1626" s="152" t="s">
        <v>36</v>
      </c>
      <c r="J1626" s="200">
        <v>1</v>
      </c>
    </row>
    <row r="1627" spans="1:11" hidden="1" x14ac:dyDescent="0.3">
      <c r="A1627" s="549" t="s">
        <v>3</v>
      </c>
      <c r="B1627" s="3393" t="s">
        <v>1582</v>
      </c>
      <c r="C1627" s="152" t="s">
        <v>138</v>
      </c>
      <c r="D1627" s="1222" t="s">
        <v>1583</v>
      </c>
      <c r="E1627" s="152" t="s">
        <v>125</v>
      </c>
      <c r="F1627" s="152">
        <v>247000000</v>
      </c>
      <c r="G1627" s="152" t="s">
        <v>481</v>
      </c>
      <c r="H1627" s="152" t="s">
        <v>44</v>
      </c>
      <c r="I1627" s="152" t="s">
        <v>36</v>
      </c>
      <c r="J1627" s="200">
        <v>1</v>
      </c>
    </row>
    <row r="1628" spans="1:11" hidden="1" x14ac:dyDescent="0.3">
      <c r="A1628" s="597">
        <v>3</v>
      </c>
      <c r="B1628" s="3394" t="s">
        <v>1584</v>
      </c>
      <c r="C1628" s="154" t="s">
        <v>138</v>
      </c>
      <c r="D1628" s="1822" t="s">
        <v>1585</v>
      </c>
      <c r="E1628" s="154" t="s">
        <v>125</v>
      </c>
      <c r="F1628" s="154">
        <v>160000000</v>
      </c>
      <c r="G1628" s="154" t="s">
        <v>1586</v>
      </c>
      <c r="H1628" s="154" t="s">
        <v>44</v>
      </c>
      <c r="I1628" s="154" t="s">
        <v>36</v>
      </c>
      <c r="J1628" s="598">
        <v>1</v>
      </c>
    </row>
    <row r="1629" spans="1:11" ht="24.6" hidden="1" x14ac:dyDescent="0.4">
      <c r="A1629" s="144"/>
      <c r="B1629" s="595"/>
      <c r="C1629" s="144"/>
      <c r="D1629" s="144"/>
      <c r="E1629" s="144"/>
      <c r="F1629" s="144"/>
      <c r="G1629" s="144"/>
      <c r="H1629" s="144"/>
      <c r="I1629" s="144"/>
      <c r="J1629" s="935">
        <f>J1626+J1627+J1628</f>
        <v>3</v>
      </c>
    </row>
    <row r="1630" spans="1:11" hidden="1" x14ac:dyDescent="0.3"/>
    <row r="1631" spans="1:11" hidden="1" x14ac:dyDescent="0.3"/>
    <row r="1632" spans="1:11" ht="23.4" hidden="1" x14ac:dyDescent="0.3">
      <c r="A1632" s="3470" t="s">
        <v>523</v>
      </c>
      <c r="B1632" s="3470"/>
      <c r="C1632" s="3470"/>
      <c r="D1632" s="3470"/>
      <c r="E1632" s="3470"/>
      <c r="F1632" s="3470"/>
      <c r="G1632" s="3470"/>
      <c r="H1632" s="3470"/>
      <c r="I1632" s="3470"/>
      <c r="J1632" s="3470"/>
    </row>
    <row r="1633" spans="1:11" ht="15.6" hidden="1" x14ac:dyDescent="0.3">
      <c r="A1633" s="3461" t="s">
        <v>2</v>
      </c>
      <c r="B1633" s="3461"/>
      <c r="C1633" s="3461"/>
      <c r="D1633" s="3461"/>
      <c r="E1633" s="3461"/>
      <c r="F1633" s="3461"/>
      <c r="G1633" s="3461"/>
      <c r="H1633" s="3461"/>
      <c r="I1633" s="3461"/>
      <c r="J1633" s="3461"/>
    </row>
    <row r="1634" spans="1:11" hidden="1" x14ac:dyDescent="0.3">
      <c r="A1634" s="137" t="s">
        <v>3</v>
      </c>
      <c r="B1634" s="1781" t="s">
        <v>4</v>
      </c>
      <c r="C1634" s="137" t="s">
        <v>5</v>
      </c>
      <c r="D1634" s="137" t="s">
        <v>6</v>
      </c>
      <c r="E1634" s="137" t="s">
        <v>7</v>
      </c>
      <c r="F1634" s="137" t="s">
        <v>8</v>
      </c>
      <c r="G1634" s="137" t="s">
        <v>9</v>
      </c>
      <c r="H1634" s="137" t="s">
        <v>10</v>
      </c>
      <c r="I1634" s="137" t="s">
        <v>11</v>
      </c>
      <c r="J1634" s="137" t="s">
        <v>12</v>
      </c>
    </row>
    <row r="1635" spans="1:11" hidden="1" x14ac:dyDescent="0.3">
      <c r="A1635" s="137">
        <v>1</v>
      </c>
      <c r="B1635" s="1781" t="s">
        <v>1463</v>
      </c>
      <c r="C1635" s="137" t="s">
        <v>138</v>
      </c>
      <c r="D1635" s="1221" t="s">
        <v>1587</v>
      </c>
      <c r="E1635" s="137" t="s">
        <v>78</v>
      </c>
      <c r="F1635" s="137">
        <v>1100000</v>
      </c>
      <c r="G1635" s="137" t="s">
        <v>1102</v>
      </c>
      <c r="H1635" s="137" t="s">
        <v>271</v>
      </c>
      <c r="I1635" s="137" t="s">
        <v>36</v>
      </c>
      <c r="J1635" s="137">
        <v>1</v>
      </c>
      <c r="K1635" t="s">
        <v>1232</v>
      </c>
    </row>
    <row r="1636" spans="1:11" hidden="1" x14ac:dyDescent="0.3">
      <c r="A1636" s="137">
        <v>2</v>
      </c>
      <c r="B1636" s="1781" t="s">
        <v>1549</v>
      </c>
      <c r="C1636" s="137" t="s">
        <v>138</v>
      </c>
      <c r="D1636" s="1221" t="s">
        <v>1588</v>
      </c>
      <c r="E1636" s="137" t="s">
        <v>869</v>
      </c>
      <c r="F1636" s="137">
        <v>1100000</v>
      </c>
      <c r="G1636" s="137" t="s">
        <v>1589</v>
      </c>
      <c r="H1636" s="137" t="s">
        <v>271</v>
      </c>
      <c r="I1636" s="137" t="s">
        <v>36</v>
      </c>
      <c r="J1636" s="137">
        <v>1</v>
      </c>
      <c r="K1636" t="s">
        <v>133</v>
      </c>
    </row>
    <row r="1637" spans="1:11" hidden="1" x14ac:dyDescent="0.3">
      <c r="A1637" s="137">
        <v>3</v>
      </c>
      <c r="B1637" s="1781" t="s">
        <v>1549</v>
      </c>
      <c r="C1637" s="137" t="s">
        <v>138</v>
      </c>
      <c r="D1637" s="1221" t="s">
        <v>1590</v>
      </c>
      <c r="E1637" s="137" t="s">
        <v>1324</v>
      </c>
      <c r="F1637" s="137">
        <v>850000</v>
      </c>
      <c r="G1637" s="137" t="s">
        <v>1591</v>
      </c>
      <c r="H1637" s="137" t="s">
        <v>271</v>
      </c>
      <c r="I1637" s="137" t="s">
        <v>36</v>
      </c>
      <c r="J1637" s="137">
        <v>1</v>
      </c>
      <c r="K1637" t="s">
        <v>1232</v>
      </c>
    </row>
    <row r="1638" spans="1:11" hidden="1" x14ac:dyDescent="0.3">
      <c r="A1638" s="137">
        <v>4</v>
      </c>
      <c r="B1638" s="1781" t="s">
        <v>1549</v>
      </c>
      <c r="C1638" s="137" t="s">
        <v>138</v>
      </c>
      <c r="D1638" s="1221" t="s">
        <v>1592</v>
      </c>
      <c r="E1638" s="137" t="s">
        <v>925</v>
      </c>
      <c r="F1638" s="137">
        <v>1000000</v>
      </c>
      <c r="G1638" s="137" t="s">
        <v>1593</v>
      </c>
      <c r="H1638" s="137" t="s">
        <v>271</v>
      </c>
      <c r="I1638" s="137" t="s">
        <v>36</v>
      </c>
      <c r="J1638" s="137">
        <v>1</v>
      </c>
      <c r="K1638" t="s">
        <v>133</v>
      </c>
    </row>
    <row r="1639" spans="1:11" hidden="1" x14ac:dyDescent="0.3">
      <c r="A1639" s="137">
        <v>5</v>
      </c>
      <c r="B1639" s="1781" t="s">
        <v>1496</v>
      </c>
      <c r="C1639" s="137" t="s">
        <v>138</v>
      </c>
      <c r="D1639" s="1221" t="s">
        <v>1594</v>
      </c>
      <c r="E1639" s="137" t="s">
        <v>869</v>
      </c>
      <c r="F1639" s="137">
        <v>1200000</v>
      </c>
      <c r="G1639" s="137" t="s">
        <v>1102</v>
      </c>
      <c r="H1639" s="137" t="s">
        <v>271</v>
      </c>
      <c r="I1639" s="137" t="s">
        <v>36</v>
      </c>
      <c r="J1639" s="137">
        <v>1</v>
      </c>
      <c r="K1639" t="s">
        <v>1455</v>
      </c>
    </row>
    <row r="1640" spans="1:11" hidden="1" x14ac:dyDescent="0.3">
      <c r="A1640" s="137">
        <v>6</v>
      </c>
      <c r="B1640" s="1781" t="s">
        <v>1496</v>
      </c>
      <c r="C1640" s="137" t="s">
        <v>138</v>
      </c>
      <c r="D1640" s="1221" t="s">
        <v>1595</v>
      </c>
      <c r="E1640" s="137" t="s">
        <v>1093</v>
      </c>
      <c r="F1640" s="137">
        <v>1200000</v>
      </c>
      <c r="G1640" s="137" t="s">
        <v>1093</v>
      </c>
      <c r="H1640" s="137" t="s">
        <v>271</v>
      </c>
      <c r="I1640" s="137" t="s">
        <v>36</v>
      </c>
      <c r="J1640" s="137">
        <v>1</v>
      </c>
      <c r="K1640" t="s">
        <v>1455</v>
      </c>
    </row>
    <row r="1641" spans="1:11" hidden="1" x14ac:dyDescent="0.3">
      <c r="A1641" s="137">
        <v>7</v>
      </c>
      <c r="B1641" s="1781" t="s">
        <v>1596</v>
      </c>
      <c r="C1641" s="150" t="s">
        <v>138</v>
      </c>
      <c r="D1641" s="1222" t="s">
        <v>1597</v>
      </c>
      <c r="E1641" s="150" t="s">
        <v>869</v>
      </c>
      <c r="F1641" s="1223">
        <v>1250000</v>
      </c>
      <c r="G1641" s="150" t="s">
        <v>869</v>
      </c>
      <c r="H1641" s="150" t="s">
        <v>271</v>
      </c>
      <c r="I1641" s="150" t="s">
        <v>36</v>
      </c>
      <c r="J1641" s="137">
        <v>1</v>
      </c>
      <c r="K1641" t="s">
        <v>1455</v>
      </c>
    </row>
    <row r="1642" spans="1:11" hidden="1" x14ac:dyDescent="0.3">
      <c r="A1642" s="137">
        <v>8</v>
      </c>
      <c r="B1642" s="1781" t="s">
        <v>1531</v>
      </c>
      <c r="C1642" s="137" t="s">
        <v>138</v>
      </c>
      <c r="D1642" s="1221" t="s">
        <v>1598</v>
      </c>
      <c r="E1642" s="137" t="s">
        <v>869</v>
      </c>
      <c r="F1642" s="137">
        <v>1250000</v>
      </c>
      <c r="G1642" s="137" t="s">
        <v>869</v>
      </c>
      <c r="H1642" s="137" t="s">
        <v>271</v>
      </c>
      <c r="I1642" s="137" t="s">
        <v>36</v>
      </c>
      <c r="J1642" s="137">
        <v>1</v>
      </c>
      <c r="K1642" t="s">
        <v>1232</v>
      </c>
    </row>
    <row r="1643" spans="1:11" hidden="1" x14ac:dyDescent="0.3">
      <c r="A1643" s="137">
        <v>9</v>
      </c>
      <c r="B1643" s="1781" t="s">
        <v>1599</v>
      </c>
      <c r="C1643" s="137" t="s">
        <v>138</v>
      </c>
      <c r="D1643" s="1221" t="s">
        <v>1600</v>
      </c>
      <c r="E1643" s="137" t="s">
        <v>869</v>
      </c>
      <c r="F1643" s="137">
        <v>1200000</v>
      </c>
      <c r="G1643" s="137" t="s">
        <v>1589</v>
      </c>
      <c r="H1643" s="137" t="s">
        <v>271</v>
      </c>
      <c r="I1643" s="137" t="s">
        <v>36</v>
      </c>
      <c r="J1643" s="137">
        <v>1</v>
      </c>
      <c r="K1643" t="s">
        <v>133</v>
      </c>
    </row>
    <row r="1644" spans="1:11" hidden="1" x14ac:dyDescent="0.3">
      <c r="A1644" s="137">
        <v>10</v>
      </c>
      <c r="B1644" s="1781" t="s">
        <v>1456</v>
      </c>
      <c r="C1644" s="137" t="s">
        <v>662</v>
      </c>
      <c r="D1644" s="642" t="s">
        <v>1601</v>
      </c>
      <c r="E1644" s="137" t="s">
        <v>78</v>
      </c>
      <c r="F1644" s="137">
        <v>850000</v>
      </c>
      <c r="G1644" s="137" t="s">
        <v>951</v>
      </c>
      <c r="H1644" s="137" t="s">
        <v>271</v>
      </c>
      <c r="I1644" s="137" t="s">
        <v>36</v>
      </c>
      <c r="J1644" s="137">
        <v>1</v>
      </c>
      <c r="K1644" t="s">
        <v>133</v>
      </c>
    </row>
    <row r="1645" spans="1:11" hidden="1" x14ac:dyDescent="0.3">
      <c r="A1645" s="137">
        <v>11</v>
      </c>
      <c r="B1645" s="1781" t="s">
        <v>1456</v>
      </c>
      <c r="C1645" s="137" t="s">
        <v>662</v>
      </c>
      <c r="D1645" s="642" t="s">
        <v>1602</v>
      </c>
      <c r="E1645" s="137" t="s">
        <v>78</v>
      </c>
      <c r="F1645" s="137">
        <v>1000000</v>
      </c>
      <c r="G1645" s="137" t="s">
        <v>951</v>
      </c>
      <c r="H1645" s="137" t="s">
        <v>271</v>
      </c>
      <c r="I1645" s="137" t="s">
        <v>36</v>
      </c>
      <c r="J1645" s="137">
        <v>1</v>
      </c>
      <c r="K1645" t="s">
        <v>1455</v>
      </c>
    </row>
    <row r="1646" spans="1:11" hidden="1" x14ac:dyDescent="0.3">
      <c r="A1646" s="137">
        <v>12</v>
      </c>
      <c r="B1646" s="1781" t="s">
        <v>1456</v>
      </c>
      <c r="C1646" s="137" t="s">
        <v>662</v>
      </c>
      <c r="D1646" s="642" t="s">
        <v>1603</v>
      </c>
      <c r="E1646" s="137" t="s">
        <v>78</v>
      </c>
      <c r="F1646" s="137">
        <v>650000</v>
      </c>
      <c r="G1646" s="137" t="s">
        <v>951</v>
      </c>
      <c r="H1646" s="137" t="s">
        <v>271</v>
      </c>
      <c r="I1646" s="137" t="s">
        <v>36</v>
      </c>
      <c r="J1646" s="137">
        <v>1</v>
      </c>
      <c r="K1646" t="s">
        <v>1232</v>
      </c>
    </row>
    <row r="1647" spans="1:11" hidden="1" x14ac:dyDescent="0.3">
      <c r="A1647" s="137">
        <v>13</v>
      </c>
      <c r="B1647" s="1781" t="s">
        <v>1456</v>
      </c>
      <c r="C1647" s="137" t="s">
        <v>138</v>
      </c>
      <c r="D1647" s="642" t="s">
        <v>1604</v>
      </c>
      <c r="E1647" s="137" t="s">
        <v>925</v>
      </c>
      <c r="F1647" s="137">
        <v>970000</v>
      </c>
      <c r="G1647" s="137" t="s">
        <v>1087</v>
      </c>
      <c r="H1647" s="137" t="s">
        <v>271</v>
      </c>
      <c r="I1647" s="137" t="s">
        <v>36</v>
      </c>
      <c r="J1647" s="137">
        <v>1</v>
      </c>
      <c r="K1647" t="s">
        <v>133</v>
      </c>
    </row>
    <row r="1648" spans="1:11" hidden="1" x14ac:dyDescent="0.3">
      <c r="A1648" s="137">
        <v>14</v>
      </c>
      <c r="B1648" s="1781" t="s">
        <v>1457</v>
      </c>
      <c r="C1648" s="137" t="s">
        <v>138</v>
      </c>
      <c r="D1648" s="642" t="s">
        <v>1605</v>
      </c>
      <c r="E1648" s="137" t="s">
        <v>840</v>
      </c>
      <c r="F1648" s="137">
        <v>1450000</v>
      </c>
      <c r="G1648" s="137" t="s">
        <v>926</v>
      </c>
      <c r="H1648" s="137" t="s">
        <v>271</v>
      </c>
      <c r="I1648" s="137" t="s">
        <v>36</v>
      </c>
      <c r="J1648" s="137">
        <v>1</v>
      </c>
      <c r="K1648" t="s">
        <v>133</v>
      </c>
    </row>
    <row r="1649" spans="1:10" hidden="1" x14ac:dyDescent="0.3">
      <c r="A1649" s="1781">
        <v>15</v>
      </c>
      <c r="B1649" s="3392"/>
      <c r="C1649" s="150"/>
      <c r="D1649" s="641"/>
      <c r="E1649" s="150"/>
      <c r="F1649" s="1223"/>
      <c r="G1649" s="150"/>
      <c r="H1649" s="150"/>
      <c r="I1649" s="150"/>
      <c r="J1649" s="137"/>
    </row>
    <row r="1650" spans="1:10" hidden="1" x14ac:dyDescent="0.3">
      <c r="A1650" s="1781">
        <v>16</v>
      </c>
      <c r="B1650" s="3392"/>
      <c r="C1650" s="150"/>
      <c r="D1650" s="641"/>
      <c r="E1650" s="150"/>
      <c r="F1650" s="1223"/>
      <c r="G1650" s="150"/>
      <c r="H1650" s="150"/>
      <c r="I1650" s="150"/>
      <c r="J1650" s="137"/>
    </row>
    <row r="1651" spans="1:10" hidden="1" x14ac:dyDescent="0.3">
      <c r="A1651" s="1781">
        <v>17</v>
      </c>
      <c r="B1651" s="3392"/>
      <c r="C1651" s="150"/>
      <c r="D1651" s="641"/>
      <c r="E1651" s="150"/>
      <c r="F1651" s="1223"/>
      <c r="G1651" s="150"/>
      <c r="H1651" s="150"/>
      <c r="I1651" s="150"/>
      <c r="J1651" s="137"/>
    </row>
    <row r="1652" spans="1:10" hidden="1" x14ac:dyDescent="0.3">
      <c r="A1652" s="1781">
        <v>18</v>
      </c>
      <c r="B1652" s="3392"/>
      <c r="C1652" s="150"/>
      <c r="D1652" s="641"/>
      <c r="E1652" s="150"/>
      <c r="F1652" s="1223"/>
      <c r="G1652" s="150"/>
      <c r="H1652" s="150"/>
      <c r="I1652" s="150"/>
      <c r="J1652" s="137"/>
    </row>
    <row r="1653" spans="1:10" hidden="1" x14ac:dyDescent="0.3">
      <c r="A1653" s="1781">
        <v>19</v>
      </c>
      <c r="B1653" s="1781"/>
      <c r="C1653" s="150"/>
      <c r="D1653" s="641"/>
      <c r="E1653" s="150"/>
      <c r="F1653" s="1223"/>
      <c r="G1653" s="150"/>
      <c r="H1653" s="150"/>
      <c r="I1653" s="150"/>
      <c r="J1653" s="137"/>
    </row>
    <row r="1654" spans="1:10" hidden="1" x14ac:dyDescent="0.3">
      <c r="A1654" s="1781">
        <v>20</v>
      </c>
      <c r="B1654" s="1781"/>
      <c r="C1654" s="150"/>
      <c r="D1654" s="641"/>
      <c r="E1654" s="150"/>
      <c r="F1654" s="1223"/>
      <c r="G1654" s="150"/>
      <c r="H1654" s="150"/>
      <c r="I1654" s="150"/>
      <c r="J1654" s="137"/>
    </row>
    <row r="1655" spans="1:10" hidden="1" x14ac:dyDescent="0.3">
      <c r="A1655" s="1781"/>
      <c r="B1655" s="1781"/>
      <c r="C1655" s="150"/>
      <c r="D1655" s="641"/>
      <c r="E1655" s="150"/>
      <c r="F1655" s="1223"/>
      <c r="G1655" s="150"/>
      <c r="H1655" s="150"/>
      <c r="I1655" s="150"/>
      <c r="J1655" s="137"/>
    </row>
    <row r="1656" spans="1:10" ht="24.6" hidden="1" x14ac:dyDescent="0.4">
      <c r="A1656" s="1781"/>
      <c r="B1656" s="1781"/>
      <c r="C1656" s="150"/>
      <c r="D1656" s="641"/>
      <c r="E1656" s="150"/>
      <c r="F1656" s="151"/>
      <c r="G1656" s="150"/>
      <c r="H1656" s="150"/>
      <c r="I1656" s="150"/>
      <c r="J1656" s="932">
        <f>SUM(J1635:J1655)</f>
        <v>14</v>
      </c>
    </row>
    <row r="1657" spans="1:10" ht="24.6" hidden="1" x14ac:dyDescent="0.4">
      <c r="A1657" s="3462" t="s">
        <v>33</v>
      </c>
      <c r="B1657" s="3462"/>
      <c r="C1657" s="3462"/>
      <c r="D1657" s="3462"/>
      <c r="E1657" s="3462"/>
      <c r="F1657" s="3462"/>
      <c r="G1657" s="3462"/>
      <c r="H1657" s="3462"/>
      <c r="I1657" s="3462"/>
      <c r="J1657" s="3462"/>
    </row>
    <row r="1658" spans="1:10" hidden="1" x14ac:dyDescent="0.3">
      <c r="A1658" s="137" t="s">
        <v>3</v>
      </c>
      <c r="B1658" s="1781" t="s">
        <v>4</v>
      </c>
      <c r="C1658" s="137" t="s">
        <v>5</v>
      </c>
      <c r="D1658" s="137" t="s">
        <v>6</v>
      </c>
      <c r="E1658" s="137" t="s">
        <v>7</v>
      </c>
      <c r="F1658" s="137" t="s">
        <v>8</v>
      </c>
      <c r="G1658" s="137" t="s">
        <v>9</v>
      </c>
      <c r="H1658" s="137" t="s">
        <v>10</v>
      </c>
      <c r="I1658" s="137" t="s">
        <v>11</v>
      </c>
      <c r="J1658" s="137" t="s">
        <v>12</v>
      </c>
    </row>
    <row r="1659" spans="1:10" hidden="1" x14ac:dyDescent="0.3">
      <c r="A1659" s="549">
        <v>1</v>
      </c>
      <c r="B1659" s="3393" t="s">
        <v>1606</v>
      </c>
      <c r="C1659" s="152" t="s">
        <v>138</v>
      </c>
      <c r="D1659" s="152" t="s">
        <v>1607</v>
      </c>
      <c r="E1659" s="152" t="s">
        <v>1608</v>
      </c>
      <c r="F1659" s="152">
        <v>240000000</v>
      </c>
      <c r="G1659" s="152" t="s">
        <v>1102</v>
      </c>
      <c r="H1659" s="152" t="s">
        <v>44</v>
      </c>
      <c r="I1659" s="152" t="s">
        <v>36</v>
      </c>
      <c r="J1659" s="200">
        <v>1</v>
      </c>
    </row>
    <row r="1660" spans="1:10" hidden="1" x14ac:dyDescent="0.3">
      <c r="A1660" s="549" t="s">
        <v>3</v>
      </c>
      <c r="B1660" s="3393" t="s">
        <v>1562</v>
      </c>
      <c r="C1660" s="152" t="s">
        <v>138</v>
      </c>
      <c r="D1660" s="152" t="s">
        <v>1609</v>
      </c>
      <c r="E1660" s="152" t="s">
        <v>1311</v>
      </c>
      <c r="F1660" s="152">
        <v>278000000</v>
      </c>
      <c r="G1660" s="152" t="s">
        <v>1116</v>
      </c>
      <c r="H1660" s="152" t="s">
        <v>44</v>
      </c>
      <c r="I1660" s="152" t="s">
        <v>36</v>
      </c>
      <c r="J1660" s="200">
        <v>1</v>
      </c>
    </row>
    <row r="1661" spans="1:10" hidden="1" x14ac:dyDescent="0.3">
      <c r="A1661" s="597">
        <v>3</v>
      </c>
      <c r="B1661" s="3394" t="s">
        <v>1562</v>
      </c>
      <c r="C1661" s="154" t="s">
        <v>138</v>
      </c>
      <c r="D1661" s="154" t="s">
        <v>1597</v>
      </c>
      <c r="E1661" s="154" t="s">
        <v>869</v>
      </c>
      <c r="F1661" s="154">
        <v>240000000</v>
      </c>
      <c r="G1661" s="154" t="s">
        <v>1102</v>
      </c>
      <c r="H1661" s="154" t="s">
        <v>1414</v>
      </c>
      <c r="I1661" s="154" t="s">
        <v>36</v>
      </c>
      <c r="J1661" s="598">
        <v>1</v>
      </c>
    </row>
    <row r="1662" spans="1:10" ht="24.6" hidden="1" x14ac:dyDescent="0.4">
      <c r="A1662" s="144"/>
      <c r="B1662" s="595"/>
      <c r="C1662" s="144"/>
      <c r="D1662" s="144"/>
      <c r="E1662" s="144"/>
      <c r="F1662" s="144"/>
      <c r="G1662" s="144"/>
      <c r="H1662" s="144"/>
      <c r="I1662" s="144"/>
      <c r="J1662" s="935">
        <f>J1659+J1660+J1661</f>
        <v>3</v>
      </c>
    </row>
    <row r="1663" spans="1:10" hidden="1" x14ac:dyDescent="0.3"/>
    <row r="1664" spans="1:10" hidden="1" x14ac:dyDescent="0.3"/>
    <row r="1665" spans="1:10" ht="23.4" hidden="1" x14ac:dyDescent="0.3">
      <c r="A1665" s="3470" t="s">
        <v>732</v>
      </c>
      <c r="B1665" s="3470"/>
      <c r="C1665" s="3470"/>
      <c r="D1665" s="3470"/>
      <c r="E1665" s="3470"/>
      <c r="F1665" s="3470"/>
      <c r="G1665" s="3470"/>
      <c r="H1665" s="3470"/>
      <c r="I1665" s="3470"/>
      <c r="J1665" s="3470"/>
    </row>
    <row r="1666" spans="1:10" ht="15.6" hidden="1" x14ac:dyDescent="0.3">
      <c r="A1666" s="3461" t="s">
        <v>2</v>
      </c>
      <c r="B1666" s="3461"/>
      <c r="C1666" s="3461"/>
      <c r="D1666" s="3461"/>
      <c r="E1666" s="3461"/>
      <c r="F1666" s="3461"/>
      <c r="G1666" s="3461"/>
      <c r="H1666" s="3461"/>
      <c r="I1666" s="3461"/>
      <c r="J1666" s="3461"/>
    </row>
    <row r="1667" spans="1:10" hidden="1" x14ac:dyDescent="0.3">
      <c r="A1667" s="137" t="s">
        <v>3</v>
      </c>
      <c r="B1667" s="1781" t="s">
        <v>4</v>
      </c>
      <c r="C1667" s="137" t="s">
        <v>5</v>
      </c>
      <c r="D1667" s="137" t="s">
        <v>6</v>
      </c>
      <c r="E1667" s="137" t="s">
        <v>7</v>
      </c>
      <c r="F1667" s="137" t="s">
        <v>8</v>
      </c>
      <c r="G1667" s="137" t="s">
        <v>9</v>
      </c>
      <c r="H1667" s="137" t="s">
        <v>10</v>
      </c>
      <c r="I1667" s="137" t="s">
        <v>11</v>
      </c>
      <c r="J1667" s="137" t="s">
        <v>12</v>
      </c>
    </row>
    <row r="1668" spans="1:10" hidden="1" x14ac:dyDescent="0.3">
      <c r="A1668" s="137">
        <v>1</v>
      </c>
      <c r="B1668" s="1781"/>
      <c r="C1668" s="137"/>
      <c r="D1668" s="642"/>
      <c r="E1668" s="137"/>
      <c r="F1668" s="137"/>
      <c r="G1668" s="137"/>
      <c r="H1668" s="137"/>
      <c r="I1668" s="137"/>
      <c r="J1668" s="137"/>
    </row>
    <row r="1669" spans="1:10" hidden="1" x14ac:dyDescent="0.3">
      <c r="A1669" s="137">
        <v>2</v>
      </c>
      <c r="B1669" s="1781"/>
      <c r="C1669" s="137"/>
      <c r="D1669" s="642"/>
      <c r="E1669" s="137"/>
      <c r="F1669" s="137"/>
      <c r="G1669" s="137"/>
      <c r="H1669" s="137"/>
      <c r="I1669" s="137"/>
      <c r="J1669" s="137"/>
    </row>
    <row r="1670" spans="1:10" hidden="1" x14ac:dyDescent="0.3">
      <c r="A1670" s="137">
        <v>3</v>
      </c>
      <c r="B1670" s="1781"/>
      <c r="C1670" s="137"/>
      <c r="D1670" s="642"/>
      <c r="E1670" s="137"/>
      <c r="F1670" s="137"/>
      <c r="G1670" s="137"/>
      <c r="H1670" s="137"/>
      <c r="I1670" s="137"/>
      <c r="J1670" s="137"/>
    </row>
    <row r="1671" spans="1:10" hidden="1" x14ac:dyDescent="0.3">
      <c r="A1671" s="137">
        <v>4</v>
      </c>
      <c r="B1671" s="1781"/>
      <c r="C1671" s="137"/>
      <c r="D1671" s="642"/>
      <c r="E1671" s="137"/>
      <c r="F1671" s="137"/>
      <c r="G1671" s="137"/>
      <c r="H1671" s="137"/>
      <c r="I1671" s="137"/>
      <c r="J1671" s="137"/>
    </row>
    <row r="1672" spans="1:10" hidden="1" x14ac:dyDescent="0.3">
      <c r="A1672" s="137">
        <v>5</v>
      </c>
      <c r="B1672" s="1781"/>
      <c r="C1672" s="137"/>
      <c r="D1672" s="642"/>
      <c r="E1672" s="137"/>
      <c r="F1672" s="137"/>
      <c r="G1672" s="137"/>
      <c r="H1672" s="137"/>
      <c r="I1672" s="137"/>
      <c r="J1672" s="137"/>
    </row>
    <row r="1673" spans="1:10" hidden="1" x14ac:dyDescent="0.3">
      <c r="A1673" s="137">
        <v>6</v>
      </c>
      <c r="B1673" s="1781"/>
      <c r="C1673" s="137"/>
      <c r="D1673" s="642"/>
      <c r="E1673" s="137"/>
      <c r="F1673" s="137"/>
      <c r="G1673" s="137"/>
      <c r="H1673" s="137"/>
      <c r="I1673" s="137"/>
      <c r="J1673" s="137"/>
    </row>
    <row r="1674" spans="1:10" hidden="1" x14ac:dyDescent="0.3">
      <c r="A1674" s="137">
        <v>7</v>
      </c>
      <c r="B1674" s="1781"/>
      <c r="C1674" s="150"/>
      <c r="D1674" s="641"/>
      <c r="E1674" s="150"/>
      <c r="F1674" s="1223"/>
      <c r="G1674" s="150"/>
      <c r="H1674" s="150"/>
      <c r="I1674" s="150"/>
      <c r="J1674" s="137"/>
    </row>
    <row r="1675" spans="1:10" ht="24.6" hidden="1" x14ac:dyDescent="0.4">
      <c r="A1675" s="3462" t="s">
        <v>33</v>
      </c>
      <c r="B1675" s="3462"/>
      <c r="C1675" s="3462"/>
      <c r="D1675" s="3462"/>
      <c r="E1675" s="3462"/>
      <c r="F1675" s="3462"/>
      <c r="G1675" s="3462"/>
      <c r="H1675" s="3462"/>
      <c r="I1675" s="3462"/>
      <c r="J1675" s="3462"/>
    </row>
    <row r="1676" spans="1:10" hidden="1" x14ac:dyDescent="0.3">
      <c r="A1676" s="137" t="s">
        <v>3</v>
      </c>
      <c r="B1676" s="1781" t="s">
        <v>4</v>
      </c>
      <c r="C1676" s="137" t="s">
        <v>5</v>
      </c>
      <c r="D1676" s="137" t="s">
        <v>6</v>
      </c>
      <c r="E1676" s="137" t="s">
        <v>7</v>
      </c>
      <c r="F1676" s="137" t="s">
        <v>8</v>
      </c>
      <c r="G1676" s="137" t="s">
        <v>9</v>
      </c>
      <c r="H1676" s="137" t="s">
        <v>10</v>
      </c>
      <c r="I1676" s="137" t="s">
        <v>11</v>
      </c>
      <c r="J1676" s="137" t="s">
        <v>12</v>
      </c>
    </row>
    <row r="1677" spans="1:10" hidden="1" x14ac:dyDescent="0.3">
      <c r="A1677" s="549">
        <v>1</v>
      </c>
      <c r="B1677" s="3393"/>
      <c r="C1677" s="152"/>
      <c r="D1677" s="152"/>
      <c r="E1677" s="152"/>
      <c r="F1677" s="152"/>
      <c r="G1677" s="152"/>
      <c r="H1677" s="152"/>
      <c r="I1677" s="152"/>
      <c r="J1677" s="200"/>
    </row>
    <row r="1678" spans="1:10" hidden="1" x14ac:dyDescent="0.3">
      <c r="A1678" s="549" t="s">
        <v>3</v>
      </c>
      <c r="B1678" s="3393"/>
      <c r="C1678" s="152"/>
      <c r="D1678" s="152"/>
      <c r="E1678" s="152"/>
      <c r="F1678" s="152"/>
      <c r="G1678" s="152"/>
      <c r="H1678" s="152"/>
      <c r="I1678" s="152"/>
      <c r="J1678" s="200"/>
    </row>
    <row r="1679" spans="1:10" hidden="1" x14ac:dyDescent="0.3">
      <c r="A1679" s="597">
        <v>3</v>
      </c>
      <c r="B1679" s="3394"/>
      <c r="C1679" s="154"/>
      <c r="D1679" s="154"/>
      <c r="E1679" s="154"/>
      <c r="F1679" s="154"/>
      <c r="G1679" s="154"/>
      <c r="H1679" s="154"/>
      <c r="I1679" s="154"/>
      <c r="J1679" s="598"/>
    </row>
    <row r="1680" spans="1:10" ht="24.6" hidden="1" x14ac:dyDescent="0.4">
      <c r="A1680" s="144"/>
      <c r="B1680" s="595"/>
      <c r="C1680" s="144"/>
      <c r="D1680" s="144"/>
      <c r="E1680" s="144"/>
      <c r="F1680" s="144"/>
      <c r="G1680" s="144"/>
      <c r="H1680" s="144"/>
      <c r="I1680" s="144"/>
      <c r="J1680" s="935">
        <f>J1677+J1678+J1679</f>
        <v>0</v>
      </c>
    </row>
    <row r="1681" spans="1:11" hidden="1" x14ac:dyDescent="0.3"/>
    <row r="1682" spans="1:11" hidden="1" x14ac:dyDescent="0.3"/>
    <row r="1684" spans="1:11" x14ac:dyDescent="0.3">
      <c r="A1684" s="3468" t="s">
        <v>1610</v>
      </c>
      <c r="B1684" s="3469"/>
      <c r="C1684" s="3469"/>
      <c r="D1684" s="3469"/>
      <c r="E1684" s="3469"/>
      <c r="F1684" s="3469"/>
      <c r="G1684" s="3469"/>
      <c r="H1684" s="3469"/>
      <c r="I1684" s="3469"/>
      <c r="J1684" s="3469"/>
    </row>
    <row r="1685" spans="1:11" x14ac:dyDescent="0.3">
      <c r="A1685" s="3469"/>
      <c r="B1685" s="3469"/>
      <c r="C1685" s="3469"/>
      <c r="D1685" s="3469"/>
      <c r="E1685" s="3469"/>
      <c r="F1685" s="3469"/>
      <c r="G1685" s="3469"/>
      <c r="H1685" s="3469"/>
      <c r="I1685" s="3469"/>
      <c r="J1685" s="3469"/>
    </row>
    <row r="1686" spans="1:11" ht="24.75" hidden="1" customHeight="1" x14ac:dyDescent="0.3">
      <c r="B1686" s="136"/>
      <c r="C1686" s="136"/>
      <c r="D1686" s="136"/>
      <c r="E1686" s="136"/>
      <c r="F1686" s="136"/>
      <c r="G1686" s="136"/>
      <c r="H1686" s="136"/>
      <c r="I1686" s="136"/>
      <c r="J1686" s="136"/>
    </row>
    <row r="1687" spans="1:11" ht="23.4" hidden="1" x14ac:dyDescent="0.3">
      <c r="A1687" s="3467" t="s">
        <v>527</v>
      </c>
      <c r="B1687" s="3467"/>
      <c r="C1687" s="3467"/>
      <c r="D1687" s="3467"/>
      <c r="E1687" s="3467"/>
      <c r="F1687" s="3467"/>
      <c r="G1687" s="3467"/>
      <c r="H1687" s="3467"/>
      <c r="I1687" s="3467"/>
      <c r="J1687" s="3467"/>
    </row>
    <row r="1688" spans="1:11" ht="15.6" hidden="1" x14ac:dyDescent="0.3">
      <c r="A1688" s="3461" t="s">
        <v>2</v>
      </c>
      <c r="B1688" s="3461"/>
      <c r="C1688" s="3461"/>
      <c r="D1688" s="3461"/>
      <c r="E1688" s="3461"/>
      <c r="F1688" s="3461"/>
      <c r="G1688" s="3461"/>
      <c r="H1688" s="3461"/>
      <c r="I1688" s="3461"/>
      <c r="J1688" s="3461"/>
    </row>
    <row r="1689" spans="1:11" hidden="1" x14ac:dyDescent="0.3">
      <c r="A1689" s="137" t="s">
        <v>3</v>
      </c>
      <c r="B1689" s="1781" t="s">
        <v>4</v>
      </c>
      <c r="C1689" s="137" t="s">
        <v>5</v>
      </c>
      <c r="D1689" s="137" t="s">
        <v>6</v>
      </c>
      <c r="E1689" s="137" t="s">
        <v>7</v>
      </c>
      <c r="F1689" s="137" t="s">
        <v>8</v>
      </c>
      <c r="G1689" s="137" t="s">
        <v>9</v>
      </c>
      <c r="H1689" s="137" t="s">
        <v>10</v>
      </c>
      <c r="I1689" s="137" t="s">
        <v>11</v>
      </c>
      <c r="J1689" s="137" t="s">
        <v>12</v>
      </c>
    </row>
    <row r="1690" spans="1:11" hidden="1" x14ac:dyDescent="0.3">
      <c r="A1690" s="137">
        <v>1</v>
      </c>
      <c r="B1690" s="765" t="s">
        <v>1611</v>
      </c>
      <c r="C1690" s="642" t="s">
        <v>138</v>
      </c>
      <c r="D1690" s="642" t="s">
        <v>1612</v>
      </c>
      <c r="E1690" s="642" t="s">
        <v>216</v>
      </c>
      <c r="F1690" s="642">
        <v>950000</v>
      </c>
      <c r="G1690" s="642" t="s">
        <v>1208</v>
      </c>
      <c r="H1690" s="642" t="s">
        <v>271</v>
      </c>
      <c r="I1690" s="642" t="s">
        <v>36</v>
      </c>
      <c r="J1690" s="642">
        <v>1</v>
      </c>
      <c r="K1690" t="s">
        <v>1232</v>
      </c>
    </row>
    <row r="1691" spans="1:11" hidden="1" x14ac:dyDescent="0.3">
      <c r="A1691" s="137">
        <v>2</v>
      </c>
      <c r="B1691" s="765" t="s">
        <v>1613</v>
      </c>
      <c r="C1691" s="642" t="s">
        <v>662</v>
      </c>
      <c r="D1691" s="642" t="s">
        <v>1614</v>
      </c>
      <c r="E1691" s="642" t="s">
        <v>128</v>
      </c>
      <c r="F1691" s="642">
        <v>5000000</v>
      </c>
      <c r="G1691" s="642" t="s">
        <v>168</v>
      </c>
      <c r="H1691" s="642" t="s">
        <v>271</v>
      </c>
      <c r="I1691" s="642" t="s">
        <v>36</v>
      </c>
      <c r="J1691" s="642">
        <v>1</v>
      </c>
      <c r="K1691" t="s">
        <v>217</v>
      </c>
    </row>
    <row r="1692" spans="1:11" hidden="1" x14ac:dyDescent="0.3">
      <c r="A1692" s="137">
        <v>3</v>
      </c>
      <c r="B1692" s="765" t="s">
        <v>1615</v>
      </c>
      <c r="C1692" s="642" t="s">
        <v>138</v>
      </c>
      <c r="D1692" s="642" t="s">
        <v>786</v>
      </c>
      <c r="E1692" s="642" t="s">
        <v>787</v>
      </c>
      <c r="F1692" s="642">
        <v>1300000</v>
      </c>
      <c r="G1692" s="642" t="s">
        <v>796</v>
      </c>
      <c r="H1692" s="642" t="s">
        <v>271</v>
      </c>
      <c r="I1692" s="642" t="s">
        <v>36</v>
      </c>
      <c r="J1692" s="642">
        <v>1</v>
      </c>
      <c r="K1692" t="s">
        <v>1232</v>
      </c>
    </row>
    <row r="1693" spans="1:11" hidden="1" x14ac:dyDescent="0.3">
      <c r="A1693" s="137">
        <v>4</v>
      </c>
      <c r="B1693" s="765" t="s">
        <v>1616</v>
      </c>
      <c r="C1693" s="642" t="s">
        <v>138</v>
      </c>
      <c r="D1693" s="642" t="s">
        <v>1617</v>
      </c>
      <c r="E1693" s="642" t="s">
        <v>965</v>
      </c>
      <c r="F1693" s="642">
        <v>880000</v>
      </c>
      <c r="G1693" s="642" t="s">
        <v>736</v>
      </c>
      <c r="H1693" s="642" t="s">
        <v>271</v>
      </c>
      <c r="I1693" s="642" t="s">
        <v>36</v>
      </c>
      <c r="J1693" s="642">
        <v>1</v>
      </c>
      <c r="K1693" t="s">
        <v>133</v>
      </c>
    </row>
    <row r="1694" spans="1:11" hidden="1" x14ac:dyDescent="0.3">
      <c r="A1694" s="137">
        <v>5</v>
      </c>
      <c r="B1694" s="765" t="s">
        <v>1618</v>
      </c>
      <c r="C1694" s="642" t="s">
        <v>138</v>
      </c>
      <c r="D1694" s="642" t="s">
        <v>1619</v>
      </c>
      <c r="E1694" s="642" t="s">
        <v>78</v>
      </c>
      <c r="F1694" s="642">
        <v>1500000</v>
      </c>
      <c r="G1694" s="642" t="s">
        <v>1223</v>
      </c>
      <c r="H1694" s="642" t="s">
        <v>44</v>
      </c>
      <c r="I1694" s="642" t="s">
        <v>36</v>
      </c>
      <c r="J1694" s="642">
        <v>1</v>
      </c>
      <c r="K1694" t="s">
        <v>1232</v>
      </c>
    </row>
    <row r="1695" spans="1:11" hidden="1" x14ac:dyDescent="0.3">
      <c r="A1695" s="137">
        <v>6</v>
      </c>
      <c r="B1695" s="765" t="s">
        <v>1620</v>
      </c>
      <c r="C1695" s="642" t="s">
        <v>138</v>
      </c>
      <c r="D1695" s="642" t="s">
        <v>1621</v>
      </c>
      <c r="E1695" s="642" t="s">
        <v>78</v>
      </c>
      <c r="F1695" s="642">
        <v>1050000</v>
      </c>
      <c r="G1695" s="642" t="s">
        <v>1223</v>
      </c>
      <c r="H1695" s="642" t="s">
        <v>44</v>
      </c>
      <c r="I1695" s="642" t="s">
        <v>36</v>
      </c>
      <c r="J1695" s="642">
        <v>1</v>
      </c>
      <c r="K1695" t="s">
        <v>133</v>
      </c>
    </row>
    <row r="1696" spans="1:11" hidden="1" x14ac:dyDescent="0.3">
      <c r="A1696" s="137">
        <v>7</v>
      </c>
      <c r="B1696" s="765" t="s">
        <v>1622</v>
      </c>
      <c r="C1696" s="641" t="s">
        <v>138</v>
      </c>
      <c r="D1696" s="641" t="s">
        <v>1623</v>
      </c>
      <c r="E1696" s="641" t="s">
        <v>78</v>
      </c>
      <c r="F1696" s="1646">
        <v>1150000</v>
      </c>
      <c r="G1696" s="641" t="s">
        <v>1423</v>
      </c>
      <c r="H1696" s="641" t="s">
        <v>271</v>
      </c>
      <c r="I1696" s="641" t="s">
        <v>36</v>
      </c>
      <c r="J1696" s="642">
        <v>1</v>
      </c>
      <c r="K1696" t="s">
        <v>1455</v>
      </c>
    </row>
    <row r="1697" spans="1:11" hidden="1" x14ac:dyDescent="0.3">
      <c r="A1697" s="137">
        <v>8</v>
      </c>
      <c r="B1697" s="765" t="s">
        <v>1622</v>
      </c>
      <c r="C1697" s="642" t="s">
        <v>138</v>
      </c>
      <c r="D1697" s="642" t="s">
        <v>1624</v>
      </c>
      <c r="E1697" s="642" t="s">
        <v>78</v>
      </c>
      <c r="F1697" s="642">
        <v>1300000</v>
      </c>
      <c r="G1697" s="642" t="s">
        <v>1423</v>
      </c>
      <c r="H1697" s="642" t="s">
        <v>271</v>
      </c>
      <c r="I1697" s="642" t="s">
        <v>36</v>
      </c>
      <c r="J1697" s="642">
        <v>1</v>
      </c>
      <c r="K1697" t="s">
        <v>1232</v>
      </c>
    </row>
    <row r="1698" spans="1:11" hidden="1" x14ac:dyDescent="0.3">
      <c r="A1698" s="137">
        <v>9</v>
      </c>
      <c r="B1698" s="765" t="s">
        <v>1625</v>
      </c>
      <c r="C1698" s="642" t="s">
        <v>138</v>
      </c>
      <c r="D1698" s="642" t="s">
        <v>1626</v>
      </c>
      <c r="E1698" s="642" t="s">
        <v>78</v>
      </c>
      <c r="F1698" s="642">
        <v>1200000</v>
      </c>
      <c r="G1698" s="642" t="s">
        <v>1423</v>
      </c>
      <c r="H1698" s="642" t="s">
        <v>271</v>
      </c>
      <c r="I1698" s="642" t="s">
        <v>36</v>
      </c>
      <c r="J1698" s="642">
        <v>1</v>
      </c>
      <c r="K1698" t="s">
        <v>1232</v>
      </c>
    </row>
    <row r="1699" spans="1:11" hidden="1" x14ac:dyDescent="0.3">
      <c r="A1699" s="137">
        <v>10</v>
      </c>
      <c r="B1699" s="765" t="s">
        <v>1625</v>
      </c>
      <c r="C1699" s="642" t="s">
        <v>138</v>
      </c>
      <c r="D1699" s="642" t="s">
        <v>1627</v>
      </c>
      <c r="E1699" s="642" t="s">
        <v>1207</v>
      </c>
      <c r="F1699" s="642">
        <v>1000000</v>
      </c>
      <c r="G1699" s="642" t="s">
        <v>1628</v>
      </c>
      <c r="H1699" s="642" t="s">
        <v>271</v>
      </c>
      <c r="I1699" s="642" t="s">
        <v>36</v>
      </c>
      <c r="J1699" s="642">
        <v>1</v>
      </c>
      <c r="K1699" t="s">
        <v>1455</v>
      </c>
    </row>
    <row r="1700" spans="1:11" hidden="1" x14ac:dyDescent="0.3">
      <c r="A1700" s="137">
        <v>11</v>
      </c>
      <c r="B1700" s="3402">
        <v>44541</v>
      </c>
      <c r="C1700" s="642" t="s">
        <v>138</v>
      </c>
      <c r="D1700" s="642" t="s">
        <v>1629</v>
      </c>
      <c r="E1700" s="642" t="s">
        <v>78</v>
      </c>
      <c r="F1700" s="642">
        <v>1300000</v>
      </c>
      <c r="G1700" s="642" t="s">
        <v>1423</v>
      </c>
      <c r="H1700" s="642" t="s">
        <v>271</v>
      </c>
      <c r="I1700" s="642" t="s">
        <v>36</v>
      </c>
      <c r="J1700" s="642">
        <v>1</v>
      </c>
      <c r="K1700" t="s">
        <v>1232</v>
      </c>
    </row>
    <row r="1701" spans="1:11" hidden="1" x14ac:dyDescent="0.3">
      <c r="A1701" s="137">
        <v>12</v>
      </c>
      <c r="B1701" s="765" t="s">
        <v>1630</v>
      </c>
      <c r="C1701" s="642" t="s">
        <v>138</v>
      </c>
      <c r="D1701" s="642" t="s">
        <v>1631</v>
      </c>
      <c r="E1701" s="642" t="s">
        <v>78</v>
      </c>
      <c r="F1701" s="642">
        <v>9500000</v>
      </c>
      <c r="G1701" s="642" t="s">
        <v>1632</v>
      </c>
      <c r="H1701" s="642" t="s">
        <v>271</v>
      </c>
      <c r="I1701" s="642" t="s">
        <v>36</v>
      </c>
      <c r="J1701" s="642">
        <v>1</v>
      </c>
      <c r="K1701" t="s">
        <v>1455</v>
      </c>
    </row>
    <row r="1702" spans="1:11" hidden="1" x14ac:dyDescent="0.3">
      <c r="A1702" s="137">
        <v>13</v>
      </c>
      <c r="B1702" s="765" t="s">
        <v>1633</v>
      </c>
      <c r="C1702" s="642" t="s">
        <v>138</v>
      </c>
      <c r="D1702" s="642" t="s">
        <v>1634</v>
      </c>
      <c r="E1702" s="642" t="s">
        <v>78</v>
      </c>
      <c r="F1702" s="642">
        <v>1150000</v>
      </c>
      <c r="G1702" s="642" t="s">
        <v>1423</v>
      </c>
      <c r="H1702" s="642" t="s">
        <v>271</v>
      </c>
      <c r="I1702" s="642" t="s">
        <v>36</v>
      </c>
      <c r="J1702" s="642">
        <v>1</v>
      </c>
      <c r="K1702" t="s">
        <v>133</v>
      </c>
    </row>
    <row r="1703" spans="1:11" hidden="1" x14ac:dyDescent="0.3">
      <c r="A1703" s="137">
        <v>14</v>
      </c>
      <c r="B1703" s="765" t="s">
        <v>1635</v>
      </c>
      <c r="C1703" s="642" t="s">
        <v>138</v>
      </c>
      <c r="D1703" s="642" t="s">
        <v>1636</v>
      </c>
      <c r="E1703" s="642" t="s">
        <v>78</v>
      </c>
      <c r="F1703" s="642">
        <v>1500000</v>
      </c>
      <c r="G1703" s="642" t="s">
        <v>1423</v>
      </c>
      <c r="H1703" s="642" t="s">
        <v>44</v>
      </c>
      <c r="I1703" s="642" t="s">
        <v>36</v>
      </c>
      <c r="J1703" s="642">
        <v>1</v>
      </c>
      <c r="K1703" t="s">
        <v>1455</v>
      </c>
    </row>
    <row r="1704" spans="1:11" hidden="1" x14ac:dyDescent="0.3">
      <c r="A1704" s="1781">
        <v>15</v>
      </c>
      <c r="B1704" s="765" t="s">
        <v>1635</v>
      </c>
      <c r="C1704" s="642" t="s">
        <v>138</v>
      </c>
      <c r="D1704" s="641" t="s">
        <v>1637</v>
      </c>
      <c r="E1704" s="641" t="s">
        <v>78</v>
      </c>
      <c r="F1704" s="1646">
        <v>1150000</v>
      </c>
      <c r="G1704" s="641" t="s">
        <v>1423</v>
      </c>
      <c r="H1704" s="641" t="s">
        <v>271</v>
      </c>
      <c r="I1704" s="641" t="s">
        <v>36</v>
      </c>
      <c r="J1704" s="642">
        <v>1</v>
      </c>
      <c r="K1704" t="s">
        <v>1455</v>
      </c>
    </row>
    <row r="1705" spans="1:11" hidden="1" x14ac:dyDescent="0.3">
      <c r="A1705" s="1781">
        <v>16</v>
      </c>
      <c r="B1705" s="3402" t="s">
        <v>1635</v>
      </c>
      <c r="C1705" s="641" t="s">
        <v>138</v>
      </c>
      <c r="D1705" s="641" t="s">
        <v>1638</v>
      </c>
      <c r="E1705" s="641" t="s">
        <v>78</v>
      </c>
      <c r="F1705" s="1646">
        <v>1100000</v>
      </c>
      <c r="G1705" s="641" t="s">
        <v>1423</v>
      </c>
      <c r="H1705" s="641" t="s">
        <v>271</v>
      </c>
      <c r="I1705" s="641" t="s">
        <v>36</v>
      </c>
      <c r="J1705" s="642">
        <v>1</v>
      </c>
      <c r="K1705" t="s">
        <v>1455</v>
      </c>
    </row>
    <row r="1706" spans="1:11" hidden="1" x14ac:dyDescent="0.3">
      <c r="A1706" s="1781">
        <v>17</v>
      </c>
      <c r="B1706" s="3402" t="s">
        <v>1639</v>
      </c>
      <c r="C1706" s="641" t="s">
        <v>138</v>
      </c>
      <c r="D1706" s="2499" t="s">
        <v>1640</v>
      </c>
      <c r="E1706" s="641" t="s">
        <v>1207</v>
      </c>
      <c r="F1706" s="1646">
        <v>950000</v>
      </c>
      <c r="G1706" s="641" t="s">
        <v>1628</v>
      </c>
      <c r="H1706" s="641" t="s">
        <v>271</v>
      </c>
      <c r="I1706" s="641" t="s">
        <v>36</v>
      </c>
      <c r="J1706" s="642">
        <v>1</v>
      </c>
      <c r="K1706" t="s">
        <v>1232</v>
      </c>
    </row>
    <row r="1707" spans="1:11" hidden="1" x14ac:dyDescent="0.3">
      <c r="A1707" s="1781">
        <v>18</v>
      </c>
      <c r="B1707" s="3402" t="s">
        <v>1641</v>
      </c>
      <c r="C1707" s="641" t="s">
        <v>138</v>
      </c>
      <c r="D1707" s="641" t="s">
        <v>1642</v>
      </c>
      <c r="E1707" s="641" t="s">
        <v>78</v>
      </c>
      <c r="F1707" s="1646">
        <v>1500000</v>
      </c>
      <c r="G1707" s="641" t="s">
        <v>1223</v>
      </c>
      <c r="H1707" s="641" t="s">
        <v>271</v>
      </c>
      <c r="I1707" s="641" t="s">
        <v>36</v>
      </c>
      <c r="J1707" s="642">
        <v>1</v>
      </c>
      <c r="K1707" t="s">
        <v>1232</v>
      </c>
    </row>
    <row r="1708" spans="1:11" hidden="1" x14ac:dyDescent="0.3">
      <c r="A1708" s="1781">
        <v>19</v>
      </c>
      <c r="B1708" s="765" t="s">
        <v>1643</v>
      </c>
      <c r="C1708" s="641" t="s">
        <v>138</v>
      </c>
      <c r="D1708" s="641" t="s">
        <v>1644</v>
      </c>
      <c r="E1708" s="641" t="s">
        <v>78</v>
      </c>
      <c r="F1708" s="1646">
        <v>1200000</v>
      </c>
      <c r="G1708" s="641" t="s">
        <v>1423</v>
      </c>
      <c r="H1708" s="641" t="s">
        <v>271</v>
      </c>
      <c r="I1708" s="641" t="s">
        <v>36</v>
      </c>
      <c r="J1708" s="642">
        <v>1</v>
      </c>
      <c r="K1708" t="s">
        <v>1232</v>
      </c>
    </row>
    <row r="1709" spans="1:11" hidden="1" x14ac:dyDescent="0.3">
      <c r="A1709" s="1781">
        <v>20</v>
      </c>
      <c r="B1709" s="765" t="s">
        <v>1645</v>
      </c>
      <c r="C1709" s="641" t="s">
        <v>138</v>
      </c>
      <c r="D1709" s="641" t="s">
        <v>1646</v>
      </c>
      <c r="E1709" s="641" t="s">
        <v>78</v>
      </c>
      <c r="F1709" s="1646">
        <v>1200000</v>
      </c>
      <c r="G1709" s="641" t="s">
        <v>1423</v>
      </c>
      <c r="H1709" s="641" t="s">
        <v>271</v>
      </c>
      <c r="I1709" s="641" t="s">
        <v>36</v>
      </c>
      <c r="J1709" s="642">
        <v>1</v>
      </c>
      <c r="K1709" t="s">
        <v>133</v>
      </c>
    </row>
    <row r="1710" spans="1:11" hidden="1" x14ac:dyDescent="0.3">
      <c r="A1710" s="1781"/>
      <c r="B1710" s="765"/>
      <c r="C1710" s="641"/>
      <c r="D1710" s="641"/>
      <c r="E1710" s="641"/>
      <c r="F1710" s="1646"/>
      <c r="G1710" s="641"/>
      <c r="H1710" s="641"/>
      <c r="I1710" s="641"/>
      <c r="J1710" s="642"/>
    </row>
    <row r="1711" spans="1:11" ht="24.6" hidden="1" x14ac:dyDescent="0.4">
      <c r="A1711" s="1781"/>
      <c r="B1711" s="765"/>
      <c r="C1711" s="641"/>
      <c r="D1711" s="641"/>
      <c r="E1711" s="641"/>
      <c r="F1711" s="1358"/>
      <c r="G1711" s="641"/>
      <c r="H1711" s="641"/>
      <c r="I1711" s="641"/>
      <c r="J1711" s="1837"/>
    </row>
    <row r="1712" spans="1:11" ht="24.6" hidden="1" x14ac:dyDescent="0.4">
      <c r="A1712" s="3462" t="s">
        <v>138</v>
      </c>
      <c r="B1712" s="3462"/>
      <c r="C1712" s="3462"/>
      <c r="D1712" s="3462"/>
      <c r="E1712" s="3462"/>
      <c r="F1712" s="3462"/>
      <c r="G1712" s="3462"/>
      <c r="H1712" s="3462"/>
      <c r="I1712" s="3462"/>
      <c r="J1712" s="3462"/>
    </row>
    <row r="1713" spans="1:11" hidden="1" x14ac:dyDescent="0.3">
      <c r="A1713" s="137" t="s">
        <v>3</v>
      </c>
      <c r="B1713" s="1781" t="s">
        <v>4</v>
      </c>
      <c r="C1713" s="137" t="s">
        <v>5</v>
      </c>
      <c r="D1713" s="137" t="s">
        <v>6</v>
      </c>
      <c r="E1713" s="137" t="s">
        <v>7</v>
      </c>
      <c r="F1713" s="137" t="s">
        <v>8</v>
      </c>
      <c r="G1713" s="137" t="s">
        <v>9</v>
      </c>
      <c r="H1713" s="137" t="s">
        <v>10</v>
      </c>
      <c r="I1713" s="137" t="s">
        <v>11</v>
      </c>
      <c r="J1713" s="137" t="s">
        <v>12</v>
      </c>
    </row>
    <row r="1714" spans="1:11" hidden="1" x14ac:dyDescent="0.3">
      <c r="A1714" s="1845">
        <v>1</v>
      </c>
      <c r="B1714" s="3404" t="s">
        <v>1620</v>
      </c>
      <c r="C1714" s="1838" t="s">
        <v>138</v>
      </c>
      <c r="D1714" s="1838" t="s">
        <v>1647</v>
      </c>
      <c r="E1714" s="1838" t="s">
        <v>128</v>
      </c>
      <c r="F1714" s="1838" t="s">
        <v>1648</v>
      </c>
      <c r="G1714" s="1838" t="s">
        <v>1649</v>
      </c>
      <c r="H1714" s="1838" t="s">
        <v>271</v>
      </c>
      <c r="I1714" s="1838" t="s">
        <v>36</v>
      </c>
      <c r="J1714" s="1839">
        <v>1</v>
      </c>
    </row>
    <row r="1715" spans="1:11" hidden="1" x14ac:dyDescent="0.3">
      <c r="A1715" s="1846">
        <v>2</v>
      </c>
      <c r="B1715" s="3404" t="s">
        <v>1620</v>
      </c>
      <c r="C1715" s="1838" t="s">
        <v>138</v>
      </c>
      <c r="D1715" s="1838" t="s">
        <v>1650</v>
      </c>
      <c r="E1715" s="1838" t="s">
        <v>128</v>
      </c>
      <c r="F1715" s="1838" t="s">
        <v>1651</v>
      </c>
      <c r="G1715" s="1838" t="s">
        <v>1649</v>
      </c>
      <c r="H1715" s="1838" t="s">
        <v>271</v>
      </c>
      <c r="I1715" s="1838" t="s">
        <v>36</v>
      </c>
      <c r="J1715" s="1839">
        <v>1</v>
      </c>
    </row>
    <row r="1716" spans="1:11" hidden="1" x14ac:dyDescent="0.3">
      <c r="A1716" s="2351">
        <v>3</v>
      </c>
      <c r="B1716" s="3405" t="s">
        <v>1620</v>
      </c>
      <c r="C1716" s="1840" t="s">
        <v>138</v>
      </c>
      <c r="D1716" s="1840" t="s">
        <v>1652</v>
      </c>
      <c r="E1716" s="1840" t="s">
        <v>128</v>
      </c>
      <c r="F1716" s="1840" t="s">
        <v>1653</v>
      </c>
      <c r="G1716" s="1840" t="s">
        <v>1649</v>
      </c>
      <c r="H1716" s="1840" t="s">
        <v>271</v>
      </c>
      <c r="I1716" s="1840" t="s">
        <v>36</v>
      </c>
      <c r="J1716" s="1841">
        <v>1</v>
      </c>
    </row>
    <row r="1717" spans="1:11" hidden="1" x14ac:dyDescent="0.3">
      <c r="A1717" s="2177">
        <v>4</v>
      </c>
      <c r="B1717" s="3406" t="s">
        <v>1635</v>
      </c>
      <c r="C1717" s="2350" t="s">
        <v>138</v>
      </c>
      <c r="D1717" s="2350" t="s">
        <v>1654</v>
      </c>
      <c r="E1717" s="2350" t="s">
        <v>78</v>
      </c>
      <c r="F1717" s="2350">
        <v>175000000</v>
      </c>
      <c r="G1717" s="2350" t="s">
        <v>43</v>
      </c>
      <c r="H1717" s="2350" t="s">
        <v>44</v>
      </c>
      <c r="I1717" s="2350" t="s">
        <v>36</v>
      </c>
      <c r="J1717" s="1842">
        <v>1</v>
      </c>
    </row>
    <row r="1718" spans="1:11" hidden="1" x14ac:dyDescent="0.3">
      <c r="A1718" s="2177">
        <v>5</v>
      </c>
      <c r="B1718" s="3406" t="s">
        <v>1635</v>
      </c>
      <c r="C1718" s="2350" t="s">
        <v>138</v>
      </c>
      <c r="D1718" s="2350" t="s">
        <v>1655</v>
      </c>
      <c r="E1718" s="2350" t="s">
        <v>78</v>
      </c>
      <c r="F1718" s="2350">
        <v>195000000</v>
      </c>
      <c r="G1718" s="2350" t="s">
        <v>1656</v>
      </c>
      <c r="H1718" s="2350" t="s">
        <v>44</v>
      </c>
      <c r="I1718" s="2350" t="s">
        <v>36</v>
      </c>
      <c r="J1718" s="1842">
        <v>1</v>
      </c>
    </row>
    <row r="1719" spans="1:11" ht="24.6" hidden="1" x14ac:dyDescent="0.4">
      <c r="A1719" s="1843"/>
      <c r="B1719" s="3407"/>
      <c r="C1719" s="1843"/>
      <c r="D1719" s="1843"/>
      <c r="E1719" s="1843"/>
      <c r="F1719" s="1843"/>
      <c r="G1719" s="1843"/>
      <c r="H1719" s="1843"/>
      <c r="I1719" s="1843"/>
      <c r="J1719" s="1844"/>
    </row>
    <row r="1720" spans="1:11" hidden="1" x14ac:dyDescent="0.3"/>
    <row r="1721" spans="1:11" hidden="1" x14ac:dyDescent="0.3"/>
    <row r="1722" spans="1:11" ht="23.4" hidden="1" x14ac:dyDescent="0.3">
      <c r="A1722" s="3467" t="s">
        <v>582</v>
      </c>
      <c r="B1722" s="3467"/>
      <c r="C1722" s="3467"/>
      <c r="D1722" s="3467"/>
      <c r="E1722" s="3467"/>
      <c r="F1722" s="3467"/>
      <c r="G1722" s="3467"/>
      <c r="H1722" s="3467"/>
      <c r="I1722" s="3467"/>
      <c r="J1722" s="3467"/>
    </row>
    <row r="1723" spans="1:11" ht="15.6" hidden="1" x14ac:dyDescent="0.3">
      <c r="A1723" s="3461" t="s">
        <v>2</v>
      </c>
      <c r="B1723" s="3461"/>
      <c r="C1723" s="3461"/>
      <c r="D1723" s="3461"/>
      <c r="E1723" s="3461"/>
      <c r="F1723" s="3461"/>
      <c r="G1723" s="3461"/>
      <c r="H1723" s="3461"/>
      <c r="I1723" s="3461"/>
      <c r="J1723" s="3461"/>
    </row>
    <row r="1724" spans="1:11" hidden="1" x14ac:dyDescent="0.3">
      <c r="A1724" s="137" t="s">
        <v>3</v>
      </c>
      <c r="B1724" s="1781" t="s">
        <v>4</v>
      </c>
      <c r="C1724" s="137" t="s">
        <v>5</v>
      </c>
      <c r="D1724" s="137" t="s">
        <v>6</v>
      </c>
      <c r="E1724" s="137" t="s">
        <v>7</v>
      </c>
      <c r="F1724" s="137" t="s">
        <v>8</v>
      </c>
      <c r="G1724" s="137" t="s">
        <v>9</v>
      </c>
      <c r="H1724" s="137" t="s">
        <v>10</v>
      </c>
      <c r="I1724" s="137" t="s">
        <v>11</v>
      </c>
      <c r="J1724" s="137" t="s">
        <v>12</v>
      </c>
    </row>
    <row r="1725" spans="1:11" hidden="1" x14ac:dyDescent="0.3">
      <c r="A1725" s="137">
        <v>1</v>
      </c>
      <c r="B1725" s="765" t="s">
        <v>1657</v>
      </c>
      <c r="C1725" s="642" t="s">
        <v>138</v>
      </c>
      <c r="D1725" s="642" t="s">
        <v>1658</v>
      </c>
      <c r="E1725" s="642" t="s">
        <v>858</v>
      </c>
      <c r="F1725" s="642">
        <v>1600000</v>
      </c>
      <c r="G1725" s="642" t="s">
        <v>1208</v>
      </c>
      <c r="H1725" s="642" t="s">
        <v>271</v>
      </c>
      <c r="I1725" s="642" t="s">
        <v>36</v>
      </c>
      <c r="J1725" s="642">
        <v>1</v>
      </c>
      <c r="K1725" t="s">
        <v>133</v>
      </c>
    </row>
    <row r="1726" spans="1:11" hidden="1" x14ac:dyDescent="0.3">
      <c r="A1726" s="137">
        <v>2</v>
      </c>
      <c r="B1726" s="765" t="s">
        <v>1616</v>
      </c>
      <c r="C1726" s="642" t="s">
        <v>138</v>
      </c>
      <c r="D1726" s="642" t="s">
        <v>1659</v>
      </c>
      <c r="E1726" s="642" t="s">
        <v>962</v>
      </c>
      <c r="F1726" s="642">
        <v>1250000</v>
      </c>
      <c r="G1726" s="642" t="s">
        <v>1660</v>
      </c>
      <c r="H1726" s="642" t="s">
        <v>271</v>
      </c>
      <c r="I1726" s="642" t="s">
        <v>36</v>
      </c>
      <c r="J1726" s="642">
        <v>1</v>
      </c>
      <c r="K1726" t="s">
        <v>1232</v>
      </c>
    </row>
    <row r="1727" spans="1:11" hidden="1" x14ac:dyDescent="0.3">
      <c r="A1727" s="137">
        <v>3</v>
      </c>
      <c r="B1727" s="765" t="s">
        <v>1661</v>
      </c>
      <c r="C1727" s="642" t="s">
        <v>138</v>
      </c>
      <c r="D1727" s="642" t="s">
        <v>1662</v>
      </c>
      <c r="E1727" s="642" t="s">
        <v>840</v>
      </c>
      <c r="F1727" s="642">
        <v>1600000</v>
      </c>
      <c r="G1727" s="642" t="s">
        <v>168</v>
      </c>
      <c r="H1727" s="642" t="s">
        <v>271</v>
      </c>
      <c r="I1727" s="642" t="s">
        <v>36</v>
      </c>
      <c r="J1727" s="642">
        <v>1</v>
      </c>
      <c r="K1727" t="s">
        <v>1530</v>
      </c>
    </row>
    <row r="1728" spans="1:11" hidden="1" x14ac:dyDescent="0.3">
      <c r="A1728" s="137">
        <v>4</v>
      </c>
      <c r="B1728" s="765" t="s">
        <v>1620</v>
      </c>
      <c r="C1728" s="642" t="s">
        <v>138</v>
      </c>
      <c r="D1728" s="642" t="s">
        <v>1663</v>
      </c>
      <c r="E1728" s="642" t="s">
        <v>1664</v>
      </c>
      <c r="F1728" s="642">
        <v>1650000</v>
      </c>
      <c r="G1728" s="642" t="s">
        <v>168</v>
      </c>
      <c r="H1728" s="642" t="s">
        <v>271</v>
      </c>
      <c r="I1728" s="642" t="s">
        <v>36</v>
      </c>
      <c r="J1728" s="642">
        <v>1</v>
      </c>
      <c r="K1728" t="s">
        <v>1232</v>
      </c>
    </row>
    <row r="1729" spans="1:11" hidden="1" x14ac:dyDescent="0.3">
      <c r="A1729" s="137">
        <v>5</v>
      </c>
      <c r="B1729" s="765" t="s">
        <v>1665</v>
      </c>
      <c r="C1729" s="642" t="s">
        <v>138</v>
      </c>
      <c r="D1729" s="642" t="s">
        <v>1666</v>
      </c>
      <c r="E1729" s="642" t="s">
        <v>869</v>
      </c>
      <c r="F1729" s="642">
        <v>1200000</v>
      </c>
      <c r="G1729" s="642" t="s">
        <v>1095</v>
      </c>
      <c r="H1729" s="642" t="s">
        <v>271</v>
      </c>
      <c r="I1729" s="642" t="s">
        <v>36</v>
      </c>
      <c r="J1729" s="642">
        <v>1</v>
      </c>
      <c r="K1729" t="s">
        <v>133</v>
      </c>
    </row>
    <row r="1730" spans="1:11" hidden="1" x14ac:dyDescent="0.3">
      <c r="A1730" s="137">
        <v>6</v>
      </c>
      <c r="B1730" s="765" t="s">
        <v>1667</v>
      </c>
      <c r="C1730" s="642" t="s">
        <v>138</v>
      </c>
      <c r="D1730" s="642" t="s">
        <v>1668</v>
      </c>
      <c r="E1730" s="642" t="s">
        <v>962</v>
      </c>
      <c r="F1730" s="642">
        <v>1300000</v>
      </c>
      <c r="G1730" s="642" t="s">
        <v>1669</v>
      </c>
      <c r="H1730" s="642" t="s">
        <v>44</v>
      </c>
      <c r="I1730" s="642" t="s">
        <v>36</v>
      </c>
      <c r="J1730" s="642">
        <v>1</v>
      </c>
      <c r="K1730" t="s">
        <v>1232</v>
      </c>
    </row>
    <row r="1731" spans="1:11" hidden="1" x14ac:dyDescent="0.3">
      <c r="A1731" s="137">
        <v>7</v>
      </c>
      <c r="B1731" s="765" t="s">
        <v>1667</v>
      </c>
      <c r="C1731" s="641" t="s">
        <v>138</v>
      </c>
      <c r="D1731" s="641" t="s">
        <v>1670</v>
      </c>
      <c r="E1731" s="641" t="s">
        <v>962</v>
      </c>
      <c r="F1731" s="1646">
        <v>1200000</v>
      </c>
      <c r="G1731" s="641" t="s">
        <v>854</v>
      </c>
      <c r="H1731" s="641" t="s">
        <v>271</v>
      </c>
      <c r="I1731" s="641" t="s">
        <v>36</v>
      </c>
      <c r="J1731" s="642">
        <v>1</v>
      </c>
      <c r="K1731" t="s">
        <v>1530</v>
      </c>
    </row>
    <row r="1732" spans="1:11" hidden="1" x14ac:dyDescent="0.3">
      <c r="A1732" s="137">
        <v>8</v>
      </c>
      <c r="B1732" s="765" t="s">
        <v>1671</v>
      </c>
      <c r="C1732" s="642" t="s">
        <v>138</v>
      </c>
      <c r="D1732" s="642" t="s">
        <v>1672</v>
      </c>
      <c r="E1732" s="642" t="s">
        <v>962</v>
      </c>
      <c r="F1732" s="642">
        <v>1250000</v>
      </c>
      <c r="G1732" s="642" t="s">
        <v>1075</v>
      </c>
      <c r="H1732" s="642" t="s">
        <v>271</v>
      </c>
      <c r="I1732" s="642" t="s">
        <v>36</v>
      </c>
      <c r="J1732" s="642">
        <v>1</v>
      </c>
      <c r="K1732" t="s">
        <v>1455</v>
      </c>
    </row>
    <row r="1733" spans="1:11" hidden="1" x14ac:dyDescent="0.3">
      <c r="A1733" s="137">
        <v>9</v>
      </c>
      <c r="B1733" s="765" t="s">
        <v>1671</v>
      </c>
      <c r="C1733" s="642" t="s">
        <v>138</v>
      </c>
      <c r="D1733" s="642" t="s">
        <v>350</v>
      </c>
      <c r="E1733" s="642" t="s">
        <v>962</v>
      </c>
      <c r="F1733" s="642">
        <v>1500000</v>
      </c>
      <c r="G1733" s="642" t="s">
        <v>604</v>
      </c>
      <c r="H1733" s="642" t="s">
        <v>44</v>
      </c>
      <c r="I1733" s="642" t="s">
        <v>36</v>
      </c>
      <c r="J1733" s="642">
        <v>1</v>
      </c>
      <c r="K1733" t="s">
        <v>133</v>
      </c>
    </row>
    <row r="1734" spans="1:11" hidden="1" x14ac:dyDescent="0.3">
      <c r="A1734" s="137">
        <v>10</v>
      </c>
      <c r="B1734" s="765" t="s">
        <v>1673</v>
      </c>
      <c r="C1734" s="642" t="s">
        <v>138</v>
      </c>
      <c r="D1734" s="642" t="s">
        <v>1674</v>
      </c>
      <c r="E1734" s="642" t="s">
        <v>869</v>
      </c>
      <c r="F1734" s="642">
        <v>1200000</v>
      </c>
      <c r="G1734" s="642" t="s">
        <v>1095</v>
      </c>
      <c r="H1734" s="642" t="s">
        <v>271</v>
      </c>
      <c r="I1734" s="642" t="s">
        <v>36</v>
      </c>
      <c r="J1734" s="642">
        <v>1</v>
      </c>
      <c r="K1734" t="s">
        <v>133</v>
      </c>
    </row>
    <row r="1735" spans="1:11" hidden="1" x14ac:dyDescent="0.3">
      <c r="A1735" s="137">
        <v>11</v>
      </c>
      <c r="B1735" s="765" t="s">
        <v>1673</v>
      </c>
      <c r="C1735" s="642" t="s">
        <v>138</v>
      </c>
      <c r="D1735" s="642" t="s">
        <v>1675</v>
      </c>
      <c r="E1735" s="642" t="s">
        <v>962</v>
      </c>
      <c r="F1735" s="642">
        <v>1250000</v>
      </c>
      <c r="G1735" s="642" t="s">
        <v>1078</v>
      </c>
      <c r="H1735" s="642" t="s">
        <v>271</v>
      </c>
      <c r="I1735" s="642" t="s">
        <v>44</v>
      </c>
      <c r="J1735" s="642">
        <v>1</v>
      </c>
      <c r="K1735" t="s">
        <v>1232</v>
      </c>
    </row>
    <row r="1736" spans="1:11" hidden="1" x14ac:dyDescent="0.3">
      <c r="A1736" s="137">
        <v>12</v>
      </c>
      <c r="B1736" s="765" t="s">
        <v>1676</v>
      </c>
      <c r="C1736" s="641" t="s">
        <v>138</v>
      </c>
      <c r="D1736" s="641" t="s">
        <v>1677</v>
      </c>
      <c r="E1736" s="641" t="s">
        <v>925</v>
      </c>
      <c r="F1736" s="1646">
        <v>800000</v>
      </c>
      <c r="G1736" s="641" t="s">
        <v>1678</v>
      </c>
      <c r="H1736" s="641" t="s">
        <v>271</v>
      </c>
      <c r="I1736" s="641" t="s">
        <v>36</v>
      </c>
      <c r="J1736" s="642">
        <v>1</v>
      </c>
      <c r="K1736" t="s">
        <v>133</v>
      </c>
    </row>
    <row r="1737" spans="1:11" hidden="1" x14ac:dyDescent="0.3">
      <c r="A1737" s="137">
        <v>13</v>
      </c>
      <c r="B1737" s="765" t="s">
        <v>1639</v>
      </c>
      <c r="C1737" s="641" t="s">
        <v>138</v>
      </c>
      <c r="D1737" s="641" t="s">
        <v>1679</v>
      </c>
      <c r="E1737" s="641" t="s">
        <v>1680</v>
      </c>
      <c r="F1737" s="1646">
        <v>1800000</v>
      </c>
      <c r="G1737" s="641" t="s">
        <v>494</v>
      </c>
      <c r="H1737" s="641" t="s">
        <v>271</v>
      </c>
      <c r="I1737" s="641" t="s">
        <v>36</v>
      </c>
      <c r="J1737" s="642">
        <v>1</v>
      </c>
      <c r="K1737" t="s">
        <v>133</v>
      </c>
    </row>
    <row r="1738" spans="1:11" hidden="1" x14ac:dyDescent="0.3">
      <c r="A1738" s="137">
        <v>14</v>
      </c>
      <c r="B1738" s="765" t="s">
        <v>1681</v>
      </c>
      <c r="C1738" s="641" t="s">
        <v>138</v>
      </c>
      <c r="D1738" s="641" t="s">
        <v>1682</v>
      </c>
      <c r="E1738" s="641" t="s">
        <v>904</v>
      </c>
      <c r="F1738" s="1646">
        <v>1300000</v>
      </c>
      <c r="G1738" s="641" t="s">
        <v>43</v>
      </c>
      <c r="H1738" s="641" t="s">
        <v>44</v>
      </c>
      <c r="I1738" s="641" t="s">
        <v>36</v>
      </c>
      <c r="J1738" s="642">
        <v>1</v>
      </c>
      <c r="K1738" t="s">
        <v>1232</v>
      </c>
    </row>
    <row r="1739" spans="1:11" hidden="1" x14ac:dyDescent="0.3">
      <c r="A1739" s="1781">
        <v>15</v>
      </c>
      <c r="B1739" s="3402">
        <v>44541</v>
      </c>
      <c r="C1739" s="641" t="s">
        <v>138</v>
      </c>
      <c r="D1739" s="641" t="s">
        <v>1683</v>
      </c>
      <c r="E1739" s="641" t="s">
        <v>1684</v>
      </c>
      <c r="F1739" s="1646">
        <v>1100000</v>
      </c>
      <c r="G1739" s="641" t="s">
        <v>1685</v>
      </c>
      <c r="H1739" s="641" t="s">
        <v>271</v>
      </c>
      <c r="I1739" s="641" t="s">
        <v>36</v>
      </c>
      <c r="J1739" s="642">
        <v>1</v>
      </c>
      <c r="K1739" t="s">
        <v>1455</v>
      </c>
    </row>
    <row r="1740" spans="1:11" hidden="1" x14ac:dyDescent="0.3">
      <c r="A1740" s="1781">
        <v>16</v>
      </c>
      <c r="B1740" s="3402">
        <v>44541</v>
      </c>
      <c r="C1740" s="641" t="s">
        <v>138</v>
      </c>
      <c r="D1740" s="641" t="s">
        <v>1686</v>
      </c>
      <c r="E1740" s="641" t="s">
        <v>962</v>
      </c>
      <c r="F1740" s="1646">
        <v>1300000</v>
      </c>
      <c r="G1740" s="641" t="s">
        <v>1687</v>
      </c>
      <c r="H1740" s="641" t="s">
        <v>44</v>
      </c>
      <c r="I1740" s="641" t="s">
        <v>36</v>
      </c>
      <c r="J1740" s="642">
        <v>1</v>
      </c>
      <c r="K1740" t="s">
        <v>1232</v>
      </c>
    </row>
    <row r="1741" spans="1:11" hidden="1" x14ac:dyDescent="0.3">
      <c r="A1741" s="1781">
        <v>17</v>
      </c>
      <c r="B1741" s="3402" t="s">
        <v>1633</v>
      </c>
      <c r="C1741" s="641" t="s">
        <v>138</v>
      </c>
      <c r="D1741" s="641" t="s">
        <v>1688</v>
      </c>
      <c r="E1741" s="641" t="s">
        <v>1689</v>
      </c>
      <c r="F1741" s="1646">
        <v>750000</v>
      </c>
      <c r="G1741" s="641" t="s">
        <v>168</v>
      </c>
      <c r="H1741" s="641" t="s">
        <v>271</v>
      </c>
      <c r="I1741" s="641" t="s">
        <v>36</v>
      </c>
      <c r="J1741" s="642">
        <v>1</v>
      </c>
      <c r="K1741" t="s">
        <v>133</v>
      </c>
    </row>
    <row r="1742" spans="1:11" hidden="1" x14ac:dyDescent="0.3">
      <c r="A1742" s="1781">
        <v>18</v>
      </c>
      <c r="B1742" s="3402" t="s">
        <v>1635</v>
      </c>
      <c r="C1742" s="641" t="s">
        <v>138</v>
      </c>
      <c r="D1742" s="641" t="s">
        <v>1690</v>
      </c>
      <c r="E1742" s="641" t="s">
        <v>904</v>
      </c>
      <c r="F1742" s="1646">
        <v>1450000</v>
      </c>
      <c r="G1742" s="641" t="s">
        <v>1284</v>
      </c>
      <c r="H1742" s="641" t="s">
        <v>271</v>
      </c>
      <c r="I1742" s="641" t="s">
        <v>36</v>
      </c>
      <c r="J1742" s="642">
        <v>1</v>
      </c>
      <c r="K1742" t="s">
        <v>1232</v>
      </c>
    </row>
    <row r="1743" spans="1:11" hidden="1" x14ac:dyDescent="0.3">
      <c r="A1743" s="1781">
        <v>19</v>
      </c>
      <c r="B1743" s="3408" t="s">
        <v>1635</v>
      </c>
      <c r="C1743" s="2379" t="s">
        <v>138</v>
      </c>
      <c r="D1743" s="2379" t="s">
        <v>1691</v>
      </c>
      <c r="E1743" s="2379" t="s">
        <v>1680</v>
      </c>
      <c r="F1743" s="2380">
        <v>1200000</v>
      </c>
      <c r="G1743" s="2379" t="s">
        <v>1319</v>
      </c>
      <c r="H1743" s="2379" t="s">
        <v>44</v>
      </c>
      <c r="I1743" s="2379" t="s">
        <v>36</v>
      </c>
      <c r="J1743" s="1360">
        <v>1</v>
      </c>
      <c r="K1743" t="s">
        <v>1232</v>
      </c>
    </row>
    <row r="1744" spans="1:11" hidden="1" x14ac:dyDescent="0.3">
      <c r="A1744" s="550">
        <v>20</v>
      </c>
      <c r="B1744" s="2" t="s">
        <v>1643</v>
      </c>
      <c r="C1744" s="11" t="s">
        <v>138</v>
      </c>
      <c r="D1744" s="11" t="s">
        <v>1692</v>
      </c>
      <c r="E1744" s="11" t="s">
        <v>1680</v>
      </c>
      <c r="F1744" s="11">
        <v>1800000</v>
      </c>
      <c r="G1744" s="11" t="s">
        <v>494</v>
      </c>
      <c r="H1744" s="11" t="s">
        <v>1468</v>
      </c>
      <c r="I1744" s="11" t="s">
        <v>36</v>
      </c>
      <c r="J1744" s="11">
        <v>1</v>
      </c>
      <c r="K1744" s="11" t="s">
        <v>1455</v>
      </c>
    </row>
    <row r="1745" spans="1:11" hidden="1" x14ac:dyDescent="0.3">
      <c r="A1745" s="1781"/>
      <c r="B1745" s="3409"/>
      <c r="C1745" s="2381"/>
      <c r="D1745" s="2381"/>
      <c r="E1745" s="2381"/>
      <c r="F1745" s="2382"/>
      <c r="G1745" s="2381"/>
      <c r="H1745" s="2381"/>
      <c r="I1745" s="2381"/>
      <c r="J1745" s="1361"/>
    </row>
    <row r="1746" spans="1:11" hidden="1" x14ac:dyDescent="0.3">
      <c r="A1746" s="1781"/>
      <c r="B1746" s="765"/>
      <c r="C1746" s="641"/>
      <c r="D1746" s="641"/>
      <c r="E1746" s="641"/>
      <c r="F1746" s="1646"/>
      <c r="G1746" s="641"/>
      <c r="H1746" s="641"/>
      <c r="I1746" s="641"/>
      <c r="J1746" s="642"/>
    </row>
    <row r="1747" spans="1:11" ht="24.6" hidden="1" x14ac:dyDescent="0.4">
      <c r="A1747" s="1781"/>
      <c r="B1747" s="765"/>
      <c r="C1747" s="641"/>
      <c r="D1747" s="641"/>
      <c r="E1747" s="641"/>
      <c r="F1747" s="1358"/>
      <c r="G1747" s="641"/>
      <c r="H1747" s="641"/>
      <c r="I1747" s="641"/>
      <c r="J1747" s="1837"/>
    </row>
    <row r="1748" spans="1:11" ht="24.6" hidden="1" x14ac:dyDescent="0.4">
      <c r="A1748" s="3462" t="s">
        <v>33</v>
      </c>
      <c r="B1748" s="3462"/>
      <c r="C1748" s="3462"/>
      <c r="D1748" s="3462"/>
      <c r="E1748" s="3462"/>
      <c r="F1748" s="3462"/>
      <c r="G1748" s="3462"/>
      <c r="H1748" s="3462"/>
      <c r="I1748" s="3462"/>
      <c r="J1748" s="3462"/>
    </row>
    <row r="1749" spans="1:11" hidden="1" x14ac:dyDescent="0.3">
      <c r="A1749" s="137" t="s">
        <v>3</v>
      </c>
      <c r="B1749" s="1781" t="s">
        <v>4</v>
      </c>
      <c r="C1749" s="137" t="s">
        <v>5</v>
      </c>
      <c r="D1749" s="137" t="s">
        <v>6</v>
      </c>
      <c r="E1749" s="137" t="s">
        <v>7</v>
      </c>
      <c r="F1749" s="137" t="s">
        <v>8</v>
      </c>
      <c r="G1749" s="137" t="s">
        <v>9</v>
      </c>
      <c r="H1749" s="137" t="s">
        <v>10</v>
      </c>
      <c r="I1749" s="137" t="s">
        <v>11</v>
      </c>
      <c r="J1749" s="147" t="s">
        <v>12</v>
      </c>
    </row>
    <row r="1750" spans="1:11" hidden="1" x14ac:dyDescent="0.3">
      <c r="A1750" s="1845">
        <v>1</v>
      </c>
      <c r="B1750" s="3404" t="s">
        <v>1620</v>
      </c>
      <c r="C1750" s="1838" t="s">
        <v>138</v>
      </c>
      <c r="D1750" s="1838" t="s">
        <v>1693</v>
      </c>
      <c r="E1750" s="1838" t="s">
        <v>962</v>
      </c>
      <c r="F1750" s="1838" t="s">
        <v>682</v>
      </c>
      <c r="G1750" s="1838" t="s">
        <v>854</v>
      </c>
      <c r="H1750" s="1838" t="s">
        <v>44</v>
      </c>
      <c r="I1750" s="1847" t="s">
        <v>36</v>
      </c>
      <c r="J1750" s="1842">
        <v>1</v>
      </c>
    </row>
    <row r="1751" spans="1:11" hidden="1" x14ac:dyDescent="0.3">
      <c r="A1751" s="1845" t="s">
        <v>3</v>
      </c>
      <c r="B1751" s="3404" t="s">
        <v>1610</v>
      </c>
      <c r="C1751" s="1838" t="s">
        <v>138</v>
      </c>
      <c r="D1751" s="1838" t="s">
        <v>1694</v>
      </c>
      <c r="E1751" s="1838" t="s">
        <v>962</v>
      </c>
      <c r="F1751" s="1838">
        <v>247000000</v>
      </c>
      <c r="G1751" s="1838" t="s">
        <v>1075</v>
      </c>
      <c r="H1751" s="1838" t="s">
        <v>44</v>
      </c>
      <c r="I1751" s="1847" t="s">
        <v>36</v>
      </c>
      <c r="J1751" s="1842">
        <v>1</v>
      </c>
    </row>
    <row r="1752" spans="1:11" hidden="1" x14ac:dyDescent="0.3">
      <c r="A1752" s="1846">
        <v>3</v>
      </c>
      <c r="B1752" s="3410" t="s">
        <v>1610</v>
      </c>
      <c r="C1752" s="1840" t="s">
        <v>138</v>
      </c>
      <c r="D1752" s="1840" t="s">
        <v>1695</v>
      </c>
      <c r="E1752" s="1840" t="s">
        <v>869</v>
      </c>
      <c r="F1752" s="1840">
        <v>360000000</v>
      </c>
      <c r="G1752" s="1840" t="s">
        <v>1696</v>
      </c>
      <c r="H1752" s="1840" t="s">
        <v>44</v>
      </c>
      <c r="I1752" s="1848" t="s">
        <v>36</v>
      </c>
      <c r="J1752" s="1842">
        <v>1</v>
      </c>
    </row>
    <row r="1753" spans="1:11" hidden="1" x14ac:dyDescent="0.3">
      <c r="A1753" s="1849">
        <v>4</v>
      </c>
      <c r="B1753" s="2351" t="s">
        <v>1610</v>
      </c>
      <c r="C1753" s="1849" t="s">
        <v>138</v>
      </c>
      <c r="D1753" s="1849" t="s">
        <v>1697</v>
      </c>
      <c r="E1753" s="1849" t="s">
        <v>1698</v>
      </c>
      <c r="F1753" s="1849">
        <v>240000000</v>
      </c>
      <c r="G1753" s="1849" t="s">
        <v>168</v>
      </c>
      <c r="H1753" s="1849" t="s">
        <v>44</v>
      </c>
      <c r="I1753" s="1850" t="s">
        <v>36</v>
      </c>
      <c r="J1753" s="1842">
        <v>1</v>
      </c>
    </row>
    <row r="1754" spans="1:11" hidden="1" x14ac:dyDescent="0.3">
      <c r="A1754" s="11"/>
      <c r="B1754" s="3411"/>
      <c r="C1754" s="1851"/>
      <c r="D1754" s="1851"/>
      <c r="E1754" s="1851"/>
      <c r="F1754" s="1851"/>
      <c r="G1754" s="1851"/>
      <c r="H1754" s="1851"/>
      <c r="I1754" s="1851"/>
      <c r="J1754" s="1851"/>
    </row>
    <row r="1755" spans="1:11" hidden="1" x14ac:dyDescent="0.3"/>
    <row r="1756" spans="1:11" ht="23.4" hidden="1" x14ac:dyDescent="0.3">
      <c r="A1756" s="3467" t="s">
        <v>1169</v>
      </c>
      <c r="B1756" s="3467"/>
      <c r="C1756" s="3467"/>
      <c r="D1756" s="3467"/>
      <c r="E1756" s="3467"/>
      <c r="F1756" s="3467"/>
      <c r="G1756" s="3467"/>
      <c r="H1756" s="3467"/>
      <c r="I1756" s="3467"/>
      <c r="J1756" s="3467"/>
    </row>
    <row r="1757" spans="1:11" ht="15.6" hidden="1" x14ac:dyDescent="0.3">
      <c r="A1757" s="3461" t="s">
        <v>2</v>
      </c>
      <c r="B1757" s="3461"/>
      <c r="C1757" s="3461"/>
      <c r="D1757" s="3461"/>
      <c r="E1757" s="3461"/>
      <c r="F1757" s="3461"/>
      <c r="G1757" s="3461"/>
      <c r="H1757" s="3461"/>
      <c r="I1757" s="3461"/>
      <c r="J1757" s="3461"/>
    </row>
    <row r="1758" spans="1:11" hidden="1" x14ac:dyDescent="0.3">
      <c r="A1758" s="137" t="s">
        <v>3</v>
      </c>
      <c r="B1758" s="1781" t="s">
        <v>4</v>
      </c>
      <c r="C1758" s="137" t="s">
        <v>5</v>
      </c>
      <c r="D1758" s="137" t="s">
        <v>6</v>
      </c>
      <c r="E1758" s="137" t="s">
        <v>7</v>
      </c>
      <c r="F1758" s="137" t="s">
        <v>8</v>
      </c>
      <c r="G1758" s="137" t="s">
        <v>9</v>
      </c>
      <c r="H1758" s="137" t="s">
        <v>10</v>
      </c>
      <c r="I1758" s="137" t="s">
        <v>11</v>
      </c>
      <c r="J1758" s="137" t="s">
        <v>12</v>
      </c>
    </row>
    <row r="1759" spans="1:11" hidden="1" x14ac:dyDescent="0.3">
      <c r="A1759" s="137">
        <v>1</v>
      </c>
      <c r="B1759" s="765" t="s">
        <v>1699</v>
      </c>
      <c r="C1759" s="642" t="s">
        <v>138</v>
      </c>
      <c r="D1759" s="642" t="s">
        <v>1700</v>
      </c>
      <c r="E1759" s="642" t="s">
        <v>78</v>
      </c>
      <c r="F1759" s="642" t="s">
        <v>1701</v>
      </c>
      <c r="G1759" s="642" t="s">
        <v>1175</v>
      </c>
      <c r="H1759" s="642" t="s">
        <v>44</v>
      </c>
      <c r="I1759" s="642" t="s">
        <v>36</v>
      </c>
      <c r="J1759" s="642">
        <v>1</v>
      </c>
      <c r="K1759" t="s">
        <v>1530</v>
      </c>
    </row>
    <row r="1760" spans="1:11" hidden="1" x14ac:dyDescent="0.3">
      <c r="A1760" s="137">
        <v>2</v>
      </c>
      <c r="B1760" s="765" t="s">
        <v>1702</v>
      </c>
      <c r="C1760" s="642" t="s">
        <v>138</v>
      </c>
      <c r="D1760" s="642" t="s">
        <v>1703</v>
      </c>
      <c r="E1760" s="642" t="s">
        <v>78</v>
      </c>
      <c r="F1760" s="642">
        <v>1300000</v>
      </c>
      <c r="G1760" s="642" t="s">
        <v>1175</v>
      </c>
      <c r="H1760" s="642" t="s">
        <v>36</v>
      </c>
      <c r="I1760" s="642" t="s">
        <v>36</v>
      </c>
      <c r="J1760" s="642">
        <v>1</v>
      </c>
      <c r="K1760" t="s">
        <v>1455</v>
      </c>
    </row>
    <row r="1761" spans="1:11" hidden="1" x14ac:dyDescent="0.3">
      <c r="A1761" s="137">
        <v>3</v>
      </c>
      <c r="B1761" s="765" t="s">
        <v>1702</v>
      </c>
      <c r="C1761" s="642" t="s">
        <v>138</v>
      </c>
      <c r="D1761" s="642" t="s">
        <v>1704</v>
      </c>
      <c r="E1761" s="642" t="s">
        <v>787</v>
      </c>
      <c r="F1761" s="642">
        <v>850000</v>
      </c>
      <c r="G1761" s="642" t="s">
        <v>203</v>
      </c>
      <c r="H1761" s="642" t="s">
        <v>271</v>
      </c>
      <c r="I1761" s="642" t="s">
        <v>36</v>
      </c>
      <c r="J1761" s="642">
        <v>1</v>
      </c>
      <c r="K1761" t="s">
        <v>1232</v>
      </c>
    </row>
    <row r="1762" spans="1:11" hidden="1" x14ac:dyDescent="0.3">
      <c r="A1762" s="137">
        <v>4</v>
      </c>
      <c r="B1762" s="765" t="s">
        <v>1705</v>
      </c>
      <c r="C1762" s="642" t="s">
        <v>138</v>
      </c>
      <c r="D1762" s="642" t="s">
        <v>1706</v>
      </c>
      <c r="E1762" s="642" t="s">
        <v>1286</v>
      </c>
      <c r="F1762" s="642">
        <v>750000</v>
      </c>
      <c r="G1762" s="642" t="s">
        <v>168</v>
      </c>
      <c r="H1762" s="642" t="s">
        <v>271</v>
      </c>
      <c r="I1762" s="642" t="s">
        <v>36</v>
      </c>
      <c r="J1762" s="642">
        <v>1</v>
      </c>
      <c r="K1762" t="s">
        <v>133</v>
      </c>
    </row>
    <row r="1763" spans="1:11" hidden="1" x14ac:dyDescent="0.3">
      <c r="A1763" s="137">
        <v>5</v>
      </c>
      <c r="B1763" s="765" t="s">
        <v>1707</v>
      </c>
      <c r="C1763" s="642" t="s">
        <v>138</v>
      </c>
      <c r="D1763" s="642" t="s">
        <v>1708</v>
      </c>
      <c r="E1763" s="642" t="s">
        <v>78</v>
      </c>
      <c r="F1763" s="642">
        <v>1000000</v>
      </c>
      <c r="G1763" s="642" t="s">
        <v>1709</v>
      </c>
      <c r="H1763" s="642" t="s">
        <v>271</v>
      </c>
      <c r="I1763" s="642" t="s">
        <v>36</v>
      </c>
      <c r="J1763" s="642">
        <v>1</v>
      </c>
      <c r="K1763" t="s">
        <v>133</v>
      </c>
    </row>
    <row r="1764" spans="1:11" hidden="1" x14ac:dyDescent="0.3">
      <c r="A1764" s="137">
        <v>6</v>
      </c>
      <c r="B1764" s="765" t="s">
        <v>1707</v>
      </c>
      <c r="C1764" s="642" t="s">
        <v>138</v>
      </c>
      <c r="D1764" s="642" t="s">
        <v>1710</v>
      </c>
      <c r="E1764" s="642" t="s">
        <v>78</v>
      </c>
      <c r="F1764" s="642">
        <v>880000</v>
      </c>
      <c r="G1764" s="642" t="s">
        <v>1709</v>
      </c>
      <c r="H1764" s="642" t="s">
        <v>271</v>
      </c>
      <c r="I1764" s="642" t="s">
        <v>36</v>
      </c>
      <c r="J1764" s="642">
        <v>1</v>
      </c>
      <c r="K1764" t="s">
        <v>133</v>
      </c>
    </row>
    <row r="1765" spans="1:11" hidden="1" x14ac:dyDescent="0.3">
      <c r="A1765" s="137">
        <v>7</v>
      </c>
      <c r="B1765" s="765" t="s">
        <v>1635</v>
      </c>
      <c r="C1765" s="642" t="s">
        <v>138</v>
      </c>
      <c r="D1765" s="641" t="s">
        <v>1711</v>
      </c>
      <c r="E1765" s="641" t="s">
        <v>1712</v>
      </c>
      <c r="F1765" s="1646">
        <v>1100000</v>
      </c>
      <c r="G1765" s="641" t="s">
        <v>43</v>
      </c>
      <c r="H1765" s="641" t="s">
        <v>44</v>
      </c>
      <c r="I1765" s="641" t="s">
        <v>36</v>
      </c>
      <c r="J1765" s="642">
        <v>1</v>
      </c>
      <c r="K1765" t="s">
        <v>133</v>
      </c>
    </row>
    <row r="1766" spans="1:11" hidden="1" x14ac:dyDescent="0.3">
      <c r="A1766" s="137">
        <v>8</v>
      </c>
      <c r="B1766" s="765" t="s">
        <v>1635</v>
      </c>
      <c r="C1766" s="642" t="s">
        <v>138</v>
      </c>
      <c r="D1766" s="642" t="s">
        <v>1713</v>
      </c>
      <c r="E1766" s="642" t="s">
        <v>787</v>
      </c>
      <c r="F1766" s="642">
        <v>850000</v>
      </c>
      <c r="G1766" s="642" t="s">
        <v>1510</v>
      </c>
      <c r="H1766" s="642" t="s">
        <v>44</v>
      </c>
      <c r="I1766" s="642" t="s">
        <v>36</v>
      </c>
      <c r="J1766" s="642">
        <v>1</v>
      </c>
      <c r="K1766" t="s">
        <v>133</v>
      </c>
    </row>
    <row r="1767" spans="1:11" hidden="1" x14ac:dyDescent="0.3">
      <c r="A1767" s="137">
        <v>9</v>
      </c>
      <c r="B1767" s="765" t="s">
        <v>1676</v>
      </c>
      <c r="C1767" s="642" t="s">
        <v>138</v>
      </c>
      <c r="D1767" s="642" t="s">
        <v>1714</v>
      </c>
      <c r="E1767" s="642" t="s">
        <v>78</v>
      </c>
      <c r="F1767" s="642">
        <v>900000</v>
      </c>
      <c r="G1767" s="642" t="s">
        <v>1408</v>
      </c>
      <c r="H1767" s="642" t="s">
        <v>44</v>
      </c>
      <c r="I1767" s="642" t="s">
        <v>36</v>
      </c>
      <c r="J1767" s="642">
        <v>1</v>
      </c>
      <c r="K1767" t="s">
        <v>1455</v>
      </c>
    </row>
    <row r="1768" spans="1:11" hidden="1" x14ac:dyDescent="0.3">
      <c r="A1768" s="137">
        <v>10</v>
      </c>
      <c r="B1768" s="765" t="s">
        <v>1676</v>
      </c>
      <c r="C1768" s="642" t="s">
        <v>138</v>
      </c>
      <c r="D1768" s="642" t="s">
        <v>1715</v>
      </c>
      <c r="E1768" s="642" t="s">
        <v>787</v>
      </c>
      <c r="F1768" s="642">
        <v>1000000</v>
      </c>
      <c r="G1768" s="642" t="s">
        <v>1510</v>
      </c>
      <c r="H1768" s="642" t="s">
        <v>44</v>
      </c>
      <c r="I1768" s="642" t="s">
        <v>36</v>
      </c>
      <c r="J1768" s="642">
        <v>1</v>
      </c>
      <c r="K1768" t="s">
        <v>1455</v>
      </c>
    </row>
    <row r="1769" spans="1:11" hidden="1" x14ac:dyDescent="0.3">
      <c r="A1769" s="137">
        <v>11</v>
      </c>
      <c r="B1769" s="765" t="s">
        <v>1676</v>
      </c>
      <c r="C1769" s="642" t="s">
        <v>138</v>
      </c>
      <c r="D1769" s="642" t="s">
        <v>1716</v>
      </c>
      <c r="E1769" s="642" t="s">
        <v>787</v>
      </c>
      <c r="F1769" s="642">
        <v>750000</v>
      </c>
      <c r="G1769" s="642" t="s">
        <v>1510</v>
      </c>
      <c r="H1769" s="642" t="s">
        <v>44</v>
      </c>
      <c r="I1769" s="642" t="s">
        <v>36</v>
      </c>
      <c r="J1769" s="642">
        <v>1</v>
      </c>
      <c r="K1769" t="s">
        <v>1232</v>
      </c>
    </row>
    <row r="1770" spans="1:11" hidden="1" x14ac:dyDescent="0.3">
      <c r="A1770" s="137">
        <v>12</v>
      </c>
      <c r="B1770" s="765" t="s">
        <v>1639</v>
      </c>
      <c r="C1770" s="642" t="s">
        <v>138</v>
      </c>
      <c r="D1770" s="642" t="s">
        <v>1717</v>
      </c>
      <c r="E1770" s="642" t="s">
        <v>78</v>
      </c>
      <c r="F1770" s="642">
        <v>1000000</v>
      </c>
      <c r="G1770" s="642" t="s">
        <v>1718</v>
      </c>
      <c r="H1770" s="642" t="s">
        <v>44</v>
      </c>
      <c r="I1770" s="642" t="s">
        <v>36</v>
      </c>
      <c r="J1770" s="642">
        <v>1</v>
      </c>
      <c r="K1770" t="s">
        <v>1455</v>
      </c>
    </row>
    <row r="1771" spans="1:11" hidden="1" x14ac:dyDescent="0.3">
      <c r="A1771" s="137">
        <v>13</v>
      </c>
      <c r="B1771" s="765" t="s">
        <v>1639</v>
      </c>
      <c r="C1771" s="642" t="s">
        <v>74</v>
      </c>
      <c r="D1771" s="642" t="s">
        <v>1719</v>
      </c>
      <c r="E1771" s="642" t="s">
        <v>1720</v>
      </c>
      <c r="F1771" s="642">
        <v>1200000</v>
      </c>
      <c r="G1771" s="642" t="s">
        <v>43</v>
      </c>
      <c r="H1771" s="642" t="s">
        <v>44</v>
      </c>
      <c r="I1771" s="642" t="s">
        <v>36</v>
      </c>
      <c r="J1771" s="642">
        <v>1</v>
      </c>
      <c r="K1771" t="s">
        <v>1455</v>
      </c>
    </row>
    <row r="1772" spans="1:11" hidden="1" x14ac:dyDescent="0.3">
      <c r="A1772" s="137">
        <v>14</v>
      </c>
      <c r="B1772" s="765" t="s">
        <v>1639</v>
      </c>
      <c r="C1772" s="642" t="s">
        <v>138</v>
      </c>
      <c r="D1772" s="642" t="s">
        <v>1721</v>
      </c>
      <c r="E1772" s="642" t="s">
        <v>68</v>
      </c>
      <c r="F1772" s="642">
        <v>1350000</v>
      </c>
      <c r="G1772" s="642" t="s">
        <v>68</v>
      </c>
      <c r="H1772" s="642" t="s">
        <v>44</v>
      </c>
      <c r="I1772" s="642" t="s">
        <v>36</v>
      </c>
      <c r="J1772" s="642">
        <v>1</v>
      </c>
      <c r="K1772" t="s">
        <v>1232</v>
      </c>
    </row>
    <row r="1773" spans="1:11" hidden="1" x14ac:dyDescent="0.3">
      <c r="A1773" s="1781">
        <v>15</v>
      </c>
      <c r="B1773" s="765" t="s">
        <v>1639</v>
      </c>
      <c r="C1773" s="642" t="s">
        <v>138</v>
      </c>
      <c r="D1773" s="641" t="s">
        <v>1722</v>
      </c>
      <c r="E1773" s="641" t="s">
        <v>1723</v>
      </c>
      <c r="F1773" s="1646">
        <v>850000</v>
      </c>
      <c r="G1773" s="641" t="s">
        <v>1685</v>
      </c>
      <c r="H1773" s="641" t="s">
        <v>44</v>
      </c>
      <c r="I1773" s="641" t="s">
        <v>36</v>
      </c>
      <c r="J1773" s="642">
        <v>1</v>
      </c>
      <c r="K1773" t="s">
        <v>133</v>
      </c>
    </row>
    <row r="1774" spans="1:11" hidden="1" x14ac:dyDescent="0.3">
      <c r="A1774" s="1781">
        <v>16</v>
      </c>
      <c r="B1774" s="3402" t="s">
        <v>1645</v>
      </c>
      <c r="C1774" s="642" t="s">
        <v>138</v>
      </c>
      <c r="D1774" s="641" t="s">
        <v>1724</v>
      </c>
      <c r="E1774" s="641" t="s">
        <v>1725</v>
      </c>
      <c r="F1774" s="1646">
        <v>800000</v>
      </c>
      <c r="G1774" s="641" t="s">
        <v>1685</v>
      </c>
      <c r="H1774" s="641" t="s">
        <v>271</v>
      </c>
      <c r="I1774" s="641" t="s">
        <v>36</v>
      </c>
      <c r="J1774" s="642">
        <v>1</v>
      </c>
      <c r="K1774" t="s">
        <v>1455</v>
      </c>
    </row>
    <row r="1775" spans="1:11" hidden="1" x14ac:dyDescent="0.3">
      <c r="A1775" s="1781">
        <v>17</v>
      </c>
      <c r="B1775" s="3402" t="s">
        <v>1645</v>
      </c>
      <c r="C1775" s="642" t="s">
        <v>138</v>
      </c>
      <c r="D1775" s="641" t="s">
        <v>1726</v>
      </c>
      <c r="E1775" s="641" t="s">
        <v>1727</v>
      </c>
      <c r="F1775" s="1646">
        <v>1150000</v>
      </c>
      <c r="G1775" s="641" t="s">
        <v>1685</v>
      </c>
      <c r="H1775" s="641" t="s">
        <v>271</v>
      </c>
      <c r="I1775" s="641" t="s">
        <v>36</v>
      </c>
      <c r="J1775" s="642">
        <v>1</v>
      </c>
      <c r="K1775" t="s">
        <v>1232</v>
      </c>
    </row>
    <row r="1776" spans="1:11" hidden="1" x14ac:dyDescent="0.3">
      <c r="A1776" s="1781">
        <v>18</v>
      </c>
      <c r="B1776" s="3402" t="s">
        <v>1728</v>
      </c>
      <c r="C1776" s="642" t="s">
        <v>138</v>
      </c>
      <c r="D1776" s="641" t="s">
        <v>1729</v>
      </c>
      <c r="E1776" s="641" t="s">
        <v>78</v>
      </c>
      <c r="F1776" s="1646">
        <v>1200000</v>
      </c>
      <c r="G1776" s="641" t="s">
        <v>1730</v>
      </c>
      <c r="H1776" s="641" t="s">
        <v>271</v>
      </c>
      <c r="I1776" s="641" t="s">
        <v>36</v>
      </c>
      <c r="J1776" s="642">
        <v>1</v>
      </c>
      <c r="K1776" t="s">
        <v>1232</v>
      </c>
    </row>
    <row r="1777" spans="1:11" hidden="1" x14ac:dyDescent="0.3">
      <c r="A1777" s="1781">
        <v>19</v>
      </c>
      <c r="B1777" s="3402" t="s">
        <v>1728</v>
      </c>
      <c r="C1777" s="642" t="s">
        <v>138</v>
      </c>
      <c r="D1777" s="641" t="s">
        <v>1731</v>
      </c>
      <c r="E1777" s="641" t="s">
        <v>1066</v>
      </c>
      <c r="F1777" s="1646">
        <v>850000</v>
      </c>
      <c r="G1777" s="641" t="s">
        <v>43</v>
      </c>
      <c r="H1777" s="641" t="s">
        <v>271</v>
      </c>
      <c r="I1777" s="641" t="s">
        <v>36</v>
      </c>
      <c r="J1777" s="642">
        <v>1</v>
      </c>
      <c r="K1777" t="s">
        <v>1455</v>
      </c>
    </row>
    <row r="1778" spans="1:11" hidden="1" x14ac:dyDescent="0.3">
      <c r="A1778" s="1781">
        <v>20</v>
      </c>
      <c r="B1778" s="3402" t="s">
        <v>1728</v>
      </c>
      <c r="C1778" s="642" t="s">
        <v>138</v>
      </c>
      <c r="D1778" s="641" t="s">
        <v>1732</v>
      </c>
      <c r="E1778" s="641" t="s">
        <v>78</v>
      </c>
      <c r="F1778" s="1646">
        <v>850000</v>
      </c>
      <c r="G1778" s="641" t="s">
        <v>43</v>
      </c>
      <c r="H1778" s="641" t="s">
        <v>271</v>
      </c>
      <c r="I1778" s="641" t="s">
        <v>36</v>
      </c>
      <c r="J1778" s="642">
        <v>1</v>
      </c>
      <c r="K1778" t="s">
        <v>133</v>
      </c>
    </row>
    <row r="1779" spans="1:11" hidden="1" x14ac:dyDescent="0.3">
      <c r="A1779" s="1781"/>
      <c r="B1779" s="765"/>
      <c r="C1779" s="641"/>
      <c r="D1779" s="641"/>
      <c r="E1779" s="641"/>
      <c r="F1779" s="1646"/>
      <c r="G1779" s="641"/>
      <c r="H1779" s="641"/>
      <c r="I1779" s="641"/>
      <c r="J1779" s="642"/>
    </row>
    <row r="1780" spans="1:11" ht="24.6" hidden="1" x14ac:dyDescent="0.4">
      <c r="A1780" s="1781"/>
      <c r="B1780" s="765"/>
      <c r="C1780" s="641"/>
      <c r="D1780" s="641"/>
      <c r="E1780" s="641"/>
      <c r="F1780" s="1358"/>
      <c r="G1780" s="641"/>
      <c r="H1780" s="641"/>
      <c r="I1780" s="641"/>
      <c r="J1780" s="1837"/>
    </row>
    <row r="1781" spans="1:11" ht="24.6" hidden="1" x14ac:dyDescent="0.4">
      <c r="A1781" s="3462" t="s">
        <v>33</v>
      </c>
      <c r="B1781" s="3462"/>
      <c r="C1781" s="3462"/>
      <c r="D1781" s="3462"/>
      <c r="E1781" s="3462"/>
      <c r="F1781" s="3462"/>
      <c r="G1781" s="3462"/>
      <c r="H1781" s="3462"/>
      <c r="I1781" s="3462"/>
      <c r="J1781" s="3462"/>
    </row>
    <row r="1782" spans="1:11" hidden="1" x14ac:dyDescent="0.3">
      <c r="A1782" s="137" t="s">
        <v>3</v>
      </c>
      <c r="B1782" s="1781" t="s">
        <v>4</v>
      </c>
      <c r="C1782" s="137" t="s">
        <v>5</v>
      </c>
      <c r="D1782" s="137" t="s">
        <v>6</v>
      </c>
      <c r="E1782" s="137" t="s">
        <v>7</v>
      </c>
      <c r="F1782" s="137" t="s">
        <v>8</v>
      </c>
      <c r="G1782" s="137" t="s">
        <v>9</v>
      </c>
      <c r="H1782" s="137" t="s">
        <v>10</v>
      </c>
      <c r="I1782" s="137" t="s">
        <v>11</v>
      </c>
      <c r="J1782" s="137" t="s">
        <v>12</v>
      </c>
    </row>
    <row r="1783" spans="1:11" hidden="1" x14ac:dyDescent="0.3">
      <c r="A1783" s="1845">
        <v>1</v>
      </c>
      <c r="B1783" s="3404" t="s">
        <v>1665</v>
      </c>
      <c r="C1783" s="1838" t="s">
        <v>138</v>
      </c>
      <c r="D1783" s="1838" t="s">
        <v>1733</v>
      </c>
      <c r="E1783" s="1838" t="s">
        <v>78</v>
      </c>
      <c r="F1783" s="1838">
        <v>195000000</v>
      </c>
      <c r="G1783" s="1838" t="s">
        <v>1718</v>
      </c>
      <c r="H1783" s="1838" t="s">
        <v>36</v>
      </c>
      <c r="I1783" s="1838" t="s">
        <v>36</v>
      </c>
      <c r="J1783" s="1839">
        <v>1</v>
      </c>
    </row>
    <row r="1784" spans="1:11" hidden="1" x14ac:dyDescent="0.3">
      <c r="A1784" s="1845" t="s">
        <v>3</v>
      </c>
      <c r="B1784" s="3404" t="s">
        <v>1610</v>
      </c>
      <c r="C1784" s="1838" t="s">
        <v>138</v>
      </c>
      <c r="D1784" s="1838" t="s">
        <v>1734</v>
      </c>
      <c r="E1784" s="1838" t="s">
        <v>78</v>
      </c>
      <c r="F1784" s="1838">
        <v>250000000</v>
      </c>
      <c r="G1784" s="1838" t="s">
        <v>1175</v>
      </c>
      <c r="H1784" s="1838" t="s">
        <v>44</v>
      </c>
      <c r="I1784" s="1838" t="s">
        <v>36</v>
      </c>
      <c r="J1784" s="1839">
        <v>1</v>
      </c>
    </row>
    <row r="1785" spans="1:11" hidden="1" x14ac:dyDescent="0.3">
      <c r="A1785" s="1846">
        <v>3</v>
      </c>
      <c r="B1785" s="3410"/>
      <c r="C1785" s="1840"/>
      <c r="D1785" s="1840"/>
      <c r="E1785" s="1840"/>
      <c r="F1785" s="1840"/>
      <c r="G1785" s="1840"/>
      <c r="H1785" s="1840"/>
      <c r="I1785" s="1840"/>
      <c r="J1785" s="1841"/>
    </row>
    <row r="1786" spans="1:11" ht="24.6" hidden="1" x14ac:dyDescent="0.4">
      <c r="A1786" s="1842"/>
      <c r="B1786" s="2177"/>
      <c r="C1786" s="1842"/>
      <c r="D1786" s="1842"/>
      <c r="E1786" s="1842"/>
      <c r="F1786" s="1842"/>
      <c r="G1786" s="1842"/>
      <c r="H1786" s="1842"/>
      <c r="I1786" s="1842"/>
      <c r="J1786" s="1852"/>
    </row>
    <row r="1787" spans="1:11" hidden="1" x14ac:dyDescent="0.3"/>
    <row r="1788" spans="1:11" hidden="1" x14ac:dyDescent="0.3"/>
    <row r="1789" spans="1:11" ht="23.4" hidden="1" x14ac:dyDescent="0.3">
      <c r="A1789" s="3467" t="s">
        <v>748</v>
      </c>
      <c r="B1789" s="3467"/>
      <c r="C1789" s="3467"/>
      <c r="D1789" s="3467"/>
      <c r="E1789" s="3467"/>
      <c r="F1789" s="3467"/>
      <c r="G1789" s="3467"/>
      <c r="H1789" s="3467"/>
      <c r="I1789" s="3467"/>
      <c r="J1789" s="3467"/>
    </row>
    <row r="1790" spans="1:11" ht="15.6" hidden="1" x14ac:dyDescent="0.3">
      <c r="A1790" s="3461" t="s">
        <v>2</v>
      </c>
      <c r="B1790" s="3461"/>
      <c r="C1790" s="3461"/>
      <c r="D1790" s="3461"/>
      <c r="E1790" s="3461"/>
      <c r="F1790" s="3461"/>
      <c r="G1790" s="3461"/>
      <c r="H1790" s="3461"/>
      <c r="I1790" s="3461"/>
      <c r="J1790" s="3461"/>
    </row>
    <row r="1791" spans="1:11" hidden="1" x14ac:dyDescent="0.3">
      <c r="A1791" s="137" t="s">
        <v>3</v>
      </c>
      <c r="B1791" s="1781" t="s">
        <v>4</v>
      </c>
      <c r="C1791" s="137" t="s">
        <v>5</v>
      </c>
      <c r="D1791" s="137" t="s">
        <v>6</v>
      </c>
      <c r="E1791" s="137" t="s">
        <v>7</v>
      </c>
      <c r="F1791" s="137" t="s">
        <v>8</v>
      </c>
      <c r="G1791" s="137" t="s">
        <v>9</v>
      </c>
      <c r="H1791" s="137" t="s">
        <v>10</v>
      </c>
      <c r="I1791" s="137" t="s">
        <v>11</v>
      </c>
      <c r="J1791" s="137" t="s">
        <v>12</v>
      </c>
    </row>
    <row r="1792" spans="1:11" hidden="1" x14ac:dyDescent="0.3">
      <c r="A1792" s="137">
        <v>1</v>
      </c>
      <c r="B1792" s="765" t="s">
        <v>1615</v>
      </c>
      <c r="C1792" s="642" t="s">
        <v>37</v>
      </c>
      <c r="D1792" s="642" t="s">
        <v>1735</v>
      </c>
      <c r="E1792" s="642" t="s">
        <v>869</v>
      </c>
      <c r="F1792" s="642">
        <v>1050000</v>
      </c>
      <c r="G1792" s="642" t="s">
        <v>1349</v>
      </c>
      <c r="H1792" s="642" t="s">
        <v>36</v>
      </c>
      <c r="I1792" s="642" t="s">
        <v>36</v>
      </c>
      <c r="J1792" s="642">
        <v>1</v>
      </c>
      <c r="K1792" t="s">
        <v>1530</v>
      </c>
    </row>
    <row r="1793" spans="1:11" hidden="1" x14ac:dyDescent="0.3">
      <c r="A1793" s="137">
        <v>2</v>
      </c>
      <c r="B1793" s="765" t="s">
        <v>1615</v>
      </c>
      <c r="C1793" s="642" t="s">
        <v>37</v>
      </c>
      <c r="D1793" s="642" t="s">
        <v>1736</v>
      </c>
      <c r="E1793" s="642" t="s">
        <v>78</v>
      </c>
      <c r="F1793" s="642">
        <v>1200000</v>
      </c>
      <c r="G1793" s="642" t="s">
        <v>168</v>
      </c>
      <c r="H1793" s="642" t="s">
        <v>36</v>
      </c>
      <c r="I1793" s="642" t="s">
        <v>36</v>
      </c>
      <c r="J1793" s="642">
        <v>1</v>
      </c>
      <c r="K1793" t="s">
        <v>133</v>
      </c>
    </row>
    <row r="1794" spans="1:11" hidden="1" x14ac:dyDescent="0.3">
      <c r="A1794" s="137">
        <v>3</v>
      </c>
      <c r="B1794" s="765" t="s">
        <v>1737</v>
      </c>
      <c r="C1794" s="642" t="s">
        <v>37</v>
      </c>
      <c r="D1794" s="642" t="s">
        <v>1738</v>
      </c>
      <c r="E1794" s="642" t="s">
        <v>805</v>
      </c>
      <c r="F1794" s="642">
        <v>1200000</v>
      </c>
      <c r="G1794" s="642" t="s">
        <v>1739</v>
      </c>
      <c r="H1794" s="642" t="s">
        <v>36</v>
      </c>
      <c r="I1794" s="642" t="s">
        <v>36</v>
      </c>
      <c r="J1794" s="642">
        <v>1</v>
      </c>
      <c r="K1794" t="s">
        <v>133</v>
      </c>
    </row>
    <row r="1795" spans="1:11" hidden="1" x14ac:dyDescent="0.3">
      <c r="A1795" s="137">
        <v>4</v>
      </c>
      <c r="B1795" s="765" t="s">
        <v>1486</v>
      </c>
      <c r="C1795" s="642" t="s">
        <v>138</v>
      </c>
      <c r="D1795" s="642" t="s">
        <v>1740</v>
      </c>
      <c r="E1795" s="642" t="s">
        <v>869</v>
      </c>
      <c r="F1795" s="642">
        <v>1350000</v>
      </c>
      <c r="G1795" s="642" t="s">
        <v>1741</v>
      </c>
      <c r="H1795" s="642" t="s">
        <v>271</v>
      </c>
      <c r="I1795" s="642" t="s">
        <v>36</v>
      </c>
      <c r="J1795" s="642">
        <v>1</v>
      </c>
      <c r="K1795" t="s">
        <v>1232</v>
      </c>
    </row>
    <row r="1796" spans="1:11" hidden="1" x14ac:dyDescent="0.3">
      <c r="A1796" s="137">
        <v>5</v>
      </c>
      <c r="B1796" s="765" t="s">
        <v>1742</v>
      </c>
      <c r="C1796" s="642" t="s">
        <v>138</v>
      </c>
      <c r="D1796" s="642" t="s">
        <v>1743</v>
      </c>
      <c r="E1796" s="642" t="s">
        <v>805</v>
      </c>
      <c r="F1796" s="642">
        <v>1100000</v>
      </c>
      <c r="G1796" s="642" t="s">
        <v>1744</v>
      </c>
      <c r="H1796" s="642" t="s">
        <v>271</v>
      </c>
      <c r="I1796" s="642" t="s">
        <v>36</v>
      </c>
      <c r="J1796" s="642">
        <v>1</v>
      </c>
      <c r="K1796" t="s">
        <v>133</v>
      </c>
    </row>
    <row r="1797" spans="1:11" hidden="1" x14ac:dyDescent="0.3">
      <c r="A1797" s="137">
        <v>6</v>
      </c>
      <c r="B1797" s="765" t="s">
        <v>1742</v>
      </c>
      <c r="C1797" s="642" t="s">
        <v>138</v>
      </c>
      <c r="D1797" s="642" t="s">
        <v>1745</v>
      </c>
      <c r="E1797" s="642" t="s">
        <v>1066</v>
      </c>
      <c r="F1797" s="642">
        <v>900000</v>
      </c>
      <c r="G1797" s="642" t="s">
        <v>963</v>
      </c>
      <c r="H1797" s="642" t="s">
        <v>271</v>
      </c>
      <c r="I1797" s="642" t="s">
        <v>36</v>
      </c>
      <c r="J1797" s="642">
        <v>1</v>
      </c>
      <c r="K1797" t="s">
        <v>133</v>
      </c>
    </row>
    <row r="1798" spans="1:11" hidden="1" x14ac:dyDescent="0.3">
      <c r="A1798" s="137">
        <v>7</v>
      </c>
      <c r="B1798" s="3402">
        <v>44541</v>
      </c>
      <c r="C1798" s="641" t="s">
        <v>138</v>
      </c>
      <c r="D1798" s="641" t="s">
        <v>1746</v>
      </c>
      <c r="E1798" s="641" t="s">
        <v>925</v>
      </c>
      <c r="F1798" s="1646">
        <v>850000</v>
      </c>
      <c r="G1798" s="641" t="s">
        <v>168</v>
      </c>
      <c r="H1798" s="641" t="s">
        <v>271</v>
      </c>
      <c r="I1798" s="641" t="s">
        <v>36</v>
      </c>
      <c r="J1798" s="642">
        <v>1</v>
      </c>
      <c r="K1798" t="s">
        <v>133</v>
      </c>
    </row>
    <row r="1799" spans="1:11" hidden="1" x14ac:dyDescent="0.3">
      <c r="A1799" s="137">
        <v>8</v>
      </c>
      <c r="B1799" s="765" t="s">
        <v>1633</v>
      </c>
      <c r="C1799" s="642" t="s">
        <v>219</v>
      </c>
      <c r="D1799" s="642" t="s">
        <v>1747</v>
      </c>
      <c r="E1799" s="642" t="s">
        <v>787</v>
      </c>
      <c r="F1799" s="642">
        <v>6000000</v>
      </c>
      <c r="G1799" s="642" t="s">
        <v>168</v>
      </c>
      <c r="H1799" s="642" t="s">
        <v>44</v>
      </c>
      <c r="I1799" s="642" t="s">
        <v>36</v>
      </c>
      <c r="J1799" s="642">
        <v>1</v>
      </c>
      <c r="K1799" t="s">
        <v>133</v>
      </c>
    </row>
    <row r="1800" spans="1:11" hidden="1" x14ac:dyDescent="0.3">
      <c r="A1800" s="137">
        <v>9</v>
      </c>
      <c r="B1800" s="765" t="s">
        <v>1633</v>
      </c>
      <c r="C1800" s="642" t="s">
        <v>219</v>
      </c>
      <c r="D1800" s="642" t="s">
        <v>1748</v>
      </c>
      <c r="E1800" s="642" t="s">
        <v>787</v>
      </c>
      <c r="F1800" s="642">
        <v>13500000</v>
      </c>
      <c r="G1800" s="642" t="s">
        <v>168</v>
      </c>
      <c r="H1800" s="642" t="s">
        <v>44</v>
      </c>
      <c r="I1800" s="642" t="s">
        <v>36</v>
      </c>
      <c r="J1800" s="642">
        <v>1</v>
      </c>
      <c r="K1800" t="s">
        <v>1455</v>
      </c>
    </row>
    <row r="1801" spans="1:11" hidden="1" x14ac:dyDescent="0.3">
      <c r="A1801" s="137">
        <v>10</v>
      </c>
      <c r="B1801" s="765" t="s">
        <v>1635</v>
      </c>
      <c r="C1801" s="642" t="s">
        <v>138</v>
      </c>
      <c r="D1801" s="642" t="s">
        <v>1749</v>
      </c>
      <c r="E1801" s="642" t="s">
        <v>869</v>
      </c>
      <c r="F1801" s="642">
        <v>1100000</v>
      </c>
      <c r="G1801" s="642" t="s">
        <v>1349</v>
      </c>
      <c r="H1801" s="642" t="s">
        <v>271</v>
      </c>
      <c r="I1801" s="642" t="s">
        <v>36</v>
      </c>
      <c r="J1801" s="642">
        <v>1</v>
      </c>
      <c r="K1801" t="s">
        <v>1232</v>
      </c>
    </row>
    <row r="1802" spans="1:11" hidden="1" x14ac:dyDescent="0.3">
      <c r="A1802" s="137">
        <v>11</v>
      </c>
      <c r="B1802" s="765" t="s">
        <v>1635</v>
      </c>
      <c r="C1802" s="642" t="s">
        <v>138</v>
      </c>
      <c r="D1802" s="642" t="s">
        <v>1750</v>
      </c>
      <c r="E1802" s="642" t="s">
        <v>1751</v>
      </c>
      <c r="F1802" s="642">
        <v>910000</v>
      </c>
      <c r="G1802" s="642" t="s">
        <v>1752</v>
      </c>
      <c r="H1802" s="642" t="s">
        <v>44</v>
      </c>
      <c r="I1802" s="642" t="s">
        <v>36</v>
      </c>
      <c r="J1802" s="642">
        <v>1</v>
      </c>
      <c r="K1802" t="s">
        <v>1232</v>
      </c>
    </row>
    <row r="1803" spans="1:11" hidden="1" x14ac:dyDescent="0.3">
      <c r="A1803" s="137">
        <v>12</v>
      </c>
      <c r="B1803" s="765" t="s">
        <v>1635</v>
      </c>
      <c r="C1803" s="642" t="s">
        <v>138</v>
      </c>
      <c r="D1803" s="642" t="s">
        <v>1753</v>
      </c>
      <c r="E1803" s="642" t="s">
        <v>78</v>
      </c>
      <c r="F1803" s="642">
        <v>910000</v>
      </c>
      <c r="G1803" s="642" t="s">
        <v>1754</v>
      </c>
      <c r="H1803" s="642" t="s">
        <v>271</v>
      </c>
      <c r="I1803" s="642" t="s">
        <v>36</v>
      </c>
      <c r="J1803" s="642">
        <v>1</v>
      </c>
      <c r="K1803" t="s">
        <v>1455</v>
      </c>
    </row>
    <row r="1804" spans="1:11" hidden="1" x14ac:dyDescent="0.3">
      <c r="A1804" s="137">
        <v>13</v>
      </c>
      <c r="B1804" s="765" t="s">
        <v>1676</v>
      </c>
      <c r="C1804" s="642" t="s">
        <v>138</v>
      </c>
      <c r="D1804" s="642" t="s">
        <v>1755</v>
      </c>
      <c r="E1804" s="642" t="s">
        <v>840</v>
      </c>
      <c r="F1804" s="642">
        <v>1100000</v>
      </c>
      <c r="G1804" s="642" t="s">
        <v>1756</v>
      </c>
      <c r="H1804" s="642" t="s">
        <v>271</v>
      </c>
      <c r="I1804" s="642" t="s">
        <v>36</v>
      </c>
      <c r="J1804" s="642">
        <v>1</v>
      </c>
      <c r="K1804" t="s">
        <v>133</v>
      </c>
    </row>
    <row r="1805" spans="1:11" hidden="1" x14ac:dyDescent="0.3">
      <c r="A1805" s="137">
        <v>14</v>
      </c>
      <c r="B1805" s="765" t="s">
        <v>1676</v>
      </c>
      <c r="C1805" s="642" t="s">
        <v>138</v>
      </c>
      <c r="D1805" s="642" t="s">
        <v>1757</v>
      </c>
      <c r="E1805" s="642" t="s">
        <v>925</v>
      </c>
      <c r="F1805" s="642">
        <v>1140000</v>
      </c>
      <c r="G1805" s="642" t="s">
        <v>43</v>
      </c>
      <c r="H1805" s="642" t="s">
        <v>271</v>
      </c>
      <c r="I1805" s="642" t="s">
        <v>36</v>
      </c>
      <c r="J1805" s="642">
        <v>1</v>
      </c>
      <c r="K1805" t="s">
        <v>133</v>
      </c>
    </row>
    <row r="1806" spans="1:11" hidden="1" x14ac:dyDescent="0.3">
      <c r="A1806" s="1781">
        <v>15</v>
      </c>
      <c r="B1806" s="3402" t="s">
        <v>1639</v>
      </c>
      <c r="C1806" s="642" t="s">
        <v>138</v>
      </c>
      <c r="D1806" s="641" t="s">
        <v>1758</v>
      </c>
      <c r="E1806" s="641" t="s">
        <v>869</v>
      </c>
      <c r="F1806" s="1646">
        <v>1300000</v>
      </c>
      <c r="G1806" s="641" t="s">
        <v>1349</v>
      </c>
      <c r="H1806" s="641" t="s">
        <v>271</v>
      </c>
      <c r="I1806" s="641" t="s">
        <v>36</v>
      </c>
      <c r="J1806" s="642">
        <v>1</v>
      </c>
      <c r="K1806" t="s">
        <v>133</v>
      </c>
    </row>
    <row r="1807" spans="1:11" hidden="1" x14ac:dyDescent="0.3">
      <c r="A1807" s="1781">
        <v>16</v>
      </c>
      <c r="B1807" s="3402" t="s">
        <v>1639</v>
      </c>
      <c r="C1807" s="642" t="s">
        <v>138</v>
      </c>
      <c r="D1807" s="641" t="s">
        <v>1759</v>
      </c>
      <c r="E1807" s="641" t="s">
        <v>869</v>
      </c>
      <c r="F1807" s="1646">
        <v>1300000</v>
      </c>
      <c r="G1807" s="641" t="s">
        <v>1349</v>
      </c>
      <c r="H1807" s="641" t="s">
        <v>271</v>
      </c>
      <c r="I1807" s="641" t="s">
        <v>36</v>
      </c>
      <c r="J1807" s="642">
        <v>1</v>
      </c>
      <c r="K1807" t="s">
        <v>1455</v>
      </c>
    </row>
    <row r="1808" spans="1:11" hidden="1" x14ac:dyDescent="0.3">
      <c r="A1808" s="1781">
        <v>17</v>
      </c>
      <c r="B1808" s="3402" t="s">
        <v>1681</v>
      </c>
      <c r="C1808" s="641" t="s">
        <v>138</v>
      </c>
      <c r="D1808" s="641" t="s">
        <v>1760</v>
      </c>
      <c r="E1808" s="641" t="s">
        <v>805</v>
      </c>
      <c r="F1808" s="1646">
        <v>1000000</v>
      </c>
      <c r="G1808" s="641" t="s">
        <v>1685</v>
      </c>
      <c r="H1808" s="641" t="s">
        <v>271</v>
      </c>
      <c r="I1808" s="641" t="s">
        <v>36</v>
      </c>
      <c r="J1808" s="642">
        <v>1</v>
      </c>
      <c r="K1808" t="s">
        <v>1232</v>
      </c>
    </row>
    <row r="1809" spans="1:11" hidden="1" x14ac:dyDescent="0.3">
      <c r="A1809" s="1781">
        <v>18</v>
      </c>
      <c r="B1809" s="3402" t="s">
        <v>1643</v>
      </c>
      <c r="C1809" s="641" t="s">
        <v>138</v>
      </c>
      <c r="D1809" s="641" t="s">
        <v>1761</v>
      </c>
      <c r="E1809" s="641" t="s">
        <v>904</v>
      </c>
      <c r="F1809" s="1646">
        <v>1150000</v>
      </c>
      <c r="G1809" s="641" t="s">
        <v>43</v>
      </c>
      <c r="H1809" s="641" t="s">
        <v>271</v>
      </c>
      <c r="I1809" s="641" t="s">
        <v>36</v>
      </c>
      <c r="J1809" s="642">
        <v>1</v>
      </c>
      <c r="K1809" t="s">
        <v>1232</v>
      </c>
    </row>
    <row r="1810" spans="1:11" hidden="1" x14ac:dyDescent="0.3">
      <c r="A1810" s="1781">
        <v>19</v>
      </c>
      <c r="B1810" s="765" t="s">
        <v>1643</v>
      </c>
      <c r="C1810" s="641" t="s">
        <v>138</v>
      </c>
      <c r="D1810" s="641" t="s">
        <v>1762</v>
      </c>
      <c r="E1810" s="641" t="s">
        <v>1680</v>
      </c>
      <c r="F1810" s="1646">
        <v>1200000</v>
      </c>
      <c r="G1810" s="641" t="s">
        <v>1122</v>
      </c>
      <c r="H1810" s="641" t="s">
        <v>271</v>
      </c>
      <c r="I1810" s="641" t="s">
        <v>36</v>
      </c>
      <c r="J1810" s="642">
        <v>1</v>
      </c>
      <c r="K1810" t="s">
        <v>133</v>
      </c>
    </row>
    <row r="1811" spans="1:11" hidden="1" x14ac:dyDescent="0.3">
      <c r="A1811" s="1781">
        <v>20</v>
      </c>
      <c r="B1811" s="765" t="s">
        <v>1645</v>
      </c>
      <c r="C1811" s="641" t="s">
        <v>138</v>
      </c>
      <c r="D1811" s="641" t="s">
        <v>1763</v>
      </c>
      <c r="E1811" s="641" t="s">
        <v>1140</v>
      </c>
      <c r="F1811" s="1646">
        <v>850000</v>
      </c>
      <c r="G1811" s="641" t="s">
        <v>43</v>
      </c>
      <c r="H1811" s="641" t="s">
        <v>1468</v>
      </c>
      <c r="I1811" s="641" t="s">
        <v>36</v>
      </c>
      <c r="J1811" s="642">
        <v>1</v>
      </c>
      <c r="K1811" t="s">
        <v>1455</v>
      </c>
    </row>
    <row r="1812" spans="1:11" hidden="1" x14ac:dyDescent="0.3">
      <c r="A1812" s="1781"/>
      <c r="B1812" s="765"/>
      <c r="C1812" s="641"/>
      <c r="D1812" s="641"/>
      <c r="E1812" s="641"/>
      <c r="F1812" s="1646"/>
      <c r="G1812" s="641"/>
      <c r="H1812" s="641"/>
      <c r="I1812" s="641"/>
      <c r="J1812" s="642"/>
    </row>
    <row r="1813" spans="1:11" ht="24.6" hidden="1" x14ac:dyDescent="0.4">
      <c r="A1813" s="1781"/>
      <c r="B1813" s="765"/>
      <c r="C1813" s="641"/>
      <c r="D1813" s="641"/>
      <c r="E1813" s="641"/>
      <c r="F1813" s="1358"/>
      <c r="G1813" s="641"/>
      <c r="H1813" s="641"/>
      <c r="I1813" s="641"/>
      <c r="J1813" s="1837"/>
    </row>
    <row r="1814" spans="1:11" ht="24.6" hidden="1" x14ac:dyDescent="0.4">
      <c r="A1814" s="3462" t="s">
        <v>33</v>
      </c>
      <c r="B1814" s="3462"/>
      <c r="C1814" s="3462"/>
      <c r="D1814" s="3462"/>
      <c r="E1814" s="3462"/>
      <c r="F1814" s="3462"/>
      <c r="G1814" s="3462"/>
      <c r="H1814" s="3462"/>
      <c r="I1814" s="3462"/>
      <c r="J1814" s="3462"/>
    </row>
    <row r="1815" spans="1:11" hidden="1" x14ac:dyDescent="0.3">
      <c r="A1815" s="137" t="s">
        <v>3</v>
      </c>
      <c r="B1815" s="1781" t="s">
        <v>4</v>
      </c>
      <c r="C1815" s="137" t="s">
        <v>5</v>
      </c>
      <c r="D1815" s="137" t="s">
        <v>6</v>
      </c>
      <c r="E1815" s="137" t="s">
        <v>7</v>
      </c>
      <c r="F1815" s="137" t="s">
        <v>8</v>
      </c>
      <c r="G1815" s="137" t="s">
        <v>9</v>
      </c>
      <c r="H1815" s="137" t="s">
        <v>10</v>
      </c>
      <c r="I1815" s="137" t="s">
        <v>11</v>
      </c>
      <c r="J1815" s="137" t="s">
        <v>12</v>
      </c>
    </row>
    <row r="1816" spans="1:11" hidden="1" x14ac:dyDescent="0.3">
      <c r="A1816" s="1845">
        <v>1</v>
      </c>
      <c r="B1816" s="3404" t="s">
        <v>1610</v>
      </c>
      <c r="C1816" s="1838" t="s">
        <v>138</v>
      </c>
      <c r="D1816" s="1838" t="s">
        <v>1135</v>
      </c>
      <c r="E1816" s="1838" t="s">
        <v>805</v>
      </c>
      <c r="F1816" s="1838">
        <v>210000000</v>
      </c>
      <c r="G1816" s="1838" t="s">
        <v>1739</v>
      </c>
      <c r="H1816" s="1838" t="s">
        <v>44</v>
      </c>
      <c r="I1816" s="1838" t="s">
        <v>36</v>
      </c>
      <c r="J1816" s="1839">
        <v>1</v>
      </c>
    </row>
    <row r="1817" spans="1:11" hidden="1" x14ac:dyDescent="0.3">
      <c r="A1817" s="1845" t="s">
        <v>3</v>
      </c>
      <c r="B1817" s="3404" t="s">
        <v>1673</v>
      </c>
      <c r="C1817" s="1838" t="s">
        <v>138</v>
      </c>
      <c r="D1817" s="1838" t="s">
        <v>1764</v>
      </c>
      <c r="E1817" s="1838" t="s">
        <v>805</v>
      </c>
      <c r="F1817" s="1838">
        <v>200000000</v>
      </c>
      <c r="G1817" s="1838" t="s">
        <v>1353</v>
      </c>
      <c r="H1817" s="1838" t="s">
        <v>44</v>
      </c>
      <c r="I1817" s="1838" t="s">
        <v>36</v>
      </c>
      <c r="J1817" s="1839">
        <v>1</v>
      </c>
    </row>
    <row r="1818" spans="1:11" hidden="1" x14ac:dyDescent="0.3">
      <c r="A1818" s="1846">
        <v>3</v>
      </c>
      <c r="B1818" s="3410" t="s">
        <v>1630</v>
      </c>
      <c r="C1818" s="1840" t="s">
        <v>138</v>
      </c>
      <c r="D1818" s="1840" t="s">
        <v>1765</v>
      </c>
      <c r="E1818" s="1840" t="s">
        <v>962</v>
      </c>
      <c r="F1818" s="1840">
        <v>253000000</v>
      </c>
      <c r="G1818" s="1840" t="s">
        <v>1766</v>
      </c>
      <c r="H1818" s="1840" t="s">
        <v>44</v>
      </c>
      <c r="I1818" s="1840" t="s">
        <v>36</v>
      </c>
      <c r="J1818" s="1841">
        <v>1</v>
      </c>
    </row>
    <row r="1819" spans="1:11" ht="24.6" hidden="1" x14ac:dyDescent="0.4">
      <c r="A1819" s="1842"/>
      <c r="B1819" s="2177"/>
      <c r="C1819" s="1842"/>
      <c r="D1819" s="1842"/>
      <c r="E1819" s="1842"/>
      <c r="F1819" s="1842"/>
      <c r="G1819" s="1842"/>
      <c r="H1819" s="1842"/>
      <c r="I1819" s="1842"/>
      <c r="J1819" s="1852"/>
    </row>
    <row r="1820" spans="1:11" hidden="1" x14ac:dyDescent="0.3"/>
    <row r="1821" spans="1:11" hidden="1" x14ac:dyDescent="0.3"/>
    <row r="1822" spans="1:11" ht="23.4" hidden="1" x14ac:dyDescent="0.3">
      <c r="A1822" s="3467" t="s">
        <v>523</v>
      </c>
      <c r="B1822" s="3467"/>
      <c r="C1822" s="3467"/>
      <c r="D1822" s="3467"/>
      <c r="E1822" s="3467"/>
      <c r="F1822" s="3467"/>
      <c r="G1822" s="3467"/>
      <c r="H1822" s="3467"/>
      <c r="I1822" s="3467"/>
      <c r="J1822" s="3467"/>
    </row>
    <row r="1823" spans="1:11" ht="15.6" hidden="1" x14ac:dyDescent="0.3">
      <c r="A1823" s="3461" t="s">
        <v>2</v>
      </c>
      <c r="B1823" s="3461"/>
      <c r="C1823" s="3461"/>
      <c r="D1823" s="3461"/>
      <c r="E1823" s="3461"/>
      <c r="F1823" s="3461"/>
      <c r="G1823" s="3461"/>
      <c r="H1823" s="3461"/>
      <c r="I1823" s="3461"/>
      <c r="J1823" s="3461"/>
    </row>
    <row r="1824" spans="1:11" hidden="1" x14ac:dyDescent="0.3">
      <c r="A1824" s="137" t="s">
        <v>3</v>
      </c>
      <c r="B1824" s="1781" t="s">
        <v>4</v>
      </c>
      <c r="C1824" s="137" t="s">
        <v>5</v>
      </c>
      <c r="D1824" s="137" t="s">
        <v>6</v>
      </c>
      <c r="E1824" s="137" t="s">
        <v>7</v>
      </c>
      <c r="F1824" s="137" t="s">
        <v>8</v>
      </c>
      <c r="G1824" s="137" t="s">
        <v>9</v>
      </c>
      <c r="H1824" s="137" t="s">
        <v>10</v>
      </c>
      <c r="I1824" s="137" t="s">
        <v>11</v>
      </c>
      <c r="J1824" s="137" t="s">
        <v>12</v>
      </c>
    </row>
    <row r="1825" spans="1:11" hidden="1" x14ac:dyDescent="0.3">
      <c r="A1825" s="137">
        <v>1</v>
      </c>
      <c r="B1825" s="765" t="s">
        <v>1611</v>
      </c>
      <c r="C1825" s="642" t="s">
        <v>37</v>
      </c>
      <c r="D1825" s="642" t="s">
        <v>1767</v>
      </c>
      <c r="E1825" s="642" t="s">
        <v>216</v>
      </c>
      <c r="F1825" s="642">
        <v>980000</v>
      </c>
      <c r="G1825" s="642" t="s">
        <v>168</v>
      </c>
      <c r="H1825" s="642" t="s">
        <v>44</v>
      </c>
      <c r="I1825" s="642" t="s">
        <v>36</v>
      </c>
      <c r="J1825" s="642">
        <v>1</v>
      </c>
      <c r="K1825" t="s">
        <v>217</v>
      </c>
    </row>
    <row r="1826" spans="1:11" hidden="1" x14ac:dyDescent="0.3">
      <c r="A1826" s="137">
        <v>2</v>
      </c>
      <c r="B1826" s="765" t="s">
        <v>1611</v>
      </c>
      <c r="C1826" s="642" t="s">
        <v>37</v>
      </c>
      <c r="D1826" s="642" t="s">
        <v>1768</v>
      </c>
      <c r="E1826" s="642" t="s">
        <v>216</v>
      </c>
      <c r="F1826" s="642">
        <v>1100000</v>
      </c>
      <c r="G1826" s="642" t="s">
        <v>168</v>
      </c>
      <c r="H1826" s="642" t="s">
        <v>44</v>
      </c>
      <c r="I1826" s="642" t="s">
        <v>36</v>
      </c>
      <c r="J1826" s="642">
        <v>1</v>
      </c>
      <c r="K1826" t="s">
        <v>1530</v>
      </c>
    </row>
    <row r="1827" spans="1:11" hidden="1" x14ac:dyDescent="0.3">
      <c r="A1827" s="137">
        <v>3</v>
      </c>
      <c r="B1827" s="765" t="s">
        <v>1611</v>
      </c>
      <c r="C1827" s="642" t="s">
        <v>37</v>
      </c>
      <c r="D1827" s="642" t="s">
        <v>1769</v>
      </c>
      <c r="E1827" s="642" t="s">
        <v>216</v>
      </c>
      <c r="F1827" s="642">
        <v>950000</v>
      </c>
      <c r="G1827" s="642" t="s">
        <v>168</v>
      </c>
      <c r="H1827" s="642" t="s">
        <v>44</v>
      </c>
      <c r="I1827" s="642" t="s">
        <v>36</v>
      </c>
      <c r="J1827" s="642">
        <v>1</v>
      </c>
      <c r="K1827" t="s">
        <v>1770</v>
      </c>
    </row>
    <row r="1828" spans="1:11" hidden="1" x14ac:dyDescent="0.3">
      <c r="A1828" s="137">
        <v>4</v>
      </c>
      <c r="B1828" s="765" t="s">
        <v>1611</v>
      </c>
      <c r="C1828" s="642" t="s">
        <v>37</v>
      </c>
      <c r="D1828" s="642" t="s">
        <v>1771</v>
      </c>
      <c r="E1828" s="642" t="s">
        <v>216</v>
      </c>
      <c r="F1828" s="642">
        <v>950000</v>
      </c>
      <c r="G1828" s="642" t="s">
        <v>168</v>
      </c>
      <c r="H1828" s="642" t="s">
        <v>44</v>
      </c>
      <c r="I1828" s="642" t="s">
        <v>36</v>
      </c>
      <c r="J1828" s="642">
        <v>1</v>
      </c>
      <c r="K1828" t="s">
        <v>133</v>
      </c>
    </row>
    <row r="1829" spans="1:11" hidden="1" x14ac:dyDescent="0.3">
      <c r="A1829" s="137">
        <v>5</v>
      </c>
      <c r="B1829" s="765" t="s">
        <v>1611</v>
      </c>
      <c r="C1829" s="642" t="s">
        <v>37</v>
      </c>
      <c r="D1829" s="642" t="s">
        <v>1772</v>
      </c>
      <c r="E1829" s="642" t="s">
        <v>216</v>
      </c>
      <c r="F1829" s="642">
        <v>750000</v>
      </c>
      <c r="G1829" s="642" t="s">
        <v>168</v>
      </c>
      <c r="H1829" s="642" t="s">
        <v>44</v>
      </c>
      <c r="I1829" s="642" t="s">
        <v>36</v>
      </c>
      <c r="J1829" s="642">
        <v>1</v>
      </c>
      <c r="K1829" t="s">
        <v>1530</v>
      </c>
    </row>
    <row r="1830" spans="1:11" hidden="1" x14ac:dyDescent="0.3">
      <c r="A1830" s="137">
        <v>6</v>
      </c>
      <c r="B1830" s="765" t="s">
        <v>1611</v>
      </c>
      <c r="C1830" s="642" t="s">
        <v>37</v>
      </c>
      <c r="D1830" s="642" t="s">
        <v>1773</v>
      </c>
      <c r="E1830" s="642" t="s">
        <v>869</v>
      </c>
      <c r="F1830" s="642">
        <v>1200000</v>
      </c>
      <c r="G1830" s="642" t="s">
        <v>907</v>
      </c>
      <c r="H1830" s="642" t="s">
        <v>36</v>
      </c>
      <c r="I1830" s="642" t="s">
        <v>36</v>
      </c>
      <c r="J1830" s="642">
        <v>1</v>
      </c>
      <c r="K1830" t="s">
        <v>133</v>
      </c>
    </row>
    <row r="1831" spans="1:11" hidden="1" x14ac:dyDescent="0.3">
      <c r="A1831" s="137">
        <v>7</v>
      </c>
      <c r="B1831" s="765" t="s">
        <v>1613</v>
      </c>
      <c r="C1831" s="641" t="s">
        <v>37</v>
      </c>
      <c r="D1831" s="641" t="s">
        <v>1774</v>
      </c>
      <c r="E1831" s="641" t="s">
        <v>869</v>
      </c>
      <c r="F1831" s="1646">
        <v>1200000</v>
      </c>
      <c r="G1831" s="641" t="s">
        <v>1102</v>
      </c>
      <c r="H1831" s="641" t="s">
        <v>36</v>
      </c>
      <c r="I1831" s="641" t="s">
        <v>36</v>
      </c>
      <c r="J1831" s="642">
        <v>1</v>
      </c>
      <c r="K1831" t="s">
        <v>1530</v>
      </c>
    </row>
    <row r="1832" spans="1:11" hidden="1" x14ac:dyDescent="0.3">
      <c r="A1832" s="137">
        <v>8</v>
      </c>
      <c r="B1832" s="765" t="s">
        <v>1615</v>
      </c>
      <c r="C1832" s="642" t="s">
        <v>37</v>
      </c>
      <c r="D1832" s="642" t="s">
        <v>1775</v>
      </c>
      <c r="E1832" s="642" t="s">
        <v>869</v>
      </c>
      <c r="F1832" s="642">
        <v>900000</v>
      </c>
      <c r="G1832" s="642" t="s">
        <v>168</v>
      </c>
      <c r="H1832" s="642" t="s">
        <v>36</v>
      </c>
      <c r="I1832" s="642" t="s">
        <v>36</v>
      </c>
      <c r="J1832" s="642">
        <v>1</v>
      </c>
      <c r="K1832" t="s">
        <v>1232</v>
      </c>
    </row>
    <row r="1833" spans="1:11" hidden="1" x14ac:dyDescent="0.3">
      <c r="A1833" s="137">
        <v>9</v>
      </c>
      <c r="B1833" s="765" t="s">
        <v>1776</v>
      </c>
      <c r="C1833" s="642" t="s">
        <v>37</v>
      </c>
      <c r="D1833" s="642" t="s">
        <v>1777</v>
      </c>
      <c r="E1833" s="642" t="s">
        <v>1778</v>
      </c>
      <c r="F1833" s="642">
        <v>2200000</v>
      </c>
      <c r="G1833" s="642" t="s">
        <v>163</v>
      </c>
      <c r="H1833" s="642" t="s">
        <v>36</v>
      </c>
      <c r="I1833" s="642" t="s">
        <v>36</v>
      </c>
      <c r="J1833" s="642">
        <v>1</v>
      </c>
      <c r="K1833" t="s">
        <v>1232</v>
      </c>
    </row>
    <row r="1834" spans="1:11" hidden="1" x14ac:dyDescent="0.3">
      <c r="A1834" s="137">
        <v>10</v>
      </c>
      <c r="B1834" s="765" t="s">
        <v>1779</v>
      </c>
      <c r="C1834" s="642" t="s">
        <v>37</v>
      </c>
      <c r="D1834" s="642" t="s">
        <v>1780</v>
      </c>
      <c r="E1834" s="642" t="s">
        <v>925</v>
      </c>
      <c r="F1834" s="642">
        <v>1000000</v>
      </c>
      <c r="G1834" s="642" t="s">
        <v>299</v>
      </c>
      <c r="H1834" s="642" t="s">
        <v>36</v>
      </c>
      <c r="I1834" s="642" t="s">
        <v>36</v>
      </c>
      <c r="J1834" s="642">
        <v>1</v>
      </c>
      <c r="K1834" t="s">
        <v>1455</v>
      </c>
    </row>
    <row r="1835" spans="1:11" hidden="1" x14ac:dyDescent="0.3">
      <c r="A1835" s="137">
        <v>11</v>
      </c>
      <c r="B1835" s="765" t="s">
        <v>1616</v>
      </c>
      <c r="C1835" s="642" t="s">
        <v>37</v>
      </c>
      <c r="D1835" s="642" t="s">
        <v>1781</v>
      </c>
      <c r="E1835" s="642" t="s">
        <v>78</v>
      </c>
      <c r="F1835" s="642">
        <v>1100000</v>
      </c>
      <c r="G1835" s="642" t="s">
        <v>1423</v>
      </c>
      <c r="H1835" s="642" t="s">
        <v>36</v>
      </c>
      <c r="I1835" s="642" t="s">
        <v>36</v>
      </c>
      <c r="J1835" s="642">
        <v>1</v>
      </c>
      <c r="K1835" t="s">
        <v>1232</v>
      </c>
    </row>
    <row r="1836" spans="1:11" hidden="1" x14ac:dyDescent="0.3">
      <c r="A1836" s="137">
        <v>12</v>
      </c>
      <c r="B1836" s="765" t="s">
        <v>1782</v>
      </c>
      <c r="C1836" s="642" t="s">
        <v>37</v>
      </c>
      <c r="D1836" s="642" t="s">
        <v>725</v>
      </c>
      <c r="E1836" s="642" t="s">
        <v>78</v>
      </c>
      <c r="F1836" s="642">
        <v>1300000</v>
      </c>
      <c r="G1836" s="642" t="s">
        <v>168</v>
      </c>
      <c r="H1836" s="642" t="s">
        <v>44</v>
      </c>
      <c r="I1836" s="642" t="s">
        <v>36</v>
      </c>
      <c r="J1836" s="642">
        <v>1</v>
      </c>
      <c r="K1836" t="s">
        <v>133</v>
      </c>
    </row>
    <row r="1837" spans="1:11" hidden="1" x14ac:dyDescent="0.3">
      <c r="A1837" s="137">
        <v>13</v>
      </c>
      <c r="B1837" s="765" t="s">
        <v>1783</v>
      </c>
      <c r="C1837" s="642" t="s">
        <v>37</v>
      </c>
      <c r="D1837" s="642" t="s">
        <v>1784</v>
      </c>
      <c r="E1837" s="642" t="s">
        <v>840</v>
      </c>
      <c r="F1837" s="642">
        <v>900000</v>
      </c>
      <c r="G1837" s="642" t="s">
        <v>168</v>
      </c>
      <c r="H1837" s="642" t="s">
        <v>44</v>
      </c>
      <c r="I1837" s="642" t="s">
        <v>36</v>
      </c>
      <c r="J1837" s="642">
        <v>1</v>
      </c>
      <c r="K1837" t="s">
        <v>1232</v>
      </c>
    </row>
    <row r="1838" spans="1:11" hidden="1" x14ac:dyDescent="0.3">
      <c r="A1838" s="137">
        <v>14</v>
      </c>
      <c r="B1838" s="765" t="s">
        <v>1783</v>
      </c>
      <c r="C1838" s="642" t="s">
        <v>37</v>
      </c>
      <c r="D1838" s="642" t="s">
        <v>1785</v>
      </c>
      <c r="E1838" s="642" t="s">
        <v>68</v>
      </c>
      <c r="F1838" s="642">
        <v>1250000</v>
      </c>
      <c r="G1838" s="642" t="s">
        <v>634</v>
      </c>
      <c r="H1838" s="642" t="s">
        <v>44</v>
      </c>
      <c r="I1838" s="642" t="s">
        <v>36</v>
      </c>
      <c r="J1838" s="642">
        <v>1</v>
      </c>
      <c r="K1838" t="s">
        <v>1455</v>
      </c>
    </row>
    <row r="1839" spans="1:11" hidden="1" x14ac:dyDescent="0.3">
      <c r="A1839" s="1781">
        <v>15</v>
      </c>
      <c r="B1839" s="3402" t="s">
        <v>1786</v>
      </c>
      <c r="C1839" s="641" t="s">
        <v>37</v>
      </c>
      <c r="D1839" s="641" t="s">
        <v>1787</v>
      </c>
      <c r="E1839" s="641" t="s">
        <v>869</v>
      </c>
      <c r="F1839" s="1646">
        <v>1300000</v>
      </c>
      <c r="G1839" s="641" t="s">
        <v>634</v>
      </c>
      <c r="H1839" s="641" t="s">
        <v>44</v>
      </c>
      <c r="I1839" s="641" t="s">
        <v>36</v>
      </c>
      <c r="J1839" s="642">
        <v>1</v>
      </c>
      <c r="K1839" t="s">
        <v>1232</v>
      </c>
    </row>
    <row r="1840" spans="1:11" hidden="1" x14ac:dyDescent="0.3">
      <c r="A1840" s="1781">
        <v>16</v>
      </c>
      <c r="B1840" s="3392" t="s">
        <v>1702</v>
      </c>
      <c r="C1840" s="150" t="s">
        <v>37</v>
      </c>
      <c r="D1840" s="641" t="s">
        <v>1788</v>
      </c>
      <c r="E1840" s="150" t="s">
        <v>1171</v>
      </c>
      <c r="F1840" s="1223">
        <v>730</v>
      </c>
      <c r="G1840" s="150" t="s">
        <v>168</v>
      </c>
      <c r="H1840" s="150" t="s">
        <v>36</v>
      </c>
      <c r="I1840" s="150" t="s">
        <v>36</v>
      </c>
      <c r="J1840" s="137">
        <v>1</v>
      </c>
      <c r="K1840" t="s">
        <v>133</v>
      </c>
    </row>
    <row r="1841" spans="1:11" hidden="1" x14ac:dyDescent="0.3">
      <c r="A1841" s="1781">
        <v>17</v>
      </c>
      <c r="B1841" s="3392">
        <v>44511</v>
      </c>
      <c r="C1841" s="150" t="s">
        <v>138</v>
      </c>
      <c r="D1841" s="641" t="s">
        <v>1789</v>
      </c>
      <c r="E1841" s="150" t="s">
        <v>869</v>
      </c>
      <c r="F1841" s="1223">
        <v>1100000</v>
      </c>
      <c r="G1841" s="150" t="s">
        <v>1790</v>
      </c>
      <c r="H1841" s="150" t="s">
        <v>271</v>
      </c>
      <c r="I1841" s="150" t="s">
        <v>36</v>
      </c>
      <c r="J1841" s="137">
        <v>1</v>
      </c>
      <c r="K1841" t="s">
        <v>133</v>
      </c>
    </row>
    <row r="1842" spans="1:11" hidden="1" x14ac:dyDescent="0.3">
      <c r="A1842" s="1781">
        <v>18</v>
      </c>
      <c r="B1842" s="3392">
        <v>44541</v>
      </c>
      <c r="C1842" s="150" t="s">
        <v>138</v>
      </c>
      <c r="D1842" s="641" t="s">
        <v>139</v>
      </c>
      <c r="E1842" s="150" t="s">
        <v>869</v>
      </c>
      <c r="F1842" s="1223">
        <v>1300000</v>
      </c>
      <c r="G1842" s="150" t="s">
        <v>634</v>
      </c>
      <c r="H1842" s="150" t="s">
        <v>44</v>
      </c>
      <c r="I1842" s="150" t="s">
        <v>36</v>
      </c>
      <c r="J1842" s="137">
        <v>1</v>
      </c>
      <c r="K1842" t="s">
        <v>1455</v>
      </c>
    </row>
    <row r="1843" spans="1:11" hidden="1" x14ac:dyDescent="0.3">
      <c r="A1843" s="1781">
        <v>19</v>
      </c>
      <c r="B1843" s="1781" t="s">
        <v>1639</v>
      </c>
      <c r="C1843" s="150" t="s">
        <v>138</v>
      </c>
      <c r="D1843" s="641" t="s">
        <v>1791</v>
      </c>
      <c r="E1843" s="150" t="s">
        <v>998</v>
      </c>
      <c r="F1843" s="1223">
        <v>1600000</v>
      </c>
      <c r="G1843" s="150" t="s">
        <v>1792</v>
      </c>
      <c r="H1843" s="150" t="s">
        <v>44</v>
      </c>
      <c r="I1843" s="150" t="s">
        <v>36</v>
      </c>
      <c r="J1843" s="137">
        <v>1</v>
      </c>
      <c r="K1843" t="s">
        <v>1455</v>
      </c>
    </row>
    <row r="1844" spans="1:11" hidden="1" x14ac:dyDescent="0.3">
      <c r="A1844" s="1781">
        <v>20</v>
      </c>
      <c r="B1844" s="765" t="s">
        <v>1793</v>
      </c>
      <c r="C1844" s="642" t="s">
        <v>138</v>
      </c>
      <c r="D1844" s="642" t="s">
        <v>1794</v>
      </c>
      <c r="E1844" s="642" t="s">
        <v>1130</v>
      </c>
      <c r="F1844" s="642">
        <v>740000</v>
      </c>
      <c r="G1844" s="642" t="s">
        <v>1752</v>
      </c>
      <c r="H1844" s="642" t="s">
        <v>44</v>
      </c>
      <c r="I1844" s="642" t="s">
        <v>36</v>
      </c>
      <c r="J1844" s="642">
        <v>1</v>
      </c>
    </row>
    <row r="1845" spans="1:11" hidden="1" x14ac:dyDescent="0.3">
      <c r="A1845" s="1781">
        <v>21</v>
      </c>
      <c r="B1845" s="765" t="s">
        <v>1793</v>
      </c>
      <c r="C1845" s="642" t="s">
        <v>138</v>
      </c>
      <c r="D1845" s="642" t="s">
        <v>1795</v>
      </c>
      <c r="E1845" s="642" t="s">
        <v>1130</v>
      </c>
      <c r="F1845" s="642">
        <v>770000</v>
      </c>
      <c r="G1845" s="642" t="s">
        <v>1752</v>
      </c>
      <c r="H1845" s="642" t="s">
        <v>44</v>
      </c>
      <c r="I1845" s="642" t="s">
        <v>36</v>
      </c>
      <c r="J1845" s="642">
        <v>1</v>
      </c>
    </row>
    <row r="1846" spans="1:11" ht="24.6" hidden="1" x14ac:dyDescent="0.4">
      <c r="A1846" s="1781"/>
      <c r="B1846" s="1781"/>
      <c r="C1846" s="150"/>
      <c r="D1846" s="641"/>
      <c r="E1846" s="150"/>
      <c r="F1846" s="151"/>
      <c r="G1846" s="150"/>
      <c r="H1846" s="150"/>
      <c r="I1846" s="150"/>
      <c r="J1846" s="932">
        <f>SUM(J1825:J1845)</f>
        <v>21</v>
      </c>
    </row>
    <row r="1847" spans="1:11" ht="24.6" hidden="1" x14ac:dyDescent="0.4">
      <c r="A1847" s="3462" t="s">
        <v>33</v>
      </c>
      <c r="B1847" s="3462"/>
      <c r="C1847" s="3462"/>
      <c r="D1847" s="3462"/>
      <c r="E1847" s="3462"/>
      <c r="F1847" s="3462"/>
      <c r="G1847" s="3462"/>
      <c r="H1847" s="3462"/>
      <c r="I1847" s="3462"/>
      <c r="J1847" s="3462"/>
    </row>
    <row r="1848" spans="1:11" hidden="1" x14ac:dyDescent="0.3">
      <c r="A1848" s="137" t="s">
        <v>3</v>
      </c>
      <c r="B1848" s="1781" t="s">
        <v>4</v>
      </c>
      <c r="C1848" s="137" t="s">
        <v>5</v>
      </c>
      <c r="D1848" s="137" t="s">
        <v>6</v>
      </c>
      <c r="E1848" s="137" t="s">
        <v>7</v>
      </c>
      <c r="F1848" s="137" t="s">
        <v>8</v>
      </c>
      <c r="G1848" s="137" t="s">
        <v>9</v>
      </c>
      <c r="H1848" s="137" t="s">
        <v>10</v>
      </c>
      <c r="I1848" s="137" t="s">
        <v>11</v>
      </c>
      <c r="J1848" s="137" t="s">
        <v>12</v>
      </c>
    </row>
    <row r="1849" spans="1:11" hidden="1" x14ac:dyDescent="0.3">
      <c r="A1849" s="1845">
        <v>1</v>
      </c>
      <c r="B1849" s="3404" t="s">
        <v>1665</v>
      </c>
      <c r="C1849" s="1838" t="s">
        <v>37</v>
      </c>
      <c r="D1849" s="1838" t="s">
        <v>1785</v>
      </c>
      <c r="E1849" s="1838" t="s">
        <v>68</v>
      </c>
      <c r="F1849" s="1838" t="s">
        <v>1796</v>
      </c>
      <c r="G1849" s="1838" t="s">
        <v>634</v>
      </c>
      <c r="H1849" s="1838" t="s">
        <v>44</v>
      </c>
      <c r="I1849" s="1838" t="s">
        <v>36</v>
      </c>
      <c r="J1849" s="1839">
        <v>1</v>
      </c>
    </row>
    <row r="1850" spans="1:11" hidden="1" x14ac:dyDescent="0.3">
      <c r="A1850" s="1845" t="s">
        <v>3</v>
      </c>
      <c r="B1850" s="3404" t="s">
        <v>1665</v>
      </c>
      <c r="C1850" s="1838" t="s">
        <v>37</v>
      </c>
      <c r="D1850" s="1838" t="s">
        <v>1784</v>
      </c>
      <c r="E1850" s="1838" t="s">
        <v>840</v>
      </c>
      <c r="F1850" s="1838" t="s">
        <v>1797</v>
      </c>
      <c r="G1850" s="1838" t="s">
        <v>168</v>
      </c>
      <c r="H1850" s="1838" t="s">
        <v>44</v>
      </c>
      <c r="I1850" s="1838" t="s">
        <v>36</v>
      </c>
      <c r="J1850" s="1839">
        <v>1</v>
      </c>
    </row>
    <row r="1851" spans="1:11" hidden="1" x14ac:dyDescent="0.3">
      <c r="A1851" s="1846">
        <v>3</v>
      </c>
      <c r="B1851" s="3410" t="s">
        <v>1610</v>
      </c>
      <c r="C1851" s="1840" t="s">
        <v>138</v>
      </c>
      <c r="D1851" s="1840" t="s">
        <v>1798</v>
      </c>
      <c r="E1851" s="1840" t="s">
        <v>1066</v>
      </c>
      <c r="F1851" s="1840">
        <v>160000000</v>
      </c>
      <c r="G1851" s="1840" t="s">
        <v>168</v>
      </c>
      <c r="H1851" s="1840" t="s">
        <v>44</v>
      </c>
      <c r="I1851" s="1840" t="s">
        <v>36</v>
      </c>
      <c r="J1851" s="1841">
        <v>1</v>
      </c>
    </row>
    <row r="1852" spans="1:11" ht="24.6" hidden="1" x14ac:dyDescent="0.4">
      <c r="A1852" s="1842"/>
      <c r="B1852" s="2177"/>
      <c r="C1852" s="1842"/>
      <c r="D1852" s="1842"/>
      <c r="E1852" s="1842"/>
      <c r="F1852" s="1842"/>
      <c r="G1852" s="1842"/>
      <c r="H1852" s="1842"/>
      <c r="I1852" s="1842"/>
      <c r="J1852" s="1852"/>
    </row>
    <row r="1853" spans="1:11" hidden="1" x14ac:dyDescent="0.3"/>
    <row r="1854" spans="1:11" hidden="1" x14ac:dyDescent="0.3"/>
    <row r="1855" spans="1:11" ht="23.4" hidden="1" x14ac:dyDescent="0.3">
      <c r="A1855" s="3467" t="s">
        <v>732</v>
      </c>
      <c r="B1855" s="3467"/>
      <c r="C1855" s="3467"/>
      <c r="D1855" s="3467"/>
      <c r="E1855" s="3467"/>
      <c r="F1855" s="3467"/>
      <c r="G1855" s="3467"/>
      <c r="H1855" s="3467"/>
      <c r="I1855" s="3467"/>
      <c r="J1855" s="3467"/>
    </row>
    <row r="1856" spans="1:11" ht="15.6" hidden="1" x14ac:dyDescent="0.3">
      <c r="A1856" s="3461" t="s">
        <v>2</v>
      </c>
      <c r="B1856" s="3461"/>
      <c r="C1856" s="3461"/>
      <c r="D1856" s="3461"/>
      <c r="E1856" s="3461"/>
      <c r="F1856" s="3461"/>
      <c r="G1856" s="3461"/>
      <c r="H1856" s="3461"/>
      <c r="I1856" s="3461"/>
      <c r="J1856" s="3461"/>
    </row>
    <row r="1857" spans="1:11" hidden="1" x14ac:dyDescent="0.3">
      <c r="A1857" s="137" t="s">
        <v>3</v>
      </c>
      <c r="B1857" s="1781" t="s">
        <v>4</v>
      </c>
      <c r="C1857" s="137" t="s">
        <v>5</v>
      </c>
      <c r="D1857" s="137" t="s">
        <v>6</v>
      </c>
      <c r="E1857" s="137" t="s">
        <v>7</v>
      </c>
      <c r="F1857" s="137" t="s">
        <v>8</v>
      </c>
      <c r="G1857" s="137" t="s">
        <v>9</v>
      </c>
      <c r="H1857" s="137" t="s">
        <v>10</v>
      </c>
      <c r="I1857" s="137" t="s">
        <v>11</v>
      </c>
      <c r="J1857" s="137" t="s">
        <v>12</v>
      </c>
    </row>
    <row r="1858" spans="1:11" hidden="1" x14ac:dyDescent="0.3">
      <c r="A1858" s="137">
        <v>1</v>
      </c>
      <c r="B1858" s="1781" t="s">
        <v>1799</v>
      </c>
      <c r="C1858" s="137" t="s">
        <v>37</v>
      </c>
      <c r="D1858" s="642" t="s">
        <v>1800</v>
      </c>
      <c r="E1858" s="137" t="s">
        <v>840</v>
      </c>
      <c r="F1858" s="137">
        <v>1000000</v>
      </c>
      <c r="G1858" s="137" t="s">
        <v>168</v>
      </c>
      <c r="H1858" s="137" t="s">
        <v>44</v>
      </c>
      <c r="I1858" s="137" t="s">
        <v>36</v>
      </c>
      <c r="J1858" s="137">
        <v>1</v>
      </c>
      <c r="K1858" t="s">
        <v>1232</v>
      </c>
    </row>
    <row r="1859" spans="1:11" hidden="1" x14ac:dyDescent="0.3">
      <c r="A1859" s="137">
        <v>2</v>
      </c>
      <c r="B1859" s="3392">
        <v>40858</v>
      </c>
      <c r="C1859" s="137" t="s">
        <v>138</v>
      </c>
      <c r="D1859" s="642" t="s">
        <v>1801</v>
      </c>
      <c r="E1859" s="137" t="s">
        <v>962</v>
      </c>
      <c r="F1859" s="137">
        <v>1200000</v>
      </c>
      <c r="G1859" s="137" t="s">
        <v>1790</v>
      </c>
      <c r="H1859" s="137" t="s">
        <v>36</v>
      </c>
      <c r="I1859" s="137" t="s">
        <v>36</v>
      </c>
      <c r="J1859" s="137">
        <v>1</v>
      </c>
      <c r="K1859" t="s">
        <v>1232</v>
      </c>
    </row>
    <row r="1860" spans="1:11" hidden="1" x14ac:dyDescent="0.3">
      <c r="A1860" s="137">
        <v>3</v>
      </c>
      <c r="B1860" s="1781"/>
      <c r="C1860" s="137"/>
      <c r="D1860" s="642"/>
      <c r="E1860" s="137"/>
      <c r="F1860" s="137"/>
      <c r="G1860" s="137"/>
      <c r="H1860" s="137"/>
      <c r="I1860" s="137"/>
      <c r="J1860" s="137"/>
    </row>
    <row r="1861" spans="1:11" hidden="1" x14ac:dyDescent="0.3">
      <c r="A1861" s="137">
        <v>4</v>
      </c>
      <c r="B1861" s="1781"/>
      <c r="C1861" s="137"/>
      <c r="D1861" s="642"/>
      <c r="E1861" s="137"/>
      <c r="F1861" s="137"/>
      <c r="G1861" s="137"/>
      <c r="H1861" s="137"/>
      <c r="I1861" s="137"/>
      <c r="J1861" s="137"/>
    </row>
    <row r="1862" spans="1:11" hidden="1" x14ac:dyDescent="0.3">
      <c r="A1862" s="137">
        <v>5</v>
      </c>
      <c r="B1862" s="1781"/>
      <c r="C1862" s="137"/>
      <c r="D1862" s="642"/>
      <c r="E1862" s="137"/>
      <c r="F1862" s="137"/>
      <c r="G1862" s="137"/>
      <c r="H1862" s="137"/>
      <c r="I1862" s="137"/>
      <c r="J1862" s="137"/>
    </row>
    <row r="1863" spans="1:11" hidden="1" x14ac:dyDescent="0.3">
      <c r="A1863" s="137">
        <v>6</v>
      </c>
      <c r="B1863" s="1781"/>
      <c r="C1863" s="137"/>
      <c r="D1863" s="642"/>
      <c r="E1863" s="137"/>
      <c r="F1863" s="137"/>
      <c r="G1863" s="137"/>
      <c r="H1863" s="137"/>
      <c r="I1863" s="137"/>
      <c r="J1863" s="137"/>
    </row>
    <row r="1864" spans="1:11" hidden="1" x14ac:dyDescent="0.3">
      <c r="A1864" s="137">
        <v>7</v>
      </c>
      <c r="B1864" s="1781"/>
      <c r="C1864" s="150"/>
      <c r="D1864" s="641"/>
      <c r="E1864" s="150"/>
      <c r="F1864" s="1223"/>
      <c r="G1864" s="150"/>
      <c r="H1864" s="150"/>
      <c r="I1864" s="150"/>
      <c r="J1864" s="137"/>
    </row>
    <row r="1865" spans="1:11" ht="24.6" hidden="1" x14ac:dyDescent="0.4">
      <c r="A1865" s="3462" t="s">
        <v>33</v>
      </c>
      <c r="B1865" s="3462"/>
      <c r="C1865" s="3462"/>
      <c r="D1865" s="3462"/>
      <c r="E1865" s="3462"/>
      <c r="F1865" s="3462"/>
      <c r="G1865" s="3462"/>
      <c r="H1865" s="3462"/>
      <c r="I1865" s="3462"/>
      <c r="J1865" s="3462"/>
    </row>
    <row r="1866" spans="1:11" hidden="1" x14ac:dyDescent="0.3">
      <c r="A1866" s="137" t="s">
        <v>3</v>
      </c>
      <c r="B1866" s="1781" t="s">
        <v>4</v>
      </c>
      <c r="C1866" s="137" t="s">
        <v>5</v>
      </c>
      <c r="D1866" s="137" t="s">
        <v>6</v>
      </c>
      <c r="E1866" s="137" t="s">
        <v>7</v>
      </c>
      <c r="F1866" s="137" t="s">
        <v>8</v>
      </c>
      <c r="G1866" s="137" t="s">
        <v>9</v>
      </c>
      <c r="H1866" s="137" t="s">
        <v>10</v>
      </c>
      <c r="I1866" s="137" t="s">
        <v>11</v>
      </c>
      <c r="J1866" s="137" t="s">
        <v>12</v>
      </c>
    </row>
    <row r="1867" spans="1:11" hidden="1" x14ac:dyDescent="0.3">
      <c r="A1867" s="1845">
        <v>1</v>
      </c>
      <c r="B1867" s="3404"/>
      <c r="C1867" s="1838"/>
      <c r="D1867" s="1838"/>
      <c r="E1867" s="1838"/>
      <c r="F1867" s="1838"/>
      <c r="G1867" s="1838"/>
      <c r="H1867" s="1838"/>
      <c r="I1867" s="1838"/>
      <c r="J1867" s="1839"/>
    </row>
    <row r="1868" spans="1:11" hidden="1" x14ac:dyDescent="0.3">
      <c r="A1868" s="1845" t="s">
        <v>3</v>
      </c>
      <c r="B1868" s="3404"/>
      <c r="C1868" s="1838"/>
      <c r="D1868" s="1838"/>
      <c r="E1868" s="1838"/>
      <c r="F1868" s="1838"/>
      <c r="G1868" s="1838"/>
      <c r="H1868" s="1838"/>
      <c r="I1868" s="1838"/>
      <c r="J1868" s="1839"/>
    </row>
    <row r="1869" spans="1:11" hidden="1" x14ac:dyDescent="0.3">
      <c r="A1869" s="1846">
        <v>3</v>
      </c>
      <c r="B1869" s="3410"/>
      <c r="C1869" s="1840"/>
      <c r="D1869" s="1840"/>
      <c r="E1869" s="1840"/>
      <c r="F1869" s="1840"/>
      <c r="G1869" s="1840"/>
      <c r="H1869" s="1840"/>
      <c r="I1869" s="1840"/>
      <c r="J1869" s="1841"/>
    </row>
    <row r="1870" spans="1:11" ht="24.6" hidden="1" x14ac:dyDescent="0.4">
      <c r="A1870" s="1842"/>
      <c r="B1870" s="2177"/>
      <c r="C1870" s="1842"/>
      <c r="D1870" s="1842"/>
      <c r="E1870" s="1842"/>
      <c r="F1870" s="1842"/>
      <c r="G1870" s="1842"/>
      <c r="H1870" s="1842"/>
      <c r="I1870" s="1842"/>
      <c r="J1870" s="1852">
        <f>J1867+J1868+J1869</f>
        <v>0</v>
      </c>
    </row>
    <row r="1871" spans="1:11" hidden="1" x14ac:dyDescent="0.3"/>
    <row r="1873" spans="1:11" x14ac:dyDescent="0.3">
      <c r="A1873" s="3468" t="s">
        <v>1802</v>
      </c>
      <c r="B1873" s="3469"/>
      <c r="C1873" s="3469"/>
      <c r="D1873" s="3469"/>
      <c r="E1873" s="3469"/>
      <c r="F1873" s="3469"/>
      <c r="G1873" s="3469"/>
      <c r="H1873" s="3469"/>
      <c r="I1873" s="3469"/>
      <c r="J1873" s="3469"/>
    </row>
    <row r="1874" spans="1:11" x14ac:dyDescent="0.3">
      <c r="A1874" s="3469"/>
      <c r="B1874" s="3469"/>
      <c r="C1874" s="3469"/>
      <c r="D1874" s="3469"/>
      <c r="E1874" s="3469"/>
      <c r="F1874" s="3469"/>
      <c r="G1874" s="3469"/>
      <c r="H1874" s="3469"/>
      <c r="I1874" s="3469"/>
      <c r="J1874" s="3469"/>
    </row>
    <row r="1875" spans="1:11" hidden="1" x14ac:dyDescent="0.3"/>
    <row r="1876" spans="1:11" ht="23.25" hidden="1" customHeight="1" x14ac:dyDescent="0.3">
      <c r="A1876" s="3460" t="s">
        <v>527</v>
      </c>
      <c r="B1876" s="3460"/>
      <c r="C1876" s="3460"/>
      <c r="D1876" s="3460"/>
      <c r="E1876" s="3460"/>
      <c r="F1876" s="3460"/>
      <c r="G1876" s="3460"/>
      <c r="H1876" s="3460"/>
      <c r="I1876" s="3460"/>
      <c r="J1876" s="3460"/>
    </row>
    <row r="1877" spans="1:11" ht="15.75" hidden="1" customHeight="1" x14ac:dyDescent="0.3">
      <c r="A1877" s="3461" t="s">
        <v>2</v>
      </c>
      <c r="B1877" s="3461"/>
      <c r="C1877" s="3461"/>
      <c r="D1877" s="3461"/>
      <c r="E1877" s="3461"/>
      <c r="F1877" s="3461"/>
      <c r="G1877" s="3461"/>
      <c r="H1877" s="3461"/>
      <c r="I1877" s="3461"/>
      <c r="J1877" s="3461"/>
    </row>
    <row r="1878" spans="1:11" hidden="1" x14ac:dyDescent="0.3">
      <c r="A1878" s="137" t="s">
        <v>3</v>
      </c>
      <c r="B1878" s="1781" t="s">
        <v>4</v>
      </c>
      <c r="C1878" s="137" t="s">
        <v>5</v>
      </c>
      <c r="D1878" s="137" t="s">
        <v>6</v>
      </c>
      <c r="E1878" s="137" t="s">
        <v>7</v>
      </c>
      <c r="F1878" s="2522" t="s">
        <v>8</v>
      </c>
      <c r="G1878" s="137" t="s">
        <v>9</v>
      </c>
      <c r="H1878" s="137" t="s">
        <v>10</v>
      </c>
      <c r="I1878" s="137" t="s">
        <v>11</v>
      </c>
      <c r="J1878" s="137" t="s">
        <v>12</v>
      </c>
    </row>
    <row r="1879" spans="1:11" hidden="1" x14ac:dyDescent="0.3">
      <c r="A1879" s="137">
        <v>1</v>
      </c>
      <c r="B1879" s="765" t="s">
        <v>1803</v>
      </c>
      <c r="C1879" s="642" t="s">
        <v>74</v>
      </c>
      <c r="D1879" s="642" t="s">
        <v>1804</v>
      </c>
      <c r="E1879" s="642" t="s">
        <v>1805</v>
      </c>
      <c r="F1879" s="2519">
        <v>3400000</v>
      </c>
      <c r="G1879" s="642" t="s">
        <v>43</v>
      </c>
      <c r="H1879" s="642" t="s">
        <v>1468</v>
      </c>
      <c r="I1879" s="642" t="s">
        <v>36</v>
      </c>
      <c r="J1879" s="642">
        <v>1</v>
      </c>
      <c r="K1879" t="s">
        <v>1455</v>
      </c>
    </row>
    <row r="1880" spans="1:11" hidden="1" x14ac:dyDescent="0.3">
      <c r="A1880" s="137">
        <v>2</v>
      </c>
      <c r="B1880" s="765" t="s">
        <v>1806</v>
      </c>
      <c r="C1880" s="642" t="s">
        <v>138</v>
      </c>
      <c r="D1880" s="642" t="s">
        <v>1807</v>
      </c>
      <c r="E1880" s="642" t="s">
        <v>76</v>
      </c>
      <c r="F1880" s="2519">
        <v>1700000</v>
      </c>
      <c r="G1880" s="642" t="s">
        <v>1808</v>
      </c>
      <c r="H1880" s="642" t="s">
        <v>36</v>
      </c>
      <c r="I1880" s="642" t="s">
        <v>36</v>
      </c>
      <c r="J1880" s="642">
        <v>1</v>
      </c>
      <c r="K1880" t="s">
        <v>1455</v>
      </c>
    </row>
    <row r="1881" spans="1:11" hidden="1" x14ac:dyDescent="0.3">
      <c r="A1881" s="137">
        <v>3</v>
      </c>
      <c r="B1881" s="765" t="s">
        <v>1809</v>
      </c>
      <c r="C1881" s="642" t="s">
        <v>138</v>
      </c>
      <c r="D1881" s="642" t="s">
        <v>723</v>
      </c>
      <c r="E1881" s="642" t="s">
        <v>76</v>
      </c>
      <c r="F1881" s="2519">
        <v>1000000</v>
      </c>
      <c r="G1881" s="642" t="s">
        <v>1632</v>
      </c>
      <c r="H1881" s="642" t="s">
        <v>36</v>
      </c>
      <c r="I1881" s="642" t="s">
        <v>36</v>
      </c>
      <c r="J1881" s="642">
        <v>1</v>
      </c>
      <c r="K1881" t="s">
        <v>1770</v>
      </c>
    </row>
    <row r="1882" spans="1:11" hidden="1" x14ac:dyDescent="0.3">
      <c r="A1882" s="137">
        <v>4</v>
      </c>
      <c r="B1882" s="765" t="s">
        <v>1809</v>
      </c>
      <c r="C1882" s="642" t="s">
        <v>138</v>
      </c>
      <c r="D1882" s="642" t="s">
        <v>1810</v>
      </c>
      <c r="E1882" s="642" t="s">
        <v>76</v>
      </c>
      <c r="F1882" s="2519">
        <v>1600000</v>
      </c>
      <c r="G1882" s="642" t="s">
        <v>1632</v>
      </c>
      <c r="H1882" s="642" t="s">
        <v>36</v>
      </c>
      <c r="I1882" s="642" t="s">
        <v>36</v>
      </c>
      <c r="J1882" s="642">
        <v>1</v>
      </c>
      <c r="K1882" t="s">
        <v>1455</v>
      </c>
    </row>
    <row r="1883" spans="1:11" hidden="1" x14ac:dyDescent="0.3">
      <c r="A1883" s="137">
        <v>5</v>
      </c>
      <c r="B1883" s="3402">
        <v>44267</v>
      </c>
      <c r="C1883" s="642" t="s">
        <v>138</v>
      </c>
      <c r="D1883" s="642" t="s">
        <v>1811</v>
      </c>
      <c r="E1883" s="642" t="s">
        <v>1446</v>
      </c>
      <c r="F1883" s="2519">
        <v>1000000</v>
      </c>
      <c r="G1883" s="642" t="s">
        <v>1812</v>
      </c>
      <c r="H1883" s="642" t="s">
        <v>36</v>
      </c>
      <c r="I1883" s="642" t="s">
        <v>36</v>
      </c>
      <c r="J1883" s="642">
        <v>1</v>
      </c>
      <c r="K1883" t="s">
        <v>1455</v>
      </c>
    </row>
    <row r="1884" spans="1:11" hidden="1" x14ac:dyDescent="0.3">
      <c r="A1884" s="137">
        <v>6</v>
      </c>
      <c r="B1884" s="3402">
        <v>44267</v>
      </c>
      <c r="C1884" s="642" t="s">
        <v>138</v>
      </c>
      <c r="D1884" s="642" t="s">
        <v>1813</v>
      </c>
      <c r="E1884" s="642" t="s">
        <v>1446</v>
      </c>
      <c r="F1884" s="2519">
        <v>1000000</v>
      </c>
      <c r="G1884" s="642" t="s">
        <v>1812</v>
      </c>
      <c r="H1884" s="642" t="s">
        <v>36</v>
      </c>
      <c r="I1884" s="642" t="s">
        <v>36</v>
      </c>
      <c r="J1884" s="642">
        <v>1</v>
      </c>
      <c r="K1884" t="s">
        <v>217</v>
      </c>
    </row>
    <row r="1885" spans="1:11" hidden="1" x14ac:dyDescent="0.3">
      <c r="A1885" s="137">
        <v>7</v>
      </c>
      <c r="B1885" s="3402">
        <v>44298</v>
      </c>
      <c r="C1885" s="641" t="s">
        <v>138</v>
      </c>
      <c r="D1885" s="641" t="s">
        <v>1814</v>
      </c>
      <c r="E1885" s="641" t="s">
        <v>76</v>
      </c>
      <c r="F1885" s="2520">
        <v>1700000</v>
      </c>
      <c r="G1885" s="641" t="s">
        <v>1808</v>
      </c>
      <c r="H1885" s="641" t="s">
        <v>1468</v>
      </c>
      <c r="I1885" s="641" t="s">
        <v>36</v>
      </c>
      <c r="J1885" s="642">
        <v>1</v>
      </c>
      <c r="K1885" t="s">
        <v>1455</v>
      </c>
    </row>
    <row r="1886" spans="1:11" hidden="1" x14ac:dyDescent="0.3">
      <c r="A1886" s="137">
        <v>8</v>
      </c>
      <c r="B1886" s="3402">
        <v>44451</v>
      </c>
      <c r="C1886" s="642" t="s">
        <v>138</v>
      </c>
      <c r="D1886" s="642" t="s">
        <v>1815</v>
      </c>
      <c r="E1886" s="642" t="s">
        <v>78</v>
      </c>
      <c r="F1886" s="2519">
        <v>1000000</v>
      </c>
      <c r="G1886" s="642" t="s">
        <v>1808</v>
      </c>
      <c r="H1886" s="642" t="s">
        <v>1468</v>
      </c>
      <c r="I1886" s="642" t="s">
        <v>36</v>
      </c>
      <c r="J1886" s="642">
        <v>1</v>
      </c>
      <c r="K1886" t="s">
        <v>1232</v>
      </c>
    </row>
    <row r="1887" spans="1:11" hidden="1" x14ac:dyDescent="0.3">
      <c r="A1887" s="137">
        <v>9</v>
      </c>
      <c r="B1887" s="3402">
        <v>44481</v>
      </c>
      <c r="C1887" s="642" t="s">
        <v>138</v>
      </c>
      <c r="D1887" s="642" t="s">
        <v>1816</v>
      </c>
      <c r="E1887" s="642" t="s">
        <v>78</v>
      </c>
      <c r="F1887" s="2519">
        <v>1100000</v>
      </c>
      <c r="G1887" s="642" t="s">
        <v>1685</v>
      </c>
      <c r="H1887" s="642" t="s">
        <v>36</v>
      </c>
      <c r="I1887" s="642" t="s">
        <v>36</v>
      </c>
      <c r="J1887" s="642">
        <v>1</v>
      </c>
      <c r="K1887" t="s">
        <v>1455</v>
      </c>
    </row>
    <row r="1888" spans="1:11" hidden="1" x14ac:dyDescent="0.3">
      <c r="A1888" s="137">
        <v>10</v>
      </c>
      <c r="B1888" s="3402">
        <v>44512</v>
      </c>
      <c r="C1888" s="642" t="s">
        <v>138</v>
      </c>
      <c r="D1888" s="642" t="s">
        <v>1817</v>
      </c>
      <c r="E1888" s="642" t="s">
        <v>78</v>
      </c>
      <c r="F1888" s="2519">
        <v>1200000</v>
      </c>
      <c r="G1888" s="642" t="s">
        <v>1004</v>
      </c>
      <c r="H1888" s="642" t="s">
        <v>1468</v>
      </c>
      <c r="I1888" s="642" t="s">
        <v>36</v>
      </c>
      <c r="J1888" s="642">
        <v>1</v>
      </c>
      <c r="K1888" t="s">
        <v>1232</v>
      </c>
    </row>
    <row r="1889" spans="1:11" hidden="1" x14ac:dyDescent="0.3">
      <c r="A1889" s="137">
        <v>11</v>
      </c>
      <c r="B1889" s="765" t="s">
        <v>1818</v>
      </c>
      <c r="C1889" s="642" t="s">
        <v>138</v>
      </c>
      <c r="D1889" s="642" t="s">
        <v>1819</v>
      </c>
      <c r="E1889" s="642" t="s">
        <v>78</v>
      </c>
      <c r="F1889" s="2519">
        <v>1050000</v>
      </c>
      <c r="G1889" s="642" t="s">
        <v>1004</v>
      </c>
      <c r="H1889" s="642" t="s">
        <v>36</v>
      </c>
      <c r="I1889" s="642" t="s">
        <v>36</v>
      </c>
      <c r="J1889" s="642">
        <v>1</v>
      </c>
      <c r="K1889" t="s">
        <v>1530</v>
      </c>
    </row>
    <row r="1890" spans="1:11" hidden="1" x14ac:dyDescent="0.3">
      <c r="A1890" s="137">
        <v>12</v>
      </c>
      <c r="B1890" s="765" t="s">
        <v>1820</v>
      </c>
      <c r="C1890" s="642" t="s">
        <v>138</v>
      </c>
      <c r="D1890" s="642" t="s">
        <v>1821</v>
      </c>
      <c r="E1890" s="642" t="s">
        <v>78</v>
      </c>
      <c r="F1890" s="2519">
        <v>1850000</v>
      </c>
      <c r="G1890" s="642" t="s">
        <v>1808</v>
      </c>
      <c r="H1890" s="642" t="s">
        <v>1468</v>
      </c>
      <c r="I1890" s="642" t="s">
        <v>36</v>
      </c>
      <c r="J1890" s="642">
        <v>1</v>
      </c>
      <c r="K1890" t="s">
        <v>217</v>
      </c>
    </row>
    <row r="1891" spans="1:11" hidden="1" x14ac:dyDescent="0.3">
      <c r="A1891" s="137">
        <v>13</v>
      </c>
      <c r="B1891" s="765" t="s">
        <v>1820</v>
      </c>
      <c r="C1891" s="642" t="s">
        <v>138</v>
      </c>
      <c r="D1891" s="642" t="s">
        <v>1822</v>
      </c>
      <c r="E1891" s="642" t="s">
        <v>784</v>
      </c>
      <c r="F1891" s="2519">
        <v>800000</v>
      </c>
      <c r="G1891" s="642" t="s">
        <v>1812</v>
      </c>
      <c r="H1891" s="642" t="s">
        <v>36</v>
      </c>
      <c r="I1891" s="642" t="s">
        <v>36</v>
      </c>
      <c r="J1891" s="642">
        <v>1</v>
      </c>
      <c r="K1891" t="s">
        <v>1232</v>
      </c>
    </row>
    <row r="1892" spans="1:11" hidden="1" x14ac:dyDescent="0.3">
      <c r="A1892" s="137">
        <v>14</v>
      </c>
      <c r="B1892" s="765" t="s">
        <v>1823</v>
      </c>
      <c r="C1892" s="642" t="s">
        <v>138</v>
      </c>
      <c r="D1892" s="642" t="s">
        <v>1824</v>
      </c>
      <c r="E1892" s="642" t="s">
        <v>1720</v>
      </c>
      <c r="F1892" s="2519">
        <v>1000000</v>
      </c>
      <c r="G1892" s="642" t="s">
        <v>1649</v>
      </c>
      <c r="H1892" s="642" t="s">
        <v>36</v>
      </c>
      <c r="I1892" s="642" t="s">
        <v>36</v>
      </c>
      <c r="J1892" s="642">
        <v>1</v>
      </c>
      <c r="K1892" t="s">
        <v>1455</v>
      </c>
    </row>
    <row r="1893" spans="1:11" hidden="1" x14ac:dyDescent="0.3">
      <c r="A1893" s="1781">
        <v>15</v>
      </c>
      <c r="B1893" s="765" t="s">
        <v>1825</v>
      </c>
      <c r="C1893" s="642" t="s">
        <v>74</v>
      </c>
      <c r="D1893" s="641" t="s">
        <v>1826</v>
      </c>
      <c r="E1893" s="642" t="s">
        <v>1720</v>
      </c>
      <c r="F1893" s="2520">
        <v>2250000</v>
      </c>
      <c r="G1893" s="641" t="s">
        <v>729</v>
      </c>
      <c r="H1893" s="641" t="s">
        <v>1468</v>
      </c>
      <c r="I1893" s="641" t="s">
        <v>36</v>
      </c>
      <c r="J1893" s="642">
        <v>1</v>
      </c>
      <c r="K1893" t="s">
        <v>1455</v>
      </c>
    </row>
    <row r="1894" spans="1:11" hidden="1" x14ac:dyDescent="0.3">
      <c r="A1894" s="1781">
        <v>16</v>
      </c>
      <c r="B1894" s="3402" t="s">
        <v>1827</v>
      </c>
      <c r="C1894" s="641" t="s">
        <v>138</v>
      </c>
      <c r="D1894" s="641" t="s">
        <v>1828</v>
      </c>
      <c r="E1894" s="641" t="s">
        <v>1564</v>
      </c>
      <c r="F1894" s="2520">
        <v>1000000</v>
      </c>
      <c r="G1894" s="641" t="s">
        <v>1829</v>
      </c>
      <c r="H1894" s="641" t="s">
        <v>36</v>
      </c>
      <c r="I1894" s="641" t="s">
        <v>36</v>
      </c>
      <c r="J1894" s="642">
        <v>1</v>
      </c>
      <c r="K1894" t="s">
        <v>1232</v>
      </c>
    </row>
    <row r="1895" spans="1:11" hidden="1" x14ac:dyDescent="0.3">
      <c r="A1895" s="1781">
        <v>17</v>
      </c>
      <c r="B1895" s="3402" t="s">
        <v>1827</v>
      </c>
      <c r="C1895" s="641" t="s">
        <v>219</v>
      </c>
      <c r="D1895" s="641" t="s">
        <v>1830</v>
      </c>
      <c r="E1895" s="641" t="s">
        <v>1564</v>
      </c>
      <c r="F1895" s="2520">
        <v>1500000</v>
      </c>
      <c r="G1895" s="641" t="s">
        <v>1829</v>
      </c>
      <c r="H1895" s="641" t="s">
        <v>36</v>
      </c>
      <c r="I1895" s="641" t="s">
        <v>36</v>
      </c>
      <c r="J1895" s="642">
        <v>1</v>
      </c>
      <c r="K1895" t="s">
        <v>217</v>
      </c>
    </row>
    <row r="1896" spans="1:11" hidden="1" x14ac:dyDescent="0.3">
      <c r="A1896" s="1781">
        <v>18</v>
      </c>
      <c r="B1896" s="3402" t="s">
        <v>1831</v>
      </c>
      <c r="C1896" s="641" t="s">
        <v>138</v>
      </c>
      <c r="D1896" s="641" t="s">
        <v>1832</v>
      </c>
      <c r="E1896" s="641" t="s">
        <v>76</v>
      </c>
      <c r="F1896" s="2520">
        <v>1200000</v>
      </c>
      <c r="G1896" s="641" t="s">
        <v>1833</v>
      </c>
      <c r="H1896" s="641" t="s">
        <v>1468</v>
      </c>
      <c r="I1896" s="641" t="s">
        <v>36</v>
      </c>
      <c r="J1896" s="642">
        <v>1</v>
      </c>
      <c r="K1896" t="s">
        <v>217</v>
      </c>
    </row>
    <row r="1897" spans="1:11" hidden="1" x14ac:dyDescent="0.3">
      <c r="A1897" s="1781">
        <v>19</v>
      </c>
      <c r="B1897" s="3402" t="s">
        <v>1831</v>
      </c>
      <c r="C1897" s="641" t="s">
        <v>131</v>
      </c>
      <c r="D1897" s="641" t="s">
        <v>1834</v>
      </c>
      <c r="E1897" s="641" t="s">
        <v>1392</v>
      </c>
      <c r="F1897" s="2520">
        <v>2200000</v>
      </c>
      <c r="G1897" s="641" t="s">
        <v>1835</v>
      </c>
      <c r="H1897" s="641" t="s">
        <v>1468</v>
      </c>
      <c r="I1897" s="641" t="s">
        <v>36</v>
      </c>
      <c r="J1897" s="642">
        <v>1</v>
      </c>
      <c r="K1897" t="s">
        <v>1232</v>
      </c>
    </row>
    <row r="1898" spans="1:11" hidden="1" x14ac:dyDescent="0.3">
      <c r="A1898" s="1781">
        <v>20</v>
      </c>
      <c r="B1898" s="3402" t="s">
        <v>1836</v>
      </c>
      <c r="C1898" s="641" t="s">
        <v>138</v>
      </c>
      <c r="D1898" s="641" t="s">
        <v>1837</v>
      </c>
      <c r="E1898" s="641" t="s">
        <v>1838</v>
      </c>
      <c r="F1898" s="2520">
        <v>1200000</v>
      </c>
      <c r="G1898" s="641" t="s">
        <v>1095</v>
      </c>
      <c r="H1898" s="641" t="s">
        <v>36</v>
      </c>
      <c r="I1898" s="641" t="s">
        <v>36</v>
      </c>
      <c r="J1898" s="642">
        <v>1</v>
      </c>
      <c r="K1898" t="s">
        <v>1455</v>
      </c>
    </row>
    <row r="1899" spans="1:11" hidden="1" x14ac:dyDescent="0.3">
      <c r="A1899" s="1781"/>
      <c r="B1899" s="765"/>
      <c r="C1899" s="641"/>
      <c r="D1899" s="641"/>
      <c r="E1899" s="641"/>
      <c r="F1899" s="2520"/>
      <c r="G1899" s="641"/>
      <c r="H1899" s="641"/>
      <c r="I1899" s="641"/>
      <c r="J1899" s="642"/>
    </row>
    <row r="1900" spans="1:11" ht="24.6" hidden="1" x14ac:dyDescent="0.4">
      <c r="A1900" s="1781"/>
      <c r="B1900" s="765"/>
      <c r="C1900" s="641"/>
      <c r="D1900" s="641"/>
      <c r="E1900" s="641"/>
      <c r="F1900" s="2523"/>
      <c r="G1900" s="641"/>
      <c r="H1900" s="641"/>
      <c r="I1900" s="641"/>
      <c r="J1900" s="1837"/>
    </row>
    <row r="1901" spans="1:11" ht="25.5" hidden="1" customHeight="1" x14ac:dyDescent="0.4">
      <c r="A1901" s="3462" t="s">
        <v>138</v>
      </c>
      <c r="B1901" s="3462"/>
      <c r="C1901" s="3462"/>
      <c r="D1901" s="3462"/>
      <c r="E1901" s="3462"/>
      <c r="F1901" s="3462"/>
      <c r="G1901" s="3462"/>
      <c r="H1901" s="3462"/>
      <c r="I1901" s="3462"/>
      <c r="J1901" s="3462"/>
    </row>
    <row r="1902" spans="1:11" hidden="1" x14ac:dyDescent="0.3">
      <c r="A1902" s="137" t="s">
        <v>3</v>
      </c>
      <c r="B1902" s="1781" t="s">
        <v>4</v>
      </c>
      <c r="C1902" s="137" t="s">
        <v>5</v>
      </c>
      <c r="D1902" s="137" t="s">
        <v>6</v>
      </c>
      <c r="E1902" s="137" t="s">
        <v>7</v>
      </c>
      <c r="F1902" s="137" t="s">
        <v>8</v>
      </c>
      <c r="G1902" s="137" t="s">
        <v>9</v>
      </c>
      <c r="H1902" s="137" t="s">
        <v>10</v>
      </c>
      <c r="I1902" s="137" t="s">
        <v>11</v>
      </c>
      <c r="J1902" s="137" t="s">
        <v>12</v>
      </c>
    </row>
    <row r="1903" spans="1:11" hidden="1" x14ac:dyDescent="0.3">
      <c r="A1903" s="1845">
        <v>1</v>
      </c>
      <c r="B1903" s="3404" t="s">
        <v>1806</v>
      </c>
      <c r="C1903" s="1838" t="s">
        <v>138</v>
      </c>
      <c r="D1903" s="1838" t="s">
        <v>1839</v>
      </c>
      <c r="E1903" s="1838" t="s">
        <v>76</v>
      </c>
      <c r="F1903" s="1838">
        <v>168000000</v>
      </c>
      <c r="G1903" s="1838" t="s">
        <v>1808</v>
      </c>
      <c r="H1903" s="1838" t="s">
        <v>36</v>
      </c>
      <c r="I1903" s="1838" t="s">
        <v>36</v>
      </c>
      <c r="J1903" s="1839">
        <v>1</v>
      </c>
    </row>
    <row r="1904" spans="1:11" hidden="1" x14ac:dyDescent="0.3">
      <c r="A1904" s="1846">
        <v>2</v>
      </c>
      <c r="B1904" s="3410" t="s">
        <v>1818</v>
      </c>
      <c r="C1904" s="1840" t="s">
        <v>138</v>
      </c>
      <c r="D1904" s="1840" t="s">
        <v>1819</v>
      </c>
      <c r="E1904" s="1840" t="s">
        <v>78</v>
      </c>
      <c r="F1904" s="1840">
        <v>215000000</v>
      </c>
      <c r="G1904" s="1840" t="s">
        <v>1004</v>
      </c>
      <c r="H1904" s="1840" t="s">
        <v>36</v>
      </c>
      <c r="I1904" s="1840" t="s">
        <v>36</v>
      </c>
      <c r="J1904" s="1841">
        <v>1</v>
      </c>
    </row>
    <row r="1905" spans="1:11" hidden="1" x14ac:dyDescent="0.3">
      <c r="A1905" s="2177">
        <v>3</v>
      </c>
      <c r="B1905" s="3406" t="s">
        <v>1820</v>
      </c>
      <c r="C1905" s="2350" t="s">
        <v>138</v>
      </c>
      <c r="D1905" s="2350" t="s">
        <v>1840</v>
      </c>
      <c r="E1905" s="2350" t="s">
        <v>784</v>
      </c>
      <c r="F1905" s="2350">
        <v>150000000</v>
      </c>
      <c r="G1905" s="2350" t="s">
        <v>1812</v>
      </c>
      <c r="H1905" s="2350" t="s">
        <v>1468</v>
      </c>
      <c r="I1905" s="2350" t="s">
        <v>36</v>
      </c>
      <c r="J1905" s="1842">
        <v>1</v>
      </c>
    </row>
    <row r="1906" spans="1:11" ht="24.6" hidden="1" x14ac:dyDescent="0.4">
      <c r="A1906" s="1842"/>
      <c r="B1906" s="2177"/>
      <c r="C1906" s="1842"/>
      <c r="D1906" s="1842"/>
      <c r="E1906" s="1842"/>
      <c r="F1906" s="1842"/>
      <c r="G1906" s="1842"/>
      <c r="H1906" s="1842"/>
      <c r="I1906" s="1842"/>
      <c r="J1906" s="1852"/>
    </row>
    <row r="1907" spans="1:11" hidden="1" x14ac:dyDescent="0.3"/>
    <row r="1908" spans="1:11" hidden="1" x14ac:dyDescent="0.3"/>
    <row r="1909" spans="1:11" ht="23.25" hidden="1" customHeight="1" x14ac:dyDescent="0.3">
      <c r="A1909" s="3467" t="s">
        <v>582</v>
      </c>
      <c r="B1909" s="3467"/>
      <c r="C1909" s="3467"/>
      <c r="D1909" s="3467"/>
      <c r="E1909" s="3467"/>
      <c r="F1909" s="3467"/>
      <c r="G1909" s="3467"/>
      <c r="H1909" s="3467"/>
      <c r="I1909" s="3467"/>
      <c r="J1909" s="3467"/>
    </row>
    <row r="1910" spans="1:11" ht="15.75" hidden="1" customHeight="1" x14ac:dyDescent="0.3">
      <c r="A1910" s="3461" t="s">
        <v>2</v>
      </c>
      <c r="B1910" s="3461"/>
      <c r="C1910" s="3461"/>
      <c r="D1910" s="3461"/>
      <c r="E1910" s="3461"/>
      <c r="F1910" s="3461"/>
      <c r="G1910" s="3461"/>
      <c r="H1910" s="3461"/>
      <c r="I1910" s="3461"/>
      <c r="J1910" s="3461"/>
    </row>
    <row r="1911" spans="1:11" hidden="1" x14ac:dyDescent="0.3">
      <c r="A1911" s="137" t="s">
        <v>3</v>
      </c>
      <c r="B1911" s="1781" t="s">
        <v>4</v>
      </c>
      <c r="C1911" s="137" t="s">
        <v>5</v>
      </c>
      <c r="D1911" s="137" t="s">
        <v>6</v>
      </c>
      <c r="E1911" s="137" t="s">
        <v>7</v>
      </c>
      <c r="F1911" s="2522" t="s">
        <v>8</v>
      </c>
      <c r="G1911" s="137" t="s">
        <v>9</v>
      </c>
      <c r="H1911" s="137" t="s">
        <v>10</v>
      </c>
      <c r="I1911" s="137" t="s">
        <v>11</v>
      </c>
      <c r="J1911" s="137" t="s">
        <v>12</v>
      </c>
    </row>
    <row r="1912" spans="1:11" hidden="1" x14ac:dyDescent="0.3">
      <c r="A1912" s="137">
        <v>1</v>
      </c>
      <c r="B1912" s="765" t="s">
        <v>1806</v>
      </c>
      <c r="C1912" s="642" t="s">
        <v>138</v>
      </c>
      <c r="D1912" s="642" t="s">
        <v>392</v>
      </c>
      <c r="E1912" s="642" t="s">
        <v>68</v>
      </c>
      <c r="F1912" s="2519">
        <v>1350000</v>
      </c>
      <c r="G1912" s="642"/>
      <c r="H1912" s="642" t="s">
        <v>36</v>
      </c>
      <c r="I1912" s="642" t="s">
        <v>36</v>
      </c>
      <c r="J1912" s="642">
        <v>1</v>
      </c>
      <c r="K1912" t="s">
        <v>1770</v>
      </c>
    </row>
    <row r="1913" spans="1:11" hidden="1" x14ac:dyDescent="0.3">
      <c r="A1913" s="137">
        <v>2</v>
      </c>
      <c r="B1913" s="765" t="s">
        <v>1806</v>
      </c>
      <c r="C1913" s="642" t="s">
        <v>138</v>
      </c>
      <c r="D1913" s="642" t="s">
        <v>1841</v>
      </c>
      <c r="E1913" s="642" t="s">
        <v>858</v>
      </c>
      <c r="F1913" s="2519">
        <v>1500000</v>
      </c>
      <c r="G1913" s="642" t="s">
        <v>1842</v>
      </c>
      <c r="H1913" s="642" t="s">
        <v>36</v>
      </c>
      <c r="I1913" s="642" t="s">
        <v>36</v>
      </c>
      <c r="J1913" s="642">
        <v>1</v>
      </c>
      <c r="K1913" t="s">
        <v>217</v>
      </c>
    </row>
    <row r="1914" spans="1:11" hidden="1" x14ac:dyDescent="0.3">
      <c r="A1914" s="137">
        <v>3</v>
      </c>
      <c r="B1914" s="765" t="s">
        <v>1806</v>
      </c>
      <c r="C1914" s="642" t="s">
        <v>138</v>
      </c>
      <c r="D1914" s="642" t="s">
        <v>1843</v>
      </c>
      <c r="E1914" s="642" t="s">
        <v>962</v>
      </c>
      <c r="F1914" s="2519">
        <v>1300000</v>
      </c>
      <c r="G1914" s="642" t="s">
        <v>1078</v>
      </c>
      <c r="H1914" s="642" t="s">
        <v>36</v>
      </c>
      <c r="I1914" s="642" t="s">
        <v>36</v>
      </c>
      <c r="J1914" s="642">
        <v>1</v>
      </c>
      <c r="K1914" t="s">
        <v>217</v>
      </c>
    </row>
    <row r="1915" spans="1:11" hidden="1" x14ac:dyDescent="0.3">
      <c r="A1915" s="137">
        <v>4</v>
      </c>
      <c r="B1915" s="765" t="s">
        <v>1809</v>
      </c>
      <c r="C1915" s="642" t="s">
        <v>138</v>
      </c>
      <c r="D1915" s="642" t="s">
        <v>1844</v>
      </c>
      <c r="E1915" s="642" t="s">
        <v>1838</v>
      </c>
      <c r="F1915" s="2519">
        <v>1600000</v>
      </c>
      <c r="G1915" s="642" t="s">
        <v>1845</v>
      </c>
      <c r="H1915" s="642" t="s">
        <v>36</v>
      </c>
      <c r="I1915" s="642" t="s">
        <v>36</v>
      </c>
      <c r="J1915" s="642">
        <v>1</v>
      </c>
      <c r="K1915" t="s">
        <v>217</v>
      </c>
    </row>
    <row r="1916" spans="1:11" hidden="1" x14ac:dyDescent="0.3">
      <c r="A1916" s="137">
        <v>5</v>
      </c>
      <c r="B1916" s="3402">
        <v>44298</v>
      </c>
      <c r="C1916" s="642" t="s">
        <v>138</v>
      </c>
      <c r="D1916" s="642" t="s">
        <v>1846</v>
      </c>
      <c r="E1916" s="642" t="s">
        <v>942</v>
      </c>
      <c r="F1916" s="2519">
        <v>750000</v>
      </c>
      <c r="G1916" s="642" t="s">
        <v>1847</v>
      </c>
      <c r="H1916" s="642" t="s">
        <v>1468</v>
      </c>
      <c r="I1916" s="642" t="s">
        <v>36</v>
      </c>
      <c r="J1916" s="642">
        <v>1</v>
      </c>
      <c r="K1916" t="s">
        <v>217</v>
      </c>
    </row>
    <row r="1917" spans="1:11" hidden="1" x14ac:dyDescent="0.3">
      <c r="A1917" s="137">
        <v>6</v>
      </c>
      <c r="B1917" s="3402">
        <v>44298</v>
      </c>
      <c r="C1917" s="642" t="s">
        <v>138</v>
      </c>
      <c r="D1917" s="642" t="s">
        <v>1508</v>
      </c>
      <c r="E1917" s="642" t="s">
        <v>962</v>
      </c>
      <c r="F1917" s="2519">
        <v>1450000</v>
      </c>
      <c r="G1917" s="642" t="s">
        <v>604</v>
      </c>
      <c r="H1917" s="642" t="s">
        <v>36</v>
      </c>
      <c r="I1917" s="642" t="s">
        <v>36</v>
      </c>
      <c r="J1917" s="642">
        <v>1</v>
      </c>
      <c r="K1917" t="s">
        <v>1770</v>
      </c>
    </row>
    <row r="1918" spans="1:11" hidden="1" x14ac:dyDescent="0.3">
      <c r="A1918" s="137">
        <v>7</v>
      </c>
      <c r="B1918" s="3402">
        <v>44359</v>
      </c>
      <c r="C1918" s="642" t="s">
        <v>138</v>
      </c>
      <c r="D1918" s="641" t="s">
        <v>1848</v>
      </c>
      <c r="E1918" s="641" t="s">
        <v>962</v>
      </c>
      <c r="F1918" s="2520">
        <v>1300000</v>
      </c>
      <c r="G1918" s="641" t="s">
        <v>604</v>
      </c>
      <c r="H1918" s="641" t="s">
        <v>36</v>
      </c>
      <c r="I1918" s="641" t="s">
        <v>36</v>
      </c>
      <c r="J1918" s="642">
        <v>1</v>
      </c>
      <c r="K1918" t="s">
        <v>217</v>
      </c>
    </row>
    <row r="1919" spans="1:11" hidden="1" x14ac:dyDescent="0.3">
      <c r="A1919" s="137">
        <v>8</v>
      </c>
      <c r="B1919" s="3402">
        <v>44359</v>
      </c>
      <c r="C1919" s="642" t="s">
        <v>138</v>
      </c>
      <c r="D1919" s="642" t="s">
        <v>1849</v>
      </c>
      <c r="E1919" s="642" t="s">
        <v>962</v>
      </c>
      <c r="F1919" s="2519">
        <v>1200000</v>
      </c>
      <c r="G1919" s="642" t="s">
        <v>1687</v>
      </c>
      <c r="H1919" s="642" t="s">
        <v>36</v>
      </c>
      <c r="I1919" s="642" t="s">
        <v>36</v>
      </c>
      <c r="J1919" s="642">
        <v>1</v>
      </c>
      <c r="K1919" t="s">
        <v>217</v>
      </c>
    </row>
    <row r="1920" spans="1:11" hidden="1" x14ac:dyDescent="0.3">
      <c r="A1920" s="137">
        <v>9</v>
      </c>
      <c r="B1920" s="3402">
        <v>44389</v>
      </c>
      <c r="C1920" s="642" t="s">
        <v>138</v>
      </c>
      <c r="D1920" s="642" t="s">
        <v>1850</v>
      </c>
      <c r="E1920" s="642" t="s">
        <v>942</v>
      </c>
      <c r="F1920" s="2519">
        <v>800000</v>
      </c>
      <c r="G1920" s="642" t="s">
        <v>43</v>
      </c>
      <c r="H1920" s="642" t="s">
        <v>36</v>
      </c>
      <c r="I1920" s="642" t="s">
        <v>36</v>
      </c>
      <c r="J1920" s="642">
        <v>1</v>
      </c>
      <c r="K1920" t="s">
        <v>1770</v>
      </c>
    </row>
    <row r="1921" spans="1:11" hidden="1" x14ac:dyDescent="0.3">
      <c r="A1921" s="137">
        <v>10</v>
      </c>
      <c r="B1921" s="3402">
        <v>44481</v>
      </c>
      <c r="C1921" s="642" t="s">
        <v>138</v>
      </c>
      <c r="D1921" s="642" t="s">
        <v>1851</v>
      </c>
      <c r="E1921" s="642" t="s">
        <v>858</v>
      </c>
      <c r="F1921" s="2519">
        <v>1500000</v>
      </c>
      <c r="G1921" s="642" t="s">
        <v>397</v>
      </c>
      <c r="H1921" s="642" t="s">
        <v>36</v>
      </c>
      <c r="I1921" s="642" t="s">
        <v>36</v>
      </c>
      <c r="J1921" s="642">
        <v>1</v>
      </c>
      <c r="K1921" t="s">
        <v>1232</v>
      </c>
    </row>
    <row r="1922" spans="1:11" hidden="1" x14ac:dyDescent="0.3">
      <c r="A1922" s="137">
        <v>11</v>
      </c>
      <c r="B1922" s="3402">
        <v>44512</v>
      </c>
      <c r="C1922" s="642" t="s">
        <v>138</v>
      </c>
      <c r="D1922" s="642" t="s">
        <v>1852</v>
      </c>
      <c r="E1922" s="642" t="s">
        <v>858</v>
      </c>
      <c r="F1922" s="2519">
        <v>1500000</v>
      </c>
      <c r="G1922" s="642" t="s">
        <v>397</v>
      </c>
      <c r="H1922" s="642" t="s">
        <v>36</v>
      </c>
      <c r="I1922" s="642" t="s">
        <v>36</v>
      </c>
      <c r="J1922" s="642">
        <v>1</v>
      </c>
      <c r="K1922" t="s">
        <v>1530</v>
      </c>
    </row>
    <row r="1923" spans="1:11" hidden="1" x14ac:dyDescent="0.3">
      <c r="A1923" s="137">
        <v>12</v>
      </c>
      <c r="B1923" s="765" t="s">
        <v>1820</v>
      </c>
      <c r="C1923" s="641" t="s">
        <v>138</v>
      </c>
      <c r="D1923" s="641" t="s">
        <v>1853</v>
      </c>
      <c r="E1923" s="641" t="s">
        <v>1838</v>
      </c>
      <c r="F1923" s="2520">
        <v>1300000</v>
      </c>
      <c r="G1923" s="641" t="s">
        <v>1095</v>
      </c>
      <c r="H1923" s="641" t="s">
        <v>36</v>
      </c>
      <c r="I1923" s="641" t="s">
        <v>36</v>
      </c>
      <c r="J1923" s="642">
        <v>1</v>
      </c>
      <c r="K1923" t="s">
        <v>1232</v>
      </c>
    </row>
    <row r="1924" spans="1:11" hidden="1" x14ac:dyDescent="0.3">
      <c r="A1924" s="137">
        <v>13</v>
      </c>
      <c r="B1924" s="765" t="s">
        <v>1854</v>
      </c>
      <c r="C1924" s="641" t="s">
        <v>138</v>
      </c>
      <c r="D1924" s="641" t="s">
        <v>1855</v>
      </c>
      <c r="E1924" s="641" t="s">
        <v>1856</v>
      </c>
      <c r="F1924" s="2520">
        <v>1000000</v>
      </c>
      <c r="G1924" s="641" t="s">
        <v>1857</v>
      </c>
      <c r="H1924" s="641" t="s">
        <v>36</v>
      </c>
      <c r="I1924" s="641" t="s">
        <v>36</v>
      </c>
      <c r="J1924" s="642">
        <v>1</v>
      </c>
      <c r="K1924" t="s">
        <v>1232</v>
      </c>
    </row>
    <row r="1925" spans="1:11" hidden="1" x14ac:dyDescent="0.3">
      <c r="A1925" s="137">
        <v>14</v>
      </c>
      <c r="B1925" s="765" t="s">
        <v>1854</v>
      </c>
      <c r="C1925" s="641" t="s">
        <v>138</v>
      </c>
      <c r="D1925" s="641" t="s">
        <v>1858</v>
      </c>
      <c r="E1925" s="641" t="s">
        <v>1856</v>
      </c>
      <c r="F1925" s="2520">
        <v>1000000</v>
      </c>
      <c r="G1925" s="641" t="s">
        <v>1857</v>
      </c>
      <c r="H1925" s="641" t="s">
        <v>36</v>
      </c>
      <c r="I1925" s="641" t="s">
        <v>36</v>
      </c>
      <c r="J1925" s="642">
        <v>1</v>
      </c>
      <c r="K1925" t="s">
        <v>1455</v>
      </c>
    </row>
    <row r="1926" spans="1:11" hidden="1" x14ac:dyDescent="0.3">
      <c r="A1926" s="1781">
        <v>15</v>
      </c>
      <c r="B1926" s="765" t="s">
        <v>1854</v>
      </c>
      <c r="C1926" s="641" t="s">
        <v>138</v>
      </c>
      <c r="D1926" s="641" t="s">
        <v>1859</v>
      </c>
      <c r="E1926" s="641" t="s">
        <v>1856</v>
      </c>
      <c r="F1926" s="2520">
        <v>1000000</v>
      </c>
      <c r="G1926" s="641" t="s">
        <v>1857</v>
      </c>
      <c r="H1926" s="641" t="s">
        <v>36</v>
      </c>
      <c r="I1926" s="641" t="s">
        <v>36</v>
      </c>
      <c r="J1926" s="642">
        <v>1</v>
      </c>
      <c r="K1926" t="s">
        <v>217</v>
      </c>
    </row>
    <row r="1927" spans="1:11" hidden="1" x14ac:dyDescent="0.3">
      <c r="A1927" s="1781">
        <v>16</v>
      </c>
      <c r="B1927" s="3402" t="s">
        <v>1825</v>
      </c>
      <c r="C1927" s="641" t="s">
        <v>138</v>
      </c>
      <c r="D1927" s="641" t="s">
        <v>1860</v>
      </c>
      <c r="E1927" s="641" t="s">
        <v>1861</v>
      </c>
      <c r="F1927" s="2520">
        <v>850000</v>
      </c>
      <c r="G1927" s="641" t="s">
        <v>43</v>
      </c>
      <c r="H1927" s="641" t="s">
        <v>36</v>
      </c>
      <c r="I1927" s="641" t="s">
        <v>36</v>
      </c>
      <c r="J1927" s="642">
        <v>1</v>
      </c>
      <c r="K1927" t="s">
        <v>1232</v>
      </c>
    </row>
    <row r="1928" spans="1:11" hidden="1" x14ac:dyDescent="0.3">
      <c r="A1928" s="1781">
        <v>17</v>
      </c>
      <c r="B1928" s="3402" t="s">
        <v>1862</v>
      </c>
      <c r="C1928" s="641" t="s">
        <v>138</v>
      </c>
      <c r="D1928" s="641" t="s">
        <v>1863</v>
      </c>
      <c r="E1928" s="641" t="s">
        <v>1864</v>
      </c>
      <c r="F1928" s="2520">
        <v>1000000</v>
      </c>
      <c r="G1928" s="641" t="s">
        <v>1865</v>
      </c>
      <c r="H1928" s="641" t="s">
        <v>36</v>
      </c>
      <c r="I1928" s="641" t="s">
        <v>36</v>
      </c>
      <c r="J1928" s="642">
        <v>1</v>
      </c>
      <c r="K1928" t="s">
        <v>1232</v>
      </c>
    </row>
    <row r="1929" spans="1:11" hidden="1" x14ac:dyDescent="0.3">
      <c r="A1929" s="1781">
        <v>18</v>
      </c>
      <c r="B1929" s="3402" t="s">
        <v>1862</v>
      </c>
      <c r="C1929" s="641" t="s">
        <v>138</v>
      </c>
      <c r="D1929" s="641" t="s">
        <v>1866</v>
      </c>
      <c r="E1929" s="641" t="s">
        <v>1864</v>
      </c>
      <c r="F1929" s="2520">
        <v>1000000</v>
      </c>
      <c r="G1929" s="641" t="s">
        <v>1865</v>
      </c>
      <c r="H1929" s="641" t="s">
        <v>36</v>
      </c>
      <c r="I1929" s="641" t="s">
        <v>36</v>
      </c>
      <c r="J1929" s="642">
        <v>1</v>
      </c>
      <c r="K1929" t="s">
        <v>1455</v>
      </c>
    </row>
    <row r="1930" spans="1:11" hidden="1" x14ac:dyDescent="0.3">
      <c r="A1930" s="1781">
        <v>19</v>
      </c>
      <c r="B1930" s="3408" t="s">
        <v>1827</v>
      </c>
      <c r="C1930" s="2379" t="s">
        <v>138</v>
      </c>
      <c r="D1930" s="2379" t="s">
        <v>1867</v>
      </c>
      <c r="E1930" s="2379" t="s">
        <v>858</v>
      </c>
      <c r="F1930" s="2524">
        <v>1400000</v>
      </c>
      <c r="G1930" s="2379" t="s">
        <v>397</v>
      </c>
      <c r="H1930" s="2379" t="s">
        <v>36</v>
      </c>
      <c r="I1930" s="2379" t="s">
        <v>36</v>
      </c>
      <c r="J1930" s="1360">
        <v>1</v>
      </c>
      <c r="K1930" t="s">
        <v>1455</v>
      </c>
    </row>
    <row r="1931" spans="1:11" hidden="1" x14ac:dyDescent="0.3">
      <c r="A1931" s="550">
        <v>20</v>
      </c>
      <c r="B1931" s="3408" t="s">
        <v>1827</v>
      </c>
      <c r="C1931" s="11" t="s">
        <v>138</v>
      </c>
      <c r="D1931" s="11" t="s">
        <v>1868</v>
      </c>
      <c r="E1931" s="11" t="s">
        <v>68</v>
      </c>
      <c r="F1931" s="1803">
        <v>1100000</v>
      </c>
      <c r="G1931" s="11" t="s">
        <v>43</v>
      </c>
      <c r="H1931" s="11" t="s">
        <v>36</v>
      </c>
      <c r="I1931" s="11" t="s">
        <v>36</v>
      </c>
      <c r="J1931" s="11">
        <v>1</v>
      </c>
      <c r="K1931" s="11" t="s">
        <v>1232</v>
      </c>
    </row>
    <row r="1932" spans="1:11" hidden="1" x14ac:dyDescent="0.3">
      <c r="A1932" s="1781"/>
      <c r="B1932" s="3409"/>
      <c r="C1932" s="2381"/>
      <c r="D1932" s="2381"/>
      <c r="E1932" s="2381"/>
      <c r="F1932" s="2382"/>
      <c r="G1932" s="2381"/>
      <c r="H1932" s="2381"/>
      <c r="I1932" s="2381"/>
      <c r="J1932" s="1361"/>
    </row>
    <row r="1933" spans="1:11" hidden="1" x14ac:dyDescent="0.3">
      <c r="A1933" s="1781"/>
      <c r="B1933" s="765"/>
      <c r="C1933" s="641"/>
      <c r="D1933" s="641"/>
      <c r="E1933" s="641"/>
      <c r="F1933" s="1646"/>
      <c r="G1933" s="641"/>
      <c r="H1933" s="641"/>
      <c r="I1933" s="641"/>
      <c r="J1933" s="642"/>
    </row>
    <row r="1934" spans="1:11" ht="24.6" hidden="1" x14ac:dyDescent="0.4">
      <c r="A1934" s="1781"/>
      <c r="B1934" s="765"/>
      <c r="C1934" s="641"/>
      <c r="D1934" s="641"/>
      <c r="E1934" s="641"/>
      <c r="F1934" s="1358"/>
      <c r="G1934" s="641"/>
      <c r="H1934" s="641"/>
      <c r="I1934" s="641"/>
      <c r="J1934" s="1837"/>
    </row>
    <row r="1935" spans="1:11" ht="25.5" hidden="1" customHeight="1" x14ac:dyDescent="0.4">
      <c r="A1935" s="3462" t="s">
        <v>33</v>
      </c>
      <c r="B1935" s="3462"/>
      <c r="C1935" s="3462"/>
      <c r="D1935" s="3462"/>
      <c r="E1935" s="3462"/>
      <c r="F1935" s="3462"/>
      <c r="G1935" s="3462"/>
      <c r="H1935" s="3462"/>
      <c r="I1935" s="3462"/>
      <c r="J1935" s="3462"/>
    </row>
    <row r="1936" spans="1:11" hidden="1" x14ac:dyDescent="0.3">
      <c r="A1936" s="137" t="s">
        <v>3</v>
      </c>
      <c r="B1936" s="1781" t="s">
        <v>4</v>
      </c>
      <c r="C1936" s="137" t="s">
        <v>5</v>
      </c>
      <c r="D1936" s="137" t="s">
        <v>6</v>
      </c>
      <c r="E1936" s="137" t="s">
        <v>7</v>
      </c>
      <c r="F1936" s="137" t="s">
        <v>8</v>
      </c>
      <c r="G1936" s="137" t="s">
        <v>9</v>
      </c>
      <c r="H1936" s="137" t="s">
        <v>10</v>
      </c>
      <c r="I1936" s="137" t="s">
        <v>11</v>
      </c>
      <c r="J1936" s="147" t="s">
        <v>12</v>
      </c>
    </row>
    <row r="1937" spans="1:11" hidden="1" x14ac:dyDescent="0.3">
      <c r="A1937" s="1845">
        <v>1</v>
      </c>
      <c r="B1937" s="3404" t="s">
        <v>1803</v>
      </c>
      <c r="C1937" s="1838" t="s">
        <v>138</v>
      </c>
      <c r="D1937" s="1838" t="s">
        <v>1869</v>
      </c>
      <c r="E1937" s="1838" t="s">
        <v>1870</v>
      </c>
      <c r="F1937" s="1838">
        <v>230000000</v>
      </c>
      <c r="G1937" s="1838" t="s">
        <v>43</v>
      </c>
      <c r="H1937" s="1838" t="s">
        <v>1468</v>
      </c>
      <c r="I1937" s="1847" t="s">
        <v>36</v>
      </c>
      <c r="J1937" s="1842">
        <v>1</v>
      </c>
    </row>
    <row r="1938" spans="1:11" hidden="1" x14ac:dyDescent="0.3">
      <c r="A1938" s="1845">
        <v>2</v>
      </c>
      <c r="B1938" s="3404" t="s">
        <v>1803</v>
      </c>
      <c r="C1938" s="1838" t="s">
        <v>138</v>
      </c>
      <c r="D1938" s="1838" t="s">
        <v>1871</v>
      </c>
      <c r="E1938" s="1838" t="s">
        <v>1870</v>
      </c>
      <c r="F1938" s="1838">
        <v>250000000</v>
      </c>
      <c r="G1938" s="1838" t="s">
        <v>43</v>
      </c>
      <c r="H1938" s="1838" t="s">
        <v>1468</v>
      </c>
      <c r="I1938" s="1847" t="s">
        <v>36</v>
      </c>
      <c r="J1938" s="1842">
        <v>1</v>
      </c>
    </row>
    <row r="1939" spans="1:11" hidden="1" x14ac:dyDescent="0.3">
      <c r="A1939" s="1846">
        <v>3</v>
      </c>
      <c r="B1939" s="3404" t="s">
        <v>1803</v>
      </c>
      <c r="C1939" s="1840" t="s">
        <v>138</v>
      </c>
      <c r="D1939" s="1838" t="s">
        <v>1872</v>
      </c>
      <c r="E1939" s="1840" t="s">
        <v>1870</v>
      </c>
      <c r="F1939" s="1840">
        <v>320000000</v>
      </c>
      <c r="G1939" s="1840" t="s">
        <v>43</v>
      </c>
      <c r="H1939" s="1840" t="s">
        <v>1468</v>
      </c>
      <c r="I1939" s="1848" t="s">
        <v>36</v>
      </c>
      <c r="J1939" s="1842">
        <v>1</v>
      </c>
    </row>
    <row r="1940" spans="1:11" hidden="1" x14ac:dyDescent="0.3">
      <c r="A1940" s="1846">
        <v>4</v>
      </c>
      <c r="B1940" s="2351"/>
      <c r="C1940" s="1849"/>
      <c r="D1940" s="1849"/>
      <c r="E1940" s="1849"/>
      <c r="F1940" s="1849"/>
      <c r="G1940" s="1849"/>
      <c r="H1940" s="1849"/>
      <c r="I1940" s="1850"/>
      <c r="J1940" s="1842"/>
    </row>
    <row r="1941" spans="1:11" hidden="1" x14ac:dyDescent="0.3">
      <c r="A1941" s="11"/>
      <c r="B1941" s="3411"/>
      <c r="C1941" s="1851"/>
      <c r="D1941" s="1851"/>
      <c r="E1941" s="1851"/>
      <c r="F1941" s="1851"/>
      <c r="G1941" s="1851"/>
      <c r="H1941" s="1851"/>
      <c r="I1941" s="1851"/>
      <c r="J1941" s="1851"/>
    </row>
    <row r="1942" spans="1:11" hidden="1" x14ac:dyDescent="0.3"/>
    <row r="1943" spans="1:11" ht="23.25" hidden="1" customHeight="1" x14ac:dyDescent="0.3">
      <c r="A1943" s="3467" t="s">
        <v>1169</v>
      </c>
      <c r="B1943" s="3467"/>
      <c r="C1943" s="3467"/>
      <c r="D1943" s="3467"/>
      <c r="E1943" s="3467"/>
      <c r="F1943" s="3467"/>
      <c r="G1943" s="3467"/>
      <c r="H1943" s="3467"/>
      <c r="I1943" s="3467"/>
      <c r="J1943" s="3467"/>
    </row>
    <row r="1944" spans="1:11" ht="15.75" hidden="1" customHeight="1" x14ac:dyDescent="0.3">
      <c r="A1944" s="3461" t="s">
        <v>2</v>
      </c>
      <c r="B1944" s="3461"/>
      <c r="C1944" s="3461"/>
      <c r="D1944" s="3461"/>
      <c r="E1944" s="3461"/>
      <c r="F1944" s="3461"/>
      <c r="G1944" s="3461"/>
      <c r="H1944" s="3461"/>
      <c r="I1944" s="3461"/>
      <c r="J1944" s="3461"/>
    </row>
    <row r="1945" spans="1:11" hidden="1" x14ac:dyDescent="0.3">
      <c r="A1945" s="137" t="s">
        <v>3</v>
      </c>
      <c r="B1945" s="1781" t="s">
        <v>4</v>
      </c>
      <c r="C1945" s="137" t="s">
        <v>5</v>
      </c>
      <c r="D1945" s="137" t="s">
        <v>6</v>
      </c>
      <c r="E1945" s="137" t="s">
        <v>7</v>
      </c>
      <c r="F1945" s="137" t="s">
        <v>8</v>
      </c>
      <c r="G1945" s="137" t="s">
        <v>9</v>
      </c>
      <c r="H1945" s="137" t="s">
        <v>10</v>
      </c>
      <c r="I1945" s="137" t="s">
        <v>11</v>
      </c>
      <c r="J1945" s="137" t="s">
        <v>12</v>
      </c>
    </row>
    <row r="1946" spans="1:11" hidden="1" x14ac:dyDescent="0.3">
      <c r="A1946" s="137">
        <v>1</v>
      </c>
      <c r="B1946" s="765" t="s">
        <v>1806</v>
      </c>
      <c r="C1946" s="642" t="s">
        <v>138</v>
      </c>
      <c r="D1946" s="642" t="s">
        <v>1873</v>
      </c>
      <c r="E1946" s="642" t="s">
        <v>76</v>
      </c>
      <c r="F1946" s="2519">
        <v>1200000</v>
      </c>
      <c r="G1946" s="642" t="s">
        <v>1185</v>
      </c>
      <c r="H1946" s="642" t="s">
        <v>36</v>
      </c>
      <c r="I1946" s="642" t="s">
        <v>36</v>
      </c>
      <c r="J1946" s="642">
        <v>1</v>
      </c>
      <c r="K1946" t="s">
        <v>1530</v>
      </c>
    </row>
    <row r="1947" spans="1:11" hidden="1" x14ac:dyDescent="0.3">
      <c r="A1947" s="137">
        <v>2</v>
      </c>
      <c r="B1947" s="3402">
        <v>44239</v>
      </c>
      <c r="C1947" s="642" t="s">
        <v>138</v>
      </c>
      <c r="D1947" s="642" t="s">
        <v>1874</v>
      </c>
      <c r="E1947" s="642" t="s">
        <v>76</v>
      </c>
      <c r="F1947" s="2519">
        <v>1100000</v>
      </c>
      <c r="G1947" s="642" t="s">
        <v>1656</v>
      </c>
      <c r="H1947" s="642" t="s">
        <v>36</v>
      </c>
      <c r="I1947" s="642" t="s">
        <v>36</v>
      </c>
      <c r="J1947" s="642">
        <v>1</v>
      </c>
      <c r="K1947" t="s">
        <v>217</v>
      </c>
    </row>
    <row r="1948" spans="1:11" hidden="1" x14ac:dyDescent="0.3">
      <c r="A1948" s="137">
        <v>3</v>
      </c>
      <c r="B1948" s="3402">
        <v>44451</v>
      </c>
      <c r="C1948" s="642" t="s">
        <v>138</v>
      </c>
      <c r="D1948" s="642" t="s">
        <v>1875</v>
      </c>
      <c r="E1948" s="642" t="s">
        <v>1130</v>
      </c>
      <c r="F1948" s="2519">
        <v>970000</v>
      </c>
      <c r="G1948" s="642" t="s">
        <v>43</v>
      </c>
      <c r="H1948" s="642" t="s">
        <v>36</v>
      </c>
      <c r="I1948" s="642" t="s">
        <v>36</v>
      </c>
      <c r="J1948" s="642">
        <v>1</v>
      </c>
      <c r="K1948" t="s">
        <v>217</v>
      </c>
    </row>
    <row r="1949" spans="1:11" hidden="1" x14ac:dyDescent="0.3">
      <c r="A1949" s="137">
        <v>4</v>
      </c>
      <c r="B1949" s="3412" t="s">
        <v>1818</v>
      </c>
      <c r="C1949" s="642" t="s">
        <v>138</v>
      </c>
      <c r="D1949" s="641" t="s">
        <v>1876</v>
      </c>
      <c r="E1949" s="641" t="s">
        <v>787</v>
      </c>
      <c r="F1949" s="2520">
        <v>1030000</v>
      </c>
      <c r="G1949" s="641" t="s">
        <v>1408</v>
      </c>
      <c r="H1949" s="641" t="s">
        <v>36</v>
      </c>
      <c r="I1949" s="641" t="s">
        <v>36</v>
      </c>
      <c r="J1949" s="642">
        <v>1</v>
      </c>
      <c r="K1949" t="s">
        <v>1232</v>
      </c>
    </row>
    <row r="1950" spans="1:11" hidden="1" x14ac:dyDescent="0.3">
      <c r="A1950" s="137">
        <v>5</v>
      </c>
      <c r="B1950" s="765" t="s">
        <v>1818</v>
      </c>
      <c r="C1950" s="642" t="s">
        <v>138</v>
      </c>
      <c r="D1950" s="642" t="s">
        <v>1877</v>
      </c>
      <c r="E1950" s="642" t="s">
        <v>78</v>
      </c>
      <c r="F1950" s="2519">
        <v>800000</v>
      </c>
      <c r="G1950" s="642" t="s">
        <v>43</v>
      </c>
      <c r="H1950" s="642" t="s">
        <v>36</v>
      </c>
      <c r="I1950" s="642" t="s">
        <v>36</v>
      </c>
      <c r="J1950" s="642">
        <v>1</v>
      </c>
      <c r="K1950" t="s">
        <v>217</v>
      </c>
    </row>
    <row r="1951" spans="1:11" hidden="1" x14ac:dyDescent="0.3">
      <c r="A1951" s="137">
        <v>6</v>
      </c>
      <c r="B1951" s="3402" t="s">
        <v>1820</v>
      </c>
      <c r="C1951" s="642" t="s">
        <v>138</v>
      </c>
      <c r="D1951" s="642" t="s">
        <v>1878</v>
      </c>
      <c r="E1951" s="642" t="s">
        <v>78</v>
      </c>
      <c r="F1951" s="2519">
        <v>800000</v>
      </c>
      <c r="G1951" s="642" t="s">
        <v>494</v>
      </c>
      <c r="H1951" s="642" t="s">
        <v>36</v>
      </c>
      <c r="I1951" s="642" t="s">
        <v>36</v>
      </c>
      <c r="J1951" s="642">
        <v>1</v>
      </c>
      <c r="K1951" t="s">
        <v>217</v>
      </c>
    </row>
    <row r="1952" spans="1:11" hidden="1" x14ac:dyDescent="0.3">
      <c r="A1952" s="137">
        <v>7</v>
      </c>
      <c r="B1952" s="765" t="s">
        <v>1823</v>
      </c>
      <c r="C1952" s="642" t="s">
        <v>138</v>
      </c>
      <c r="D1952" s="641" t="s">
        <v>1879</v>
      </c>
      <c r="E1952" s="641" t="s">
        <v>1880</v>
      </c>
      <c r="F1952" s="2520">
        <v>740000</v>
      </c>
      <c r="G1952" s="641" t="s">
        <v>43</v>
      </c>
      <c r="H1952" s="641" t="s">
        <v>36</v>
      </c>
      <c r="I1952" s="641" t="s">
        <v>36</v>
      </c>
      <c r="J1952" s="642">
        <v>1</v>
      </c>
      <c r="K1952" t="s">
        <v>1530</v>
      </c>
    </row>
    <row r="1953" spans="1:11" hidden="1" x14ac:dyDescent="0.3">
      <c r="A1953" s="137">
        <v>8</v>
      </c>
      <c r="B1953" s="765" t="s">
        <v>1825</v>
      </c>
      <c r="C1953" s="642" t="s">
        <v>1881</v>
      </c>
      <c r="D1953" s="642" t="s">
        <v>1882</v>
      </c>
      <c r="E1953" s="2508" t="s">
        <v>105</v>
      </c>
      <c r="F1953" s="2519">
        <v>1400000</v>
      </c>
      <c r="G1953" s="642" t="s">
        <v>43</v>
      </c>
      <c r="H1953" s="642" t="s">
        <v>1468</v>
      </c>
      <c r="I1953" s="642" t="s">
        <v>36</v>
      </c>
      <c r="J1953" s="642">
        <v>1</v>
      </c>
      <c r="K1953" t="s">
        <v>1883</v>
      </c>
    </row>
    <row r="1954" spans="1:11" hidden="1" x14ac:dyDescent="0.3">
      <c r="A1954" s="137">
        <v>9</v>
      </c>
      <c r="B1954" s="765" t="s">
        <v>1825</v>
      </c>
      <c r="C1954" s="642" t="s">
        <v>1881</v>
      </c>
      <c r="D1954" s="642" t="s">
        <v>1884</v>
      </c>
      <c r="E1954" s="2508" t="s">
        <v>105</v>
      </c>
      <c r="F1954" s="2519">
        <v>5800000</v>
      </c>
      <c r="G1954" s="642" t="s">
        <v>43</v>
      </c>
      <c r="H1954" s="642" t="s">
        <v>1468</v>
      </c>
      <c r="I1954" s="642" t="s">
        <v>36</v>
      </c>
      <c r="J1954" s="642">
        <v>1</v>
      </c>
      <c r="K1954" t="s">
        <v>1232</v>
      </c>
    </row>
    <row r="1955" spans="1:11" hidden="1" x14ac:dyDescent="0.3">
      <c r="A1955" s="137">
        <v>10</v>
      </c>
      <c r="B1955" s="765" t="s">
        <v>1825</v>
      </c>
      <c r="C1955" s="642" t="s">
        <v>1881</v>
      </c>
      <c r="D1955" s="642" t="s">
        <v>1885</v>
      </c>
      <c r="E1955" s="642" t="s">
        <v>105</v>
      </c>
      <c r="F1955" s="2519">
        <v>3300000</v>
      </c>
      <c r="G1955" s="642" t="s">
        <v>43</v>
      </c>
      <c r="H1955" s="642" t="s">
        <v>1468</v>
      </c>
      <c r="I1955" s="642" t="s">
        <v>36</v>
      </c>
      <c r="J1955" s="642">
        <v>1</v>
      </c>
      <c r="K1955" t="s">
        <v>217</v>
      </c>
    </row>
    <row r="1956" spans="1:11" hidden="1" x14ac:dyDescent="0.3">
      <c r="A1956" s="137">
        <v>11</v>
      </c>
      <c r="B1956" s="765" t="s">
        <v>1862</v>
      </c>
      <c r="C1956" s="642" t="s">
        <v>138</v>
      </c>
      <c r="D1956" s="642" t="s">
        <v>1886</v>
      </c>
      <c r="E1956" s="642" t="s">
        <v>78</v>
      </c>
      <c r="F1956" s="2519">
        <v>1000000</v>
      </c>
      <c r="G1956" s="642" t="s">
        <v>1865</v>
      </c>
      <c r="H1956" s="642" t="s">
        <v>36</v>
      </c>
      <c r="I1956" s="642" t="s">
        <v>36</v>
      </c>
      <c r="J1956" s="642">
        <v>1</v>
      </c>
      <c r="K1956" t="s">
        <v>217</v>
      </c>
    </row>
    <row r="1957" spans="1:11" hidden="1" x14ac:dyDescent="0.3">
      <c r="A1957" s="137">
        <v>12</v>
      </c>
      <c r="B1957" s="765" t="s">
        <v>1827</v>
      </c>
      <c r="C1957" s="642" t="s">
        <v>74</v>
      </c>
      <c r="D1957" s="642" t="s">
        <v>1887</v>
      </c>
      <c r="E1957" s="2508" t="s">
        <v>1888</v>
      </c>
      <c r="F1957" s="2519">
        <v>1500000</v>
      </c>
      <c r="G1957" s="642" t="s">
        <v>43</v>
      </c>
      <c r="H1957" s="642" t="s">
        <v>36</v>
      </c>
      <c r="I1957" s="642" t="s">
        <v>36</v>
      </c>
      <c r="J1957" s="642">
        <v>1</v>
      </c>
      <c r="K1957" t="s">
        <v>1455</v>
      </c>
    </row>
    <row r="1958" spans="1:11" hidden="1" x14ac:dyDescent="0.3">
      <c r="A1958" s="137">
        <v>13</v>
      </c>
      <c r="B1958" s="765" t="s">
        <v>1827</v>
      </c>
      <c r="C1958" s="642" t="s">
        <v>138</v>
      </c>
      <c r="D1958" s="642" t="s">
        <v>1889</v>
      </c>
      <c r="E1958" s="642" t="s">
        <v>78</v>
      </c>
      <c r="F1958" s="2519">
        <v>1000000</v>
      </c>
      <c r="G1958" s="642" t="s">
        <v>1865</v>
      </c>
      <c r="H1958" s="642" t="s">
        <v>36</v>
      </c>
      <c r="I1958" s="642" t="s">
        <v>36</v>
      </c>
      <c r="J1958" s="642">
        <v>1</v>
      </c>
      <c r="K1958" t="s">
        <v>1232</v>
      </c>
    </row>
    <row r="1959" spans="1:11" hidden="1" x14ac:dyDescent="0.3">
      <c r="A1959" s="137">
        <v>14</v>
      </c>
      <c r="B1959" s="765" t="s">
        <v>1827</v>
      </c>
      <c r="C1959" s="642" t="s">
        <v>138</v>
      </c>
      <c r="D1959" s="642" t="s">
        <v>1890</v>
      </c>
      <c r="E1959" s="642" t="s">
        <v>1166</v>
      </c>
      <c r="F1959" s="2519">
        <v>850000</v>
      </c>
      <c r="G1959" s="642" t="s">
        <v>43</v>
      </c>
      <c r="H1959" s="642" t="s">
        <v>1468</v>
      </c>
      <c r="I1959" s="642" t="s">
        <v>36</v>
      </c>
      <c r="J1959" s="642">
        <v>1</v>
      </c>
      <c r="K1959" t="s">
        <v>217</v>
      </c>
    </row>
    <row r="1960" spans="1:11" hidden="1" x14ac:dyDescent="0.3">
      <c r="A1960" s="1781">
        <v>15</v>
      </c>
      <c r="B1960" s="765" t="s">
        <v>1827</v>
      </c>
      <c r="C1960" s="642" t="s">
        <v>138</v>
      </c>
      <c r="D1960" s="641" t="s">
        <v>1891</v>
      </c>
      <c r="E1960" s="641" t="s">
        <v>1166</v>
      </c>
      <c r="F1960" s="2520">
        <v>780000</v>
      </c>
      <c r="G1960" s="641" t="s">
        <v>43</v>
      </c>
      <c r="H1960" s="641" t="s">
        <v>1468</v>
      </c>
      <c r="I1960" s="641" t="s">
        <v>36</v>
      </c>
      <c r="J1960" s="642">
        <v>1</v>
      </c>
      <c r="K1960" t="s">
        <v>1455</v>
      </c>
    </row>
    <row r="1961" spans="1:11" hidden="1" x14ac:dyDescent="0.3">
      <c r="A1961" s="1781">
        <v>16</v>
      </c>
      <c r="B1961" s="765" t="s">
        <v>1827</v>
      </c>
      <c r="C1961" s="642" t="s">
        <v>219</v>
      </c>
      <c r="D1961" s="641" t="s">
        <v>1892</v>
      </c>
      <c r="E1961" s="641" t="s">
        <v>1893</v>
      </c>
      <c r="F1961" s="2520">
        <v>1400000</v>
      </c>
      <c r="G1961" s="641" t="s">
        <v>43</v>
      </c>
      <c r="H1961" s="641" t="s">
        <v>1468</v>
      </c>
      <c r="I1961" s="641" t="s">
        <v>36</v>
      </c>
      <c r="J1961" s="642">
        <v>1</v>
      </c>
      <c r="K1961" t="s">
        <v>217</v>
      </c>
    </row>
    <row r="1962" spans="1:11" hidden="1" x14ac:dyDescent="0.3">
      <c r="A1962" s="1781">
        <v>17</v>
      </c>
      <c r="B1962" s="765" t="s">
        <v>1827</v>
      </c>
      <c r="C1962" s="642" t="s">
        <v>138</v>
      </c>
      <c r="D1962" s="641" t="s">
        <v>1894</v>
      </c>
      <c r="E1962" s="641" t="s">
        <v>1066</v>
      </c>
      <c r="F1962" s="2520">
        <v>1100000</v>
      </c>
      <c r="G1962" s="641" t="s">
        <v>43</v>
      </c>
      <c r="H1962" s="641" t="s">
        <v>36</v>
      </c>
      <c r="I1962" s="641" t="s">
        <v>36</v>
      </c>
      <c r="J1962" s="642">
        <v>1</v>
      </c>
      <c r="K1962" t="s">
        <v>1455</v>
      </c>
    </row>
    <row r="1963" spans="1:11" hidden="1" x14ac:dyDescent="0.3">
      <c r="A1963" s="1781">
        <v>18</v>
      </c>
      <c r="B1963" s="3402" t="s">
        <v>1831</v>
      </c>
      <c r="C1963" s="642" t="s">
        <v>138</v>
      </c>
      <c r="D1963" s="641" t="s">
        <v>1895</v>
      </c>
      <c r="E1963" s="641" t="s">
        <v>840</v>
      </c>
      <c r="F1963" s="2520">
        <v>950000</v>
      </c>
      <c r="G1963" s="641" t="s">
        <v>1896</v>
      </c>
      <c r="H1963" s="641" t="s">
        <v>36</v>
      </c>
      <c r="I1963" s="641" t="s">
        <v>36</v>
      </c>
      <c r="J1963" s="642">
        <v>1</v>
      </c>
      <c r="K1963" t="s">
        <v>217</v>
      </c>
    </row>
    <row r="1964" spans="1:11" hidden="1" x14ac:dyDescent="0.3">
      <c r="A1964" s="1781">
        <v>19</v>
      </c>
      <c r="B1964" s="3402" t="s">
        <v>1831</v>
      </c>
      <c r="C1964" s="642" t="s">
        <v>138</v>
      </c>
      <c r="D1964" s="641" t="s">
        <v>1897</v>
      </c>
      <c r="E1964" s="641" t="s">
        <v>76</v>
      </c>
      <c r="F1964" s="2520">
        <v>1100000</v>
      </c>
      <c r="G1964" s="641" t="s">
        <v>1718</v>
      </c>
      <c r="H1964" s="641" t="s">
        <v>36</v>
      </c>
      <c r="I1964" s="641" t="s">
        <v>36</v>
      </c>
      <c r="J1964" s="642">
        <v>1</v>
      </c>
      <c r="K1964" t="s">
        <v>1455</v>
      </c>
    </row>
    <row r="1965" spans="1:11" hidden="1" x14ac:dyDescent="0.3">
      <c r="A1965" s="1781">
        <v>20</v>
      </c>
      <c r="B1965" s="3402" t="s">
        <v>1898</v>
      </c>
      <c r="C1965" s="642" t="s">
        <v>138</v>
      </c>
      <c r="D1965" s="641" t="s">
        <v>1899</v>
      </c>
      <c r="E1965" s="641" t="s">
        <v>76</v>
      </c>
      <c r="F1965" s="2520">
        <v>1000000</v>
      </c>
      <c r="G1965" s="641" t="s">
        <v>1865</v>
      </c>
      <c r="H1965" s="641" t="s">
        <v>36</v>
      </c>
      <c r="I1965" s="641" t="s">
        <v>36</v>
      </c>
      <c r="J1965" s="642">
        <v>1</v>
      </c>
      <c r="K1965" t="s">
        <v>1455</v>
      </c>
    </row>
    <row r="1966" spans="1:11" hidden="1" x14ac:dyDescent="0.3">
      <c r="A1966" s="1781"/>
      <c r="B1966" s="765"/>
      <c r="C1966" s="641"/>
      <c r="D1966" s="641"/>
      <c r="E1966" s="641"/>
      <c r="F1966" s="1646"/>
      <c r="G1966" s="641"/>
      <c r="H1966" s="641"/>
      <c r="I1966" s="641"/>
      <c r="J1966" s="642"/>
    </row>
    <row r="1967" spans="1:11" ht="24.6" hidden="1" x14ac:dyDescent="0.4">
      <c r="A1967" s="1781"/>
      <c r="B1967" s="765"/>
      <c r="C1967" s="641"/>
      <c r="D1967" s="641"/>
      <c r="E1967" s="641"/>
      <c r="F1967" s="1358"/>
      <c r="G1967" s="641"/>
      <c r="H1967" s="641"/>
      <c r="I1967" s="641"/>
      <c r="J1967" s="1837"/>
    </row>
    <row r="1968" spans="1:11" ht="25.5" hidden="1" customHeight="1" x14ac:dyDescent="0.4">
      <c r="A1968" s="3462" t="s">
        <v>33</v>
      </c>
      <c r="B1968" s="3462"/>
      <c r="C1968" s="3462"/>
      <c r="D1968" s="3462"/>
      <c r="E1968" s="3462"/>
      <c r="F1968" s="3462"/>
      <c r="G1968" s="3462"/>
      <c r="H1968" s="3462"/>
      <c r="I1968" s="3462"/>
      <c r="J1968" s="3462"/>
    </row>
    <row r="1969" spans="1:11" hidden="1" x14ac:dyDescent="0.3">
      <c r="A1969" s="137" t="s">
        <v>3</v>
      </c>
      <c r="B1969" s="1781" t="s">
        <v>4</v>
      </c>
      <c r="C1969" s="137" t="s">
        <v>5</v>
      </c>
      <c r="D1969" s="137" t="s">
        <v>6</v>
      </c>
      <c r="E1969" s="137" t="s">
        <v>7</v>
      </c>
      <c r="F1969" s="137" t="s">
        <v>8</v>
      </c>
      <c r="G1969" s="137" t="s">
        <v>9</v>
      </c>
      <c r="H1969" s="137" t="s">
        <v>10</v>
      </c>
      <c r="I1969" s="137" t="s">
        <v>11</v>
      </c>
      <c r="J1969" s="137" t="s">
        <v>12</v>
      </c>
    </row>
    <row r="1970" spans="1:11" hidden="1" x14ac:dyDescent="0.3">
      <c r="A1970" s="1845">
        <v>1</v>
      </c>
      <c r="B1970" s="3404" t="s">
        <v>1900</v>
      </c>
      <c r="C1970" s="1838" t="s">
        <v>138</v>
      </c>
      <c r="D1970" s="1838" t="s">
        <v>1901</v>
      </c>
      <c r="E1970" s="1838" t="s">
        <v>1902</v>
      </c>
      <c r="F1970" s="1838">
        <v>420000000</v>
      </c>
      <c r="G1970" s="1838" t="s">
        <v>43</v>
      </c>
      <c r="H1970" s="1838" t="s">
        <v>1468</v>
      </c>
      <c r="I1970" s="1838" t="s">
        <v>36</v>
      </c>
      <c r="J1970" s="1839">
        <v>1</v>
      </c>
    </row>
    <row r="1971" spans="1:11" hidden="1" x14ac:dyDescent="0.3">
      <c r="A1971" s="1845">
        <v>2</v>
      </c>
      <c r="B1971" s="3404" t="s">
        <v>1900</v>
      </c>
      <c r="C1971" s="1838" t="s">
        <v>138</v>
      </c>
      <c r="D1971" s="1838" t="s">
        <v>1903</v>
      </c>
      <c r="E1971" s="1838" t="s">
        <v>840</v>
      </c>
      <c r="F1971" s="1838">
        <v>510000000</v>
      </c>
      <c r="G1971" s="1838" t="s">
        <v>1087</v>
      </c>
      <c r="H1971" s="1838" t="s">
        <v>1468</v>
      </c>
      <c r="I1971" s="1838" t="s">
        <v>36</v>
      </c>
      <c r="J1971" s="1839">
        <v>1</v>
      </c>
    </row>
    <row r="1972" spans="1:11" hidden="1" x14ac:dyDescent="0.3">
      <c r="A1972" s="1846">
        <v>3</v>
      </c>
      <c r="B1972" s="3410" t="s">
        <v>1904</v>
      </c>
      <c r="C1972" s="1840" t="s">
        <v>1881</v>
      </c>
      <c r="D1972" s="1840" t="s">
        <v>1885</v>
      </c>
      <c r="E1972" s="1840" t="s">
        <v>105</v>
      </c>
      <c r="F1972" s="1840">
        <v>430000000</v>
      </c>
      <c r="G1972" s="1840" t="s">
        <v>43</v>
      </c>
      <c r="H1972" s="1840" t="s">
        <v>1468</v>
      </c>
      <c r="I1972" s="1840" t="s">
        <v>36</v>
      </c>
      <c r="J1972" s="1841">
        <v>1</v>
      </c>
    </row>
    <row r="1973" spans="1:11" ht="24.6" hidden="1" x14ac:dyDescent="0.4">
      <c r="A1973" s="1842"/>
      <c r="B1973" s="2177"/>
      <c r="C1973" s="1842"/>
      <c r="D1973" s="1842"/>
      <c r="E1973" s="1842"/>
      <c r="F1973" s="1842"/>
      <c r="G1973" s="1842"/>
      <c r="H1973" s="1842"/>
      <c r="I1973" s="1842"/>
      <c r="J1973" s="1852"/>
    </row>
    <row r="1974" spans="1:11" hidden="1" x14ac:dyDescent="0.3"/>
    <row r="1975" spans="1:11" hidden="1" x14ac:dyDescent="0.3"/>
    <row r="1976" spans="1:11" ht="23.25" hidden="1" customHeight="1" x14ac:dyDescent="0.3">
      <c r="A1976" s="3467" t="s">
        <v>748</v>
      </c>
      <c r="B1976" s="3467"/>
      <c r="C1976" s="3467"/>
      <c r="D1976" s="3467"/>
      <c r="E1976" s="3467"/>
      <c r="F1976" s="3467"/>
      <c r="G1976" s="3467"/>
      <c r="H1976" s="3467"/>
      <c r="I1976" s="3467"/>
      <c r="J1976" s="3467"/>
    </row>
    <row r="1977" spans="1:11" ht="15.75" hidden="1" customHeight="1" x14ac:dyDescent="0.3">
      <c r="A1977" s="3461" t="s">
        <v>2</v>
      </c>
      <c r="B1977" s="3461"/>
      <c r="C1977" s="3461"/>
      <c r="D1977" s="3461"/>
      <c r="E1977" s="3461"/>
      <c r="F1977" s="3461"/>
      <c r="G1977" s="3461"/>
      <c r="H1977" s="3461"/>
      <c r="I1977" s="3461"/>
      <c r="J1977" s="3461"/>
    </row>
    <row r="1978" spans="1:11" hidden="1" x14ac:dyDescent="0.3">
      <c r="A1978" s="137" t="s">
        <v>3</v>
      </c>
      <c r="B1978" s="1781" t="s">
        <v>4</v>
      </c>
      <c r="C1978" s="137" t="s">
        <v>5</v>
      </c>
      <c r="D1978" s="137" t="s">
        <v>6</v>
      </c>
      <c r="E1978" s="137" t="s">
        <v>7</v>
      </c>
      <c r="F1978" s="137" t="s">
        <v>8</v>
      </c>
      <c r="G1978" s="137" t="s">
        <v>9</v>
      </c>
      <c r="H1978" s="137" t="s">
        <v>10</v>
      </c>
      <c r="I1978" s="137" t="s">
        <v>11</v>
      </c>
      <c r="J1978" s="137" t="s">
        <v>12</v>
      </c>
    </row>
    <row r="1979" spans="1:11" hidden="1" x14ac:dyDescent="0.3">
      <c r="A1979" s="137">
        <v>1</v>
      </c>
      <c r="B1979" s="765" t="s">
        <v>1806</v>
      </c>
      <c r="C1979" s="642" t="s">
        <v>138</v>
      </c>
      <c r="D1979" s="642" t="s">
        <v>1905</v>
      </c>
      <c r="E1979" s="642" t="s">
        <v>1838</v>
      </c>
      <c r="F1979" s="2519">
        <v>1200000</v>
      </c>
      <c r="G1979" s="642" t="s">
        <v>1906</v>
      </c>
      <c r="H1979" s="642" t="s">
        <v>36</v>
      </c>
      <c r="I1979" s="642" t="s">
        <v>36</v>
      </c>
      <c r="J1979" s="642">
        <v>1</v>
      </c>
      <c r="K1979" t="s">
        <v>1770</v>
      </c>
    </row>
    <row r="1980" spans="1:11" hidden="1" x14ac:dyDescent="0.3">
      <c r="A1980" s="137">
        <v>2</v>
      </c>
      <c r="B1980" s="3402">
        <v>44267</v>
      </c>
      <c r="C1980" s="642" t="s">
        <v>138</v>
      </c>
      <c r="D1980" s="642" t="s">
        <v>1907</v>
      </c>
      <c r="E1980" s="642" t="s">
        <v>1130</v>
      </c>
      <c r="F1980" s="2519">
        <v>1200000</v>
      </c>
      <c r="G1980" s="642" t="s">
        <v>231</v>
      </c>
      <c r="H1980" s="642" t="s">
        <v>36</v>
      </c>
      <c r="I1980" s="642" t="s">
        <v>36</v>
      </c>
      <c r="J1980" s="642">
        <v>1</v>
      </c>
      <c r="K1980" t="s">
        <v>1770</v>
      </c>
    </row>
    <row r="1981" spans="1:11" hidden="1" x14ac:dyDescent="0.3">
      <c r="A1981" s="137">
        <v>3</v>
      </c>
      <c r="B1981" s="3402">
        <v>44359</v>
      </c>
      <c r="C1981" s="642" t="s">
        <v>138</v>
      </c>
      <c r="D1981" s="642" t="s">
        <v>1908</v>
      </c>
      <c r="E1981" s="642" t="s">
        <v>1838</v>
      </c>
      <c r="F1981" s="2519">
        <v>1200000</v>
      </c>
      <c r="G1981" s="642" t="s">
        <v>1349</v>
      </c>
      <c r="H1981" s="642" t="s">
        <v>36</v>
      </c>
      <c r="I1981" s="642" t="s">
        <v>36</v>
      </c>
      <c r="J1981" s="642">
        <v>1</v>
      </c>
      <c r="K1981" t="s">
        <v>1770</v>
      </c>
    </row>
    <row r="1982" spans="1:11" hidden="1" x14ac:dyDescent="0.3">
      <c r="A1982" s="137">
        <v>4</v>
      </c>
      <c r="B1982" s="3402">
        <v>44359</v>
      </c>
      <c r="C1982" s="642" t="s">
        <v>138</v>
      </c>
      <c r="D1982" s="642" t="s">
        <v>1909</v>
      </c>
      <c r="E1982" s="642" t="s">
        <v>1838</v>
      </c>
      <c r="F1982" s="2519">
        <v>1280000</v>
      </c>
      <c r="G1982" s="642" t="s">
        <v>1349</v>
      </c>
      <c r="H1982" s="642" t="s">
        <v>36</v>
      </c>
      <c r="I1982" s="642" t="s">
        <v>36</v>
      </c>
      <c r="J1982" s="642">
        <v>1</v>
      </c>
      <c r="K1982" t="s">
        <v>1770</v>
      </c>
    </row>
    <row r="1983" spans="1:11" hidden="1" x14ac:dyDescent="0.3">
      <c r="A1983" s="137">
        <v>5</v>
      </c>
      <c r="B1983" s="3402">
        <v>44481</v>
      </c>
      <c r="C1983" s="642" t="s">
        <v>138</v>
      </c>
      <c r="D1983" s="642" t="s">
        <v>1910</v>
      </c>
      <c r="E1983" s="642" t="s">
        <v>1838</v>
      </c>
      <c r="F1983" s="2519">
        <v>1100000</v>
      </c>
      <c r="G1983" s="642" t="s">
        <v>1911</v>
      </c>
      <c r="H1983" s="642" t="s">
        <v>36</v>
      </c>
      <c r="I1983" s="642" t="s">
        <v>36</v>
      </c>
      <c r="J1983" s="642">
        <v>1</v>
      </c>
      <c r="K1983" t="s">
        <v>1530</v>
      </c>
    </row>
    <row r="1984" spans="1:11" hidden="1" x14ac:dyDescent="0.3">
      <c r="A1984" s="137">
        <v>6</v>
      </c>
      <c r="B1984" s="3402">
        <v>44481</v>
      </c>
      <c r="C1984" s="642" t="s">
        <v>138</v>
      </c>
      <c r="D1984" s="642" t="s">
        <v>1912</v>
      </c>
      <c r="E1984" s="642" t="s">
        <v>998</v>
      </c>
      <c r="F1984" s="2519">
        <v>1200000</v>
      </c>
      <c r="G1984" s="642" t="s">
        <v>1913</v>
      </c>
      <c r="H1984" s="642" t="s">
        <v>1468</v>
      </c>
      <c r="I1984" s="642" t="s">
        <v>36</v>
      </c>
      <c r="J1984" s="642">
        <v>1</v>
      </c>
      <c r="K1984" t="s">
        <v>1530</v>
      </c>
    </row>
    <row r="1985" spans="1:11" hidden="1" x14ac:dyDescent="0.3">
      <c r="A1985" s="137">
        <v>7</v>
      </c>
      <c r="B1985" s="3402">
        <v>44481</v>
      </c>
      <c r="C1985" s="641" t="s">
        <v>138</v>
      </c>
      <c r="D1985" s="641" t="s">
        <v>1914</v>
      </c>
      <c r="E1985" s="641" t="s">
        <v>1915</v>
      </c>
      <c r="F1985" s="2520">
        <v>1200000</v>
      </c>
      <c r="G1985" s="641" t="s">
        <v>43</v>
      </c>
      <c r="H1985" s="641" t="s">
        <v>1468</v>
      </c>
      <c r="I1985" s="641" t="s">
        <v>36</v>
      </c>
      <c r="J1985" s="642">
        <v>1</v>
      </c>
      <c r="K1985" t="s">
        <v>217</v>
      </c>
    </row>
    <row r="1986" spans="1:11" hidden="1" x14ac:dyDescent="0.3">
      <c r="A1986" s="137">
        <v>8</v>
      </c>
      <c r="B1986" s="765" t="s">
        <v>1820</v>
      </c>
      <c r="C1986" s="642" t="s">
        <v>138</v>
      </c>
      <c r="D1986" s="642" t="s">
        <v>1916</v>
      </c>
      <c r="E1986" s="642" t="s">
        <v>1130</v>
      </c>
      <c r="F1986" s="2519">
        <v>1100000</v>
      </c>
      <c r="G1986" s="642" t="s">
        <v>1917</v>
      </c>
      <c r="H1986" s="642" t="s">
        <v>1468</v>
      </c>
      <c r="I1986" s="642" t="s">
        <v>36</v>
      </c>
      <c r="J1986" s="642">
        <v>1</v>
      </c>
      <c r="K1986" t="s">
        <v>1530</v>
      </c>
    </row>
    <row r="1987" spans="1:11" hidden="1" x14ac:dyDescent="0.3">
      <c r="A1987" s="137">
        <v>9</v>
      </c>
      <c r="B1987" s="765" t="s">
        <v>1820</v>
      </c>
      <c r="C1987" s="642" t="s">
        <v>74</v>
      </c>
      <c r="D1987" s="642" t="s">
        <v>1918</v>
      </c>
      <c r="E1987" s="642" t="s">
        <v>780</v>
      </c>
      <c r="F1987" s="2519">
        <v>950000</v>
      </c>
      <c r="G1987" s="642" t="s">
        <v>43</v>
      </c>
      <c r="H1987" s="642" t="s">
        <v>36</v>
      </c>
      <c r="I1987" s="642" t="s">
        <v>36</v>
      </c>
      <c r="J1987" s="642">
        <v>1</v>
      </c>
      <c r="K1987" t="s">
        <v>1530</v>
      </c>
    </row>
    <row r="1988" spans="1:11" hidden="1" x14ac:dyDescent="0.3">
      <c r="A1988" s="137">
        <v>10</v>
      </c>
      <c r="B1988" s="765" t="s">
        <v>1854</v>
      </c>
      <c r="C1988" s="642" t="s">
        <v>138</v>
      </c>
      <c r="D1988" s="642" t="s">
        <v>1919</v>
      </c>
      <c r="E1988" s="642" t="s">
        <v>1838</v>
      </c>
      <c r="F1988" s="2519">
        <v>1100000</v>
      </c>
      <c r="G1988" s="642" t="s">
        <v>1911</v>
      </c>
      <c r="H1988" s="642" t="s">
        <v>1468</v>
      </c>
      <c r="I1988" s="642" t="s">
        <v>36</v>
      </c>
      <c r="J1988" s="642">
        <v>1</v>
      </c>
      <c r="K1988" t="s">
        <v>217</v>
      </c>
    </row>
    <row r="1989" spans="1:11" hidden="1" x14ac:dyDescent="0.3">
      <c r="A1989" s="137">
        <v>11</v>
      </c>
      <c r="B1989" s="765" t="s">
        <v>1827</v>
      </c>
      <c r="C1989" s="642" t="s">
        <v>138</v>
      </c>
      <c r="D1989" s="642" t="s">
        <v>1920</v>
      </c>
      <c r="E1989" s="642" t="s">
        <v>1838</v>
      </c>
      <c r="F1989" s="2519">
        <v>1200000</v>
      </c>
      <c r="G1989" s="642" t="s">
        <v>1911</v>
      </c>
      <c r="H1989" s="642" t="s">
        <v>1468</v>
      </c>
      <c r="I1989" s="642" t="s">
        <v>36</v>
      </c>
      <c r="J1989" s="642">
        <v>1</v>
      </c>
      <c r="K1989" t="s">
        <v>217</v>
      </c>
    </row>
    <row r="1990" spans="1:11" hidden="1" x14ac:dyDescent="0.3">
      <c r="A1990" s="137">
        <v>12</v>
      </c>
      <c r="B1990" s="765" t="s">
        <v>1827</v>
      </c>
      <c r="C1990" s="642" t="s">
        <v>138</v>
      </c>
      <c r="D1990" s="642" t="s">
        <v>1921</v>
      </c>
      <c r="E1990" s="642" t="s">
        <v>1751</v>
      </c>
      <c r="F1990" s="2519">
        <v>800000</v>
      </c>
      <c r="G1990" s="642" t="s">
        <v>1752</v>
      </c>
      <c r="H1990" s="642" t="s">
        <v>1468</v>
      </c>
      <c r="I1990" s="642" t="s">
        <v>36</v>
      </c>
      <c r="J1990" s="642">
        <v>1</v>
      </c>
      <c r="K1990" t="s">
        <v>1455</v>
      </c>
    </row>
    <row r="1991" spans="1:11" hidden="1" x14ac:dyDescent="0.3">
      <c r="A1991" s="137">
        <v>13</v>
      </c>
      <c r="B1991" s="765" t="s">
        <v>1831</v>
      </c>
      <c r="C1991" s="642" t="s">
        <v>138</v>
      </c>
      <c r="D1991" s="642" t="s">
        <v>1922</v>
      </c>
      <c r="E1991" s="642" t="s">
        <v>784</v>
      </c>
      <c r="F1991" s="2519">
        <v>1050000</v>
      </c>
      <c r="G1991" s="642" t="s">
        <v>1923</v>
      </c>
      <c r="H1991" s="642" t="s">
        <v>1468</v>
      </c>
      <c r="I1991" s="642" t="s">
        <v>36</v>
      </c>
      <c r="J1991" s="642">
        <v>1</v>
      </c>
      <c r="K1991" t="s">
        <v>1232</v>
      </c>
    </row>
    <row r="1992" spans="1:11" hidden="1" x14ac:dyDescent="0.3">
      <c r="A1992" s="137">
        <v>14</v>
      </c>
      <c r="B1992" s="765" t="s">
        <v>1898</v>
      </c>
      <c r="C1992" s="642" t="s">
        <v>1924</v>
      </c>
      <c r="D1992" s="642" t="s">
        <v>1925</v>
      </c>
      <c r="E1992" s="642" t="s">
        <v>1751</v>
      </c>
      <c r="F1992" s="2519">
        <v>750000</v>
      </c>
      <c r="G1992" s="642" t="s">
        <v>1752</v>
      </c>
      <c r="H1992" s="642" t="s">
        <v>36</v>
      </c>
      <c r="I1992" s="642" t="s">
        <v>36</v>
      </c>
      <c r="J1992" s="642">
        <v>1</v>
      </c>
      <c r="K1992" t="s">
        <v>1232</v>
      </c>
    </row>
    <row r="1993" spans="1:11" hidden="1" x14ac:dyDescent="0.3">
      <c r="A1993" s="1781">
        <v>15</v>
      </c>
      <c r="B1993" s="765" t="s">
        <v>1898</v>
      </c>
      <c r="C1993" s="642" t="s">
        <v>138</v>
      </c>
      <c r="D1993" s="641" t="s">
        <v>1926</v>
      </c>
      <c r="E1993" s="641" t="s">
        <v>1838</v>
      </c>
      <c r="F1993" s="2520">
        <v>1250000</v>
      </c>
      <c r="G1993" s="641" t="s">
        <v>1911</v>
      </c>
      <c r="H1993" s="641" t="s">
        <v>1468</v>
      </c>
      <c r="I1993" s="641" t="s">
        <v>36</v>
      </c>
      <c r="J1993" s="642">
        <v>1</v>
      </c>
      <c r="K1993" t="s">
        <v>217</v>
      </c>
    </row>
    <row r="1994" spans="1:11" hidden="1" x14ac:dyDescent="0.3">
      <c r="A1994" s="1781">
        <v>16</v>
      </c>
      <c r="B1994" s="765" t="s">
        <v>1898</v>
      </c>
      <c r="C1994" s="642" t="s">
        <v>138</v>
      </c>
      <c r="D1994" s="641" t="s">
        <v>1927</v>
      </c>
      <c r="E1994" s="641" t="s">
        <v>925</v>
      </c>
      <c r="F1994" s="2520">
        <v>850000</v>
      </c>
      <c r="G1994" s="641" t="s">
        <v>1928</v>
      </c>
      <c r="H1994" s="641" t="s">
        <v>36</v>
      </c>
      <c r="I1994" s="641" t="s">
        <v>36</v>
      </c>
      <c r="J1994" s="642">
        <v>1</v>
      </c>
      <c r="K1994" t="s">
        <v>217</v>
      </c>
    </row>
    <row r="1995" spans="1:11" hidden="1" x14ac:dyDescent="0.3">
      <c r="A1995" s="1781">
        <v>17</v>
      </c>
      <c r="B1995" s="765" t="s">
        <v>1898</v>
      </c>
      <c r="C1995" s="642" t="s">
        <v>138</v>
      </c>
      <c r="D1995" s="641" t="s">
        <v>1929</v>
      </c>
      <c r="E1995" s="641" t="s">
        <v>68</v>
      </c>
      <c r="F1995" s="2520">
        <v>1500000</v>
      </c>
      <c r="G1995" s="641" t="s">
        <v>140</v>
      </c>
      <c r="H1995" s="641" t="s">
        <v>1468</v>
      </c>
      <c r="I1995" s="641" t="s">
        <v>36</v>
      </c>
      <c r="J1995" s="642">
        <v>1</v>
      </c>
      <c r="K1995" t="s">
        <v>1455</v>
      </c>
    </row>
    <row r="1996" spans="1:11" hidden="1" x14ac:dyDescent="0.3">
      <c r="A1996" s="1781">
        <v>18</v>
      </c>
      <c r="B1996" s="765" t="s">
        <v>1898</v>
      </c>
      <c r="C1996" s="642" t="s">
        <v>138</v>
      </c>
      <c r="D1996" s="641" t="s">
        <v>1930</v>
      </c>
      <c r="E1996" s="641" t="s">
        <v>68</v>
      </c>
      <c r="F1996" s="2520">
        <v>1500000</v>
      </c>
      <c r="G1996" s="641" t="s">
        <v>140</v>
      </c>
      <c r="H1996" s="641" t="s">
        <v>1468</v>
      </c>
      <c r="I1996" s="641" t="s">
        <v>36</v>
      </c>
      <c r="J1996" s="642">
        <v>1</v>
      </c>
      <c r="K1996" t="s">
        <v>217</v>
      </c>
    </row>
    <row r="1997" spans="1:11" hidden="1" x14ac:dyDescent="0.3">
      <c r="A1997" s="1781">
        <v>19</v>
      </c>
      <c r="B1997" s="765" t="s">
        <v>1836</v>
      </c>
      <c r="C1997" s="641" t="s">
        <v>219</v>
      </c>
      <c r="D1997" s="641" t="s">
        <v>1931</v>
      </c>
      <c r="E1997" s="641" t="s">
        <v>1932</v>
      </c>
      <c r="F1997" s="2520">
        <v>3200000</v>
      </c>
      <c r="G1997" s="641" t="s">
        <v>43</v>
      </c>
      <c r="H1997" s="641" t="s">
        <v>1468</v>
      </c>
      <c r="I1997" s="641" t="s">
        <v>36</v>
      </c>
      <c r="J1997" s="642">
        <v>1</v>
      </c>
      <c r="K1997" t="s">
        <v>217</v>
      </c>
    </row>
    <row r="1998" spans="1:11" hidden="1" x14ac:dyDescent="0.3">
      <c r="A1998" s="1781">
        <v>20</v>
      </c>
      <c r="B1998" s="765" t="s">
        <v>1836</v>
      </c>
      <c r="C1998" s="641" t="s">
        <v>1881</v>
      </c>
      <c r="D1998" s="641" t="s">
        <v>1933</v>
      </c>
      <c r="E1998" s="641" t="s">
        <v>1932</v>
      </c>
      <c r="F1998" s="2520">
        <v>3200000</v>
      </c>
      <c r="G1998" s="641" t="s">
        <v>43</v>
      </c>
      <c r="H1998" s="641" t="s">
        <v>1468</v>
      </c>
      <c r="I1998" s="641" t="s">
        <v>36</v>
      </c>
      <c r="J1998" s="642">
        <v>1</v>
      </c>
      <c r="K1998" t="s">
        <v>1232</v>
      </c>
    </row>
    <row r="1999" spans="1:11" hidden="1" x14ac:dyDescent="0.3">
      <c r="A1999" s="1781"/>
      <c r="B1999" s="765"/>
      <c r="C1999" s="641"/>
      <c r="D1999" s="641"/>
      <c r="E1999" s="641"/>
      <c r="F1999" s="2520"/>
      <c r="G1999" s="641"/>
      <c r="H1999" s="641"/>
      <c r="I1999" s="641"/>
      <c r="J1999" s="642"/>
    </row>
    <row r="2000" spans="1:11" ht="24.6" hidden="1" x14ac:dyDescent="0.4">
      <c r="A2000" s="1781"/>
      <c r="B2000" s="765"/>
      <c r="C2000" s="641"/>
      <c r="D2000" s="641"/>
      <c r="E2000" s="641"/>
      <c r="F2000" s="1358"/>
      <c r="G2000" s="641"/>
      <c r="H2000" s="641"/>
      <c r="I2000" s="641"/>
      <c r="J2000" s="1837"/>
    </row>
    <row r="2001" spans="1:11" ht="25.5" hidden="1" customHeight="1" x14ac:dyDescent="0.4">
      <c r="A2001" s="3462" t="s">
        <v>33</v>
      </c>
      <c r="B2001" s="3462"/>
      <c r="C2001" s="3462"/>
      <c r="D2001" s="3462"/>
      <c r="E2001" s="3462"/>
      <c r="F2001" s="3462"/>
      <c r="G2001" s="3462"/>
      <c r="H2001" s="3462"/>
      <c r="I2001" s="3462"/>
      <c r="J2001" s="3462"/>
    </row>
    <row r="2002" spans="1:11" hidden="1" x14ac:dyDescent="0.3">
      <c r="A2002" s="137" t="s">
        <v>3</v>
      </c>
      <c r="B2002" s="1781" t="s">
        <v>4</v>
      </c>
      <c r="C2002" s="137" t="s">
        <v>5</v>
      </c>
      <c r="D2002" s="137" t="s">
        <v>6</v>
      </c>
      <c r="E2002" s="137" t="s">
        <v>7</v>
      </c>
      <c r="F2002" s="137" t="s">
        <v>8</v>
      </c>
      <c r="G2002" s="137" t="s">
        <v>9</v>
      </c>
      <c r="H2002" s="137" t="s">
        <v>10</v>
      </c>
      <c r="I2002" s="137" t="s">
        <v>11</v>
      </c>
      <c r="J2002" s="137" t="s">
        <v>12</v>
      </c>
    </row>
    <row r="2003" spans="1:11" ht="15.6" hidden="1" x14ac:dyDescent="0.3">
      <c r="A2003" s="1845">
        <v>1</v>
      </c>
      <c r="B2003" s="3404" t="s">
        <v>1820</v>
      </c>
      <c r="C2003" s="1838" t="s">
        <v>138</v>
      </c>
      <c r="D2003" s="2502" t="s">
        <v>1934</v>
      </c>
      <c r="E2003" s="1838" t="s">
        <v>840</v>
      </c>
      <c r="F2003" s="1838">
        <v>179000000</v>
      </c>
      <c r="G2003" s="1838" t="s">
        <v>43</v>
      </c>
      <c r="H2003" s="1838" t="s">
        <v>1468</v>
      </c>
      <c r="I2003" s="1838" t="s">
        <v>36</v>
      </c>
      <c r="J2003" s="1839">
        <v>1</v>
      </c>
    </row>
    <row r="2004" spans="1:11" hidden="1" x14ac:dyDescent="0.3">
      <c r="A2004" s="1845">
        <v>2</v>
      </c>
      <c r="B2004" s="3404" t="s">
        <v>1825</v>
      </c>
      <c r="C2004" s="1838" t="s">
        <v>1935</v>
      </c>
      <c r="D2004" s="1838" t="s">
        <v>1936</v>
      </c>
      <c r="E2004" s="1838" t="s">
        <v>1937</v>
      </c>
      <c r="F2004" s="1838">
        <v>1300000000</v>
      </c>
      <c r="G2004" s="1838" t="s">
        <v>43</v>
      </c>
      <c r="H2004" s="1838" t="s">
        <v>1468</v>
      </c>
      <c r="I2004" s="1838" t="s">
        <v>36</v>
      </c>
      <c r="J2004" s="1839">
        <v>1</v>
      </c>
    </row>
    <row r="2005" spans="1:11" hidden="1" x14ac:dyDescent="0.3">
      <c r="A2005" s="1846">
        <v>3</v>
      </c>
      <c r="B2005" s="3410" t="s">
        <v>1803</v>
      </c>
      <c r="C2005" s="1840" t="s">
        <v>74</v>
      </c>
      <c r="D2005" s="1838" t="s">
        <v>1938</v>
      </c>
      <c r="E2005" s="1840" t="s">
        <v>925</v>
      </c>
      <c r="F2005" s="1840" t="s">
        <v>1939</v>
      </c>
      <c r="G2005" s="1840" t="s">
        <v>43</v>
      </c>
      <c r="H2005" s="1840" t="s">
        <v>1468</v>
      </c>
      <c r="I2005" s="1840" t="s">
        <v>36</v>
      </c>
      <c r="J2005" s="1841">
        <v>1</v>
      </c>
    </row>
    <row r="2006" spans="1:11" ht="24.6" hidden="1" x14ac:dyDescent="0.4">
      <c r="A2006" s="1842"/>
      <c r="B2006" s="2177"/>
      <c r="C2006" s="1842"/>
      <c r="D2006" s="1842"/>
      <c r="E2006" s="1842"/>
      <c r="F2006" s="1842"/>
      <c r="G2006" s="1842"/>
      <c r="H2006" s="1842"/>
      <c r="I2006" s="1842"/>
      <c r="J2006" s="1852"/>
    </row>
    <row r="2007" spans="1:11" hidden="1" x14ac:dyDescent="0.3"/>
    <row r="2008" spans="1:11" hidden="1" x14ac:dyDescent="0.3"/>
    <row r="2009" spans="1:11" ht="23.25" hidden="1" customHeight="1" x14ac:dyDescent="0.3">
      <c r="A2009" s="3467" t="s">
        <v>523</v>
      </c>
      <c r="B2009" s="3467"/>
      <c r="C2009" s="3467"/>
      <c r="D2009" s="3467"/>
      <c r="E2009" s="3467"/>
      <c r="F2009" s="3467"/>
      <c r="G2009" s="3467"/>
      <c r="H2009" s="3467"/>
      <c r="I2009" s="3467"/>
      <c r="J2009" s="3467"/>
    </row>
    <row r="2010" spans="1:11" ht="15.75" hidden="1" customHeight="1" x14ac:dyDescent="0.3">
      <c r="A2010" s="3461" t="s">
        <v>2</v>
      </c>
      <c r="B2010" s="3461"/>
      <c r="C2010" s="3461"/>
      <c r="D2010" s="3461"/>
      <c r="E2010" s="3461"/>
      <c r="F2010" s="3461"/>
      <c r="G2010" s="3461"/>
      <c r="H2010" s="3461"/>
      <c r="I2010" s="3461"/>
      <c r="J2010" s="3461"/>
    </row>
    <row r="2011" spans="1:11" hidden="1" x14ac:dyDescent="0.3">
      <c r="A2011" s="137" t="s">
        <v>3</v>
      </c>
      <c r="B2011" s="1781" t="s">
        <v>4</v>
      </c>
      <c r="C2011" s="137" t="s">
        <v>5</v>
      </c>
      <c r="D2011" s="137" t="s">
        <v>6</v>
      </c>
      <c r="E2011" s="137" t="s">
        <v>7</v>
      </c>
      <c r="F2011" s="137" t="s">
        <v>8</v>
      </c>
      <c r="G2011" s="137" t="s">
        <v>9</v>
      </c>
      <c r="H2011" s="137" t="s">
        <v>10</v>
      </c>
      <c r="I2011" s="137" t="s">
        <v>11</v>
      </c>
      <c r="J2011" s="137" t="s">
        <v>12</v>
      </c>
    </row>
    <row r="2012" spans="1:11" hidden="1" x14ac:dyDescent="0.3">
      <c r="A2012" s="137">
        <v>1</v>
      </c>
      <c r="B2012" s="3402">
        <v>44208</v>
      </c>
      <c r="C2012" s="642" t="s">
        <v>138</v>
      </c>
      <c r="D2012" s="642" t="s">
        <v>1940</v>
      </c>
      <c r="E2012" s="642" t="s">
        <v>836</v>
      </c>
      <c r="F2012" s="2519">
        <v>750000</v>
      </c>
      <c r="G2012" s="642" t="s">
        <v>168</v>
      </c>
      <c r="H2012" s="642" t="s">
        <v>36</v>
      </c>
      <c r="I2012" s="642" t="s">
        <v>36</v>
      </c>
      <c r="J2012" s="642">
        <v>1</v>
      </c>
      <c r="K2012" t="s">
        <v>217</v>
      </c>
    </row>
    <row r="2013" spans="1:11" hidden="1" x14ac:dyDescent="0.3">
      <c r="A2013" s="137">
        <v>2</v>
      </c>
      <c r="B2013" s="3402">
        <v>44208</v>
      </c>
      <c r="C2013" s="642" t="s">
        <v>138</v>
      </c>
      <c r="D2013" s="642" t="s">
        <v>1941</v>
      </c>
      <c r="E2013" s="642" t="s">
        <v>1838</v>
      </c>
      <c r="F2013" s="2519">
        <v>1300000</v>
      </c>
      <c r="G2013" s="642" t="s">
        <v>1942</v>
      </c>
      <c r="H2013" s="642" t="s">
        <v>44</v>
      </c>
      <c r="I2013" s="642" t="s">
        <v>36</v>
      </c>
      <c r="J2013" s="642">
        <v>1</v>
      </c>
      <c r="K2013" t="s">
        <v>1770</v>
      </c>
    </row>
    <row r="2014" spans="1:11" hidden="1" x14ac:dyDescent="0.3">
      <c r="A2014" s="137">
        <v>3</v>
      </c>
      <c r="B2014" s="3402">
        <v>44208</v>
      </c>
      <c r="C2014" s="642" t="s">
        <v>138</v>
      </c>
      <c r="D2014" s="642" t="s">
        <v>1943</v>
      </c>
      <c r="E2014" s="642" t="s">
        <v>1838</v>
      </c>
      <c r="F2014" s="2519">
        <v>1200000</v>
      </c>
      <c r="G2014" s="642" t="s">
        <v>1095</v>
      </c>
      <c r="H2014" s="642" t="s">
        <v>1944</v>
      </c>
      <c r="I2014" s="642" t="s">
        <v>36</v>
      </c>
      <c r="J2014" s="642">
        <v>1</v>
      </c>
      <c r="K2014" t="s">
        <v>1530</v>
      </c>
    </row>
    <row r="2015" spans="1:11" hidden="1" x14ac:dyDescent="0.3">
      <c r="A2015" s="137">
        <v>4</v>
      </c>
      <c r="B2015" s="3402">
        <v>44239</v>
      </c>
      <c r="C2015" s="642" t="s">
        <v>138</v>
      </c>
      <c r="D2015" s="642" t="s">
        <v>1945</v>
      </c>
      <c r="E2015" s="642" t="s">
        <v>1838</v>
      </c>
      <c r="F2015" s="2519">
        <v>1300000</v>
      </c>
      <c r="G2015" s="642" t="s">
        <v>1942</v>
      </c>
      <c r="H2015" s="642" t="s">
        <v>36</v>
      </c>
      <c r="I2015" s="642" t="s">
        <v>36</v>
      </c>
      <c r="J2015" s="642">
        <v>1</v>
      </c>
      <c r="K2015" t="s">
        <v>1770</v>
      </c>
    </row>
    <row r="2016" spans="1:11" hidden="1" x14ac:dyDescent="0.3">
      <c r="A2016" s="137">
        <v>5</v>
      </c>
      <c r="B2016" s="3402">
        <v>44239</v>
      </c>
      <c r="C2016" s="642" t="s">
        <v>138</v>
      </c>
      <c r="D2016" s="642" t="s">
        <v>1946</v>
      </c>
      <c r="E2016" s="642" t="s">
        <v>1838</v>
      </c>
      <c r="F2016" s="2519">
        <v>1200000</v>
      </c>
      <c r="G2016" s="642" t="s">
        <v>1095</v>
      </c>
      <c r="H2016" s="642" t="s">
        <v>36</v>
      </c>
      <c r="I2016" s="642" t="s">
        <v>36</v>
      </c>
      <c r="J2016" s="642">
        <v>1</v>
      </c>
      <c r="K2016" t="s">
        <v>1530</v>
      </c>
    </row>
    <row r="2017" spans="1:11" hidden="1" x14ac:dyDescent="0.3">
      <c r="A2017" s="137">
        <v>6</v>
      </c>
      <c r="B2017" s="3402">
        <v>44298</v>
      </c>
      <c r="C2017" s="642" t="s">
        <v>138</v>
      </c>
      <c r="D2017" s="642" t="s">
        <v>1297</v>
      </c>
      <c r="E2017" s="642" t="s">
        <v>1838</v>
      </c>
      <c r="F2017" s="2519">
        <v>1150000</v>
      </c>
      <c r="G2017" s="642" t="s">
        <v>1095</v>
      </c>
      <c r="H2017" s="642" t="s">
        <v>44</v>
      </c>
      <c r="I2017" s="642" t="s">
        <v>36</v>
      </c>
      <c r="J2017" s="642">
        <v>1</v>
      </c>
      <c r="K2017" t="s">
        <v>1530</v>
      </c>
    </row>
    <row r="2018" spans="1:11" hidden="1" x14ac:dyDescent="0.3">
      <c r="A2018" s="137">
        <v>7</v>
      </c>
      <c r="B2018" s="3402">
        <v>44359</v>
      </c>
      <c r="C2018" s="641" t="s">
        <v>138</v>
      </c>
      <c r="D2018" s="641" t="s">
        <v>1947</v>
      </c>
      <c r="E2018" s="641" t="s">
        <v>1838</v>
      </c>
      <c r="F2018" s="2520">
        <v>1200000</v>
      </c>
      <c r="G2018" s="641" t="s">
        <v>1095</v>
      </c>
      <c r="H2018" s="641" t="s">
        <v>36</v>
      </c>
      <c r="I2018" s="641" t="s">
        <v>36</v>
      </c>
      <c r="J2018" s="642">
        <v>1</v>
      </c>
      <c r="K2018" t="s">
        <v>1530</v>
      </c>
    </row>
    <row r="2019" spans="1:11" hidden="1" x14ac:dyDescent="0.3">
      <c r="A2019" s="137">
        <v>9</v>
      </c>
      <c r="B2019" s="3402">
        <v>44359</v>
      </c>
      <c r="C2019" s="642" t="s">
        <v>138</v>
      </c>
      <c r="D2019" s="642" t="s">
        <v>1948</v>
      </c>
      <c r="E2019" s="642" t="s">
        <v>1838</v>
      </c>
      <c r="F2019" s="2519">
        <v>1200000</v>
      </c>
      <c r="G2019" s="642" t="s">
        <v>1319</v>
      </c>
      <c r="H2019" s="642" t="s">
        <v>36</v>
      </c>
      <c r="I2019" s="642" t="s">
        <v>36</v>
      </c>
      <c r="J2019" s="642">
        <v>1</v>
      </c>
      <c r="K2019" t="s">
        <v>1530</v>
      </c>
    </row>
    <row r="2020" spans="1:11" hidden="1" x14ac:dyDescent="0.3">
      <c r="A2020" s="137">
        <v>10</v>
      </c>
      <c r="B2020" s="3402">
        <v>44389</v>
      </c>
      <c r="C2020" s="642" t="s">
        <v>138</v>
      </c>
      <c r="D2020" s="642" t="s">
        <v>1949</v>
      </c>
      <c r="E2020" s="642" t="s">
        <v>1838</v>
      </c>
      <c r="F2020" s="2519">
        <v>1200000</v>
      </c>
      <c r="G2020" s="642" t="s">
        <v>634</v>
      </c>
      <c r="H2020" s="642" t="s">
        <v>1468</v>
      </c>
      <c r="I2020" s="642" t="s">
        <v>36</v>
      </c>
      <c r="J2020" s="642">
        <v>1</v>
      </c>
      <c r="K2020" t="s">
        <v>1232</v>
      </c>
    </row>
    <row r="2021" spans="1:11" hidden="1" x14ac:dyDescent="0.3">
      <c r="A2021" s="137">
        <v>11</v>
      </c>
      <c r="B2021" s="3402">
        <v>44481</v>
      </c>
      <c r="C2021" s="642" t="s">
        <v>138</v>
      </c>
      <c r="D2021" s="642" t="s">
        <v>1950</v>
      </c>
      <c r="E2021" s="642" t="s">
        <v>1838</v>
      </c>
      <c r="F2021" s="2519">
        <v>1200000</v>
      </c>
      <c r="G2021" s="642" t="s">
        <v>1095</v>
      </c>
      <c r="H2021" s="642" t="s">
        <v>36</v>
      </c>
      <c r="I2021" s="642" t="s">
        <v>36</v>
      </c>
      <c r="J2021" s="642">
        <v>1</v>
      </c>
      <c r="K2021" t="s">
        <v>1232</v>
      </c>
    </row>
    <row r="2022" spans="1:11" hidden="1" x14ac:dyDescent="0.3">
      <c r="A2022" s="137">
        <v>12</v>
      </c>
      <c r="B2022" s="3402">
        <v>44481</v>
      </c>
      <c r="C2022" s="642" t="s">
        <v>138</v>
      </c>
      <c r="D2022" s="642" t="s">
        <v>1951</v>
      </c>
      <c r="E2022" s="642" t="s">
        <v>1838</v>
      </c>
      <c r="F2022" s="2519">
        <v>1400000</v>
      </c>
      <c r="G2022" s="642" t="s">
        <v>634</v>
      </c>
      <c r="H2022" s="642" t="s">
        <v>1468</v>
      </c>
      <c r="I2022" s="642" t="s">
        <v>36</v>
      </c>
      <c r="J2022" s="642">
        <v>1</v>
      </c>
      <c r="K2022" t="s">
        <v>217</v>
      </c>
    </row>
    <row r="2023" spans="1:11" hidden="1" x14ac:dyDescent="0.3">
      <c r="A2023" s="137">
        <v>13</v>
      </c>
      <c r="B2023" s="765" t="s">
        <v>1818</v>
      </c>
      <c r="C2023" s="642" t="s">
        <v>138</v>
      </c>
      <c r="D2023" s="642" t="s">
        <v>1952</v>
      </c>
      <c r="E2023" s="642" t="s">
        <v>1838</v>
      </c>
      <c r="F2023" s="2519">
        <v>1200000</v>
      </c>
      <c r="G2023" s="642" t="s">
        <v>1319</v>
      </c>
      <c r="H2023" s="642" t="s">
        <v>36</v>
      </c>
      <c r="I2023" s="642" t="s">
        <v>36</v>
      </c>
      <c r="J2023" s="642">
        <v>1</v>
      </c>
      <c r="K2023" t="s">
        <v>1530</v>
      </c>
    </row>
    <row r="2024" spans="1:11" hidden="1" x14ac:dyDescent="0.3">
      <c r="A2024" s="137">
        <v>14</v>
      </c>
      <c r="B2024" s="765" t="s">
        <v>1820</v>
      </c>
      <c r="C2024" s="642" t="s">
        <v>138</v>
      </c>
      <c r="D2024" s="642" t="s">
        <v>1953</v>
      </c>
      <c r="E2024" s="642" t="s">
        <v>1838</v>
      </c>
      <c r="F2024" s="2519">
        <v>1300000</v>
      </c>
      <c r="G2024" s="642" t="s">
        <v>1095</v>
      </c>
      <c r="H2024" s="642" t="s">
        <v>1468</v>
      </c>
      <c r="I2024" s="642" t="s">
        <v>36</v>
      </c>
      <c r="J2024" s="642">
        <v>1</v>
      </c>
      <c r="K2024" t="s">
        <v>1232</v>
      </c>
    </row>
    <row r="2025" spans="1:11" hidden="1" x14ac:dyDescent="0.3">
      <c r="A2025" s="1781">
        <v>15</v>
      </c>
      <c r="B2025" s="3402" t="s">
        <v>1820</v>
      </c>
      <c r="C2025" s="642" t="s">
        <v>138</v>
      </c>
      <c r="D2025" s="641" t="s">
        <v>1954</v>
      </c>
      <c r="E2025" s="641" t="s">
        <v>1838</v>
      </c>
      <c r="F2025" s="2520">
        <v>1300000</v>
      </c>
      <c r="G2025" s="641" t="s">
        <v>1095</v>
      </c>
      <c r="H2025" s="641" t="s">
        <v>1468</v>
      </c>
      <c r="I2025" s="641" t="s">
        <v>36</v>
      </c>
      <c r="J2025" s="642">
        <v>1</v>
      </c>
      <c r="K2025" t="s">
        <v>1232</v>
      </c>
    </row>
    <row r="2026" spans="1:11" hidden="1" x14ac:dyDescent="0.3">
      <c r="A2026" s="1781">
        <v>16</v>
      </c>
      <c r="B2026" s="3392" t="s">
        <v>1831</v>
      </c>
      <c r="C2026" s="150" t="s">
        <v>138</v>
      </c>
      <c r="D2026" s="641" t="s">
        <v>1955</v>
      </c>
      <c r="E2026" s="150" t="s">
        <v>962</v>
      </c>
      <c r="F2026" s="2521">
        <v>1100000</v>
      </c>
      <c r="G2026" s="150" t="s">
        <v>634</v>
      </c>
      <c r="H2026" s="150" t="s">
        <v>1468</v>
      </c>
      <c r="I2026" s="150" t="s">
        <v>36</v>
      </c>
      <c r="J2026" s="137">
        <v>1</v>
      </c>
      <c r="K2026" t="s">
        <v>1455</v>
      </c>
    </row>
    <row r="2027" spans="1:11" hidden="1" x14ac:dyDescent="0.3">
      <c r="A2027" s="1781">
        <v>17</v>
      </c>
      <c r="B2027" s="3392" t="s">
        <v>1831</v>
      </c>
      <c r="C2027" s="150" t="s">
        <v>138</v>
      </c>
      <c r="D2027" s="641" t="s">
        <v>1956</v>
      </c>
      <c r="E2027" s="150" t="s">
        <v>962</v>
      </c>
      <c r="F2027" s="2521">
        <v>1100000</v>
      </c>
      <c r="G2027" s="150" t="s">
        <v>705</v>
      </c>
      <c r="H2027" s="150" t="s">
        <v>36</v>
      </c>
      <c r="I2027" s="150" t="s">
        <v>36</v>
      </c>
      <c r="J2027" s="137">
        <v>1</v>
      </c>
      <c r="K2027" t="s">
        <v>1455</v>
      </c>
    </row>
    <row r="2028" spans="1:11" hidden="1" x14ac:dyDescent="0.3">
      <c r="A2028" s="1781">
        <v>18</v>
      </c>
      <c r="B2028" s="3392" t="s">
        <v>1831</v>
      </c>
      <c r="C2028" s="150" t="s">
        <v>138</v>
      </c>
      <c r="D2028" s="641" t="s">
        <v>1957</v>
      </c>
      <c r="E2028" s="150" t="s">
        <v>913</v>
      </c>
      <c r="F2028" s="2521">
        <v>1150000</v>
      </c>
      <c r="G2028" s="150" t="s">
        <v>1116</v>
      </c>
      <c r="H2028" s="150" t="s">
        <v>36</v>
      </c>
      <c r="I2028" s="150" t="s">
        <v>36</v>
      </c>
      <c r="J2028" s="137">
        <v>1</v>
      </c>
      <c r="K2028" t="s">
        <v>1232</v>
      </c>
    </row>
    <row r="2029" spans="1:11" hidden="1" x14ac:dyDescent="0.3">
      <c r="A2029" s="1781">
        <v>19</v>
      </c>
      <c r="B2029" s="3392" t="s">
        <v>1831</v>
      </c>
      <c r="C2029" s="150" t="s">
        <v>138</v>
      </c>
      <c r="D2029" s="641" t="s">
        <v>1958</v>
      </c>
      <c r="E2029" s="150"/>
      <c r="F2029" s="2521">
        <v>1000000</v>
      </c>
      <c r="G2029" s="150" t="s">
        <v>1928</v>
      </c>
      <c r="H2029" s="150" t="s">
        <v>36</v>
      </c>
      <c r="I2029" s="150" t="s">
        <v>36</v>
      </c>
      <c r="J2029" s="137">
        <v>1</v>
      </c>
      <c r="K2029" t="s">
        <v>1455</v>
      </c>
    </row>
    <row r="2030" spans="1:11" hidden="1" x14ac:dyDescent="0.3">
      <c r="A2030" s="1781">
        <v>20</v>
      </c>
      <c r="B2030" s="765" t="s">
        <v>1836</v>
      </c>
      <c r="C2030" s="150" t="s">
        <v>138</v>
      </c>
      <c r="D2030" s="642" t="s">
        <v>1959</v>
      </c>
      <c r="E2030" s="642" t="s">
        <v>1608</v>
      </c>
      <c r="F2030" s="2519">
        <v>1700000</v>
      </c>
      <c r="G2030" s="642"/>
      <c r="H2030" s="642" t="s">
        <v>1468</v>
      </c>
      <c r="I2030" s="642" t="s">
        <v>36</v>
      </c>
      <c r="J2030" s="642">
        <v>1</v>
      </c>
      <c r="K2030" t="s">
        <v>1455</v>
      </c>
    </row>
    <row r="2031" spans="1:11" hidden="1" x14ac:dyDescent="0.3">
      <c r="A2031" s="1781"/>
      <c r="B2031" s="765"/>
      <c r="C2031" s="642"/>
      <c r="D2031" s="642"/>
      <c r="E2031" s="642"/>
      <c r="F2031" s="642"/>
      <c r="G2031" s="642"/>
      <c r="H2031" s="642"/>
      <c r="I2031" s="642"/>
      <c r="J2031" s="642"/>
    </row>
    <row r="2032" spans="1:11" ht="24.6" hidden="1" x14ac:dyDescent="0.4">
      <c r="A2032" s="1781"/>
      <c r="B2032" s="1781"/>
      <c r="C2032" s="150"/>
      <c r="D2032" s="641"/>
      <c r="E2032" s="150"/>
      <c r="F2032" s="151"/>
      <c r="G2032" s="150"/>
      <c r="H2032" s="150"/>
      <c r="I2032" s="150"/>
      <c r="J2032" s="932">
        <f>SUM(J2012:J2031)</f>
        <v>19</v>
      </c>
    </row>
    <row r="2033" spans="1:11" ht="25.5" hidden="1" customHeight="1" x14ac:dyDescent="0.4">
      <c r="A2033" s="3462" t="s">
        <v>33</v>
      </c>
      <c r="B2033" s="3462"/>
      <c r="C2033" s="3462"/>
      <c r="D2033" s="3462"/>
      <c r="E2033" s="3462"/>
      <c r="F2033" s="3462"/>
      <c r="G2033" s="3462"/>
      <c r="H2033" s="3462"/>
      <c r="I2033" s="3462"/>
      <c r="J2033" s="3462"/>
    </row>
    <row r="2034" spans="1:11" hidden="1" x14ac:dyDescent="0.3">
      <c r="A2034" s="137" t="s">
        <v>3</v>
      </c>
      <c r="B2034" s="1781" t="s">
        <v>4</v>
      </c>
      <c r="C2034" s="137" t="s">
        <v>5</v>
      </c>
      <c r="D2034" s="137" t="s">
        <v>6</v>
      </c>
      <c r="E2034" s="137" t="s">
        <v>7</v>
      </c>
      <c r="F2034" s="137" t="s">
        <v>8</v>
      </c>
      <c r="G2034" s="137" t="s">
        <v>9</v>
      </c>
      <c r="H2034" s="137" t="s">
        <v>10</v>
      </c>
      <c r="I2034" s="137" t="s">
        <v>11</v>
      </c>
      <c r="J2034" s="137" t="s">
        <v>12</v>
      </c>
    </row>
    <row r="2035" spans="1:11" hidden="1" x14ac:dyDescent="0.3">
      <c r="A2035" s="1845">
        <v>1</v>
      </c>
      <c r="B2035" s="3404" t="s">
        <v>1823</v>
      </c>
      <c r="C2035" s="1838" t="s">
        <v>138</v>
      </c>
      <c r="D2035" s="1838" t="s">
        <v>1952</v>
      </c>
      <c r="E2035" s="1838" t="s">
        <v>1838</v>
      </c>
      <c r="F2035" s="1838">
        <v>225000000</v>
      </c>
      <c r="G2035" s="1838" t="s">
        <v>1319</v>
      </c>
      <c r="H2035" s="1838" t="s">
        <v>36</v>
      </c>
      <c r="I2035" s="1838" t="s">
        <v>36</v>
      </c>
      <c r="J2035" s="1839">
        <v>1</v>
      </c>
    </row>
    <row r="2036" spans="1:11" hidden="1" x14ac:dyDescent="0.3">
      <c r="A2036" s="1845">
        <v>2</v>
      </c>
      <c r="B2036" s="3404" t="s">
        <v>1823</v>
      </c>
      <c r="C2036" s="1838" t="s">
        <v>138</v>
      </c>
      <c r="D2036" s="1838" t="s">
        <v>1960</v>
      </c>
      <c r="E2036" s="1838" t="s">
        <v>858</v>
      </c>
      <c r="F2036" s="1838">
        <v>220000000</v>
      </c>
      <c r="G2036" s="1838" t="s">
        <v>43</v>
      </c>
      <c r="H2036" s="1838" t="s">
        <v>36</v>
      </c>
      <c r="I2036" s="1838" t="s">
        <v>36</v>
      </c>
      <c r="J2036" s="1839">
        <v>1</v>
      </c>
    </row>
    <row r="2037" spans="1:11" hidden="1" x14ac:dyDescent="0.3">
      <c r="A2037" s="1846">
        <v>3</v>
      </c>
      <c r="B2037" s="3404" t="s">
        <v>1823</v>
      </c>
      <c r="C2037" s="1840" t="s">
        <v>138</v>
      </c>
      <c r="D2037" s="1840" t="s">
        <v>1948</v>
      </c>
      <c r="E2037" s="1840" t="s">
        <v>1838</v>
      </c>
      <c r="F2037" s="1840">
        <v>210000000</v>
      </c>
      <c r="G2037" s="1840" t="s">
        <v>1319</v>
      </c>
      <c r="H2037" s="1840" t="s">
        <v>36</v>
      </c>
      <c r="I2037" s="1840" t="s">
        <v>36</v>
      </c>
      <c r="J2037" s="1841">
        <v>1</v>
      </c>
    </row>
    <row r="2038" spans="1:11" ht="24.6" hidden="1" x14ac:dyDescent="0.4">
      <c r="A2038" s="1842"/>
      <c r="B2038" s="2177"/>
      <c r="C2038" s="1842"/>
      <c r="D2038" s="1842"/>
      <c r="E2038" s="1842"/>
      <c r="F2038" s="1842"/>
      <c r="G2038" s="1842"/>
      <c r="H2038" s="1842"/>
      <c r="I2038" s="1842"/>
      <c r="J2038" s="1852"/>
    </row>
    <row r="2039" spans="1:11" hidden="1" x14ac:dyDescent="0.3"/>
    <row r="2040" spans="1:11" hidden="1" x14ac:dyDescent="0.3"/>
    <row r="2041" spans="1:11" ht="23.25" hidden="1" customHeight="1" x14ac:dyDescent="0.3">
      <c r="A2041" s="3467" t="s">
        <v>732</v>
      </c>
      <c r="B2041" s="3467"/>
      <c r="C2041" s="3467"/>
      <c r="D2041" s="3467"/>
      <c r="E2041" s="3467"/>
      <c r="F2041" s="3467"/>
      <c r="G2041" s="3467"/>
      <c r="H2041" s="3467"/>
      <c r="I2041" s="3467"/>
      <c r="J2041" s="3467"/>
    </row>
    <row r="2042" spans="1:11" ht="15.75" hidden="1" customHeight="1" x14ac:dyDescent="0.3">
      <c r="A2042" s="3461" t="s">
        <v>2</v>
      </c>
      <c r="B2042" s="3461"/>
      <c r="C2042" s="3461"/>
      <c r="D2042" s="3461"/>
      <c r="E2042" s="3461"/>
      <c r="F2042" s="3461"/>
      <c r="G2042" s="3461"/>
      <c r="H2042" s="3461"/>
      <c r="I2042" s="3461"/>
      <c r="J2042" s="3461"/>
    </row>
    <row r="2043" spans="1:11" hidden="1" x14ac:dyDescent="0.3">
      <c r="A2043" s="137" t="s">
        <v>3</v>
      </c>
      <c r="B2043" s="1781" t="s">
        <v>4</v>
      </c>
      <c r="C2043" s="137" t="s">
        <v>5</v>
      </c>
      <c r="D2043" s="137" t="s">
        <v>6</v>
      </c>
      <c r="E2043" s="137" t="s">
        <v>7</v>
      </c>
      <c r="F2043" s="137" t="s">
        <v>8</v>
      </c>
      <c r="G2043" s="137" t="s">
        <v>9</v>
      </c>
      <c r="H2043" s="137" t="s">
        <v>10</v>
      </c>
      <c r="I2043" s="137" t="s">
        <v>11</v>
      </c>
      <c r="J2043" s="137" t="s">
        <v>12</v>
      </c>
    </row>
    <row r="2044" spans="1:11" hidden="1" x14ac:dyDescent="0.3">
      <c r="A2044" s="137">
        <v>1</v>
      </c>
      <c r="B2044" s="3392">
        <v>44359</v>
      </c>
      <c r="C2044" s="137" t="s">
        <v>138</v>
      </c>
      <c r="D2044" s="642" t="s">
        <v>1961</v>
      </c>
      <c r="E2044" s="137" t="s">
        <v>1130</v>
      </c>
      <c r="F2044" s="137">
        <v>1500000</v>
      </c>
      <c r="G2044" s="137" t="s">
        <v>168</v>
      </c>
      <c r="H2044" s="137" t="s">
        <v>36</v>
      </c>
      <c r="I2044" s="137" t="s">
        <v>36</v>
      </c>
      <c r="J2044" s="137">
        <v>1</v>
      </c>
      <c r="K2044" t="s">
        <v>1530</v>
      </c>
    </row>
    <row r="2045" spans="1:11" hidden="1" x14ac:dyDescent="0.3">
      <c r="A2045" s="137">
        <v>2</v>
      </c>
      <c r="B2045" s="3392"/>
      <c r="C2045" s="137"/>
      <c r="D2045" s="642"/>
      <c r="E2045" s="137"/>
      <c r="F2045" s="137"/>
      <c r="G2045" s="137"/>
      <c r="H2045" s="137"/>
      <c r="I2045" s="137"/>
      <c r="J2045" s="137"/>
    </row>
    <row r="2046" spans="1:11" hidden="1" x14ac:dyDescent="0.3">
      <c r="A2046" s="137">
        <v>3</v>
      </c>
      <c r="B2046" s="1781"/>
      <c r="C2046" s="137"/>
      <c r="D2046" s="642"/>
      <c r="E2046" s="137"/>
      <c r="F2046" s="137"/>
      <c r="G2046" s="137"/>
      <c r="H2046" s="137"/>
      <c r="I2046" s="137"/>
      <c r="J2046" s="137"/>
    </row>
    <row r="2047" spans="1:11" hidden="1" x14ac:dyDescent="0.3">
      <c r="A2047" s="137">
        <v>4</v>
      </c>
      <c r="B2047" s="1781"/>
      <c r="C2047" s="137"/>
      <c r="D2047" s="642"/>
      <c r="E2047" s="137"/>
      <c r="F2047" s="137"/>
      <c r="G2047" s="137"/>
      <c r="H2047" s="137"/>
      <c r="I2047" s="137"/>
      <c r="J2047" s="137"/>
    </row>
    <row r="2048" spans="1:11" hidden="1" x14ac:dyDescent="0.3">
      <c r="A2048" s="137">
        <v>5</v>
      </c>
      <c r="B2048" s="1781"/>
      <c r="C2048" s="137"/>
      <c r="D2048" s="642"/>
      <c r="E2048" s="137"/>
      <c r="F2048" s="137"/>
      <c r="G2048" s="137"/>
      <c r="H2048" s="137"/>
      <c r="I2048" s="137"/>
      <c r="J2048" s="137"/>
    </row>
    <row r="2049" spans="1:10" hidden="1" x14ac:dyDescent="0.3">
      <c r="A2049" s="137">
        <v>6</v>
      </c>
      <c r="B2049" s="1781"/>
      <c r="C2049" s="137"/>
      <c r="D2049" s="642"/>
      <c r="E2049" s="137"/>
      <c r="F2049" s="137"/>
      <c r="G2049" s="137"/>
      <c r="H2049" s="137"/>
      <c r="I2049" s="137"/>
      <c r="J2049" s="137"/>
    </row>
    <row r="2050" spans="1:10" hidden="1" x14ac:dyDescent="0.3">
      <c r="A2050" s="137">
        <v>7</v>
      </c>
      <c r="B2050" s="1781"/>
      <c r="C2050" s="150"/>
      <c r="D2050" s="641"/>
      <c r="E2050" s="150"/>
      <c r="F2050" s="1223"/>
      <c r="G2050" s="150"/>
      <c r="H2050" s="150"/>
      <c r="I2050" s="150"/>
      <c r="J2050" s="137"/>
    </row>
    <row r="2051" spans="1:10" ht="25.5" hidden="1" customHeight="1" x14ac:dyDescent="0.4">
      <c r="A2051" s="3462" t="s">
        <v>33</v>
      </c>
      <c r="B2051" s="3462"/>
      <c r="C2051" s="3462"/>
      <c r="D2051" s="3462"/>
      <c r="E2051" s="3462"/>
      <c r="F2051" s="3462"/>
      <c r="G2051" s="3462"/>
      <c r="H2051" s="3462"/>
      <c r="I2051" s="3462"/>
      <c r="J2051" s="3462"/>
    </row>
    <row r="2052" spans="1:10" hidden="1" x14ac:dyDescent="0.3">
      <c r="A2052" s="137" t="s">
        <v>3</v>
      </c>
      <c r="B2052" s="1781" t="s">
        <v>4</v>
      </c>
      <c r="C2052" s="137" t="s">
        <v>5</v>
      </c>
      <c r="D2052" s="137" t="s">
        <v>6</v>
      </c>
      <c r="E2052" s="137" t="s">
        <v>7</v>
      </c>
      <c r="F2052" s="137" t="s">
        <v>8</v>
      </c>
      <c r="G2052" s="137" t="s">
        <v>9</v>
      </c>
      <c r="H2052" s="137" t="s">
        <v>10</v>
      </c>
      <c r="I2052" s="137" t="s">
        <v>11</v>
      </c>
      <c r="J2052" s="137" t="s">
        <v>12</v>
      </c>
    </row>
    <row r="2053" spans="1:10" hidden="1" x14ac:dyDescent="0.3">
      <c r="A2053" s="1845">
        <v>1</v>
      </c>
      <c r="B2053" s="3404"/>
      <c r="C2053" s="1838"/>
      <c r="D2053" s="1838"/>
      <c r="E2053" s="1838"/>
      <c r="F2053" s="1838"/>
      <c r="G2053" s="1838"/>
      <c r="H2053" s="1838"/>
      <c r="I2053" s="1838"/>
      <c r="J2053" s="1839"/>
    </row>
    <row r="2054" spans="1:10" hidden="1" x14ac:dyDescent="0.3">
      <c r="A2054" s="1845" t="s">
        <v>3</v>
      </c>
      <c r="B2054" s="3404"/>
      <c r="C2054" s="1838"/>
      <c r="D2054" s="1838"/>
      <c r="E2054" s="1838"/>
      <c r="F2054" s="1838"/>
      <c r="G2054" s="1838"/>
      <c r="H2054" s="1838"/>
      <c r="I2054" s="1838"/>
      <c r="J2054" s="1839"/>
    </row>
    <row r="2055" spans="1:10" hidden="1" x14ac:dyDescent="0.3">
      <c r="A2055" s="1846">
        <v>3</v>
      </c>
      <c r="B2055" s="3410"/>
      <c r="C2055" s="1840"/>
      <c r="D2055" s="1840"/>
      <c r="E2055" s="1840"/>
      <c r="F2055" s="1840"/>
      <c r="G2055" s="1840"/>
      <c r="H2055" s="1840"/>
      <c r="I2055" s="1840"/>
      <c r="J2055" s="1841"/>
    </row>
    <row r="2056" spans="1:10" ht="24.6" hidden="1" x14ac:dyDescent="0.4">
      <c r="A2056" s="1842"/>
      <c r="B2056" s="2177"/>
      <c r="C2056" s="1842"/>
      <c r="D2056" s="1842"/>
      <c r="E2056" s="1842"/>
      <c r="F2056" s="1842"/>
      <c r="G2056" s="1842"/>
      <c r="H2056" s="1842"/>
      <c r="I2056" s="1842"/>
      <c r="J2056" s="1852">
        <f>J2053+J2054+J2055</f>
        <v>0</v>
      </c>
    </row>
    <row r="2058" spans="1:10" x14ac:dyDescent="0.3">
      <c r="A2058" s="3465" t="s">
        <v>1962</v>
      </c>
      <c r="B2058" s="3466"/>
      <c r="C2058" s="3466"/>
      <c r="D2058" s="3466"/>
      <c r="E2058" s="3466"/>
      <c r="F2058" s="3466"/>
      <c r="G2058" s="3466"/>
      <c r="H2058" s="3466"/>
      <c r="I2058" s="3466"/>
      <c r="J2058" s="3466"/>
    </row>
    <row r="2059" spans="1:10" ht="28.5" customHeight="1" x14ac:dyDescent="0.3">
      <c r="A2059" s="3466"/>
      <c r="B2059" s="3466"/>
      <c r="C2059" s="3466"/>
      <c r="D2059" s="3466"/>
      <c r="E2059" s="3466"/>
      <c r="F2059" s="3466"/>
      <c r="G2059" s="3466"/>
      <c r="H2059" s="3466"/>
      <c r="I2059" s="3466"/>
      <c r="J2059" s="3466"/>
    </row>
    <row r="2061" spans="1:10" x14ac:dyDescent="0.3">
      <c r="A2061" s="3463" t="s">
        <v>1963</v>
      </c>
      <c r="B2061" s="3464"/>
      <c r="C2061" s="3464"/>
      <c r="D2061" s="3464"/>
      <c r="E2061" s="3464"/>
      <c r="F2061" s="3464"/>
      <c r="G2061" s="3464"/>
      <c r="H2061" s="3464"/>
      <c r="I2061" s="3464"/>
      <c r="J2061" s="3464"/>
    </row>
    <row r="2062" spans="1:10" ht="21.75" customHeight="1" x14ac:dyDescent="0.3">
      <c r="A2062" s="3464"/>
      <c r="B2062" s="3464"/>
      <c r="C2062" s="3464"/>
      <c r="D2062" s="3464"/>
      <c r="E2062" s="3464"/>
      <c r="F2062" s="3464"/>
      <c r="G2062" s="3464"/>
      <c r="H2062" s="3464"/>
      <c r="I2062" s="3464"/>
      <c r="J2062" s="3464"/>
    </row>
    <row r="2063" spans="1:10" hidden="1" x14ac:dyDescent="0.3"/>
    <row r="2064" spans="1:10" ht="23.25" hidden="1" customHeight="1" x14ac:dyDescent="0.3">
      <c r="A2064" s="3460" t="s">
        <v>527</v>
      </c>
      <c r="B2064" s="3460"/>
      <c r="C2064" s="3460"/>
      <c r="D2064" s="3460"/>
      <c r="E2064" s="3460"/>
      <c r="F2064" s="3460"/>
      <c r="G2064" s="3460"/>
      <c r="H2064" s="3460"/>
      <c r="I2064" s="3460"/>
      <c r="J2064" s="3460"/>
    </row>
    <row r="2065" spans="1:11" ht="15.75" hidden="1" customHeight="1" x14ac:dyDescent="0.3">
      <c r="A2065" s="3461" t="s">
        <v>2</v>
      </c>
      <c r="B2065" s="3461"/>
      <c r="C2065" s="3461"/>
      <c r="D2065" s="3461"/>
      <c r="E2065" s="3461"/>
      <c r="F2065" s="3461"/>
      <c r="G2065" s="3461"/>
      <c r="H2065" s="3461"/>
      <c r="I2065" s="3461"/>
      <c r="J2065" s="3461"/>
    </row>
    <row r="2066" spans="1:11" hidden="1" x14ac:dyDescent="0.3">
      <c r="A2066" s="137" t="s">
        <v>3</v>
      </c>
      <c r="B2066" s="1781" t="s">
        <v>4</v>
      </c>
      <c r="C2066" s="137" t="s">
        <v>5</v>
      </c>
      <c r="D2066" s="137" t="s">
        <v>6</v>
      </c>
      <c r="E2066" s="137" t="s">
        <v>7</v>
      </c>
      <c r="F2066" s="2522" t="s">
        <v>8</v>
      </c>
      <c r="G2066" s="137" t="s">
        <v>9</v>
      </c>
      <c r="H2066" s="137" t="s">
        <v>10</v>
      </c>
      <c r="I2066" s="137" t="s">
        <v>11</v>
      </c>
      <c r="J2066" s="137" t="s">
        <v>12</v>
      </c>
    </row>
    <row r="2067" spans="1:11" hidden="1" x14ac:dyDescent="0.3">
      <c r="A2067" s="137">
        <v>1</v>
      </c>
      <c r="B2067" s="765" t="s">
        <v>1964</v>
      </c>
      <c r="C2067" s="642" t="s">
        <v>1881</v>
      </c>
      <c r="D2067" s="642" t="s">
        <v>1965</v>
      </c>
      <c r="E2067" s="642" t="s">
        <v>1932</v>
      </c>
      <c r="F2067" s="2519">
        <v>3200000</v>
      </c>
      <c r="G2067" s="642" t="s">
        <v>168</v>
      </c>
      <c r="H2067" s="642" t="s">
        <v>44</v>
      </c>
      <c r="I2067" s="642" t="s">
        <v>36</v>
      </c>
      <c r="J2067" s="642">
        <v>1</v>
      </c>
      <c r="K2067" t="s">
        <v>1530</v>
      </c>
    </row>
    <row r="2068" spans="1:11" hidden="1" x14ac:dyDescent="0.3">
      <c r="A2068" s="137">
        <v>2</v>
      </c>
      <c r="B2068" s="765" t="s">
        <v>1964</v>
      </c>
      <c r="C2068" s="642" t="s">
        <v>138</v>
      </c>
      <c r="D2068" s="642" t="s">
        <v>1966</v>
      </c>
      <c r="E2068" s="642" t="s">
        <v>1967</v>
      </c>
      <c r="F2068" s="2519">
        <v>1450000</v>
      </c>
      <c r="G2068" s="642" t="s">
        <v>1968</v>
      </c>
      <c r="H2068" s="642" t="s">
        <v>36</v>
      </c>
      <c r="I2068" s="642" t="s">
        <v>36</v>
      </c>
      <c r="J2068" s="642">
        <v>1</v>
      </c>
      <c r="K2068" t="s">
        <v>217</v>
      </c>
    </row>
    <row r="2069" spans="1:11" hidden="1" x14ac:dyDescent="0.3">
      <c r="A2069" s="137">
        <v>3</v>
      </c>
      <c r="B2069" s="765" t="s">
        <v>1969</v>
      </c>
      <c r="C2069" s="642" t="s">
        <v>138</v>
      </c>
      <c r="D2069" s="642" t="s">
        <v>1970</v>
      </c>
      <c r="E2069" s="642" t="s">
        <v>76</v>
      </c>
      <c r="F2069" s="2519">
        <v>1100000</v>
      </c>
      <c r="G2069" s="642" t="s">
        <v>76</v>
      </c>
      <c r="H2069" s="642" t="s">
        <v>36</v>
      </c>
      <c r="I2069" s="642" t="s">
        <v>36</v>
      </c>
      <c r="J2069" s="642">
        <v>1</v>
      </c>
      <c r="K2069" t="s">
        <v>1455</v>
      </c>
    </row>
    <row r="2070" spans="1:11" hidden="1" x14ac:dyDescent="0.3">
      <c r="A2070" s="137">
        <v>4</v>
      </c>
      <c r="B2070" s="3402">
        <v>44621</v>
      </c>
      <c r="C2070" s="642" t="s">
        <v>1971</v>
      </c>
      <c r="D2070" s="642" t="s">
        <v>1972</v>
      </c>
      <c r="E2070" s="642" t="s">
        <v>76</v>
      </c>
      <c r="F2070" s="2519">
        <v>1000000</v>
      </c>
      <c r="G2070" s="642" t="s">
        <v>76</v>
      </c>
      <c r="H2070" s="642" t="s">
        <v>36</v>
      </c>
      <c r="I2070" s="642" t="s">
        <v>271</v>
      </c>
      <c r="J2070" s="642">
        <v>1</v>
      </c>
      <c r="K2070" t="s">
        <v>1455</v>
      </c>
    </row>
    <row r="2071" spans="1:11" hidden="1" x14ac:dyDescent="0.3">
      <c r="A2071" s="137">
        <v>5</v>
      </c>
      <c r="B2071" s="3402">
        <v>44501</v>
      </c>
      <c r="C2071" s="642" t="s">
        <v>219</v>
      </c>
      <c r="D2071" s="642" t="s">
        <v>1973</v>
      </c>
      <c r="E2071" s="642" t="s">
        <v>1974</v>
      </c>
      <c r="F2071" s="2519">
        <v>2500000</v>
      </c>
      <c r="G2071" s="642" t="s">
        <v>43</v>
      </c>
      <c r="H2071" s="642" t="s">
        <v>36</v>
      </c>
      <c r="I2071" s="642" t="s">
        <v>271</v>
      </c>
      <c r="J2071" s="642">
        <v>1</v>
      </c>
      <c r="K2071" t="s">
        <v>1455</v>
      </c>
    </row>
    <row r="2072" spans="1:11" hidden="1" x14ac:dyDescent="0.3">
      <c r="A2072" s="137">
        <v>6</v>
      </c>
      <c r="B2072" s="3402">
        <v>44896</v>
      </c>
      <c r="C2072" s="642" t="s">
        <v>138</v>
      </c>
      <c r="D2072" s="642" t="s">
        <v>1975</v>
      </c>
      <c r="E2072" s="642" t="s">
        <v>76</v>
      </c>
      <c r="F2072" s="2519">
        <v>900000</v>
      </c>
      <c r="G2072" s="642" t="s">
        <v>1656</v>
      </c>
      <c r="H2072" s="642" t="s">
        <v>36</v>
      </c>
      <c r="I2072" s="642" t="s">
        <v>271</v>
      </c>
      <c r="J2072" s="642">
        <v>1</v>
      </c>
      <c r="K2072" t="s">
        <v>1976</v>
      </c>
    </row>
    <row r="2073" spans="1:11" hidden="1" x14ac:dyDescent="0.3">
      <c r="A2073" s="137">
        <v>7</v>
      </c>
      <c r="B2073" s="3402" t="s">
        <v>1977</v>
      </c>
      <c r="C2073" s="642" t="s">
        <v>138</v>
      </c>
      <c r="D2073" s="642" t="s">
        <v>1978</v>
      </c>
      <c r="E2073" s="642" t="s">
        <v>76</v>
      </c>
      <c r="F2073" s="2519">
        <v>950000</v>
      </c>
      <c r="G2073" s="642" t="s">
        <v>1979</v>
      </c>
      <c r="H2073" s="642" t="s">
        <v>36</v>
      </c>
      <c r="I2073" s="642" t="s">
        <v>271</v>
      </c>
      <c r="J2073" s="642">
        <v>1</v>
      </c>
      <c r="K2073" t="s">
        <v>1976</v>
      </c>
    </row>
    <row r="2074" spans="1:11" hidden="1" x14ac:dyDescent="0.3">
      <c r="A2074" s="137">
        <v>8</v>
      </c>
      <c r="B2074" s="3402" t="s">
        <v>1977</v>
      </c>
      <c r="C2074" s="642" t="s">
        <v>138</v>
      </c>
      <c r="D2074" s="641" t="s">
        <v>1980</v>
      </c>
      <c r="E2074" s="641" t="s">
        <v>76</v>
      </c>
      <c r="F2074" s="2520">
        <v>950000</v>
      </c>
      <c r="G2074" s="641" t="s">
        <v>1979</v>
      </c>
      <c r="H2074" s="641" t="s">
        <v>36</v>
      </c>
      <c r="I2074" s="641" t="s">
        <v>271</v>
      </c>
      <c r="J2074" s="642">
        <v>1</v>
      </c>
      <c r="K2074" t="s">
        <v>1976</v>
      </c>
    </row>
    <row r="2075" spans="1:11" hidden="1" x14ac:dyDescent="0.3">
      <c r="A2075" s="137">
        <v>9</v>
      </c>
      <c r="B2075" s="3402" t="s">
        <v>1981</v>
      </c>
      <c r="C2075" s="642" t="s">
        <v>138</v>
      </c>
      <c r="D2075" s="642" t="s">
        <v>1982</v>
      </c>
      <c r="E2075" s="642" t="s">
        <v>1983</v>
      </c>
      <c r="F2075" s="2519">
        <v>800000</v>
      </c>
      <c r="G2075" s="642" t="s">
        <v>168</v>
      </c>
      <c r="H2075" s="642" t="s">
        <v>44</v>
      </c>
      <c r="I2075" s="642" t="s">
        <v>271</v>
      </c>
      <c r="J2075" s="642">
        <v>1</v>
      </c>
      <c r="K2075" t="s">
        <v>217</v>
      </c>
    </row>
    <row r="2076" spans="1:11" hidden="1" x14ac:dyDescent="0.3">
      <c r="A2076" s="137">
        <v>10</v>
      </c>
      <c r="B2076" s="3402" t="s">
        <v>1630</v>
      </c>
      <c r="C2076" s="642" t="s">
        <v>138</v>
      </c>
      <c r="D2076" s="642" t="s">
        <v>1984</v>
      </c>
      <c r="E2076" s="642" t="s">
        <v>1066</v>
      </c>
      <c r="F2076" s="2519">
        <v>800000</v>
      </c>
      <c r="G2076" s="642" t="s">
        <v>43</v>
      </c>
      <c r="H2076" s="642" t="s">
        <v>44</v>
      </c>
      <c r="I2076" s="642" t="s">
        <v>271</v>
      </c>
      <c r="J2076" s="642">
        <v>1</v>
      </c>
      <c r="K2076" t="s">
        <v>1455</v>
      </c>
    </row>
    <row r="2077" spans="1:11" hidden="1" x14ac:dyDescent="0.3">
      <c r="A2077" s="137">
        <v>11</v>
      </c>
      <c r="B2077" s="3402" t="s">
        <v>1985</v>
      </c>
      <c r="C2077" s="642" t="s">
        <v>138</v>
      </c>
      <c r="D2077" s="641" t="s">
        <v>1986</v>
      </c>
      <c r="E2077" s="641" t="s">
        <v>76</v>
      </c>
      <c r="F2077" s="2520">
        <v>1000000</v>
      </c>
      <c r="G2077" s="641" t="s">
        <v>1987</v>
      </c>
      <c r="H2077" s="641" t="s">
        <v>36</v>
      </c>
      <c r="I2077" s="641" t="s">
        <v>271</v>
      </c>
      <c r="J2077" s="642">
        <v>1</v>
      </c>
      <c r="K2077" t="s">
        <v>1455</v>
      </c>
    </row>
    <row r="2078" spans="1:11" hidden="1" x14ac:dyDescent="0.3">
      <c r="A2078" s="137">
        <v>12</v>
      </c>
      <c r="B2078" s="3402" t="s">
        <v>1985</v>
      </c>
      <c r="C2078" s="642" t="s">
        <v>138</v>
      </c>
      <c r="D2078" s="642" t="s">
        <v>1988</v>
      </c>
      <c r="E2078" s="642" t="s">
        <v>76</v>
      </c>
      <c r="F2078" s="2519">
        <v>1350000</v>
      </c>
      <c r="G2078" s="642" t="s">
        <v>1987</v>
      </c>
      <c r="H2078" s="642" t="s">
        <v>36</v>
      </c>
      <c r="I2078" s="642" t="s">
        <v>271</v>
      </c>
      <c r="J2078" s="642">
        <v>1</v>
      </c>
      <c r="K2078" t="s">
        <v>1455</v>
      </c>
    </row>
    <row r="2079" spans="1:11" hidden="1" x14ac:dyDescent="0.3">
      <c r="A2079" s="137">
        <v>13</v>
      </c>
      <c r="B2079" s="3402" t="s">
        <v>1981</v>
      </c>
      <c r="C2079" s="642" t="s">
        <v>138</v>
      </c>
      <c r="D2079" s="642" t="s">
        <v>1989</v>
      </c>
      <c r="E2079" s="642" t="s">
        <v>1838</v>
      </c>
      <c r="F2079" s="2519">
        <v>800000</v>
      </c>
      <c r="G2079" s="642" t="s">
        <v>168</v>
      </c>
      <c r="H2079" s="642" t="s">
        <v>44</v>
      </c>
      <c r="I2079" s="642" t="s">
        <v>271</v>
      </c>
      <c r="J2079" s="642">
        <v>1</v>
      </c>
      <c r="K2079" t="s">
        <v>217</v>
      </c>
    </row>
    <row r="2080" spans="1:11" hidden="1" x14ac:dyDescent="0.3">
      <c r="A2080" s="137">
        <v>14</v>
      </c>
      <c r="B2080" s="3402" t="s">
        <v>1981</v>
      </c>
      <c r="C2080" s="642" t="s">
        <v>138</v>
      </c>
      <c r="D2080" s="642" t="s">
        <v>1990</v>
      </c>
      <c r="E2080" s="642" t="s">
        <v>840</v>
      </c>
      <c r="F2080" s="2519">
        <v>1100000</v>
      </c>
      <c r="G2080" s="642" t="s">
        <v>1991</v>
      </c>
      <c r="H2080" s="642" t="s">
        <v>44</v>
      </c>
      <c r="I2080" s="642" t="s">
        <v>271</v>
      </c>
      <c r="J2080" s="642">
        <v>1</v>
      </c>
      <c r="K2080" t="s">
        <v>1455</v>
      </c>
    </row>
    <row r="2081" spans="1:11" hidden="1" x14ac:dyDescent="0.3">
      <c r="A2081" s="137">
        <v>15</v>
      </c>
      <c r="B2081" s="765" t="s">
        <v>1992</v>
      </c>
      <c r="C2081" s="642" t="s">
        <v>138</v>
      </c>
      <c r="D2081" s="642" t="s">
        <v>1993</v>
      </c>
      <c r="E2081" s="642" t="s">
        <v>787</v>
      </c>
      <c r="F2081" s="2519">
        <v>1050000</v>
      </c>
      <c r="G2081" s="642" t="s">
        <v>703</v>
      </c>
      <c r="H2081" s="642" t="s">
        <v>36</v>
      </c>
      <c r="I2081" s="642" t="s">
        <v>271</v>
      </c>
      <c r="J2081" s="642">
        <v>1</v>
      </c>
      <c r="K2081" t="s">
        <v>217</v>
      </c>
    </row>
    <row r="2082" spans="1:11" hidden="1" x14ac:dyDescent="0.3">
      <c r="A2082" s="137">
        <v>16</v>
      </c>
      <c r="B2082" s="765" t="s">
        <v>1994</v>
      </c>
      <c r="C2082" s="642" t="s">
        <v>138</v>
      </c>
      <c r="D2082" s="642" t="s">
        <v>1995</v>
      </c>
      <c r="E2082" s="642" t="s">
        <v>76</v>
      </c>
      <c r="F2082" s="2519">
        <v>1000000</v>
      </c>
      <c r="G2082" s="642" t="s">
        <v>1656</v>
      </c>
      <c r="H2082" s="642" t="s">
        <v>44</v>
      </c>
      <c r="I2082" s="642" t="s">
        <v>271</v>
      </c>
      <c r="J2082" s="642">
        <v>1</v>
      </c>
      <c r="K2082" t="s">
        <v>1976</v>
      </c>
    </row>
    <row r="2083" spans="1:11" hidden="1" x14ac:dyDescent="0.3">
      <c r="A2083" s="137">
        <v>17</v>
      </c>
      <c r="B2083" s="765" t="s">
        <v>1996</v>
      </c>
      <c r="C2083" s="642" t="s">
        <v>138</v>
      </c>
      <c r="D2083" s="642" t="s">
        <v>1997</v>
      </c>
      <c r="E2083" s="642" t="s">
        <v>76</v>
      </c>
      <c r="F2083" s="2519">
        <v>1200000</v>
      </c>
      <c r="G2083" s="642" t="s">
        <v>1998</v>
      </c>
      <c r="H2083" s="642" t="s">
        <v>44</v>
      </c>
      <c r="I2083" s="642" t="s">
        <v>271</v>
      </c>
      <c r="J2083" s="642">
        <v>1</v>
      </c>
      <c r="K2083" t="s">
        <v>1455</v>
      </c>
    </row>
    <row r="2084" spans="1:11" hidden="1" x14ac:dyDescent="0.3">
      <c r="A2084" s="137">
        <v>18</v>
      </c>
      <c r="B2084" s="765" t="s">
        <v>1996</v>
      </c>
      <c r="C2084" s="642" t="s">
        <v>138</v>
      </c>
      <c r="D2084" s="642" t="s">
        <v>1999</v>
      </c>
      <c r="E2084" s="642" t="s">
        <v>1861</v>
      </c>
      <c r="F2084" s="2519">
        <v>1100000</v>
      </c>
      <c r="G2084" s="642" t="s">
        <v>1649</v>
      </c>
      <c r="H2084" s="642" t="s">
        <v>44</v>
      </c>
      <c r="I2084" s="642" t="s">
        <v>271</v>
      </c>
      <c r="J2084" s="642">
        <v>1</v>
      </c>
      <c r="K2084" t="s">
        <v>1455</v>
      </c>
    </row>
    <row r="2085" spans="1:11" hidden="1" x14ac:dyDescent="0.3">
      <c r="A2085" s="1781">
        <v>19</v>
      </c>
      <c r="B2085" s="765" t="s">
        <v>1996</v>
      </c>
      <c r="C2085" s="642" t="s">
        <v>138</v>
      </c>
      <c r="D2085" s="641" t="s">
        <v>2000</v>
      </c>
      <c r="E2085" s="642" t="s">
        <v>1861</v>
      </c>
      <c r="F2085" s="2520">
        <v>1000000</v>
      </c>
      <c r="G2085" s="641" t="s">
        <v>1649</v>
      </c>
      <c r="H2085" s="641" t="s">
        <v>44</v>
      </c>
      <c r="I2085" s="641" t="s">
        <v>271</v>
      </c>
      <c r="J2085" s="642">
        <v>1</v>
      </c>
      <c r="K2085" t="s">
        <v>217</v>
      </c>
    </row>
    <row r="2086" spans="1:11" hidden="1" x14ac:dyDescent="0.3">
      <c r="A2086" s="1781">
        <v>20</v>
      </c>
      <c r="B2086" s="765" t="s">
        <v>2001</v>
      </c>
      <c r="C2086" s="642" t="s">
        <v>138</v>
      </c>
      <c r="D2086" s="641" t="s">
        <v>2002</v>
      </c>
      <c r="E2086" s="641" t="s">
        <v>787</v>
      </c>
      <c r="F2086" s="2520">
        <v>1100000</v>
      </c>
      <c r="G2086" s="641" t="s">
        <v>43</v>
      </c>
      <c r="H2086" s="641" t="s">
        <v>36</v>
      </c>
      <c r="I2086" s="641" t="s">
        <v>271</v>
      </c>
      <c r="J2086" s="642">
        <v>1</v>
      </c>
      <c r="K2086" t="s">
        <v>1455</v>
      </c>
    </row>
    <row r="2087" spans="1:11" ht="24.6" hidden="1" x14ac:dyDescent="0.4">
      <c r="A2087" s="1781"/>
      <c r="B2087" s="765"/>
      <c r="C2087" s="641"/>
      <c r="D2087" s="641"/>
      <c r="E2087" s="641"/>
      <c r="F2087" s="2523"/>
      <c r="G2087" s="641"/>
      <c r="H2087" s="641"/>
      <c r="I2087" s="641"/>
      <c r="J2087" s="1837"/>
    </row>
    <row r="2088" spans="1:11" ht="25.5" hidden="1" customHeight="1" x14ac:dyDescent="0.4">
      <c r="A2088" s="3462" t="s">
        <v>2003</v>
      </c>
      <c r="B2088" s="3462"/>
      <c r="C2088" s="3462"/>
      <c r="D2088" s="3462"/>
      <c r="E2088" s="3462"/>
      <c r="F2088" s="3462"/>
      <c r="G2088" s="3462"/>
      <c r="H2088" s="3462"/>
      <c r="I2088" s="3462"/>
      <c r="J2088" s="3462"/>
    </row>
    <row r="2089" spans="1:11" hidden="1" x14ac:dyDescent="0.3">
      <c r="A2089" s="137" t="s">
        <v>3</v>
      </c>
      <c r="B2089" s="1781" t="s">
        <v>4</v>
      </c>
      <c r="C2089" s="137" t="s">
        <v>5</v>
      </c>
      <c r="D2089" s="137" t="s">
        <v>6</v>
      </c>
      <c r="E2089" s="137" t="s">
        <v>7</v>
      </c>
      <c r="F2089" s="137" t="s">
        <v>8</v>
      </c>
      <c r="G2089" s="137" t="s">
        <v>9</v>
      </c>
      <c r="H2089" s="137" t="s">
        <v>10</v>
      </c>
      <c r="I2089" s="137" t="s">
        <v>11</v>
      </c>
      <c r="J2089" s="137" t="s">
        <v>12</v>
      </c>
    </row>
    <row r="2090" spans="1:11" hidden="1" x14ac:dyDescent="0.3">
      <c r="A2090" s="1845">
        <v>1</v>
      </c>
      <c r="B2090" s="3404" t="s">
        <v>1992</v>
      </c>
      <c r="C2090" s="1838" t="s">
        <v>138</v>
      </c>
      <c r="D2090" s="1838" t="s">
        <v>2004</v>
      </c>
      <c r="E2090" s="1838" t="s">
        <v>76</v>
      </c>
      <c r="F2090" s="1838">
        <v>198000000</v>
      </c>
      <c r="G2090" s="1838" t="s">
        <v>1998</v>
      </c>
      <c r="H2090" s="1838" t="s">
        <v>44</v>
      </c>
      <c r="I2090" s="1838" t="s">
        <v>271</v>
      </c>
      <c r="J2090" s="1839">
        <v>1</v>
      </c>
    </row>
    <row r="2091" spans="1:11" hidden="1" x14ac:dyDescent="0.3">
      <c r="A2091" s="1846">
        <v>2</v>
      </c>
      <c r="B2091" s="3410" t="s">
        <v>1994</v>
      </c>
      <c r="C2091" s="1838" t="s">
        <v>138</v>
      </c>
      <c r="D2091" s="1840" t="s">
        <v>2005</v>
      </c>
      <c r="E2091" s="1840" t="s">
        <v>2006</v>
      </c>
      <c r="F2091" s="1840">
        <v>190000000</v>
      </c>
      <c r="G2091" s="1840" t="s">
        <v>43</v>
      </c>
      <c r="H2091" s="1840" t="s">
        <v>44</v>
      </c>
      <c r="I2091" s="1840" t="s">
        <v>271</v>
      </c>
      <c r="J2091" s="1841">
        <v>1</v>
      </c>
    </row>
    <row r="2092" spans="1:11" hidden="1" x14ac:dyDescent="0.3">
      <c r="A2092" s="2177">
        <v>3</v>
      </c>
      <c r="B2092" s="3410" t="s">
        <v>1994</v>
      </c>
      <c r="C2092" s="1838" t="s">
        <v>138</v>
      </c>
      <c r="D2092" s="2350" t="s">
        <v>2007</v>
      </c>
      <c r="E2092" s="2350" t="s">
        <v>2006</v>
      </c>
      <c r="F2092" s="2350">
        <v>200000000</v>
      </c>
      <c r="G2092" s="2350" t="s">
        <v>43</v>
      </c>
      <c r="H2092" s="2350" t="s">
        <v>44</v>
      </c>
      <c r="I2092" s="2350" t="s">
        <v>271</v>
      </c>
      <c r="J2092" s="1842">
        <v>1</v>
      </c>
    </row>
    <row r="2093" spans="1:11" hidden="1" x14ac:dyDescent="0.3"/>
    <row r="2094" spans="1:11" hidden="1" x14ac:dyDescent="0.3"/>
    <row r="2095" spans="1:11" ht="23.25" hidden="1" customHeight="1" x14ac:dyDescent="0.3">
      <c r="A2095" s="3460" t="s">
        <v>2008</v>
      </c>
      <c r="B2095" s="3460"/>
      <c r="C2095" s="3460"/>
      <c r="D2095" s="3460"/>
      <c r="E2095" s="3460"/>
      <c r="F2095" s="3460"/>
      <c r="G2095" s="3460"/>
      <c r="H2095" s="3460"/>
      <c r="I2095" s="3460"/>
      <c r="J2095" s="3460"/>
    </row>
    <row r="2096" spans="1:11" ht="15.75" hidden="1" customHeight="1" x14ac:dyDescent="0.3">
      <c r="A2096" s="3461" t="s">
        <v>2</v>
      </c>
      <c r="B2096" s="3461"/>
      <c r="C2096" s="3461"/>
      <c r="D2096" s="3461"/>
      <c r="E2096" s="3461"/>
      <c r="F2096" s="3461"/>
      <c r="G2096" s="3461"/>
      <c r="H2096" s="3461"/>
      <c r="I2096" s="3461"/>
      <c r="J2096" s="3461"/>
    </row>
    <row r="2097" spans="1:11" hidden="1" x14ac:dyDescent="0.3">
      <c r="A2097" s="137" t="s">
        <v>3</v>
      </c>
      <c r="B2097" s="1781" t="s">
        <v>4</v>
      </c>
      <c r="C2097" s="137" t="s">
        <v>5</v>
      </c>
      <c r="D2097" s="137" t="s">
        <v>6</v>
      </c>
      <c r="E2097" s="137" t="s">
        <v>7</v>
      </c>
      <c r="F2097" s="2522" t="s">
        <v>8</v>
      </c>
      <c r="G2097" s="137" t="s">
        <v>9</v>
      </c>
      <c r="H2097" s="137" t="s">
        <v>10</v>
      </c>
      <c r="I2097" s="137" t="s">
        <v>11</v>
      </c>
      <c r="J2097" s="137" t="s">
        <v>12</v>
      </c>
    </row>
    <row r="2098" spans="1:11" hidden="1" x14ac:dyDescent="0.3">
      <c r="A2098" s="137">
        <v>1</v>
      </c>
      <c r="B2098" s="765" t="s">
        <v>1964</v>
      </c>
      <c r="C2098" s="642" t="s">
        <v>37</v>
      </c>
      <c r="D2098" s="642" t="s">
        <v>2009</v>
      </c>
      <c r="E2098" s="642" t="s">
        <v>858</v>
      </c>
      <c r="F2098" s="2595">
        <v>1550000</v>
      </c>
      <c r="G2098" s="642" t="s">
        <v>397</v>
      </c>
      <c r="H2098" s="642" t="s">
        <v>36</v>
      </c>
      <c r="I2098" s="642" t="s">
        <v>36</v>
      </c>
      <c r="J2098" s="642">
        <v>1</v>
      </c>
      <c r="K2098" t="s">
        <v>1770</v>
      </c>
    </row>
    <row r="2099" spans="1:11" hidden="1" x14ac:dyDescent="0.3">
      <c r="A2099" s="137">
        <v>2</v>
      </c>
      <c r="B2099" s="765" t="s">
        <v>2010</v>
      </c>
      <c r="C2099" s="642" t="s">
        <v>138</v>
      </c>
      <c r="D2099" s="642" t="s">
        <v>2011</v>
      </c>
      <c r="E2099" s="642" t="s">
        <v>1838</v>
      </c>
      <c r="F2099" s="2595">
        <v>1800000</v>
      </c>
      <c r="G2099" s="642" t="s">
        <v>2012</v>
      </c>
      <c r="H2099" s="642" t="s">
        <v>36</v>
      </c>
      <c r="I2099" s="642" t="s">
        <v>36</v>
      </c>
      <c r="J2099" s="642">
        <v>1</v>
      </c>
      <c r="K2099" t="s">
        <v>1770</v>
      </c>
    </row>
    <row r="2100" spans="1:11" hidden="1" x14ac:dyDescent="0.3">
      <c r="A2100" s="137">
        <v>3</v>
      </c>
      <c r="B2100" s="765" t="s">
        <v>1964</v>
      </c>
      <c r="C2100" s="642" t="s">
        <v>138</v>
      </c>
      <c r="D2100" s="642" t="s">
        <v>2013</v>
      </c>
      <c r="E2100" s="642" t="s">
        <v>962</v>
      </c>
      <c r="F2100" s="2595">
        <v>1450000</v>
      </c>
      <c r="G2100" s="642" t="s">
        <v>604</v>
      </c>
      <c r="H2100" s="642" t="s">
        <v>36</v>
      </c>
      <c r="I2100" s="642" t="s">
        <v>36</v>
      </c>
      <c r="J2100" s="642">
        <v>1</v>
      </c>
      <c r="K2100" t="s">
        <v>1455</v>
      </c>
    </row>
    <row r="2101" spans="1:11" hidden="1" x14ac:dyDescent="0.3">
      <c r="A2101" s="137">
        <v>4</v>
      </c>
      <c r="B2101" s="3402">
        <v>44621</v>
      </c>
      <c r="C2101" s="642" t="s">
        <v>138</v>
      </c>
      <c r="D2101" s="642" t="s">
        <v>2014</v>
      </c>
      <c r="E2101" s="642" t="s">
        <v>858</v>
      </c>
      <c r="F2101" s="2595">
        <v>1650000</v>
      </c>
      <c r="G2101" s="642" t="s">
        <v>1353</v>
      </c>
      <c r="H2101" s="642" t="s">
        <v>44</v>
      </c>
      <c r="I2101" s="642" t="s">
        <v>36</v>
      </c>
      <c r="J2101" s="642">
        <v>1</v>
      </c>
      <c r="K2101" t="s">
        <v>217</v>
      </c>
    </row>
    <row r="2102" spans="1:11" hidden="1" x14ac:dyDescent="0.3">
      <c r="A2102" s="137">
        <v>5</v>
      </c>
      <c r="B2102" s="3402">
        <v>44652</v>
      </c>
      <c r="C2102" s="642" t="s">
        <v>138</v>
      </c>
      <c r="D2102" s="642" t="s">
        <v>2015</v>
      </c>
      <c r="E2102" s="642" t="s">
        <v>1932</v>
      </c>
      <c r="F2102" s="2595">
        <v>1800000</v>
      </c>
      <c r="G2102" s="642" t="s">
        <v>168</v>
      </c>
      <c r="H2102" s="642" t="s">
        <v>36</v>
      </c>
      <c r="I2102" s="642" t="s">
        <v>271</v>
      </c>
      <c r="J2102" s="642">
        <v>1</v>
      </c>
      <c r="K2102" t="s">
        <v>1455</v>
      </c>
    </row>
    <row r="2103" spans="1:11" hidden="1" x14ac:dyDescent="0.3">
      <c r="A2103" s="137">
        <v>6</v>
      </c>
      <c r="B2103" s="3402">
        <v>44652</v>
      </c>
      <c r="C2103" s="642" t="s">
        <v>138</v>
      </c>
      <c r="D2103" s="642" t="s">
        <v>2016</v>
      </c>
      <c r="E2103" s="642" t="s">
        <v>1130</v>
      </c>
      <c r="F2103" s="2595">
        <v>1200000</v>
      </c>
      <c r="G2103" s="642" t="s">
        <v>1315</v>
      </c>
      <c r="H2103" s="642" t="s">
        <v>36</v>
      </c>
      <c r="I2103" s="642" t="s">
        <v>271</v>
      </c>
      <c r="J2103" s="642">
        <v>1</v>
      </c>
      <c r="K2103" t="s">
        <v>1770</v>
      </c>
    </row>
    <row r="2104" spans="1:11" hidden="1" x14ac:dyDescent="0.3">
      <c r="A2104" s="137">
        <v>7</v>
      </c>
      <c r="B2104" s="3402">
        <v>44652</v>
      </c>
      <c r="C2104" s="642" t="s">
        <v>138</v>
      </c>
      <c r="D2104" s="641" t="s">
        <v>613</v>
      </c>
      <c r="E2104" s="641" t="s">
        <v>962</v>
      </c>
      <c r="F2104" s="2604">
        <v>1350000</v>
      </c>
      <c r="G2104" s="641" t="s">
        <v>604</v>
      </c>
      <c r="H2104" s="641" t="s">
        <v>44</v>
      </c>
      <c r="I2104" s="641" t="s">
        <v>271</v>
      </c>
      <c r="J2104" s="642">
        <v>1</v>
      </c>
      <c r="K2104" t="s">
        <v>1455</v>
      </c>
    </row>
    <row r="2105" spans="1:11" hidden="1" x14ac:dyDescent="0.3">
      <c r="A2105" s="137">
        <v>8</v>
      </c>
      <c r="B2105" s="3402">
        <v>44713</v>
      </c>
      <c r="C2105" s="642" t="s">
        <v>138</v>
      </c>
      <c r="D2105" s="642" t="s">
        <v>2017</v>
      </c>
      <c r="E2105" s="642" t="s">
        <v>962</v>
      </c>
      <c r="F2105" s="2595">
        <v>1400000</v>
      </c>
      <c r="G2105" s="642" t="s">
        <v>854</v>
      </c>
      <c r="H2105" s="642" t="s">
        <v>36</v>
      </c>
      <c r="I2105" s="642" t="s">
        <v>271</v>
      </c>
      <c r="J2105" s="642">
        <v>1</v>
      </c>
      <c r="K2105" t="s">
        <v>217</v>
      </c>
    </row>
    <row r="2106" spans="1:11" hidden="1" x14ac:dyDescent="0.3">
      <c r="A2106" s="137">
        <v>9</v>
      </c>
      <c r="B2106" s="3402">
        <v>44743</v>
      </c>
      <c r="C2106" s="642" t="s">
        <v>138</v>
      </c>
      <c r="D2106" s="642" t="s">
        <v>2018</v>
      </c>
      <c r="E2106" s="642" t="s">
        <v>858</v>
      </c>
      <c r="F2106" s="2519">
        <v>2000000</v>
      </c>
      <c r="G2106" s="642" t="s">
        <v>1353</v>
      </c>
      <c r="H2106" s="642" t="s">
        <v>36</v>
      </c>
      <c r="I2106" s="642" t="s">
        <v>271</v>
      </c>
      <c r="J2106" s="642">
        <v>1</v>
      </c>
      <c r="K2106" t="s">
        <v>1455</v>
      </c>
    </row>
    <row r="2107" spans="1:11" hidden="1" x14ac:dyDescent="0.3">
      <c r="A2107" s="137">
        <v>10</v>
      </c>
      <c r="B2107" s="3402">
        <v>44743</v>
      </c>
      <c r="C2107" s="642" t="s">
        <v>138</v>
      </c>
      <c r="D2107" s="642" t="s">
        <v>2019</v>
      </c>
      <c r="E2107" s="642" t="s">
        <v>858</v>
      </c>
      <c r="F2107" s="2519">
        <v>1500000</v>
      </c>
      <c r="G2107" s="642" t="s">
        <v>397</v>
      </c>
      <c r="H2107" s="642" t="s">
        <v>36</v>
      </c>
      <c r="I2107" s="642" t="s">
        <v>271</v>
      </c>
      <c r="J2107" s="642">
        <v>1</v>
      </c>
      <c r="K2107" t="s">
        <v>1455</v>
      </c>
    </row>
    <row r="2108" spans="1:11" hidden="1" x14ac:dyDescent="0.3">
      <c r="A2108" s="137">
        <v>11</v>
      </c>
      <c r="B2108" s="3402">
        <v>44774</v>
      </c>
      <c r="C2108" s="642" t="s">
        <v>138</v>
      </c>
      <c r="D2108" s="642" t="s">
        <v>2020</v>
      </c>
      <c r="E2108" s="642" t="s">
        <v>904</v>
      </c>
      <c r="F2108" s="2519">
        <v>1250000</v>
      </c>
      <c r="G2108" s="642" t="s">
        <v>2021</v>
      </c>
      <c r="H2108" s="642" t="s">
        <v>36</v>
      </c>
      <c r="I2108" s="642" t="s">
        <v>271</v>
      </c>
      <c r="J2108" s="642">
        <v>1</v>
      </c>
      <c r="K2108" t="s">
        <v>217</v>
      </c>
    </row>
    <row r="2109" spans="1:11" hidden="1" x14ac:dyDescent="0.3">
      <c r="A2109" s="137">
        <v>12</v>
      </c>
      <c r="B2109" s="3402">
        <v>44774</v>
      </c>
      <c r="C2109" s="642" t="s">
        <v>138</v>
      </c>
      <c r="D2109" s="642" t="s">
        <v>2022</v>
      </c>
      <c r="E2109" s="642" t="s">
        <v>904</v>
      </c>
      <c r="F2109" s="2519">
        <v>4500000</v>
      </c>
      <c r="G2109" s="642" t="s">
        <v>168</v>
      </c>
      <c r="H2109" s="642" t="s">
        <v>36</v>
      </c>
      <c r="I2109" s="642" t="s">
        <v>271</v>
      </c>
      <c r="J2109" s="642">
        <v>1</v>
      </c>
      <c r="K2109" t="s">
        <v>1455</v>
      </c>
    </row>
    <row r="2110" spans="1:11" hidden="1" x14ac:dyDescent="0.3">
      <c r="A2110" s="137">
        <v>13</v>
      </c>
      <c r="B2110" s="3402">
        <v>44896</v>
      </c>
      <c r="C2110" s="642" t="s">
        <v>138</v>
      </c>
      <c r="D2110" s="642" t="s">
        <v>2023</v>
      </c>
      <c r="E2110" s="642" t="s">
        <v>962</v>
      </c>
      <c r="F2110" s="2519">
        <v>1300000</v>
      </c>
      <c r="G2110" s="642" t="s">
        <v>854</v>
      </c>
      <c r="H2110" s="642" t="s">
        <v>36</v>
      </c>
      <c r="I2110" s="642" t="s">
        <v>271</v>
      </c>
      <c r="J2110" s="642">
        <v>1</v>
      </c>
      <c r="K2110" t="s">
        <v>217</v>
      </c>
    </row>
    <row r="2111" spans="1:11" hidden="1" x14ac:dyDescent="0.3">
      <c r="A2111" s="137">
        <v>14</v>
      </c>
      <c r="B2111" s="3402">
        <v>44896</v>
      </c>
      <c r="C2111" s="642" t="s">
        <v>138</v>
      </c>
      <c r="D2111" s="642" t="s">
        <v>2024</v>
      </c>
      <c r="E2111" s="642" t="s">
        <v>962</v>
      </c>
      <c r="F2111" s="2519">
        <v>1250000</v>
      </c>
      <c r="G2111" s="642" t="s">
        <v>854</v>
      </c>
      <c r="H2111" s="642" t="s">
        <v>36</v>
      </c>
      <c r="I2111" s="642" t="s">
        <v>271</v>
      </c>
      <c r="J2111" s="642">
        <v>1</v>
      </c>
      <c r="K2111" t="s">
        <v>1455</v>
      </c>
    </row>
    <row r="2112" spans="1:11" hidden="1" x14ac:dyDescent="0.3">
      <c r="A2112" s="1781">
        <v>15</v>
      </c>
      <c r="B2112" s="765" t="s">
        <v>1985</v>
      </c>
      <c r="C2112" s="642" t="s">
        <v>138</v>
      </c>
      <c r="D2112" s="641" t="s">
        <v>2025</v>
      </c>
      <c r="E2112" s="642" t="s">
        <v>858</v>
      </c>
      <c r="F2112" s="2520">
        <v>1500000</v>
      </c>
      <c r="G2112" s="641" t="s">
        <v>397</v>
      </c>
      <c r="H2112" s="641" t="s">
        <v>36</v>
      </c>
      <c r="I2112" s="641" t="s">
        <v>271</v>
      </c>
      <c r="J2112" s="642">
        <v>1</v>
      </c>
      <c r="K2112" t="s">
        <v>1530</v>
      </c>
    </row>
    <row r="2113" spans="1:11" hidden="1" x14ac:dyDescent="0.3">
      <c r="A2113" s="1781">
        <v>16</v>
      </c>
      <c r="B2113" s="3402" t="s">
        <v>2026</v>
      </c>
      <c r="C2113" s="641" t="s">
        <v>138</v>
      </c>
      <c r="D2113" s="641" t="s">
        <v>2027</v>
      </c>
      <c r="E2113" s="641" t="s">
        <v>998</v>
      </c>
      <c r="F2113" s="2520">
        <v>1200000</v>
      </c>
      <c r="G2113" s="641" t="s">
        <v>1530</v>
      </c>
      <c r="H2113" s="641" t="s">
        <v>36</v>
      </c>
      <c r="I2113" s="641" t="s">
        <v>271</v>
      </c>
      <c r="J2113" s="642">
        <v>1</v>
      </c>
      <c r="K2113" t="s">
        <v>217</v>
      </c>
    </row>
    <row r="2114" spans="1:11" hidden="1" x14ac:dyDescent="0.3">
      <c r="A2114" s="1781">
        <v>17</v>
      </c>
      <c r="B2114" s="3402" t="s">
        <v>1994</v>
      </c>
      <c r="C2114" s="641" t="s">
        <v>74</v>
      </c>
      <c r="D2114" s="641" t="s">
        <v>2028</v>
      </c>
      <c r="E2114" s="641" t="s">
        <v>848</v>
      </c>
      <c r="F2114" s="2520">
        <v>4000000</v>
      </c>
      <c r="G2114" s="641" t="s">
        <v>43</v>
      </c>
      <c r="H2114" s="641" t="s">
        <v>44</v>
      </c>
      <c r="I2114" s="641" t="s">
        <v>271</v>
      </c>
      <c r="J2114" s="642">
        <v>1</v>
      </c>
      <c r="K2114" t="s">
        <v>1455</v>
      </c>
    </row>
    <row r="2115" spans="1:11" hidden="1" x14ac:dyDescent="0.3">
      <c r="A2115" s="1781">
        <v>18</v>
      </c>
      <c r="B2115" s="3402" t="s">
        <v>1994</v>
      </c>
      <c r="C2115" s="641" t="s">
        <v>138</v>
      </c>
      <c r="D2115" s="641" t="s">
        <v>2029</v>
      </c>
      <c r="E2115" s="641" t="s">
        <v>942</v>
      </c>
      <c r="F2115" s="2520">
        <v>900000</v>
      </c>
      <c r="G2115" s="641" t="s">
        <v>43</v>
      </c>
      <c r="H2115" s="641" t="s">
        <v>36</v>
      </c>
      <c r="I2115" s="641" t="s">
        <v>271</v>
      </c>
      <c r="J2115" s="642">
        <v>1</v>
      </c>
      <c r="K2115" t="s">
        <v>217</v>
      </c>
    </row>
    <row r="2116" spans="1:11" hidden="1" x14ac:dyDescent="0.3">
      <c r="A2116" s="1781">
        <v>19</v>
      </c>
      <c r="B2116" s="3402" t="s">
        <v>2030</v>
      </c>
      <c r="C2116" s="641" t="s">
        <v>138</v>
      </c>
      <c r="D2116" s="641" t="s">
        <v>2031</v>
      </c>
      <c r="E2116" s="641" t="s">
        <v>904</v>
      </c>
      <c r="F2116" s="2520">
        <v>2200000</v>
      </c>
      <c r="G2116" s="641" t="s">
        <v>870</v>
      </c>
      <c r="H2116" s="641" t="s">
        <v>36</v>
      </c>
      <c r="I2116" s="641" t="s">
        <v>271</v>
      </c>
      <c r="J2116" s="642">
        <v>1</v>
      </c>
      <c r="K2116" t="s">
        <v>217</v>
      </c>
    </row>
    <row r="2117" spans="1:11" hidden="1" x14ac:dyDescent="0.3">
      <c r="A2117" s="1781">
        <v>20</v>
      </c>
      <c r="B2117" s="3402" t="s">
        <v>2030</v>
      </c>
      <c r="C2117" s="641" t="s">
        <v>138</v>
      </c>
      <c r="D2117" s="641" t="s">
        <v>2032</v>
      </c>
      <c r="E2117" s="641" t="s">
        <v>68</v>
      </c>
      <c r="F2117" s="2520">
        <v>1400000</v>
      </c>
      <c r="G2117" s="641" t="s">
        <v>140</v>
      </c>
      <c r="H2117" s="641" t="s">
        <v>36</v>
      </c>
      <c r="I2117" s="641" t="s">
        <v>271</v>
      </c>
      <c r="J2117" s="642">
        <v>1</v>
      </c>
      <c r="K2117" t="s">
        <v>1455</v>
      </c>
    </row>
    <row r="2118" spans="1:11" hidden="1" x14ac:dyDescent="0.3">
      <c r="A2118" s="1781"/>
      <c r="B2118" s="765"/>
      <c r="C2118" s="641"/>
      <c r="D2118" s="641"/>
      <c r="E2118" s="641"/>
      <c r="F2118" s="2520"/>
      <c r="G2118" s="641"/>
      <c r="H2118" s="641"/>
      <c r="I2118" s="641"/>
      <c r="J2118" s="642"/>
    </row>
    <row r="2119" spans="1:11" ht="24.6" hidden="1" x14ac:dyDescent="0.4">
      <c r="A2119" s="1781"/>
      <c r="B2119" s="765"/>
      <c r="C2119" s="641"/>
      <c r="D2119" s="641"/>
      <c r="E2119" s="641"/>
      <c r="F2119" s="2523"/>
      <c r="G2119" s="641"/>
      <c r="H2119" s="641"/>
      <c r="I2119" s="641"/>
      <c r="J2119" s="1837"/>
    </row>
    <row r="2120" spans="1:11" ht="25.5" hidden="1" customHeight="1" x14ac:dyDescent="0.4">
      <c r="A2120" s="3462" t="s">
        <v>2003</v>
      </c>
      <c r="B2120" s="3462"/>
      <c r="C2120" s="3462"/>
      <c r="D2120" s="3462"/>
      <c r="E2120" s="3462"/>
      <c r="F2120" s="3462"/>
      <c r="G2120" s="3462"/>
      <c r="H2120" s="3462"/>
      <c r="I2120" s="3462"/>
      <c r="J2120" s="3462"/>
    </row>
    <row r="2121" spans="1:11" hidden="1" x14ac:dyDescent="0.3">
      <c r="A2121" s="137" t="s">
        <v>3</v>
      </c>
      <c r="B2121" s="1781" t="s">
        <v>4</v>
      </c>
      <c r="C2121" s="137" t="s">
        <v>5</v>
      </c>
      <c r="D2121" s="137" t="s">
        <v>6</v>
      </c>
      <c r="E2121" s="137" t="s">
        <v>7</v>
      </c>
      <c r="F2121" s="137" t="s">
        <v>8</v>
      </c>
      <c r="G2121" s="137" t="s">
        <v>9</v>
      </c>
      <c r="H2121" s="137" t="s">
        <v>10</v>
      </c>
      <c r="I2121" s="137" t="s">
        <v>11</v>
      </c>
      <c r="J2121" s="137" t="s">
        <v>12</v>
      </c>
    </row>
    <row r="2122" spans="1:11" hidden="1" x14ac:dyDescent="0.3">
      <c r="A2122" s="1845">
        <v>1</v>
      </c>
      <c r="B2122" s="3404" t="s">
        <v>1985</v>
      </c>
      <c r="C2122" s="1838" t="s">
        <v>138</v>
      </c>
      <c r="D2122" s="1838" t="s">
        <v>2033</v>
      </c>
      <c r="E2122" s="1838" t="s">
        <v>858</v>
      </c>
      <c r="F2122" s="1838">
        <v>355000000</v>
      </c>
      <c r="G2122" s="1838" t="s">
        <v>397</v>
      </c>
      <c r="H2122" s="1838" t="s">
        <v>44</v>
      </c>
      <c r="I2122" s="1838" t="s">
        <v>271</v>
      </c>
      <c r="J2122" s="1839">
        <v>1</v>
      </c>
    </row>
    <row r="2123" spans="1:11" hidden="1" x14ac:dyDescent="0.3">
      <c r="A2123" s="1846">
        <v>2</v>
      </c>
      <c r="B2123" s="3404" t="s">
        <v>1985</v>
      </c>
      <c r="C2123" s="1840" t="s">
        <v>138</v>
      </c>
      <c r="D2123" s="1840" t="s">
        <v>2034</v>
      </c>
      <c r="E2123" s="1840" t="s">
        <v>998</v>
      </c>
      <c r="F2123" s="1840">
        <v>140000000</v>
      </c>
      <c r="G2123" s="1840" t="s">
        <v>2035</v>
      </c>
      <c r="H2123" s="1840" t="s">
        <v>44</v>
      </c>
      <c r="I2123" s="1840" t="s">
        <v>271</v>
      </c>
      <c r="J2123" s="1841">
        <v>1</v>
      </c>
    </row>
    <row r="2124" spans="1:11" hidden="1" x14ac:dyDescent="0.3">
      <c r="A2124" s="2177">
        <v>3</v>
      </c>
      <c r="B2124" s="3406" t="s">
        <v>97</v>
      </c>
      <c r="C2124" s="2350" t="s">
        <v>138</v>
      </c>
      <c r="D2124" s="2350" t="s">
        <v>2036</v>
      </c>
      <c r="E2124" s="2350" t="s">
        <v>1870</v>
      </c>
      <c r="F2124" s="2350">
        <v>260000000</v>
      </c>
      <c r="G2124" s="2350" t="s">
        <v>168</v>
      </c>
      <c r="H2124" s="2350" t="s">
        <v>44</v>
      </c>
      <c r="I2124" s="2350" t="s">
        <v>271</v>
      </c>
      <c r="J2124" s="1842">
        <v>1</v>
      </c>
    </row>
    <row r="2125" spans="1:11" hidden="1" x14ac:dyDescent="0.3"/>
    <row r="2126" spans="1:11" hidden="1" x14ac:dyDescent="0.3"/>
    <row r="2127" spans="1:11" hidden="1" x14ac:dyDescent="0.3"/>
    <row r="2128" spans="1:11" ht="23.25" hidden="1" customHeight="1" x14ac:dyDescent="0.3">
      <c r="A2128" s="3460" t="s">
        <v>2037</v>
      </c>
      <c r="B2128" s="3460"/>
      <c r="C2128" s="3460"/>
      <c r="D2128" s="3460"/>
      <c r="E2128" s="3460"/>
      <c r="F2128" s="3460"/>
      <c r="G2128" s="3460"/>
      <c r="H2128" s="3460"/>
      <c r="I2128" s="3460"/>
      <c r="J2128" s="3460"/>
    </row>
    <row r="2129" spans="1:11" ht="15.75" hidden="1" customHeight="1" x14ac:dyDescent="0.3">
      <c r="A2129" s="3461" t="s">
        <v>2</v>
      </c>
      <c r="B2129" s="3461"/>
      <c r="C2129" s="3461"/>
      <c r="D2129" s="3461"/>
      <c r="E2129" s="3461"/>
      <c r="F2129" s="3461"/>
      <c r="G2129" s="3461"/>
      <c r="H2129" s="3461"/>
      <c r="I2129" s="3461"/>
      <c r="J2129" s="3461"/>
    </row>
    <row r="2130" spans="1:11" hidden="1" x14ac:dyDescent="0.3">
      <c r="A2130" s="137" t="s">
        <v>3</v>
      </c>
      <c r="B2130" s="1781" t="s">
        <v>4</v>
      </c>
      <c r="C2130" s="137" t="s">
        <v>5</v>
      </c>
      <c r="D2130" s="137" t="s">
        <v>6</v>
      </c>
      <c r="E2130" s="137" t="s">
        <v>7</v>
      </c>
      <c r="F2130" s="2522" t="s">
        <v>8</v>
      </c>
      <c r="G2130" s="137" t="s">
        <v>9</v>
      </c>
      <c r="H2130" s="137" t="s">
        <v>10</v>
      </c>
      <c r="I2130" s="137" t="s">
        <v>11</v>
      </c>
      <c r="J2130" s="137" t="s">
        <v>12</v>
      </c>
    </row>
    <row r="2131" spans="1:11" hidden="1" x14ac:dyDescent="0.3">
      <c r="A2131" s="137">
        <v>1</v>
      </c>
      <c r="B2131" s="3402">
        <v>44652</v>
      </c>
      <c r="C2131" s="642" t="s">
        <v>138</v>
      </c>
      <c r="D2131" s="642" t="s">
        <v>2038</v>
      </c>
      <c r="E2131" s="642" t="s">
        <v>787</v>
      </c>
      <c r="F2131" s="2519">
        <v>850</v>
      </c>
      <c r="G2131" s="642" t="s">
        <v>1382</v>
      </c>
      <c r="H2131" s="642" t="s">
        <v>36</v>
      </c>
      <c r="I2131" s="642" t="s">
        <v>271</v>
      </c>
      <c r="J2131" s="642">
        <v>1</v>
      </c>
      <c r="K2131" t="s">
        <v>217</v>
      </c>
    </row>
    <row r="2132" spans="1:11" hidden="1" x14ac:dyDescent="0.3">
      <c r="A2132" s="137">
        <v>2</v>
      </c>
      <c r="B2132" s="3402">
        <v>44713</v>
      </c>
      <c r="C2132" s="642" t="s">
        <v>138</v>
      </c>
      <c r="D2132" s="642" t="s">
        <v>2039</v>
      </c>
      <c r="E2132" s="642" t="s">
        <v>1838</v>
      </c>
      <c r="F2132" s="2519">
        <v>1200000</v>
      </c>
      <c r="G2132" s="642" t="s">
        <v>1095</v>
      </c>
      <c r="H2132" s="642" t="s">
        <v>36</v>
      </c>
      <c r="I2132" s="642" t="s">
        <v>271</v>
      </c>
      <c r="J2132" s="642">
        <v>1</v>
      </c>
      <c r="K2132" t="s">
        <v>1455</v>
      </c>
    </row>
    <row r="2133" spans="1:11" hidden="1" x14ac:dyDescent="0.3">
      <c r="A2133" s="137">
        <v>3</v>
      </c>
      <c r="B2133" s="3402">
        <v>44713</v>
      </c>
      <c r="C2133" s="642" t="s">
        <v>138</v>
      </c>
      <c r="D2133" s="642" t="s">
        <v>2040</v>
      </c>
      <c r="E2133" s="642" t="s">
        <v>925</v>
      </c>
      <c r="F2133" s="2519">
        <v>900000</v>
      </c>
      <c r="G2133" s="642" t="s">
        <v>168</v>
      </c>
      <c r="H2133" s="642" t="s">
        <v>36</v>
      </c>
      <c r="I2133" s="642" t="s">
        <v>271</v>
      </c>
      <c r="J2133" s="642">
        <v>1</v>
      </c>
      <c r="K2133" t="s">
        <v>1455</v>
      </c>
    </row>
    <row r="2134" spans="1:11" hidden="1" x14ac:dyDescent="0.3">
      <c r="A2134" s="137">
        <v>4</v>
      </c>
      <c r="B2134" s="3402">
        <v>44713</v>
      </c>
      <c r="C2134" s="642" t="s">
        <v>138</v>
      </c>
      <c r="D2134" s="642" t="s">
        <v>2041</v>
      </c>
      <c r="E2134" s="642" t="s">
        <v>1725</v>
      </c>
      <c r="F2134" s="2519">
        <v>800000</v>
      </c>
      <c r="G2134" s="642" t="s">
        <v>727</v>
      </c>
      <c r="H2134" s="642" t="s">
        <v>36</v>
      </c>
      <c r="I2134" s="642" t="s">
        <v>271</v>
      </c>
      <c r="J2134" s="642">
        <v>1</v>
      </c>
      <c r="K2134" t="s">
        <v>1455</v>
      </c>
    </row>
    <row r="2135" spans="1:11" hidden="1" x14ac:dyDescent="0.3">
      <c r="A2135" s="137">
        <v>5</v>
      </c>
      <c r="B2135" s="3402">
        <v>44896</v>
      </c>
      <c r="C2135" s="642" t="s">
        <v>138</v>
      </c>
      <c r="D2135" s="642" t="s">
        <v>1975</v>
      </c>
      <c r="E2135" s="642" t="s">
        <v>76</v>
      </c>
      <c r="F2135" s="2519">
        <v>900000</v>
      </c>
      <c r="G2135" s="642" t="s">
        <v>1656</v>
      </c>
      <c r="H2135" s="642" t="s">
        <v>36</v>
      </c>
      <c r="I2135" s="642" t="s">
        <v>271</v>
      </c>
      <c r="J2135" s="642">
        <v>1</v>
      </c>
      <c r="K2135" t="s">
        <v>1976</v>
      </c>
    </row>
    <row r="2136" spans="1:11" hidden="1" x14ac:dyDescent="0.3">
      <c r="A2136" s="137">
        <v>6</v>
      </c>
      <c r="B2136" s="3402" t="s">
        <v>1977</v>
      </c>
      <c r="C2136" s="642" t="s">
        <v>138</v>
      </c>
      <c r="D2136" s="642" t="s">
        <v>1978</v>
      </c>
      <c r="E2136" s="642" t="s">
        <v>76</v>
      </c>
      <c r="F2136" s="2519">
        <v>950000</v>
      </c>
      <c r="G2136" s="642" t="s">
        <v>1979</v>
      </c>
      <c r="H2136" s="642" t="s">
        <v>36</v>
      </c>
      <c r="I2136" s="642" t="s">
        <v>271</v>
      </c>
      <c r="J2136" s="642">
        <v>1</v>
      </c>
      <c r="K2136" t="s">
        <v>1976</v>
      </c>
    </row>
    <row r="2137" spans="1:11" hidden="1" x14ac:dyDescent="0.3">
      <c r="A2137" s="137">
        <v>7</v>
      </c>
      <c r="B2137" s="3402" t="s">
        <v>1977</v>
      </c>
      <c r="C2137" s="642" t="s">
        <v>138</v>
      </c>
      <c r="D2137" s="641" t="s">
        <v>1980</v>
      </c>
      <c r="E2137" s="641" t="s">
        <v>76</v>
      </c>
      <c r="F2137" s="2520">
        <v>950000</v>
      </c>
      <c r="G2137" s="641" t="s">
        <v>1979</v>
      </c>
      <c r="H2137" s="641" t="s">
        <v>36</v>
      </c>
      <c r="I2137" s="641" t="s">
        <v>271</v>
      </c>
      <c r="J2137" s="642">
        <v>1</v>
      </c>
      <c r="K2137" t="s">
        <v>1976</v>
      </c>
    </row>
    <row r="2138" spans="1:11" hidden="1" x14ac:dyDescent="0.3">
      <c r="A2138" s="137">
        <v>8</v>
      </c>
      <c r="B2138" s="3402" t="s">
        <v>1981</v>
      </c>
      <c r="C2138" s="642" t="s">
        <v>138</v>
      </c>
      <c r="D2138" s="642" t="s">
        <v>1982</v>
      </c>
      <c r="E2138" s="642" t="s">
        <v>1983</v>
      </c>
      <c r="F2138" s="2519">
        <v>800000</v>
      </c>
      <c r="G2138" s="642" t="s">
        <v>168</v>
      </c>
      <c r="H2138" s="642" t="s">
        <v>44</v>
      </c>
      <c r="I2138" s="642" t="s">
        <v>271</v>
      </c>
      <c r="J2138" s="642">
        <v>1</v>
      </c>
      <c r="K2138" t="s">
        <v>217</v>
      </c>
    </row>
    <row r="2139" spans="1:11" hidden="1" x14ac:dyDescent="0.3">
      <c r="A2139" s="137">
        <v>9</v>
      </c>
      <c r="B2139" s="3402" t="s">
        <v>1981</v>
      </c>
      <c r="C2139" s="642" t="s">
        <v>138</v>
      </c>
      <c r="D2139" s="642" t="s">
        <v>1990</v>
      </c>
      <c r="E2139" s="642" t="s">
        <v>840</v>
      </c>
      <c r="F2139" s="2519">
        <v>1100000</v>
      </c>
      <c r="G2139" s="642" t="s">
        <v>1991</v>
      </c>
      <c r="H2139" s="642" t="s">
        <v>44</v>
      </c>
      <c r="I2139" s="642" t="s">
        <v>271</v>
      </c>
      <c r="J2139" s="642">
        <v>1</v>
      </c>
      <c r="K2139" t="s">
        <v>1455</v>
      </c>
    </row>
    <row r="2140" spans="1:11" hidden="1" x14ac:dyDescent="0.3">
      <c r="A2140" s="137">
        <v>10</v>
      </c>
      <c r="B2140" s="3402" t="s">
        <v>1981</v>
      </c>
      <c r="C2140" s="642" t="s">
        <v>138</v>
      </c>
      <c r="D2140" s="642" t="s">
        <v>2042</v>
      </c>
      <c r="E2140" s="642" t="s">
        <v>1066</v>
      </c>
      <c r="F2140" s="2519">
        <v>900000</v>
      </c>
      <c r="G2140" s="642" t="s">
        <v>2043</v>
      </c>
      <c r="H2140" s="642" t="s">
        <v>36</v>
      </c>
      <c r="I2140" s="642" t="s">
        <v>271</v>
      </c>
      <c r="J2140" s="642">
        <v>1</v>
      </c>
      <c r="K2140" t="s">
        <v>1976</v>
      </c>
    </row>
    <row r="2141" spans="1:11" ht="24.6" hidden="1" x14ac:dyDescent="0.4">
      <c r="A2141" s="1781"/>
      <c r="B2141" s="765"/>
      <c r="C2141" s="641"/>
      <c r="D2141" s="641"/>
      <c r="E2141" s="641"/>
      <c r="F2141" s="2523"/>
      <c r="G2141" s="641"/>
      <c r="H2141" s="641"/>
      <c r="I2141" s="641"/>
      <c r="J2141" s="1837"/>
    </row>
    <row r="2142" spans="1:11" ht="25.5" hidden="1" customHeight="1" x14ac:dyDescent="0.4">
      <c r="A2142" s="3462" t="s">
        <v>2003</v>
      </c>
      <c r="B2142" s="3462"/>
      <c r="C2142" s="3462"/>
      <c r="D2142" s="3462"/>
      <c r="E2142" s="3462"/>
      <c r="F2142" s="3462"/>
      <c r="G2142" s="3462"/>
      <c r="H2142" s="3462"/>
      <c r="I2142" s="3462"/>
      <c r="J2142" s="3462"/>
    </row>
    <row r="2143" spans="1:11" hidden="1" x14ac:dyDescent="0.3">
      <c r="A2143" s="137" t="s">
        <v>3</v>
      </c>
      <c r="B2143" s="1781" t="s">
        <v>4</v>
      </c>
      <c r="C2143" s="137" t="s">
        <v>5</v>
      </c>
      <c r="D2143" s="137" t="s">
        <v>6</v>
      </c>
      <c r="E2143" s="137" t="s">
        <v>7</v>
      </c>
      <c r="F2143" s="137" t="s">
        <v>8</v>
      </c>
      <c r="G2143" s="137" t="s">
        <v>9</v>
      </c>
      <c r="H2143" s="137" t="s">
        <v>10</v>
      </c>
      <c r="I2143" s="137" t="s">
        <v>11</v>
      </c>
      <c r="J2143" s="137" t="s">
        <v>12</v>
      </c>
    </row>
    <row r="2144" spans="1:11" hidden="1" x14ac:dyDescent="0.3">
      <c r="A2144" s="1845">
        <v>1</v>
      </c>
      <c r="B2144" s="3404" t="s">
        <v>1985</v>
      </c>
      <c r="C2144" s="1838" t="s">
        <v>138</v>
      </c>
      <c r="D2144" s="1838" t="s">
        <v>2044</v>
      </c>
      <c r="E2144" s="1838" t="s">
        <v>787</v>
      </c>
      <c r="F2144" s="1838">
        <v>160000000</v>
      </c>
      <c r="G2144" s="1838" t="s">
        <v>703</v>
      </c>
      <c r="H2144" s="1838" t="s">
        <v>44</v>
      </c>
      <c r="I2144" s="1838" t="s">
        <v>271</v>
      </c>
      <c r="J2144" s="1839">
        <v>1</v>
      </c>
    </row>
    <row r="2145" spans="1:11" hidden="1" x14ac:dyDescent="0.3">
      <c r="A2145" s="1846">
        <v>2</v>
      </c>
      <c r="B2145" s="3410" t="s">
        <v>1994</v>
      </c>
      <c r="C2145" s="1840" t="s">
        <v>138</v>
      </c>
      <c r="D2145" s="1840" t="s">
        <v>1995</v>
      </c>
      <c r="E2145" s="1840" t="s">
        <v>76</v>
      </c>
      <c r="F2145" s="1840">
        <v>220000000</v>
      </c>
      <c r="G2145" s="1840" t="s">
        <v>1656</v>
      </c>
      <c r="H2145" s="1840" t="s">
        <v>44</v>
      </c>
      <c r="I2145" s="1840" t="s">
        <v>271</v>
      </c>
      <c r="J2145" s="1841">
        <v>1</v>
      </c>
    </row>
    <row r="2146" spans="1:11" hidden="1" x14ac:dyDescent="0.3"/>
    <row r="2147" spans="1:11" hidden="1" x14ac:dyDescent="0.3"/>
    <row r="2148" spans="1:11" ht="23.25" hidden="1" customHeight="1" x14ac:dyDescent="0.3">
      <c r="A2148" s="3460" t="s">
        <v>1138</v>
      </c>
      <c r="B2148" s="3460"/>
      <c r="C2148" s="3460"/>
      <c r="D2148" s="3460"/>
      <c r="E2148" s="3460"/>
      <c r="F2148" s="3460"/>
      <c r="G2148" s="3460"/>
      <c r="H2148" s="3460"/>
      <c r="I2148" s="3460"/>
      <c r="J2148" s="3460"/>
    </row>
    <row r="2149" spans="1:11" ht="15.75" hidden="1" customHeight="1" x14ac:dyDescent="0.3">
      <c r="A2149" s="3461" t="s">
        <v>2</v>
      </c>
      <c r="B2149" s="3461"/>
      <c r="C2149" s="3461"/>
      <c r="D2149" s="3461"/>
      <c r="E2149" s="3461"/>
      <c r="F2149" s="3461"/>
      <c r="G2149" s="3461"/>
      <c r="H2149" s="3461"/>
      <c r="I2149" s="3461"/>
      <c r="J2149" s="3461"/>
    </row>
    <row r="2150" spans="1:11" hidden="1" x14ac:dyDescent="0.3">
      <c r="A2150" s="137" t="s">
        <v>3</v>
      </c>
      <c r="B2150" s="1781" t="s">
        <v>4</v>
      </c>
      <c r="C2150" s="137" t="s">
        <v>5</v>
      </c>
      <c r="D2150" s="137" t="s">
        <v>6</v>
      </c>
      <c r="E2150" s="137" t="s">
        <v>7</v>
      </c>
      <c r="F2150" s="2522" t="s">
        <v>8</v>
      </c>
      <c r="G2150" s="137" t="s">
        <v>9</v>
      </c>
      <c r="H2150" s="137" t="s">
        <v>10</v>
      </c>
      <c r="I2150" s="137" t="s">
        <v>11</v>
      </c>
      <c r="J2150" s="137" t="s">
        <v>12</v>
      </c>
    </row>
    <row r="2151" spans="1:11" hidden="1" x14ac:dyDescent="0.3">
      <c r="A2151" s="137">
        <v>1</v>
      </c>
      <c r="B2151" s="765" t="s">
        <v>1964</v>
      </c>
      <c r="C2151" s="642" t="s">
        <v>37</v>
      </c>
      <c r="D2151" s="642" t="s">
        <v>2045</v>
      </c>
      <c r="E2151" s="642" t="s">
        <v>1838</v>
      </c>
      <c r="F2151" s="2519">
        <v>1200000</v>
      </c>
      <c r="G2151" s="642" t="s">
        <v>1138</v>
      </c>
      <c r="H2151" s="642" t="s">
        <v>36</v>
      </c>
      <c r="I2151" s="642" t="s">
        <v>36</v>
      </c>
      <c r="J2151" s="642">
        <v>1</v>
      </c>
      <c r="K2151" t="s">
        <v>1770</v>
      </c>
    </row>
    <row r="2152" spans="1:11" hidden="1" x14ac:dyDescent="0.3">
      <c r="A2152" s="137">
        <v>2</v>
      </c>
      <c r="B2152" s="765" t="s">
        <v>1964</v>
      </c>
      <c r="C2152" s="642" t="s">
        <v>37</v>
      </c>
      <c r="D2152" s="642" t="s">
        <v>2046</v>
      </c>
      <c r="E2152" s="642" t="s">
        <v>1130</v>
      </c>
      <c r="F2152" s="2519">
        <v>1050000</v>
      </c>
      <c r="G2152" s="642" t="s">
        <v>1917</v>
      </c>
      <c r="H2152" s="642" t="s">
        <v>36</v>
      </c>
      <c r="I2152" s="642" t="s">
        <v>36</v>
      </c>
      <c r="J2152" s="642">
        <v>1</v>
      </c>
      <c r="K2152" t="s">
        <v>217</v>
      </c>
    </row>
    <row r="2153" spans="1:11" hidden="1" x14ac:dyDescent="0.3">
      <c r="A2153" s="137">
        <v>3</v>
      </c>
      <c r="B2153" s="3402">
        <v>44713</v>
      </c>
      <c r="C2153" s="642" t="s">
        <v>37</v>
      </c>
      <c r="D2153" s="642" t="s">
        <v>2047</v>
      </c>
      <c r="E2153" s="642" t="s">
        <v>1838</v>
      </c>
      <c r="F2153" s="2519">
        <v>1300000</v>
      </c>
      <c r="G2153" s="642" t="s">
        <v>1095</v>
      </c>
      <c r="H2153" s="642" t="s">
        <v>44</v>
      </c>
      <c r="I2153" s="642" t="s">
        <v>36</v>
      </c>
      <c r="J2153" s="642">
        <v>1</v>
      </c>
      <c r="K2153" t="s">
        <v>217</v>
      </c>
    </row>
    <row r="2154" spans="1:11" hidden="1" x14ac:dyDescent="0.3">
      <c r="A2154" s="137">
        <v>4</v>
      </c>
      <c r="B2154" s="3402">
        <v>44713</v>
      </c>
      <c r="C2154" s="642" t="s">
        <v>37</v>
      </c>
      <c r="D2154" s="642" t="s">
        <v>2048</v>
      </c>
      <c r="E2154" s="642" t="s">
        <v>1838</v>
      </c>
      <c r="F2154" s="2519">
        <v>1200000</v>
      </c>
      <c r="G2154" s="642" t="s">
        <v>1911</v>
      </c>
      <c r="H2154" s="642" t="s">
        <v>44</v>
      </c>
      <c r="I2154" s="642" t="s">
        <v>36</v>
      </c>
      <c r="J2154" s="642">
        <v>1</v>
      </c>
      <c r="K2154" t="s">
        <v>217</v>
      </c>
    </row>
    <row r="2155" spans="1:11" hidden="1" x14ac:dyDescent="0.3">
      <c r="A2155" s="137">
        <v>5</v>
      </c>
      <c r="B2155" s="3402">
        <v>44743</v>
      </c>
      <c r="C2155" s="642" t="s">
        <v>138</v>
      </c>
      <c r="D2155" s="642" t="s">
        <v>2049</v>
      </c>
      <c r="E2155" s="642" t="s">
        <v>1751</v>
      </c>
      <c r="F2155" s="2519">
        <v>910000</v>
      </c>
      <c r="G2155" s="642" t="s">
        <v>1752</v>
      </c>
      <c r="H2155" s="642" t="s">
        <v>44</v>
      </c>
      <c r="I2155" s="642" t="s">
        <v>271</v>
      </c>
      <c r="J2155" s="642">
        <v>1</v>
      </c>
      <c r="K2155" t="s">
        <v>217</v>
      </c>
    </row>
    <row r="2156" spans="1:11" hidden="1" x14ac:dyDescent="0.3">
      <c r="A2156" s="137">
        <v>6</v>
      </c>
      <c r="B2156" s="3402">
        <v>44774</v>
      </c>
      <c r="C2156" s="642" t="s">
        <v>138</v>
      </c>
      <c r="D2156" s="642" t="s">
        <v>2050</v>
      </c>
      <c r="E2156" s="642" t="s">
        <v>1838</v>
      </c>
      <c r="F2156" s="2519">
        <v>1300000</v>
      </c>
      <c r="G2156" s="642" t="s">
        <v>1911</v>
      </c>
      <c r="H2156" s="642" t="s">
        <v>44</v>
      </c>
      <c r="I2156" s="642" t="s">
        <v>271</v>
      </c>
      <c r="J2156" s="642">
        <v>1</v>
      </c>
      <c r="K2156" t="s">
        <v>1455</v>
      </c>
    </row>
    <row r="2157" spans="1:11" hidden="1" x14ac:dyDescent="0.3">
      <c r="A2157" s="137">
        <v>7</v>
      </c>
      <c r="B2157" s="3402">
        <v>44896</v>
      </c>
      <c r="C2157" s="641" t="s">
        <v>138</v>
      </c>
      <c r="D2157" s="641" t="s">
        <v>2051</v>
      </c>
      <c r="E2157" s="641" t="s">
        <v>1838</v>
      </c>
      <c r="F2157" s="2520">
        <v>1300000</v>
      </c>
      <c r="G2157" s="641" t="s">
        <v>1349</v>
      </c>
      <c r="H2157" s="641" t="s">
        <v>36</v>
      </c>
      <c r="I2157" s="641" t="s">
        <v>271</v>
      </c>
      <c r="J2157" s="642">
        <v>1</v>
      </c>
      <c r="K2157" t="s">
        <v>1976</v>
      </c>
    </row>
    <row r="2158" spans="1:11" hidden="1" x14ac:dyDescent="0.3">
      <c r="A2158" s="137">
        <v>8</v>
      </c>
      <c r="B2158" s="3402" t="s">
        <v>2052</v>
      </c>
      <c r="C2158" s="641" t="s">
        <v>138</v>
      </c>
      <c r="D2158" s="642" t="s">
        <v>2053</v>
      </c>
      <c r="E2158" s="642" t="s">
        <v>1838</v>
      </c>
      <c r="F2158" s="2519">
        <v>1200000</v>
      </c>
      <c r="G2158" s="642" t="s">
        <v>1911</v>
      </c>
      <c r="H2158" s="642" t="s">
        <v>44</v>
      </c>
      <c r="I2158" s="642" t="s">
        <v>271</v>
      </c>
      <c r="J2158" s="642">
        <v>1</v>
      </c>
      <c r="K2158" t="s">
        <v>1455</v>
      </c>
    </row>
    <row r="2159" spans="1:11" hidden="1" x14ac:dyDescent="0.3">
      <c r="A2159" s="137">
        <v>9</v>
      </c>
      <c r="B2159" s="3402" t="s">
        <v>2052</v>
      </c>
      <c r="C2159" s="641" t="s">
        <v>138</v>
      </c>
      <c r="D2159" s="642" t="s">
        <v>2054</v>
      </c>
      <c r="E2159" s="642" t="s">
        <v>1838</v>
      </c>
      <c r="F2159" s="2519">
        <v>1200000</v>
      </c>
      <c r="G2159" s="642" t="s">
        <v>1911</v>
      </c>
      <c r="H2159" s="642" t="s">
        <v>36</v>
      </c>
      <c r="I2159" s="642" t="s">
        <v>271</v>
      </c>
      <c r="J2159" s="642">
        <v>1</v>
      </c>
      <c r="K2159" t="s">
        <v>1455</v>
      </c>
    </row>
    <row r="2160" spans="1:11" hidden="1" x14ac:dyDescent="0.3">
      <c r="A2160" s="137">
        <v>10</v>
      </c>
      <c r="B2160" s="3402" t="s">
        <v>1985</v>
      </c>
      <c r="C2160" s="642" t="s">
        <v>138</v>
      </c>
      <c r="D2160" s="642" t="s">
        <v>2055</v>
      </c>
      <c r="E2160" s="642" t="s">
        <v>869</v>
      </c>
      <c r="F2160" s="2519">
        <v>1350000</v>
      </c>
      <c r="G2160" s="642" t="s">
        <v>1911</v>
      </c>
      <c r="H2160" s="642" t="s">
        <v>44</v>
      </c>
      <c r="I2160" s="642" t="s">
        <v>271</v>
      </c>
      <c r="J2160" s="642">
        <v>1</v>
      </c>
      <c r="K2160" t="s">
        <v>1976</v>
      </c>
    </row>
    <row r="2161" spans="1:11" hidden="1" x14ac:dyDescent="0.3">
      <c r="A2161" s="137">
        <v>11</v>
      </c>
      <c r="B2161" s="765" t="s">
        <v>1992</v>
      </c>
      <c r="C2161" s="642" t="s">
        <v>138</v>
      </c>
      <c r="D2161" s="642" t="s">
        <v>2056</v>
      </c>
      <c r="E2161" s="642" t="s">
        <v>2057</v>
      </c>
      <c r="F2161" s="2519">
        <v>890000</v>
      </c>
      <c r="G2161" s="642" t="s">
        <v>168</v>
      </c>
      <c r="H2161" s="642" t="s">
        <v>44</v>
      </c>
      <c r="I2161" s="642" t="s">
        <v>271</v>
      </c>
      <c r="J2161" s="642">
        <v>1</v>
      </c>
      <c r="K2161" t="s">
        <v>1976</v>
      </c>
    </row>
    <row r="2162" spans="1:11" hidden="1" x14ac:dyDescent="0.3">
      <c r="A2162" s="137">
        <v>12</v>
      </c>
      <c r="B2162" s="765" t="s">
        <v>1992</v>
      </c>
      <c r="C2162" s="642" t="s">
        <v>138</v>
      </c>
      <c r="D2162" s="642" t="s">
        <v>2058</v>
      </c>
      <c r="E2162" s="642" t="s">
        <v>2057</v>
      </c>
      <c r="F2162" s="2519">
        <v>950000</v>
      </c>
      <c r="G2162" s="642" t="s">
        <v>168</v>
      </c>
      <c r="H2162" s="642" t="s">
        <v>44</v>
      </c>
      <c r="I2162" s="642" t="s">
        <v>271</v>
      </c>
      <c r="J2162" s="642">
        <v>1</v>
      </c>
      <c r="K2162" t="s">
        <v>1455</v>
      </c>
    </row>
    <row r="2163" spans="1:11" hidden="1" x14ac:dyDescent="0.3">
      <c r="A2163" s="137">
        <v>13</v>
      </c>
      <c r="B2163" s="765" t="s">
        <v>1992</v>
      </c>
      <c r="C2163" s="642" t="s">
        <v>138</v>
      </c>
      <c r="D2163" s="642" t="s">
        <v>2058</v>
      </c>
      <c r="E2163" s="642" t="s">
        <v>2057</v>
      </c>
      <c r="F2163" s="2519">
        <v>950000</v>
      </c>
      <c r="G2163" s="642" t="s">
        <v>168</v>
      </c>
      <c r="H2163" s="642" t="s">
        <v>44</v>
      </c>
      <c r="I2163" s="642" t="s">
        <v>271</v>
      </c>
      <c r="J2163" s="642">
        <v>1</v>
      </c>
      <c r="K2163" t="s">
        <v>217</v>
      </c>
    </row>
    <row r="2164" spans="1:11" hidden="1" x14ac:dyDescent="0.3">
      <c r="A2164" s="137">
        <v>14</v>
      </c>
      <c r="B2164" s="765" t="s">
        <v>1992</v>
      </c>
      <c r="C2164" s="642" t="s">
        <v>138</v>
      </c>
      <c r="D2164" s="642" t="s">
        <v>2059</v>
      </c>
      <c r="E2164" s="642" t="s">
        <v>2057</v>
      </c>
      <c r="F2164" s="2519">
        <v>1050000</v>
      </c>
      <c r="G2164" s="642" t="s">
        <v>168</v>
      </c>
      <c r="H2164" s="642" t="s">
        <v>44</v>
      </c>
      <c r="I2164" s="642" t="s">
        <v>271</v>
      </c>
      <c r="J2164" s="642">
        <v>1</v>
      </c>
      <c r="K2164" t="s">
        <v>2060</v>
      </c>
    </row>
    <row r="2165" spans="1:11" hidden="1" x14ac:dyDescent="0.3">
      <c r="A2165" s="1781">
        <v>15</v>
      </c>
      <c r="B2165" s="765" t="s">
        <v>2061</v>
      </c>
      <c r="C2165" s="642" t="s">
        <v>138</v>
      </c>
      <c r="D2165" s="641" t="s">
        <v>2062</v>
      </c>
      <c r="E2165" s="642" t="s">
        <v>76</v>
      </c>
      <c r="F2165" s="2520">
        <v>1200000</v>
      </c>
      <c r="G2165" s="641" t="s">
        <v>43</v>
      </c>
      <c r="H2165" s="641" t="s">
        <v>44</v>
      </c>
      <c r="I2165" s="641" t="s">
        <v>271</v>
      </c>
      <c r="J2165" s="642">
        <v>1</v>
      </c>
      <c r="K2165" t="s">
        <v>217</v>
      </c>
    </row>
    <row r="2166" spans="1:11" hidden="1" x14ac:dyDescent="0.3">
      <c r="A2166" s="1781">
        <v>16</v>
      </c>
      <c r="B2166" s="3402" t="s">
        <v>2001</v>
      </c>
      <c r="C2166" s="641" t="s">
        <v>138</v>
      </c>
      <c r="D2166" s="641" t="s">
        <v>2063</v>
      </c>
      <c r="E2166" s="641" t="s">
        <v>1066</v>
      </c>
      <c r="F2166" s="2520">
        <v>1300000</v>
      </c>
      <c r="G2166" s="641" t="s">
        <v>43</v>
      </c>
      <c r="H2166" s="641" t="s">
        <v>44</v>
      </c>
      <c r="I2166" s="641" t="s">
        <v>271</v>
      </c>
      <c r="J2166" s="642">
        <v>1</v>
      </c>
      <c r="K2166" t="s">
        <v>1455</v>
      </c>
    </row>
    <row r="2167" spans="1:11" hidden="1" x14ac:dyDescent="0.3">
      <c r="A2167" s="1781">
        <v>17</v>
      </c>
      <c r="B2167" s="3402" t="s">
        <v>2001</v>
      </c>
      <c r="C2167" s="641" t="s">
        <v>138</v>
      </c>
      <c r="D2167" s="641" t="s">
        <v>2064</v>
      </c>
      <c r="E2167" s="641" t="s">
        <v>2065</v>
      </c>
      <c r="F2167" s="2520">
        <v>5500000</v>
      </c>
      <c r="G2167" s="641" t="s">
        <v>43</v>
      </c>
      <c r="H2167" s="641" t="s">
        <v>44</v>
      </c>
      <c r="I2167" s="641" t="s">
        <v>271</v>
      </c>
      <c r="J2167" s="642">
        <v>1</v>
      </c>
      <c r="K2167" t="s">
        <v>1455</v>
      </c>
    </row>
    <row r="2168" spans="1:11" hidden="1" x14ac:dyDescent="0.3">
      <c r="A2168" s="1781">
        <v>18</v>
      </c>
      <c r="B2168" s="3402" t="s">
        <v>2001</v>
      </c>
      <c r="C2168" s="641" t="s">
        <v>138</v>
      </c>
      <c r="D2168" s="641" t="s">
        <v>2066</v>
      </c>
      <c r="E2168" s="641" t="s">
        <v>68</v>
      </c>
      <c r="F2168" s="2520">
        <v>1350000</v>
      </c>
      <c r="G2168" s="641" t="s">
        <v>140</v>
      </c>
      <c r="H2168" s="641" t="s">
        <v>44</v>
      </c>
      <c r="I2168" s="641" t="s">
        <v>271</v>
      </c>
      <c r="J2168" s="642">
        <v>1</v>
      </c>
      <c r="K2168" t="s">
        <v>217</v>
      </c>
    </row>
    <row r="2169" spans="1:11" hidden="1" x14ac:dyDescent="0.3">
      <c r="A2169" s="1781">
        <v>19</v>
      </c>
      <c r="B2169" s="3402" t="s">
        <v>2001</v>
      </c>
      <c r="C2169" s="641" t="s">
        <v>138</v>
      </c>
      <c r="D2169" s="641" t="s">
        <v>2067</v>
      </c>
      <c r="E2169" s="641" t="s">
        <v>869</v>
      </c>
      <c r="F2169" s="2520">
        <v>1150000</v>
      </c>
      <c r="G2169" s="641" t="s">
        <v>2068</v>
      </c>
      <c r="H2169" s="641" t="s">
        <v>44</v>
      </c>
      <c r="I2169" s="641" t="s">
        <v>271</v>
      </c>
      <c r="J2169" s="642">
        <v>1</v>
      </c>
      <c r="K2169" t="s">
        <v>133</v>
      </c>
    </row>
    <row r="2170" spans="1:11" hidden="1" x14ac:dyDescent="0.3">
      <c r="A2170" s="1781">
        <v>20</v>
      </c>
      <c r="B2170" s="3402" t="s">
        <v>2001</v>
      </c>
      <c r="C2170" s="641" t="s">
        <v>138</v>
      </c>
      <c r="D2170" s="641" t="s">
        <v>2069</v>
      </c>
      <c r="E2170" s="641" t="s">
        <v>1870</v>
      </c>
      <c r="F2170" s="2520">
        <v>1250000</v>
      </c>
      <c r="G2170" s="641" t="s">
        <v>2070</v>
      </c>
      <c r="H2170" s="641" t="s">
        <v>44</v>
      </c>
      <c r="I2170" s="641" t="s">
        <v>271</v>
      </c>
      <c r="J2170" s="642">
        <v>1</v>
      </c>
      <c r="K2170" t="s">
        <v>1455</v>
      </c>
    </row>
    <row r="2171" spans="1:11" hidden="1" x14ac:dyDescent="0.3">
      <c r="A2171" s="1781"/>
      <c r="B2171" s="765"/>
      <c r="C2171" s="641"/>
      <c r="D2171" s="641"/>
      <c r="E2171" s="641"/>
      <c r="F2171" s="2520"/>
      <c r="G2171" s="641"/>
      <c r="H2171" s="641"/>
      <c r="I2171" s="641"/>
      <c r="J2171" s="642"/>
    </row>
    <row r="2172" spans="1:11" ht="24.6" hidden="1" x14ac:dyDescent="0.4">
      <c r="A2172" s="1781"/>
      <c r="B2172" s="765"/>
      <c r="C2172" s="641"/>
      <c r="D2172" s="641"/>
      <c r="E2172" s="641"/>
      <c r="F2172" s="2523"/>
      <c r="G2172" s="641"/>
      <c r="H2172" s="641"/>
      <c r="I2172" s="641"/>
      <c r="J2172" s="1837"/>
    </row>
    <row r="2173" spans="1:11" ht="25.5" hidden="1" customHeight="1" x14ac:dyDescent="0.4">
      <c r="A2173" s="3462" t="s">
        <v>2003</v>
      </c>
      <c r="B2173" s="3462"/>
      <c r="C2173" s="3462"/>
      <c r="D2173" s="3462"/>
      <c r="E2173" s="3462"/>
      <c r="F2173" s="3462"/>
      <c r="G2173" s="3462"/>
      <c r="H2173" s="3462"/>
      <c r="I2173" s="3462"/>
      <c r="J2173" s="3462"/>
    </row>
    <row r="2174" spans="1:11" hidden="1" x14ac:dyDescent="0.3">
      <c r="A2174" s="137" t="s">
        <v>3</v>
      </c>
      <c r="B2174" s="1781" t="s">
        <v>4</v>
      </c>
      <c r="C2174" s="137" t="s">
        <v>5</v>
      </c>
      <c r="D2174" s="137" t="s">
        <v>6</v>
      </c>
      <c r="E2174" s="137" t="s">
        <v>7</v>
      </c>
      <c r="F2174" s="137" t="s">
        <v>8</v>
      </c>
      <c r="G2174" s="137" t="s">
        <v>9</v>
      </c>
      <c r="H2174" s="137" t="s">
        <v>10</v>
      </c>
      <c r="I2174" s="137" t="s">
        <v>11</v>
      </c>
      <c r="J2174" s="137" t="s">
        <v>12</v>
      </c>
    </row>
    <row r="2175" spans="1:11" hidden="1" x14ac:dyDescent="0.3">
      <c r="A2175" s="1845">
        <v>1</v>
      </c>
      <c r="B2175" s="3404" t="s">
        <v>2052</v>
      </c>
      <c r="C2175" s="1838" t="s">
        <v>138</v>
      </c>
      <c r="D2175" s="1838" t="s">
        <v>2071</v>
      </c>
      <c r="E2175" s="1838" t="s">
        <v>1838</v>
      </c>
      <c r="F2175" s="1838">
        <v>25000000</v>
      </c>
      <c r="G2175" s="1838" t="s">
        <v>1319</v>
      </c>
      <c r="H2175" s="1838" t="s">
        <v>44</v>
      </c>
      <c r="I2175" s="1838" t="s">
        <v>271</v>
      </c>
      <c r="J2175" s="1839">
        <v>1</v>
      </c>
    </row>
    <row r="2176" spans="1:11" hidden="1" x14ac:dyDescent="0.3">
      <c r="A2176" s="1846">
        <v>2</v>
      </c>
      <c r="B2176" s="3410" t="s">
        <v>1992</v>
      </c>
      <c r="C2176" s="1840" t="s">
        <v>138</v>
      </c>
      <c r="D2176" s="1840" t="s">
        <v>1956</v>
      </c>
      <c r="E2176" s="1840" t="s">
        <v>962</v>
      </c>
      <c r="F2176" s="1840">
        <v>215000000</v>
      </c>
      <c r="G2176" s="1840" t="s">
        <v>705</v>
      </c>
      <c r="H2176" s="1840" t="s">
        <v>36</v>
      </c>
      <c r="I2176" s="1840" t="s">
        <v>271</v>
      </c>
      <c r="J2176" s="1841">
        <v>1</v>
      </c>
    </row>
    <row r="2177" spans="1:11" hidden="1" x14ac:dyDescent="0.3">
      <c r="A2177" s="2177">
        <v>3</v>
      </c>
      <c r="B2177" s="3406" t="s">
        <v>2030</v>
      </c>
      <c r="C2177" s="2350" t="s">
        <v>138</v>
      </c>
      <c r="D2177" s="2350" t="s">
        <v>2072</v>
      </c>
      <c r="E2177" s="2350" t="s">
        <v>869</v>
      </c>
      <c r="F2177" s="2350">
        <v>370000000</v>
      </c>
      <c r="G2177" s="2350" t="s">
        <v>168</v>
      </c>
      <c r="H2177" s="2350" t="s">
        <v>44</v>
      </c>
      <c r="I2177" s="2350" t="s">
        <v>271</v>
      </c>
      <c r="J2177" s="1842">
        <v>1</v>
      </c>
    </row>
    <row r="2178" spans="1:11" hidden="1" x14ac:dyDescent="0.3"/>
    <row r="2179" spans="1:11" hidden="1" x14ac:dyDescent="0.3"/>
    <row r="2180" spans="1:11" ht="23.25" hidden="1" customHeight="1" x14ac:dyDescent="0.3">
      <c r="A2180" s="3460" t="s">
        <v>2073</v>
      </c>
      <c r="B2180" s="3460"/>
      <c r="C2180" s="3460"/>
      <c r="D2180" s="3460"/>
      <c r="E2180" s="3460"/>
      <c r="F2180" s="3460"/>
      <c r="G2180" s="3460"/>
      <c r="H2180" s="3460"/>
      <c r="I2180" s="3460"/>
      <c r="J2180" s="3460"/>
    </row>
    <row r="2181" spans="1:11" ht="15.75" hidden="1" customHeight="1" x14ac:dyDescent="0.3">
      <c r="A2181" s="3461" t="s">
        <v>2</v>
      </c>
      <c r="B2181" s="3461"/>
      <c r="C2181" s="3461"/>
      <c r="D2181" s="3461"/>
      <c r="E2181" s="3461"/>
      <c r="F2181" s="3461"/>
      <c r="G2181" s="3461"/>
      <c r="H2181" s="3461"/>
      <c r="I2181" s="3461"/>
      <c r="J2181" s="3461"/>
    </row>
    <row r="2182" spans="1:11" hidden="1" x14ac:dyDescent="0.3">
      <c r="A2182" s="137" t="s">
        <v>3</v>
      </c>
      <c r="B2182" s="1781" t="s">
        <v>4</v>
      </c>
      <c r="C2182" s="137" t="s">
        <v>5</v>
      </c>
      <c r="D2182" s="137" t="s">
        <v>6</v>
      </c>
      <c r="E2182" s="137" t="s">
        <v>7</v>
      </c>
      <c r="F2182" s="2522" t="s">
        <v>8</v>
      </c>
      <c r="G2182" s="137" t="s">
        <v>9</v>
      </c>
      <c r="H2182" s="137" t="s">
        <v>10</v>
      </c>
      <c r="I2182" s="137" t="s">
        <v>11</v>
      </c>
      <c r="J2182" s="137" t="s">
        <v>12</v>
      </c>
    </row>
    <row r="2183" spans="1:11" hidden="1" x14ac:dyDescent="0.3">
      <c r="A2183" s="137">
        <v>1</v>
      </c>
      <c r="B2183" s="765" t="s">
        <v>1964</v>
      </c>
      <c r="C2183" s="642" t="s">
        <v>37</v>
      </c>
      <c r="D2183" s="642" t="s">
        <v>1292</v>
      </c>
      <c r="E2183" s="642" t="s">
        <v>1838</v>
      </c>
      <c r="F2183" s="2519" t="s">
        <v>2074</v>
      </c>
      <c r="G2183" s="642" t="s">
        <v>1095</v>
      </c>
      <c r="H2183" s="642" t="s">
        <v>44</v>
      </c>
      <c r="I2183" s="642" t="s">
        <v>36</v>
      </c>
      <c r="J2183" s="642">
        <v>1</v>
      </c>
      <c r="K2183" t="s">
        <v>1770</v>
      </c>
    </row>
    <row r="2184" spans="1:11" hidden="1" x14ac:dyDescent="0.3">
      <c r="A2184" s="137">
        <v>2</v>
      </c>
      <c r="B2184" s="765" t="s">
        <v>1964</v>
      </c>
      <c r="C2184" s="642" t="s">
        <v>37</v>
      </c>
      <c r="D2184" s="642" t="s">
        <v>2075</v>
      </c>
      <c r="E2184" s="642" t="s">
        <v>1838</v>
      </c>
      <c r="F2184" s="2519" t="s">
        <v>2074</v>
      </c>
      <c r="G2184" s="642" t="s">
        <v>1095</v>
      </c>
      <c r="H2184" s="642" t="s">
        <v>44</v>
      </c>
      <c r="I2184" s="642" t="s">
        <v>36</v>
      </c>
      <c r="J2184" s="642">
        <v>1</v>
      </c>
      <c r="K2184" t="s">
        <v>1530</v>
      </c>
    </row>
    <row r="2185" spans="1:11" hidden="1" x14ac:dyDescent="0.3">
      <c r="A2185" s="137">
        <v>3</v>
      </c>
      <c r="B2185" s="765" t="s">
        <v>1964</v>
      </c>
      <c r="C2185" s="642" t="s">
        <v>37</v>
      </c>
      <c r="D2185" s="642" t="s">
        <v>2076</v>
      </c>
      <c r="E2185" s="642" t="s">
        <v>1838</v>
      </c>
      <c r="F2185" s="2519" t="s">
        <v>2074</v>
      </c>
      <c r="G2185" s="642" t="s">
        <v>1095</v>
      </c>
      <c r="H2185" s="642" t="s">
        <v>44</v>
      </c>
      <c r="I2185" s="642" t="s">
        <v>36</v>
      </c>
      <c r="J2185" s="642">
        <v>1</v>
      </c>
      <c r="K2185" t="s">
        <v>217</v>
      </c>
    </row>
    <row r="2186" spans="1:11" hidden="1" x14ac:dyDescent="0.3">
      <c r="A2186" s="137">
        <v>4</v>
      </c>
      <c r="B2186" s="3402">
        <v>44652</v>
      </c>
      <c r="C2186" s="642" t="s">
        <v>37</v>
      </c>
      <c r="D2186" s="642" t="s">
        <v>2077</v>
      </c>
      <c r="E2186" s="642" t="s">
        <v>1838</v>
      </c>
      <c r="F2186" s="2519">
        <v>1300000</v>
      </c>
      <c r="G2186" s="642" t="s">
        <v>1095</v>
      </c>
      <c r="H2186" s="642" t="s">
        <v>44</v>
      </c>
      <c r="I2186" s="642" t="s">
        <v>36</v>
      </c>
      <c r="J2186" s="642">
        <v>1</v>
      </c>
      <c r="K2186" t="s">
        <v>217</v>
      </c>
    </row>
    <row r="2187" spans="1:11" hidden="1" x14ac:dyDescent="0.3">
      <c r="A2187" s="137">
        <v>5</v>
      </c>
      <c r="B2187" s="3402">
        <v>44652</v>
      </c>
      <c r="C2187" s="642" t="s">
        <v>37</v>
      </c>
      <c r="D2187" s="642" t="s">
        <v>2078</v>
      </c>
      <c r="E2187" s="642" t="s">
        <v>913</v>
      </c>
      <c r="F2187" s="2519">
        <v>1200000</v>
      </c>
      <c r="G2187" s="642" t="s">
        <v>1116</v>
      </c>
      <c r="H2187" s="642" t="s">
        <v>36</v>
      </c>
      <c r="I2187" s="642" t="s">
        <v>36</v>
      </c>
      <c r="J2187" s="642">
        <v>1</v>
      </c>
      <c r="K2187" t="s">
        <v>2079</v>
      </c>
    </row>
    <row r="2188" spans="1:11" hidden="1" x14ac:dyDescent="0.3">
      <c r="A2188" s="137">
        <v>6</v>
      </c>
      <c r="B2188" s="3402">
        <v>44866</v>
      </c>
      <c r="C2188" s="642" t="s">
        <v>138</v>
      </c>
      <c r="D2188" s="642" t="s">
        <v>2080</v>
      </c>
      <c r="E2188" s="642" t="s">
        <v>1838</v>
      </c>
      <c r="F2188" s="2519">
        <v>1200000</v>
      </c>
      <c r="G2188" s="642" t="s">
        <v>1095</v>
      </c>
      <c r="H2188" s="642" t="s">
        <v>36</v>
      </c>
      <c r="I2188" s="642" t="s">
        <v>271</v>
      </c>
      <c r="J2188" s="642">
        <v>1</v>
      </c>
      <c r="K2188" t="s">
        <v>1976</v>
      </c>
    </row>
    <row r="2189" spans="1:11" hidden="1" x14ac:dyDescent="0.3">
      <c r="A2189" s="137">
        <v>7</v>
      </c>
      <c r="B2189" s="3402" t="s">
        <v>2081</v>
      </c>
      <c r="C2189" s="642" t="s">
        <v>138</v>
      </c>
      <c r="D2189" s="641" t="s">
        <v>2082</v>
      </c>
      <c r="E2189" s="641" t="s">
        <v>1838</v>
      </c>
      <c r="F2189" s="2520">
        <v>1250000</v>
      </c>
      <c r="G2189" s="641" t="s">
        <v>1095</v>
      </c>
      <c r="H2189" s="641" t="s">
        <v>36</v>
      </c>
      <c r="I2189" s="641" t="s">
        <v>271</v>
      </c>
      <c r="J2189" s="642">
        <v>1</v>
      </c>
      <c r="K2189" t="s">
        <v>1976</v>
      </c>
    </row>
    <row r="2190" spans="1:11" hidden="1" x14ac:dyDescent="0.3">
      <c r="A2190" s="137">
        <v>8</v>
      </c>
      <c r="B2190" s="3402" t="s">
        <v>2081</v>
      </c>
      <c r="C2190" s="642" t="s">
        <v>138</v>
      </c>
      <c r="D2190" s="642" t="s">
        <v>2083</v>
      </c>
      <c r="E2190" s="642" t="s">
        <v>1838</v>
      </c>
      <c r="F2190" s="2519">
        <v>1350000</v>
      </c>
      <c r="G2190" s="642" t="s">
        <v>1319</v>
      </c>
      <c r="H2190" s="642" t="s">
        <v>36</v>
      </c>
      <c r="I2190" s="642" t="s">
        <v>271</v>
      </c>
      <c r="J2190" s="642">
        <v>1</v>
      </c>
      <c r="K2190" t="s">
        <v>1455</v>
      </c>
    </row>
    <row r="2191" spans="1:11" hidden="1" x14ac:dyDescent="0.3">
      <c r="A2191" s="137">
        <v>9</v>
      </c>
      <c r="B2191" s="3402" t="s">
        <v>2081</v>
      </c>
      <c r="C2191" s="642" t="s">
        <v>138</v>
      </c>
      <c r="D2191" s="642" t="s">
        <v>2084</v>
      </c>
      <c r="E2191" s="642" t="s">
        <v>1838</v>
      </c>
      <c r="F2191" s="2519">
        <v>1300000</v>
      </c>
      <c r="G2191" s="642" t="s">
        <v>634</v>
      </c>
      <c r="H2191" s="642" t="s">
        <v>44</v>
      </c>
      <c r="I2191" s="642" t="s">
        <v>271</v>
      </c>
      <c r="J2191" s="642">
        <v>1</v>
      </c>
      <c r="K2191" t="s">
        <v>217</v>
      </c>
    </row>
    <row r="2192" spans="1:11" hidden="1" x14ac:dyDescent="0.3">
      <c r="A2192" s="137">
        <v>10</v>
      </c>
      <c r="B2192" s="3402" t="s">
        <v>2081</v>
      </c>
      <c r="C2192" s="642" t="s">
        <v>138</v>
      </c>
      <c r="D2192" s="642" t="s">
        <v>2085</v>
      </c>
      <c r="E2192" s="642" t="s">
        <v>1838</v>
      </c>
      <c r="F2192" s="2519">
        <v>1300000</v>
      </c>
      <c r="G2192" s="642" t="s">
        <v>634</v>
      </c>
      <c r="H2192" s="642" t="s">
        <v>44</v>
      </c>
      <c r="I2192" s="642" t="s">
        <v>271</v>
      </c>
      <c r="J2192" s="642">
        <v>1</v>
      </c>
      <c r="K2192" t="s">
        <v>1976</v>
      </c>
    </row>
    <row r="2193" spans="1:11" hidden="1" x14ac:dyDescent="0.3">
      <c r="A2193" s="137">
        <v>11</v>
      </c>
      <c r="B2193" s="765" t="s">
        <v>2052</v>
      </c>
      <c r="C2193" s="642" t="s">
        <v>138</v>
      </c>
      <c r="D2193" s="642" t="s">
        <v>2086</v>
      </c>
      <c r="E2193" s="642" t="s">
        <v>998</v>
      </c>
      <c r="F2193" s="2519">
        <v>1200000</v>
      </c>
      <c r="G2193" s="642" t="s">
        <v>1913</v>
      </c>
      <c r="H2193" s="642" t="s">
        <v>36</v>
      </c>
      <c r="I2193" s="642" t="s">
        <v>271</v>
      </c>
      <c r="J2193" s="642">
        <v>1</v>
      </c>
      <c r="K2193" t="s">
        <v>2087</v>
      </c>
    </row>
    <row r="2194" spans="1:11" hidden="1" x14ac:dyDescent="0.3">
      <c r="A2194" s="137">
        <v>12</v>
      </c>
      <c r="B2194" s="765" t="s">
        <v>2052</v>
      </c>
      <c r="C2194" s="642" t="s">
        <v>138</v>
      </c>
      <c r="D2194" s="642" t="s">
        <v>2088</v>
      </c>
      <c r="E2194" s="642" t="s">
        <v>1838</v>
      </c>
      <c r="F2194" s="2519">
        <v>1300000</v>
      </c>
      <c r="G2194" s="642" t="s">
        <v>1095</v>
      </c>
      <c r="H2194" s="642" t="s">
        <v>44</v>
      </c>
      <c r="I2194" s="642" t="s">
        <v>271</v>
      </c>
      <c r="J2194" s="642">
        <v>1</v>
      </c>
      <c r="K2194" t="s">
        <v>217</v>
      </c>
    </row>
    <row r="2195" spans="1:11" hidden="1" x14ac:dyDescent="0.3">
      <c r="A2195" s="137">
        <v>13</v>
      </c>
      <c r="B2195" s="765" t="s">
        <v>1985</v>
      </c>
      <c r="C2195" s="642" t="s">
        <v>138</v>
      </c>
      <c r="D2195" s="642" t="s">
        <v>2089</v>
      </c>
      <c r="E2195" s="642" t="s">
        <v>962</v>
      </c>
      <c r="F2195" s="2519">
        <v>1200000</v>
      </c>
      <c r="G2195" s="642" t="s">
        <v>705</v>
      </c>
      <c r="H2195" s="642" t="s">
        <v>36</v>
      </c>
      <c r="I2195" s="642" t="s">
        <v>271</v>
      </c>
      <c r="J2195" s="642">
        <v>1</v>
      </c>
      <c r="K2195" t="s">
        <v>217</v>
      </c>
    </row>
    <row r="2196" spans="1:11" hidden="1" x14ac:dyDescent="0.3">
      <c r="A2196" s="137">
        <v>14</v>
      </c>
      <c r="B2196" s="765" t="s">
        <v>1985</v>
      </c>
      <c r="C2196" s="642" t="s">
        <v>138</v>
      </c>
      <c r="D2196" s="642" t="s">
        <v>2090</v>
      </c>
      <c r="E2196" s="642" t="s">
        <v>1608</v>
      </c>
      <c r="F2196" s="2519">
        <v>1700000</v>
      </c>
      <c r="G2196" s="642" t="s">
        <v>788</v>
      </c>
      <c r="H2196" s="642" t="s">
        <v>36</v>
      </c>
      <c r="I2196" s="642" t="s">
        <v>271</v>
      </c>
      <c r="J2196" s="642">
        <v>1</v>
      </c>
      <c r="K2196" t="s">
        <v>217</v>
      </c>
    </row>
    <row r="2197" spans="1:11" hidden="1" x14ac:dyDescent="0.3">
      <c r="A2197" s="1781">
        <v>15</v>
      </c>
      <c r="B2197" s="765" t="s">
        <v>1981</v>
      </c>
      <c r="C2197" s="642" t="s">
        <v>138</v>
      </c>
      <c r="D2197" s="641" t="s">
        <v>2091</v>
      </c>
      <c r="E2197" s="642" t="s">
        <v>998</v>
      </c>
      <c r="F2197" s="2520">
        <v>1200000</v>
      </c>
      <c r="G2197" s="641" t="s">
        <v>2035</v>
      </c>
      <c r="H2197" s="641" t="s">
        <v>36</v>
      </c>
      <c r="I2197" s="641" t="s">
        <v>271</v>
      </c>
      <c r="J2197" s="642">
        <v>1</v>
      </c>
      <c r="K2197" t="s">
        <v>2087</v>
      </c>
    </row>
    <row r="2198" spans="1:11" hidden="1" x14ac:dyDescent="0.3">
      <c r="A2198" s="1781">
        <v>16</v>
      </c>
      <c r="B2198" s="765" t="s">
        <v>1981</v>
      </c>
      <c r="C2198" s="641" t="s">
        <v>138</v>
      </c>
      <c r="D2198" s="641" t="s">
        <v>2092</v>
      </c>
      <c r="E2198" s="641" t="s">
        <v>869</v>
      </c>
      <c r="F2198" s="2520">
        <v>1200000</v>
      </c>
      <c r="G2198" s="641" t="s">
        <v>2093</v>
      </c>
      <c r="H2198" s="641" t="s">
        <v>36</v>
      </c>
      <c r="I2198" s="641" t="s">
        <v>271</v>
      </c>
      <c r="J2198" s="642">
        <v>1</v>
      </c>
      <c r="K2198" t="s">
        <v>2087</v>
      </c>
    </row>
    <row r="2199" spans="1:11" hidden="1" x14ac:dyDescent="0.3">
      <c r="A2199" s="1781">
        <v>17</v>
      </c>
      <c r="B2199" s="3402" t="s">
        <v>1994</v>
      </c>
      <c r="C2199" s="641" t="s">
        <v>138</v>
      </c>
      <c r="D2199" s="641" t="s">
        <v>2094</v>
      </c>
      <c r="E2199" s="641" t="s">
        <v>869</v>
      </c>
      <c r="F2199" s="2520">
        <v>1400000</v>
      </c>
      <c r="G2199" s="641" t="s">
        <v>1319</v>
      </c>
      <c r="H2199" s="641" t="s">
        <v>36</v>
      </c>
      <c r="I2199" s="641" t="s">
        <v>271</v>
      </c>
      <c r="J2199" s="642">
        <v>1</v>
      </c>
      <c r="K2199" t="s">
        <v>217</v>
      </c>
    </row>
    <row r="2200" spans="1:11" hidden="1" x14ac:dyDescent="0.3">
      <c r="A2200" s="1781">
        <v>18</v>
      </c>
      <c r="B2200" s="3402" t="s">
        <v>1994</v>
      </c>
      <c r="C2200" s="641" t="s">
        <v>138</v>
      </c>
      <c r="D2200" s="641" t="s">
        <v>2095</v>
      </c>
      <c r="E2200" s="641" t="s">
        <v>998</v>
      </c>
      <c r="F2200" s="2520">
        <v>1200000</v>
      </c>
      <c r="G2200" s="641" t="s">
        <v>831</v>
      </c>
      <c r="H2200" s="641" t="s">
        <v>36</v>
      </c>
      <c r="I2200" s="641" t="s">
        <v>271</v>
      </c>
      <c r="J2200" s="642">
        <v>1</v>
      </c>
      <c r="K2200" t="s">
        <v>1455</v>
      </c>
    </row>
    <row r="2201" spans="1:11" hidden="1" x14ac:dyDescent="0.3">
      <c r="A2201" s="1781">
        <v>19</v>
      </c>
      <c r="B2201" s="3402" t="s">
        <v>2061</v>
      </c>
      <c r="C2201" s="641" t="s">
        <v>138</v>
      </c>
      <c r="D2201" s="641" t="s">
        <v>2096</v>
      </c>
      <c r="E2201" s="641" t="s">
        <v>869</v>
      </c>
      <c r="F2201" s="2520">
        <v>1200000</v>
      </c>
      <c r="G2201" s="641" t="s">
        <v>1095</v>
      </c>
      <c r="H2201" s="641" t="s">
        <v>44</v>
      </c>
      <c r="I2201" s="641" t="s">
        <v>271</v>
      </c>
      <c r="J2201" s="642">
        <v>1</v>
      </c>
      <c r="K2201" t="s">
        <v>1455</v>
      </c>
    </row>
    <row r="2202" spans="1:11" hidden="1" x14ac:dyDescent="0.3">
      <c r="A2202" s="1781">
        <v>20</v>
      </c>
      <c r="B2202" s="3402" t="s">
        <v>2001</v>
      </c>
      <c r="C2202" s="641" t="s">
        <v>138</v>
      </c>
      <c r="D2202" s="641" t="s">
        <v>2097</v>
      </c>
      <c r="E2202" s="641" t="s">
        <v>1130</v>
      </c>
      <c r="F2202" s="2520">
        <v>1150000</v>
      </c>
      <c r="G2202" s="641" t="s">
        <v>2098</v>
      </c>
      <c r="H2202" s="641" t="s">
        <v>44</v>
      </c>
      <c r="I2202" s="641" t="s">
        <v>271</v>
      </c>
      <c r="J2202" s="642">
        <v>1</v>
      </c>
      <c r="K2202" t="s">
        <v>217</v>
      </c>
    </row>
    <row r="2203" spans="1:11" hidden="1" x14ac:dyDescent="0.3">
      <c r="A2203" s="1781"/>
      <c r="B2203" s="765"/>
      <c r="C2203" s="641"/>
      <c r="D2203" s="641"/>
      <c r="E2203" s="641"/>
      <c r="F2203" s="2520"/>
      <c r="G2203" s="641"/>
      <c r="H2203" s="641"/>
      <c r="I2203" s="641"/>
      <c r="J2203" s="642"/>
    </row>
    <row r="2204" spans="1:11" ht="24.6" hidden="1" x14ac:dyDescent="0.4">
      <c r="A2204" s="1781"/>
      <c r="B2204" s="765"/>
      <c r="C2204" s="641"/>
      <c r="D2204" s="641"/>
      <c r="E2204" s="641"/>
      <c r="F2204" s="2523"/>
      <c r="G2204" s="641"/>
      <c r="H2204" s="641"/>
      <c r="I2204" s="641"/>
      <c r="J2204" s="1837"/>
    </row>
    <row r="2205" spans="1:11" ht="25.5" hidden="1" customHeight="1" x14ac:dyDescent="0.4">
      <c r="A2205" s="3462" t="s">
        <v>2003</v>
      </c>
      <c r="B2205" s="3462"/>
      <c r="C2205" s="3462"/>
      <c r="D2205" s="3462"/>
      <c r="E2205" s="3462"/>
      <c r="F2205" s="3462"/>
      <c r="G2205" s="3462"/>
      <c r="H2205" s="3462"/>
      <c r="I2205" s="3462"/>
      <c r="J2205" s="3462"/>
    </row>
    <row r="2206" spans="1:11" hidden="1" x14ac:dyDescent="0.3">
      <c r="A2206" s="137" t="s">
        <v>3</v>
      </c>
      <c r="B2206" s="1781" t="s">
        <v>4</v>
      </c>
      <c r="C2206" s="137" t="s">
        <v>5</v>
      </c>
      <c r="D2206" s="137" t="s">
        <v>6</v>
      </c>
      <c r="E2206" s="137" t="s">
        <v>7</v>
      </c>
      <c r="F2206" s="137" t="s">
        <v>8</v>
      </c>
      <c r="G2206" s="137" t="s">
        <v>9</v>
      </c>
      <c r="H2206" s="137" t="s">
        <v>10</v>
      </c>
      <c r="I2206" s="137" t="s">
        <v>11</v>
      </c>
      <c r="J2206" s="137" t="s">
        <v>12</v>
      </c>
    </row>
    <row r="2207" spans="1:11" hidden="1" x14ac:dyDescent="0.3">
      <c r="A2207" s="1845">
        <v>1</v>
      </c>
      <c r="B2207" s="3404" t="s">
        <v>2010</v>
      </c>
      <c r="C2207" s="1838" t="s">
        <v>37</v>
      </c>
      <c r="D2207" s="1838" t="s">
        <v>2099</v>
      </c>
      <c r="E2207" s="1838" t="s">
        <v>787</v>
      </c>
      <c r="F2207" s="1838" t="s">
        <v>682</v>
      </c>
      <c r="G2207" s="1838" t="s">
        <v>1130</v>
      </c>
      <c r="H2207" s="1838" t="s">
        <v>36</v>
      </c>
      <c r="I2207" s="1838" t="s">
        <v>36</v>
      </c>
      <c r="J2207" s="1839">
        <v>1</v>
      </c>
    </row>
    <row r="2208" spans="1:11" hidden="1" x14ac:dyDescent="0.3">
      <c r="A2208" s="1846">
        <v>2</v>
      </c>
      <c r="B2208" s="3404" t="s">
        <v>2010</v>
      </c>
      <c r="C2208" s="1838" t="s">
        <v>37</v>
      </c>
      <c r="D2208" s="1840" t="s">
        <v>2100</v>
      </c>
      <c r="E2208" s="1840" t="s">
        <v>1838</v>
      </c>
      <c r="F2208" s="1840" t="s">
        <v>682</v>
      </c>
      <c r="G2208" s="1840" t="s">
        <v>1095</v>
      </c>
      <c r="H2208" s="1840" t="s">
        <v>44</v>
      </c>
      <c r="I2208" s="1840" t="s">
        <v>36</v>
      </c>
      <c r="J2208" s="1841">
        <v>1</v>
      </c>
    </row>
    <row r="2209" spans="1:11" hidden="1" x14ac:dyDescent="0.3">
      <c r="A2209" s="2177">
        <v>3</v>
      </c>
      <c r="B2209" s="3406" t="s">
        <v>2010</v>
      </c>
      <c r="C2209" s="2350" t="s">
        <v>37</v>
      </c>
      <c r="D2209" s="2350" t="s">
        <v>1959</v>
      </c>
      <c r="E2209" s="2350" t="s">
        <v>1608</v>
      </c>
      <c r="F2209" s="2350" t="s">
        <v>1796</v>
      </c>
      <c r="G2209" s="2350" t="s">
        <v>168</v>
      </c>
      <c r="H2209" s="2350" t="s">
        <v>36</v>
      </c>
      <c r="I2209" s="2350" t="s">
        <v>36</v>
      </c>
      <c r="J2209" s="1842">
        <v>1</v>
      </c>
    </row>
    <row r="2210" spans="1:11" hidden="1" x14ac:dyDescent="0.3"/>
    <row r="2211" spans="1:11" ht="23.4" hidden="1" x14ac:dyDescent="0.3">
      <c r="A2211" s="3467" t="s">
        <v>732</v>
      </c>
      <c r="B2211" s="3467"/>
      <c r="C2211" s="3467"/>
      <c r="D2211" s="3467"/>
      <c r="E2211" s="3467"/>
      <c r="F2211" s="3467"/>
      <c r="G2211" s="3467"/>
      <c r="H2211" s="3467"/>
      <c r="I2211" s="3467"/>
      <c r="J2211" s="3467"/>
    </row>
    <row r="2212" spans="1:11" ht="15.6" hidden="1" x14ac:dyDescent="0.3">
      <c r="A2212" s="3461" t="s">
        <v>2</v>
      </c>
      <c r="B2212" s="3461"/>
      <c r="C2212" s="3461"/>
      <c r="D2212" s="3461"/>
      <c r="E2212" s="3461"/>
      <c r="F2212" s="3461"/>
      <c r="G2212" s="3461"/>
      <c r="H2212" s="3461"/>
      <c r="I2212" s="3461"/>
      <c r="J2212" s="3461"/>
    </row>
    <row r="2213" spans="1:11" hidden="1" x14ac:dyDescent="0.3">
      <c r="A2213" s="137" t="s">
        <v>3</v>
      </c>
      <c r="B2213" s="1781" t="s">
        <v>4</v>
      </c>
      <c r="C2213" s="137" t="s">
        <v>5</v>
      </c>
      <c r="D2213" s="137" t="s">
        <v>6</v>
      </c>
      <c r="E2213" s="137" t="s">
        <v>7</v>
      </c>
      <c r="F2213" s="137" t="s">
        <v>8</v>
      </c>
      <c r="G2213" s="137" t="s">
        <v>9</v>
      </c>
      <c r="H2213" s="137" t="s">
        <v>10</v>
      </c>
      <c r="I2213" s="137" t="s">
        <v>11</v>
      </c>
      <c r="J2213" s="137" t="s">
        <v>12</v>
      </c>
    </row>
    <row r="2214" spans="1:11" hidden="1" x14ac:dyDescent="0.3">
      <c r="A2214" s="137">
        <v>1</v>
      </c>
      <c r="B2214" s="3392">
        <v>44409</v>
      </c>
      <c r="C2214" s="137" t="s">
        <v>37</v>
      </c>
      <c r="D2214" s="642" t="s">
        <v>2101</v>
      </c>
      <c r="E2214" s="137" t="s">
        <v>904</v>
      </c>
      <c r="F2214" s="137">
        <v>1000000</v>
      </c>
      <c r="G2214" s="137" t="s">
        <v>168</v>
      </c>
      <c r="H2214" s="137" t="s">
        <v>36</v>
      </c>
      <c r="I2214" s="137" t="s">
        <v>36</v>
      </c>
      <c r="J2214" s="137">
        <v>1</v>
      </c>
      <c r="K2214" t="s">
        <v>217</v>
      </c>
    </row>
    <row r="2215" spans="1:11" hidden="1" x14ac:dyDescent="0.3">
      <c r="A2215" s="137">
        <v>2</v>
      </c>
      <c r="B2215" s="3392" t="s">
        <v>2052</v>
      </c>
      <c r="C2215" s="137" t="s">
        <v>138</v>
      </c>
      <c r="D2215" s="642" t="s">
        <v>2102</v>
      </c>
      <c r="E2215" s="137"/>
      <c r="F2215" s="137">
        <v>1000000</v>
      </c>
      <c r="G2215" s="137" t="s">
        <v>168</v>
      </c>
      <c r="H2215" s="137" t="s">
        <v>36</v>
      </c>
      <c r="I2215" s="137" t="s">
        <v>271</v>
      </c>
      <c r="J2215" s="137">
        <v>1</v>
      </c>
      <c r="K2215" t="s">
        <v>217</v>
      </c>
    </row>
    <row r="2216" spans="1:11" hidden="1" x14ac:dyDescent="0.3">
      <c r="A2216" s="137">
        <v>3</v>
      </c>
      <c r="B2216" s="1781"/>
      <c r="C2216" s="137"/>
      <c r="D2216" s="642"/>
      <c r="E2216" s="137"/>
      <c r="F2216" s="137"/>
      <c r="G2216" s="137"/>
      <c r="H2216" s="137"/>
      <c r="I2216" s="137"/>
      <c r="J2216" s="137"/>
    </row>
    <row r="2217" spans="1:11" hidden="1" x14ac:dyDescent="0.3">
      <c r="A2217" s="137">
        <v>4</v>
      </c>
      <c r="B2217" s="1781"/>
      <c r="C2217" s="137"/>
      <c r="D2217" s="642"/>
      <c r="E2217" s="137"/>
      <c r="F2217" s="137"/>
      <c r="G2217" s="137"/>
      <c r="H2217" s="137"/>
      <c r="I2217" s="137"/>
      <c r="J2217" s="137"/>
    </row>
    <row r="2218" spans="1:11" hidden="1" x14ac:dyDescent="0.3">
      <c r="A2218" s="137">
        <v>5</v>
      </c>
      <c r="B2218" s="1781"/>
      <c r="C2218" s="137"/>
      <c r="D2218" s="642"/>
      <c r="E2218" s="137"/>
      <c r="F2218" s="137"/>
      <c r="G2218" s="137"/>
      <c r="H2218" s="137"/>
      <c r="I2218" s="137"/>
      <c r="J2218" s="137"/>
    </row>
    <row r="2219" spans="1:11" hidden="1" x14ac:dyDescent="0.3">
      <c r="A2219" s="137">
        <v>6</v>
      </c>
      <c r="B2219" s="1781"/>
      <c r="C2219" s="137"/>
      <c r="D2219" s="642"/>
      <c r="E2219" s="137"/>
      <c r="F2219" s="137"/>
      <c r="G2219" s="137"/>
      <c r="H2219" s="137"/>
      <c r="I2219" s="137"/>
      <c r="J2219" s="137"/>
    </row>
    <row r="2220" spans="1:11" hidden="1" x14ac:dyDescent="0.3">
      <c r="A2220" s="137">
        <v>7</v>
      </c>
      <c r="B2220" s="1781"/>
      <c r="C2220" s="150"/>
      <c r="D2220" s="641"/>
      <c r="E2220" s="150"/>
      <c r="F2220" s="1223"/>
      <c r="G2220" s="150"/>
      <c r="H2220" s="150"/>
      <c r="I2220" s="150"/>
      <c r="J2220" s="137"/>
    </row>
    <row r="2221" spans="1:11" ht="24.6" hidden="1" x14ac:dyDescent="0.4">
      <c r="A2221" s="3462" t="s">
        <v>33</v>
      </c>
      <c r="B2221" s="3462"/>
      <c r="C2221" s="3462"/>
      <c r="D2221" s="3462"/>
      <c r="E2221" s="3462"/>
      <c r="F2221" s="3462"/>
      <c r="G2221" s="3462"/>
      <c r="H2221" s="3462"/>
      <c r="I2221" s="3462"/>
      <c r="J2221" s="3462"/>
    </row>
    <row r="2222" spans="1:11" hidden="1" x14ac:dyDescent="0.3">
      <c r="A2222" s="137" t="s">
        <v>3</v>
      </c>
      <c r="B2222" s="1781" t="s">
        <v>4</v>
      </c>
      <c r="C2222" s="137" t="s">
        <v>5</v>
      </c>
      <c r="D2222" s="137" t="s">
        <v>6</v>
      </c>
      <c r="E2222" s="137" t="s">
        <v>7</v>
      </c>
      <c r="F2222" s="137" t="s">
        <v>8</v>
      </c>
      <c r="G2222" s="137" t="s">
        <v>9</v>
      </c>
      <c r="H2222" s="137" t="s">
        <v>10</v>
      </c>
      <c r="I2222" s="137" t="s">
        <v>11</v>
      </c>
      <c r="J2222" s="137" t="s">
        <v>12</v>
      </c>
    </row>
    <row r="2223" spans="1:11" hidden="1" x14ac:dyDescent="0.3">
      <c r="A2223" s="1845">
        <v>1</v>
      </c>
      <c r="B2223" s="3404"/>
      <c r="C2223" s="1838"/>
      <c r="D2223" s="1838"/>
      <c r="E2223" s="1838"/>
      <c r="F2223" s="1838"/>
      <c r="G2223" s="1838"/>
      <c r="H2223" s="1838"/>
      <c r="I2223" s="1838"/>
      <c r="J2223" s="1839"/>
    </row>
    <row r="2224" spans="1:11" hidden="1" x14ac:dyDescent="0.3">
      <c r="A2224" s="1845" t="s">
        <v>3</v>
      </c>
      <c r="B2224" s="3404"/>
      <c r="C2224" s="1838"/>
      <c r="D2224" s="1838"/>
      <c r="E2224" s="1838"/>
      <c r="F2224" s="1838"/>
      <c r="G2224" s="1838"/>
      <c r="H2224" s="1838"/>
      <c r="I2224" s="1838"/>
      <c r="J2224" s="1839"/>
    </row>
    <row r="2225" spans="1:11" hidden="1" x14ac:dyDescent="0.3">
      <c r="A2225" s="1846">
        <v>3</v>
      </c>
      <c r="B2225" s="3410"/>
      <c r="C2225" s="1840"/>
      <c r="D2225" s="1840"/>
      <c r="E2225" s="1840"/>
      <c r="F2225" s="1840"/>
      <c r="G2225" s="1840"/>
      <c r="H2225" s="1840"/>
      <c r="I2225" s="1840"/>
      <c r="J2225" s="1841"/>
    </row>
    <row r="2226" spans="1:11" ht="24.6" hidden="1" x14ac:dyDescent="0.4">
      <c r="A2226" s="1842"/>
      <c r="B2226" s="2177"/>
      <c r="C2226" s="1842"/>
      <c r="D2226" s="1842"/>
      <c r="E2226" s="1842"/>
      <c r="F2226" s="1842"/>
      <c r="G2226" s="1842"/>
      <c r="H2226" s="1842"/>
      <c r="I2226" s="1842"/>
      <c r="J2226" s="1852">
        <f>J2223+J2224+J2225</f>
        <v>0</v>
      </c>
    </row>
    <row r="2227" spans="1:11" hidden="1" x14ac:dyDescent="0.3"/>
    <row r="2229" spans="1:11" x14ac:dyDescent="0.3">
      <c r="A2229" s="3463" t="s">
        <v>2103</v>
      </c>
      <c r="B2229" s="3464"/>
      <c r="C2229" s="3464"/>
      <c r="D2229" s="3464"/>
      <c r="E2229" s="3464"/>
      <c r="F2229" s="3464"/>
      <c r="G2229" s="3464"/>
      <c r="H2229" s="3464"/>
      <c r="I2229" s="3464"/>
      <c r="J2229" s="3464"/>
    </row>
    <row r="2230" spans="1:11" ht="23.25" customHeight="1" x14ac:dyDescent="0.3">
      <c r="A2230" s="3464"/>
      <c r="B2230" s="3464"/>
      <c r="C2230" s="3464"/>
      <c r="D2230" s="3464"/>
      <c r="E2230" s="3464"/>
      <c r="F2230" s="3464"/>
      <c r="G2230" s="3464"/>
      <c r="H2230" s="3464"/>
      <c r="I2230" s="3464"/>
      <c r="J2230" s="3464"/>
    </row>
    <row r="2231" spans="1:11" hidden="1" x14ac:dyDescent="0.3"/>
    <row r="2232" spans="1:11" ht="23.4" hidden="1" x14ac:dyDescent="0.3">
      <c r="A2232" s="3460" t="s">
        <v>527</v>
      </c>
      <c r="B2232" s="3460"/>
      <c r="C2232" s="3460"/>
      <c r="D2232" s="3460"/>
      <c r="E2232" s="3460"/>
      <c r="F2232" s="3460"/>
      <c r="G2232" s="3460"/>
      <c r="H2232" s="3460"/>
      <c r="I2232" s="3460"/>
      <c r="J2232" s="3460"/>
    </row>
    <row r="2233" spans="1:11" ht="15.6" hidden="1" x14ac:dyDescent="0.3">
      <c r="A2233" s="3461" t="s">
        <v>2</v>
      </c>
      <c r="B2233" s="3461"/>
      <c r="C2233" s="3461"/>
      <c r="D2233" s="3461"/>
      <c r="E2233" s="3461"/>
      <c r="F2233" s="3461"/>
      <c r="G2233" s="3461"/>
      <c r="H2233" s="3461"/>
      <c r="I2233" s="3461"/>
      <c r="J2233" s="3461"/>
    </row>
    <row r="2234" spans="1:11" hidden="1" x14ac:dyDescent="0.3">
      <c r="A2234" s="137" t="s">
        <v>3</v>
      </c>
      <c r="B2234" s="1781" t="s">
        <v>4</v>
      </c>
      <c r="C2234" s="137" t="s">
        <v>5</v>
      </c>
      <c r="D2234" s="137" t="s">
        <v>6</v>
      </c>
      <c r="E2234" s="137" t="s">
        <v>7</v>
      </c>
      <c r="F2234" s="2522" t="s">
        <v>8</v>
      </c>
      <c r="G2234" s="137" t="s">
        <v>9</v>
      </c>
      <c r="H2234" s="137" t="s">
        <v>10</v>
      </c>
      <c r="I2234" s="137" t="s">
        <v>11</v>
      </c>
      <c r="J2234" s="137" t="s">
        <v>12</v>
      </c>
    </row>
    <row r="2235" spans="1:11" hidden="1" x14ac:dyDescent="0.3">
      <c r="A2235" s="137">
        <v>1</v>
      </c>
      <c r="B2235" s="765" t="s">
        <v>2104</v>
      </c>
      <c r="C2235" s="642" t="s">
        <v>37</v>
      </c>
      <c r="D2235" s="642" t="s">
        <v>2105</v>
      </c>
      <c r="E2235" s="642" t="s">
        <v>787</v>
      </c>
      <c r="F2235" s="2519">
        <v>1100000</v>
      </c>
      <c r="G2235" s="642" t="s">
        <v>168</v>
      </c>
      <c r="H2235" s="642" t="s">
        <v>36</v>
      </c>
      <c r="I2235" s="642" t="s">
        <v>36</v>
      </c>
      <c r="J2235" s="642">
        <v>1</v>
      </c>
      <c r="K2235" t="s">
        <v>217</v>
      </c>
    </row>
    <row r="2236" spans="1:11" hidden="1" x14ac:dyDescent="0.3">
      <c r="A2236" s="137">
        <v>2</v>
      </c>
      <c r="B2236" s="3402">
        <v>44563</v>
      </c>
      <c r="C2236" s="642" t="s">
        <v>37</v>
      </c>
      <c r="D2236" s="642" t="s">
        <v>2106</v>
      </c>
      <c r="E2236" s="642" t="s">
        <v>904</v>
      </c>
      <c r="F2236" s="2519">
        <v>950000</v>
      </c>
      <c r="G2236" s="642" t="s">
        <v>168</v>
      </c>
      <c r="H2236" s="642" t="s">
        <v>36</v>
      </c>
      <c r="I2236" s="642" t="s">
        <v>36</v>
      </c>
      <c r="J2236" s="642">
        <v>1</v>
      </c>
      <c r="K2236" t="s">
        <v>1530</v>
      </c>
    </row>
    <row r="2237" spans="1:11" hidden="1" x14ac:dyDescent="0.3">
      <c r="A2237" s="137">
        <v>3</v>
      </c>
      <c r="B2237" s="3402">
        <v>44653</v>
      </c>
      <c r="C2237" s="642" t="s">
        <v>37</v>
      </c>
      <c r="D2237" s="642" t="s">
        <v>2107</v>
      </c>
      <c r="E2237" s="642" t="s">
        <v>1124</v>
      </c>
      <c r="F2237" s="2519">
        <v>850000</v>
      </c>
      <c r="G2237" s="642" t="s">
        <v>1408</v>
      </c>
      <c r="H2237" s="642" t="s">
        <v>36</v>
      </c>
      <c r="I2237" s="642" t="s">
        <v>36</v>
      </c>
      <c r="J2237" s="642">
        <v>1</v>
      </c>
      <c r="K2237" t="s">
        <v>217</v>
      </c>
    </row>
    <row r="2238" spans="1:11" hidden="1" x14ac:dyDescent="0.3">
      <c r="A2238" s="137">
        <v>4</v>
      </c>
      <c r="B2238" s="3402">
        <v>44653</v>
      </c>
      <c r="C2238" s="642" t="s">
        <v>37</v>
      </c>
      <c r="D2238" s="642" t="s">
        <v>2108</v>
      </c>
      <c r="E2238" s="642" t="s">
        <v>824</v>
      </c>
      <c r="F2238" s="2519">
        <v>1250000</v>
      </c>
      <c r="G2238" s="642" t="s">
        <v>2109</v>
      </c>
      <c r="H2238" s="642" t="s">
        <v>36</v>
      </c>
      <c r="I2238" s="642" t="s">
        <v>36</v>
      </c>
      <c r="J2238" s="642">
        <v>1</v>
      </c>
      <c r="K2238" t="s">
        <v>1770</v>
      </c>
    </row>
    <row r="2239" spans="1:11" hidden="1" x14ac:dyDescent="0.3">
      <c r="A2239" s="137">
        <v>5</v>
      </c>
      <c r="B2239" s="3402">
        <v>44653</v>
      </c>
      <c r="C2239" s="642" t="s">
        <v>37</v>
      </c>
      <c r="D2239" s="642" t="s">
        <v>2110</v>
      </c>
      <c r="E2239" s="642" t="s">
        <v>824</v>
      </c>
      <c r="F2239" s="2519">
        <v>1250000</v>
      </c>
      <c r="G2239" s="642" t="s">
        <v>2109</v>
      </c>
      <c r="H2239" s="642" t="s">
        <v>36</v>
      </c>
      <c r="I2239" s="642" t="s">
        <v>36</v>
      </c>
      <c r="J2239" s="642">
        <v>1</v>
      </c>
      <c r="K2239" t="s">
        <v>1770</v>
      </c>
    </row>
    <row r="2240" spans="1:11" hidden="1" x14ac:dyDescent="0.3">
      <c r="A2240" s="137">
        <v>6</v>
      </c>
      <c r="B2240" s="3402">
        <v>44806</v>
      </c>
      <c r="C2240" s="642" t="s">
        <v>37</v>
      </c>
      <c r="D2240" s="642" t="s">
        <v>2111</v>
      </c>
      <c r="E2240" s="642" t="s">
        <v>1751</v>
      </c>
      <c r="F2240" s="2519">
        <v>1200000</v>
      </c>
      <c r="G2240" s="642" t="s">
        <v>168</v>
      </c>
      <c r="H2240" s="642" t="s">
        <v>36</v>
      </c>
      <c r="I2240" s="642" t="s">
        <v>36</v>
      </c>
      <c r="J2240" s="642">
        <v>1</v>
      </c>
      <c r="K2240" t="s">
        <v>217</v>
      </c>
    </row>
    <row r="2241" spans="1:11" hidden="1" x14ac:dyDescent="0.3">
      <c r="A2241" s="137">
        <v>7</v>
      </c>
      <c r="B2241" s="3402">
        <v>44806</v>
      </c>
      <c r="C2241" s="642" t="s">
        <v>219</v>
      </c>
      <c r="D2241" s="642" t="s">
        <v>2112</v>
      </c>
      <c r="E2241" s="642" t="s">
        <v>2113</v>
      </c>
      <c r="F2241" s="2519">
        <v>1400000</v>
      </c>
      <c r="G2241" s="642" t="s">
        <v>2114</v>
      </c>
      <c r="H2241" s="642" t="s">
        <v>36</v>
      </c>
      <c r="I2241" s="642" t="s">
        <v>36</v>
      </c>
      <c r="J2241" s="642">
        <v>1</v>
      </c>
      <c r="K2241" t="s">
        <v>217</v>
      </c>
    </row>
    <row r="2242" spans="1:11" hidden="1" x14ac:dyDescent="0.3">
      <c r="A2242" s="137">
        <v>8</v>
      </c>
      <c r="B2242" s="3402" t="s">
        <v>2115</v>
      </c>
      <c r="C2242" s="642" t="s">
        <v>138</v>
      </c>
      <c r="D2242" s="641" t="s">
        <v>2116</v>
      </c>
      <c r="E2242" s="641" t="s">
        <v>76</v>
      </c>
      <c r="F2242" s="2520">
        <v>1000000</v>
      </c>
      <c r="G2242" s="641" t="s">
        <v>2117</v>
      </c>
      <c r="H2242" s="641" t="s">
        <v>44</v>
      </c>
      <c r="I2242" s="641" t="s">
        <v>36</v>
      </c>
      <c r="J2242" s="642">
        <v>1</v>
      </c>
      <c r="K2242" t="s">
        <v>2118</v>
      </c>
    </row>
    <row r="2243" spans="1:11" hidden="1" x14ac:dyDescent="0.3">
      <c r="A2243" s="137">
        <v>9</v>
      </c>
      <c r="B2243" s="3402" t="s">
        <v>2119</v>
      </c>
      <c r="C2243" s="642" t="s">
        <v>138</v>
      </c>
      <c r="D2243" s="642" t="s">
        <v>2120</v>
      </c>
      <c r="E2243" s="642" t="s">
        <v>76</v>
      </c>
      <c r="F2243" s="2519">
        <v>13500000</v>
      </c>
      <c r="G2243" s="642" t="s">
        <v>1998</v>
      </c>
      <c r="H2243" s="642" t="s">
        <v>44</v>
      </c>
      <c r="I2243" s="642" t="s">
        <v>36</v>
      </c>
      <c r="J2243" s="642">
        <v>1</v>
      </c>
      <c r="K2243" t="s">
        <v>2118</v>
      </c>
    </row>
    <row r="2244" spans="1:11" hidden="1" x14ac:dyDescent="0.3">
      <c r="A2244" s="137">
        <v>10</v>
      </c>
      <c r="B2244" s="3402" t="s">
        <v>2119</v>
      </c>
      <c r="C2244" s="642" t="s">
        <v>138</v>
      </c>
      <c r="D2244" s="642" t="s">
        <v>2121</v>
      </c>
      <c r="E2244" s="642" t="s">
        <v>822</v>
      </c>
      <c r="F2244" s="2519">
        <v>8000000</v>
      </c>
      <c r="G2244" s="642" t="s">
        <v>2122</v>
      </c>
      <c r="H2244" s="642" t="s">
        <v>44</v>
      </c>
      <c r="I2244" s="642" t="s">
        <v>36</v>
      </c>
      <c r="J2244" s="642">
        <v>1</v>
      </c>
      <c r="K2244" t="s">
        <v>2118</v>
      </c>
    </row>
    <row r="2245" spans="1:11" hidden="1" x14ac:dyDescent="0.3">
      <c r="A2245" s="137">
        <v>11</v>
      </c>
      <c r="B2245" s="3402" t="s">
        <v>2123</v>
      </c>
      <c r="C2245" s="642" t="s">
        <v>138</v>
      </c>
      <c r="D2245" s="641" t="s">
        <v>2124</v>
      </c>
      <c r="E2245" s="641" t="s">
        <v>1838</v>
      </c>
      <c r="F2245" s="2520">
        <v>1300000</v>
      </c>
      <c r="G2245" s="641" t="s">
        <v>1095</v>
      </c>
      <c r="H2245" s="641" t="s">
        <v>36</v>
      </c>
      <c r="I2245" s="641" t="s">
        <v>36</v>
      </c>
      <c r="J2245" s="642">
        <v>1</v>
      </c>
      <c r="K2245" t="s">
        <v>2118</v>
      </c>
    </row>
    <row r="2246" spans="1:11" hidden="1" x14ac:dyDescent="0.3">
      <c r="A2246" s="137">
        <v>12</v>
      </c>
      <c r="B2246" s="3402" t="s">
        <v>2123</v>
      </c>
      <c r="C2246" s="642" t="s">
        <v>138</v>
      </c>
      <c r="D2246" s="642" t="s">
        <v>2125</v>
      </c>
      <c r="E2246" s="642" t="s">
        <v>904</v>
      </c>
      <c r="F2246" s="2519">
        <v>1500000</v>
      </c>
      <c r="G2246" s="642" t="s">
        <v>168</v>
      </c>
      <c r="H2246" s="641" t="s">
        <v>36</v>
      </c>
      <c r="I2246" s="641" t="s">
        <v>36</v>
      </c>
      <c r="J2246" s="642">
        <v>1</v>
      </c>
      <c r="K2246" t="s">
        <v>2118</v>
      </c>
    </row>
    <row r="2247" spans="1:11" hidden="1" x14ac:dyDescent="0.3">
      <c r="A2247" s="137">
        <v>13</v>
      </c>
      <c r="B2247" s="3402" t="s">
        <v>2123</v>
      </c>
      <c r="C2247" s="642" t="s">
        <v>138</v>
      </c>
      <c r="D2247" s="642" t="s">
        <v>2126</v>
      </c>
      <c r="E2247" s="642" t="s">
        <v>76</v>
      </c>
      <c r="F2247" s="2519"/>
      <c r="G2247" s="642" t="s">
        <v>168</v>
      </c>
      <c r="H2247" s="641" t="s">
        <v>36</v>
      </c>
      <c r="I2247" s="641" t="s">
        <v>36</v>
      </c>
      <c r="J2247" s="642">
        <v>1</v>
      </c>
      <c r="K2247" t="s">
        <v>2118</v>
      </c>
    </row>
    <row r="2248" spans="1:11" hidden="1" x14ac:dyDescent="0.3">
      <c r="A2248" s="137">
        <v>14</v>
      </c>
      <c r="B2248" s="3402" t="s">
        <v>2123</v>
      </c>
      <c r="C2248" s="642" t="s">
        <v>138</v>
      </c>
      <c r="D2248" s="642" t="s">
        <v>2127</v>
      </c>
      <c r="E2248" s="642" t="s">
        <v>1130</v>
      </c>
      <c r="F2248" s="2519">
        <v>1300000</v>
      </c>
      <c r="G2248" s="642" t="s">
        <v>168</v>
      </c>
      <c r="H2248" s="641" t="s">
        <v>36</v>
      </c>
      <c r="I2248" s="641" t="s">
        <v>36</v>
      </c>
      <c r="J2248" s="642">
        <v>1</v>
      </c>
      <c r="K2248" t="s">
        <v>2118</v>
      </c>
    </row>
    <row r="2249" spans="1:11" hidden="1" x14ac:dyDescent="0.3">
      <c r="A2249" s="137">
        <v>15</v>
      </c>
      <c r="B2249" s="765" t="s">
        <v>2128</v>
      </c>
      <c r="C2249" s="642" t="s">
        <v>138</v>
      </c>
      <c r="D2249" s="642" t="s">
        <v>2129</v>
      </c>
      <c r="E2249" s="642" t="s">
        <v>76</v>
      </c>
      <c r="F2249" s="2519">
        <v>1100000</v>
      </c>
      <c r="G2249" s="642" t="s">
        <v>1632</v>
      </c>
      <c r="H2249" s="642" t="s">
        <v>44</v>
      </c>
      <c r="I2249" s="642" t="s">
        <v>36</v>
      </c>
      <c r="J2249" s="642">
        <v>1</v>
      </c>
      <c r="K2249" t="s">
        <v>1770</v>
      </c>
    </row>
    <row r="2250" spans="1:11" hidden="1" x14ac:dyDescent="0.3">
      <c r="A2250" s="137">
        <v>16</v>
      </c>
      <c r="B2250" s="765" t="s">
        <v>2128</v>
      </c>
      <c r="C2250" s="642" t="s">
        <v>138</v>
      </c>
      <c r="D2250" s="642" t="s">
        <v>2130</v>
      </c>
      <c r="E2250" s="642" t="s">
        <v>1751</v>
      </c>
      <c r="F2250" s="2519">
        <v>1100000</v>
      </c>
      <c r="G2250" s="642" t="s">
        <v>2109</v>
      </c>
      <c r="H2250" s="642" t="s">
        <v>44</v>
      </c>
      <c r="I2250" s="642" t="s">
        <v>36</v>
      </c>
      <c r="J2250" s="642">
        <v>1</v>
      </c>
      <c r="K2250" t="s">
        <v>2118</v>
      </c>
    </row>
    <row r="2251" spans="1:11" hidden="1" x14ac:dyDescent="0.3">
      <c r="A2251" s="137">
        <v>17</v>
      </c>
      <c r="B2251" s="765" t="s">
        <v>2128</v>
      </c>
      <c r="C2251" s="642" t="s">
        <v>138</v>
      </c>
      <c r="D2251" s="642" t="s">
        <v>2131</v>
      </c>
      <c r="E2251" s="642" t="s">
        <v>822</v>
      </c>
      <c r="F2251" s="2519">
        <v>700000</v>
      </c>
      <c r="G2251" s="642" t="s">
        <v>2132</v>
      </c>
      <c r="H2251" s="642" t="s">
        <v>36</v>
      </c>
      <c r="I2251" s="642" t="s">
        <v>36</v>
      </c>
      <c r="J2251" s="642">
        <v>1</v>
      </c>
      <c r="K2251" t="s">
        <v>2118</v>
      </c>
    </row>
    <row r="2252" spans="1:11" hidden="1" x14ac:dyDescent="0.3">
      <c r="A2252" s="137">
        <v>18</v>
      </c>
      <c r="B2252" s="765" t="s">
        <v>2128</v>
      </c>
      <c r="C2252" s="642" t="s">
        <v>138</v>
      </c>
      <c r="D2252" s="642" t="s">
        <v>2133</v>
      </c>
      <c r="E2252" s="642" t="s">
        <v>1564</v>
      </c>
      <c r="F2252" s="2519">
        <v>4500000</v>
      </c>
      <c r="G2252" s="642" t="s">
        <v>168</v>
      </c>
      <c r="H2252" s="642" t="s">
        <v>44</v>
      </c>
      <c r="I2252" s="642" t="s">
        <v>36</v>
      </c>
      <c r="J2252" s="642">
        <v>1</v>
      </c>
      <c r="K2252" t="s">
        <v>1770</v>
      </c>
    </row>
    <row r="2253" spans="1:11" hidden="1" x14ac:dyDescent="0.3">
      <c r="A2253" s="1781">
        <v>19</v>
      </c>
      <c r="B2253" s="765" t="s">
        <v>2128</v>
      </c>
      <c r="C2253" s="642" t="s">
        <v>138</v>
      </c>
      <c r="D2253" s="641" t="s">
        <v>2134</v>
      </c>
      <c r="E2253" s="642" t="s">
        <v>1564</v>
      </c>
      <c r="F2253" s="2520">
        <v>4500000</v>
      </c>
      <c r="G2253" s="641" t="s">
        <v>168</v>
      </c>
      <c r="H2253" s="641" t="s">
        <v>44</v>
      </c>
      <c r="I2253" s="641" t="s">
        <v>36</v>
      </c>
      <c r="J2253" s="642">
        <v>1</v>
      </c>
      <c r="K2253" t="s">
        <v>217</v>
      </c>
    </row>
    <row r="2254" spans="1:11" hidden="1" x14ac:dyDescent="0.3">
      <c r="A2254" s="1781">
        <v>20</v>
      </c>
      <c r="B2254" s="765" t="s">
        <v>2135</v>
      </c>
      <c r="C2254" s="642" t="s">
        <v>219</v>
      </c>
      <c r="D2254" s="641" t="s">
        <v>2136</v>
      </c>
      <c r="E2254" s="641" t="s">
        <v>76</v>
      </c>
      <c r="F2254" s="2520">
        <v>1200000</v>
      </c>
      <c r="G2254" s="641" t="s">
        <v>517</v>
      </c>
      <c r="H2254" s="641" t="s">
        <v>36</v>
      </c>
      <c r="I2254" s="641" t="s">
        <v>36</v>
      </c>
      <c r="J2254" s="642">
        <v>1</v>
      </c>
      <c r="K2254" t="s">
        <v>1770</v>
      </c>
    </row>
    <row r="2255" spans="1:11" ht="24.6" hidden="1" x14ac:dyDescent="0.4">
      <c r="A2255" s="1781"/>
      <c r="B2255" s="765"/>
      <c r="C2255" s="641"/>
      <c r="D2255" s="641"/>
      <c r="E2255" s="641"/>
      <c r="F2255" s="2523"/>
      <c r="G2255" s="641"/>
      <c r="H2255" s="641"/>
      <c r="I2255" s="641"/>
      <c r="J2255" s="1837"/>
    </row>
    <row r="2256" spans="1:11" ht="24.6" hidden="1" x14ac:dyDescent="0.4">
      <c r="A2256" s="3462" t="s">
        <v>2003</v>
      </c>
      <c r="B2256" s="3462"/>
      <c r="C2256" s="3462"/>
      <c r="D2256" s="3462"/>
      <c r="E2256" s="3462"/>
      <c r="F2256" s="3462"/>
      <c r="G2256" s="3462"/>
      <c r="H2256" s="3462"/>
      <c r="I2256" s="3462"/>
      <c r="J2256" s="3462"/>
    </row>
    <row r="2257" spans="1:11" hidden="1" x14ac:dyDescent="0.3">
      <c r="A2257" s="137" t="s">
        <v>3</v>
      </c>
      <c r="B2257" s="1781" t="s">
        <v>4</v>
      </c>
      <c r="C2257" s="137" t="s">
        <v>5</v>
      </c>
      <c r="D2257" s="137" t="s">
        <v>6</v>
      </c>
      <c r="E2257" s="137" t="s">
        <v>7</v>
      </c>
      <c r="F2257" s="137" t="s">
        <v>8</v>
      </c>
      <c r="G2257" s="137" t="s">
        <v>9</v>
      </c>
      <c r="H2257" s="137" t="s">
        <v>10</v>
      </c>
      <c r="I2257" s="137" t="s">
        <v>11</v>
      </c>
      <c r="J2257" s="137" t="s">
        <v>12</v>
      </c>
    </row>
    <row r="2258" spans="1:11" hidden="1" x14ac:dyDescent="0.3">
      <c r="A2258" s="1845">
        <v>1</v>
      </c>
      <c r="B2258" s="3404" t="s">
        <v>2137</v>
      </c>
      <c r="C2258" s="1838" t="s">
        <v>37</v>
      </c>
      <c r="D2258" s="1838" t="s">
        <v>2138</v>
      </c>
      <c r="E2258" s="1838" t="s">
        <v>2006</v>
      </c>
      <c r="F2258" s="1838">
        <v>190000000</v>
      </c>
      <c r="G2258" s="1838" t="s">
        <v>168</v>
      </c>
      <c r="H2258" s="1838" t="s">
        <v>44</v>
      </c>
      <c r="I2258" s="1838" t="s">
        <v>36</v>
      </c>
      <c r="J2258" s="1839">
        <v>1</v>
      </c>
    </row>
    <row r="2259" spans="1:11" hidden="1" x14ac:dyDescent="0.3">
      <c r="A2259" s="1846">
        <v>2</v>
      </c>
      <c r="B2259" s="3404" t="s">
        <v>2137</v>
      </c>
      <c r="C2259" s="1838" t="s">
        <v>37</v>
      </c>
      <c r="D2259" s="1840" t="s">
        <v>2139</v>
      </c>
      <c r="E2259" s="1838" t="s">
        <v>2006</v>
      </c>
      <c r="F2259" s="1840">
        <v>262000000</v>
      </c>
      <c r="G2259" s="1838" t="s">
        <v>168</v>
      </c>
      <c r="H2259" s="1838" t="s">
        <v>44</v>
      </c>
      <c r="I2259" s="1838" t="s">
        <v>36</v>
      </c>
      <c r="J2259" s="1839">
        <v>1</v>
      </c>
    </row>
    <row r="2260" spans="1:11" hidden="1" x14ac:dyDescent="0.3">
      <c r="A2260" s="2351">
        <v>3</v>
      </c>
      <c r="B2260" s="3410" t="s">
        <v>2137</v>
      </c>
      <c r="C2260" s="1840" t="s">
        <v>37</v>
      </c>
      <c r="D2260" s="2706" t="s">
        <v>2140</v>
      </c>
      <c r="E2260" s="1840" t="s">
        <v>2006</v>
      </c>
      <c r="F2260" s="2706">
        <v>170000000</v>
      </c>
      <c r="G2260" s="1840" t="s">
        <v>168</v>
      </c>
      <c r="H2260" s="1840" t="s">
        <v>44</v>
      </c>
      <c r="I2260" s="1840" t="s">
        <v>36</v>
      </c>
      <c r="J2260" s="1841">
        <v>1</v>
      </c>
    </row>
    <row r="2261" spans="1:11" hidden="1" x14ac:dyDescent="0.3">
      <c r="A2261" s="2351">
        <v>4</v>
      </c>
      <c r="B2261" s="3413">
        <v>44775</v>
      </c>
      <c r="C2261" s="2706" t="s">
        <v>37</v>
      </c>
      <c r="D2261" s="2706" t="s">
        <v>2141</v>
      </c>
      <c r="E2261" s="2706" t="s">
        <v>2142</v>
      </c>
      <c r="F2261" s="2706">
        <v>340000000</v>
      </c>
      <c r="G2261" s="2706" t="s">
        <v>168</v>
      </c>
      <c r="H2261" s="2706" t="s">
        <v>36</v>
      </c>
      <c r="I2261" s="2706" t="s">
        <v>36</v>
      </c>
      <c r="J2261" s="1849">
        <v>1</v>
      </c>
    </row>
    <row r="2262" spans="1:11" hidden="1" x14ac:dyDescent="0.3">
      <c r="A2262" s="2177"/>
      <c r="B2262" s="3406" t="s">
        <v>2135</v>
      </c>
      <c r="C2262" s="2350" t="s">
        <v>138</v>
      </c>
      <c r="D2262" s="2350" t="s">
        <v>2143</v>
      </c>
      <c r="E2262" s="2350" t="s">
        <v>76</v>
      </c>
      <c r="F2262" s="2350">
        <v>350000000</v>
      </c>
      <c r="G2262" s="2350" t="s">
        <v>168</v>
      </c>
      <c r="H2262" s="2350" t="s">
        <v>36</v>
      </c>
      <c r="I2262" s="2350" t="s">
        <v>36</v>
      </c>
      <c r="J2262" s="1842">
        <v>1</v>
      </c>
    </row>
    <row r="2263" spans="1:11" hidden="1" x14ac:dyDescent="0.3"/>
    <row r="2264" spans="1:11" hidden="1" x14ac:dyDescent="0.3"/>
    <row r="2265" spans="1:11" ht="23.4" hidden="1" x14ac:dyDescent="0.3">
      <c r="A2265" s="3460" t="s">
        <v>1138</v>
      </c>
      <c r="B2265" s="3460"/>
      <c r="C2265" s="3460"/>
      <c r="D2265" s="3460"/>
      <c r="E2265" s="3460"/>
      <c r="F2265" s="3460"/>
      <c r="G2265" s="3460"/>
      <c r="H2265" s="3460"/>
      <c r="I2265" s="3460"/>
      <c r="J2265" s="3460"/>
    </row>
    <row r="2266" spans="1:11" ht="15.6" hidden="1" x14ac:dyDescent="0.3">
      <c r="A2266" s="3461" t="s">
        <v>2</v>
      </c>
      <c r="B2266" s="3461"/>
      <c r="C2266" s="3461"/>
      <c r="D2266" s="3461"/>
      <c r="E2266" s="3461"/>
      <c r="F2266" s="3461"/>
      <c r="G2266" s="3461"/>
      <c r="H2266" s="3461"/>
      <c r="I2266" s="3461"/>
      <c r="J2266" s="3461"/>
    </row>
    <row r="2267" spans="1:11" hidden="1" x14ac:dyDescent="0.3">
      <c r="A2267" s="137" t="s">
        <v>3</v>
      </c>
      <c r="B2267" s="1781" t="s">
        <v>4</v>
      </c>
      <c r="C2267" s="137" t="s">
        <v>5</v>
      </c>
      <c r="D2267" s="137" t="s">
        <v>6</v>
      </c>
      <c r="E2267" s="137" t="s">
        <v>7</v>
      </c>
      <c r="F2267" s="2522" t="s">
        <v>8</v>
      </c>
      <c r="G2267" s="137" t="s">
        <v>9</v>
      </c>
      <c r="H2267" s="137" t="s">
        <v>10</v>
      </c>
      <c r="I2267" s="137" t="s">
        <v>11</v>
      </c>
      <c r="J2267" s="137" t="s">
        <v>12</v>
      </c>
    </row>
    <row r="2268" spans="1:11" hidden="1" x14ac:dyDescent="0.3">
      <c r="A2268" s="137">
        <v>1</v>
      </c>
      <c r="B2268" s="3402">
        <v>44563</v>
      </c>
      <c r="C2268" s="642" t="s">
        <v>37</v>
      </c>
      <c r="D2268" s="642" t="s">
        <v>2144</v>
      </c>
      <c r="E2268" s="642" t="s">
        <v>1838</v>
      </c>
      <c r="F2268" s="2519">
        <v>1250000</v>
      </c>
      <c r="G2268" s="642" t="s">
        <v>2145</v>
      </c>
      <c r="H2268" s="642" t="s">
        <v>44</v>
      </c>
      <c r="I2268" s="642" t="s">
        <v>36</v>
      </c>
      <c r="J2268" s="642">
        <v>1</v>
      </c>
      <c r="K2268" t="s">
        <v>1530</v>
      </c>
    </row>
    <row r="2269" spans="1:11" hidden="1" x14ac:dyDescent="0.3">
      <c r="A2269" s="137">
        <v>2</v>
      </c>
      <c r="B2269" s="765" t="s">
        <v>2146</v>
      </c>
      <c r="C2269" s="642" t="s">
        <v>37</v>
      </c>
      <c r="D2269" s="642" t="s">
        <v>2147</v>
      </c>
      <c r="E2269" s="642" t="s">
        <v>787</v>
      </c>
      <c r="F2269" s="2519">
        <v>900000</v>
      </c>
      <c r="G2269" s="642" t="s">
        <v>703</v>
      </c>
      <c r="H2269" s="642" t="s">
        <v>44</v>
      </c>
      <c r="I2269" s="642" t="s">
        <v>36</v>
      </c>
      <c r="J2269" s="642">
        <v>1</v>
      </c>
      <c r="K2269" t="s">
        <v>217</v>
      </c>
    </row>
    <row r="2270" spans="1:11" hidden="1" x14ac:dyDescent="0.3">
      <c r="A2270" s="137">
        <v>3</v>
      </c>
      <c r="B2270" s="3402">
        <v>44653</v>
      </c>
      <c r="C2270" s="642" t="s">
        <v>37</v>
      </c>
      <c r="D2270" s="642" t="s">
        <v>2148</v>
      </c>
      <c r="E2270" s="642" t="s">
        <v>1870</v>
      </c>
      <c r="F2270" s="2519">
        <v>1250000</v>
      </c>
      <c r="G2270" s="642" t="s">
        <v>2070</v>
      </c>
      <c r="H2270" s="642" t="s">
        <v>44</v>
      </c>
      <c r="I2270" s="642" t="s">
        <v>36</v>
      </c>
      <c r="J2270" s="642">
        <v>1</v>
      </c>
      <c r="K2270" t="s">
        <v>1770</v>
      </c>
    </row>
    <row r="2271" spans="1:11" hidden="1" x14ac:dyDescent="0.3">
      <c r="A2271" s="137">
        <v>4</v>
      </c>
      <c r="B2271" s="3402">
        <v>44653</v>
      </c>
      <c r="C2271" s="642" t="s">
        <v>37</v>
      </c>
      <c r="D2271" s="642" t="s">
        <v>2149</v>
      </c>
      <c r="E2271" s="642" t="s">
        <v>1870</v>
      </c>
      <c r="F2271" s="2519">
        <v>1250000</v>
      </c>
      <c r="G2271" s="642" t="s">
        <v>2070</v>
      </c>
      <c r="H2271" s="642" t="s">
        <v>44</v>
      </c>
      <c r="I2271" s="642" t="s">
        <v>36</v>
      </c>
      <c r="J2271" s="642">
        <v>1</v>
      </c>
      <c r="K2271" t="s">
        <v>1770</v>
      </c>
    </row>
    <row r="2272" spans="1:11" hidden="1" x14ac:dyDescent="0.3">
      <c r="A2272" s="137">
        <v>5</v>
      </c>
      <c r="B2272" s="3402">
        <v>44744</v>
      </c>
      <c r="C2272" s="642" t="s">
        <v>37</v>
      </c>
      <c r="D2272" s="642" t="s">
        <v>2150</v>
      </c>
      <c r="E2272" s="642" t="s">
        <v>68</v>
      </c>
      <c r="F2272" s="2519">
        <v>1350000</v>
      </c>
      <c r="G2272" s="642" t="s">
        <v>140</v>
      </c>
      <c r="H2272" s="642" t="s">
        <v>36</v>
      </c>
      <c r="I2272" s="642" t="s">
        <v>36</v>
      </c>
      <c r="J2272" s="642">
        <v>1</v>
      </c>
      <c r="K2272" t="s">
        <v>217</v>
      </c>
    </row>
    <row r="2273" spans="1:11" hidden="1" x14ac:dyDescent="0.3">
      <c r="A2273" s="137">
        <v>6</v>
      </c>
      <c r="B2273" s="3402" t="s">
        <v>2151</v>
      </c>
      <c r="C2273" s="642" t="s">
        <v>138</v>
      </c>
      <c r="D2273" s="642" t="s">
        <v>2152</v>
      </c>
      <c r="E2273" s="642" t="s">
        <v>2153</v>
      </c>
      <c r="F2273" s="2519">
        <v>1350000</v>
      </c>
      <c r="G2273" s="642" t="s">
        <v>1267</v>
      </c>
      <c r="H2273" s="642" t="s">
        <v>44</v>
      </c>
      <c r="I2273" s="642" t="s">
        <v>36</v>
      </c>
      <c r="J2273" s="642">
        <v>1</v>
      </c>
      <c r="K2273" t="s">
        <v>2118</v>
      </c>
    </row>
    <row r="2274" spans="1:11" hidden="1" x14ac:dyDescent="0.3">
      <c r="A2274" s="137">
        <v>7</v>
      </c>
      <c r="B2274" s="3402" t="s">
        <v>2154</v>
      </c>
      <c r="C2274" s="641" t="s">
        <v>138</v>
      </c>
      <c r="D2274" s="641" t="s">
        <v>2155</v>
      </c>
      <c r="E2274" s="641" t="s">
        <v>1932</v>
      </c>
      <c r="F2274" s="2520">
        <v>3300000</v>
      </c>
      <c r="G2274" s="641"/>
      <c r="H2274" s="641" t="s">
        <v>44</v>
      </c>
      <c r="I2274" s="641" t="s">
        <v>36</v>
      </c>
      <c r="J2274" s="642">
        <v>1</v>
      </c>
      <c r="K2274" t="s">
        <v>2118</v>
      </c>
    </row>
    <row r="2275" spans="1:11" hidden="1" x14ac:dyDescent="0.3">
      <c r="A2275" s="137">
        <v>8</v>
      </c>
      <c r="B2275" s="3402" t="s">
        <v>2123</v>
      </c>
      <c r="C2275" s="641" t="s">
        <v>138</v>
      </c>
      <c r="D2275" s="642" t="s">
        <v>2156</v>
      </c>
      <c r="E2275" s="642" t="s">
        <v>1838</v>
      </c>
      <c r="F2275" s="2519">
        <v>1350000</v>
      </c>
      <c r="G2275" s="642" t="s">
        <v>1349</v>
      </c>
      <c r="H2275" s="642" t="s">
        <v>36</v>
      </c>
      <c r="I2275" s="642" t="s">
        <v>36</v>
      </c>
      <c r="J2275" s="642">
        <v>1</v>
      </c>
      <c r="K2275" t="s">
        <v>2118</v>
      </c>
    </row>
    <row r="2276" spans="1:11" hidden="1" x14ac:dyDescent="0.3">
      <c r="A2276" s="137">
        <v>9</v>
      </c>
      <c r="B2276" s="3402" t="s">
        <v>2123</v>
      </c>
      <c r="C2276" s="641" t="s">
        <v>138</v>
      </c>
      <c r="D2276" s="642" t="s">
        <v>2157</v>
      </c>
      <c r="E2276" s="642" t="s">
        <v>1130</v>
      </c>
      <c r="F2276" s="2519">
        <v>1350000</v>
      </c>
      <c r="G2276" s="642"/>
      <c r="H2276" s="642" t="s">
        <v>44</v>
      </c>
      <c r="I2276" s="642" t="s">
        <v>36</v>
      </c>
      <c r="J2276" s="642">
        <v>1</v>
      </c>
      <c r="K2276" t="s">
        <v>2118</v>
      </c>
    </row>
    <row r="2277" spans="1:11" hidden="1" x14ac:dyDescent="0.3">
      <c r="A2277" s="137">
        <v>10</v>
      </c>
      <c r="B2277" s="3402" t="s">
        <v>2158</v>
      </c>
      <c r="C2277" s="642" t="s">
        <v>138</v>
      </c>
      <c r="D2277" s="642" t="s">
        <v>2159</v>
      </c>
      <c r="E2277" s="642" t="s">
        <v>904</v>
      </c>
      <c r="F2277" s="2519">
        <v>1150000</v>
      </c>
      <c r="G2277" s="642" t="s">
        <v>168</v>
      </c>
      <c r="H2277" s="642" t="s">
        <v>44</v>
      </c>
      <c r="I2277" s="642" t="s">
        <v>36</v>
      </c>
      <c r="J2277" s="642">
        <v>1</v>
      </c>
      <c r="K2277" t="s">
        <v>2118</v>
      </c>
    </row>
    <row r="2278" spans="1:11" hidden="1" x14ac:dyDescent="0.3">
      <c r="A2278" s="137">
        <v>11</v>
      </c>
      <c r="B2278" s="3402" t="s">
        <v>2158</v>
      </c>
      <c r="C2278" s="642" t="s">
        <v>138</v>
      </c>
      <c r="D2278" s="642" t="s">
        <v>2160</v>
      </c>
      <c r="E2278" s="642" t="s">
        <v>2161</v>
      </c>
      <c r="F2278" s="2519">
        <v>700000</v>
      </c>
      <c r="G2278" s="642" t="s">
        <v>168</v>
      </c>
      <c r="H2278" s="642" t="s">
        <v>36</v>
      </c>
      <c r="I2278" s="642" t="s">
        <v>36</v>
      </c>
      <c r="J2278" s="642">
        <v>1</v>
      </c>
      <c r="K2278" t="s">
        <v>2118</v>
      </c>
    </row>
    <row r="2279" spans="1:11" hidden="1" x14ac:dyDescent="0.3">
      <c r="A2279" s="137">
        <v>12</v>
      </c>
      <c r="B2279" s="765" t="s">
        <v>2162</v>
      </c>
      <c r="C2279" s="642" t="s">
        <v>138</v>
      </c>
      <c r="D2279" s="642" t="s">
        <v>2163</v>
      </c>
      <c r="E2279" s="642" t="s">
        <v>1838</v>
      </c>
      <c r="F2279" s="2519">
        <v>1200000</v>
      </c>
      <c r="G2279" s="642" t="s">
        <v>1349</v>
      </c>
      <c r="H2279" s="642" t="s">
        <v>36</v>
      </c>
      <c r="I2279" s="642" t="s">
        <v>36</v>
      </c>
      <c r="J2279" s="642">
        <v>1</v>
      </c>
      <c r="K2279" t="s">
        <v>2118</v>
      </c>
    </row>
    <row r="2280" spans="1:11" hidden="1" x14ac:dyDescent="0.3">
      <c r="A2280" s="137">
        <v>13</v>
      </c>
      <c r="B2280" s="765" t="s">
        <v>2128</v>
      </c>
      <c r="C2280" s="642" t="s">
        <v>138</v>
      </c>
      <c r="D2280" s="642" t="s">
        <v>2164</v>
      </c>
      <c r="E2280" s="642" t="s">
        <v>2165</v>
      </c>
      <c r="F2280" s="2519">
        <v>700000</v>
      </c>
      <c r="G2280" s="642" t="s">
        <v>168</v>
      </c>
      <c r="H2280" s="642" t="s">
        <v>36</v>
      </c>
      <c r="I2280" s="642" t="s">
        <v>36</v>
      </c>
      <c r="J2280" s="642">
        <v>1</v>
      </c>
      <c r="K2280" t="s">
        <v>2118</v>
      </c>
    </row>
    <row r="2281" spans="1:11" hidden="1" x14ac:dyDescent="0.3">
      <c r="A2281" s="137">
        <v>14</v>
      </c>
      <c r="B2281" s="765" t="s">
        <v>2128</v>
      </c>
      <c r="C2281" s="642" t="s">
        <v>138</v>
      </c>
      <c r="D2281" s="642" t="s">
        <v>2166</v>
      </c>
      <c r="E2281" s="642" t="s">
        <v>1838</v>
      </c>
      <c r="F2281" s="2519">
        <v>1200000</v>
      </c>
      <c r="G2281" s="642" t="s">
        <v>1095</v>
      </c>
      <c r="H2281" s="642" t="s">
        <v>44</v>
      </c>
      <c r="I2281" s="642" t="s">
        <v>36</v>
      </c>
      <c r="J2281" s="642">
        <v>1</v>
      </c>
    </row>
    <row r="2282" spans="1:11" hidden="1" x14ac:dyDescent="0.3">
      <c r="A2282" s="1781">
        <v>15</v>
      </c>
      <c r="B2282" s="765" t="s">
        <v>2162</v>
      </c>
      <c r="C2282" s="642" t="s">
        <v>138</v>
      </c>
      <c r="D2282" s="641" t="s">
        <v>2167</v>
      </c>
      <c r="E2282" s="642" t="s">
        <v>1838</v>
      </c>
      <c r="F2282" s="2520">
        <v>1200000</v>
      </c>
      <c r="G2282" s="641" t="s">
        <v>1349</v>
      </c>
      <c r="H2282" s="641" t="s">
        <v>44</v>
      </c>
      <c r="I2282" s="641" t="s">
        <v>36</v>
      </c>
      <c r="J2282" s="642">
        <v>1</v>
      </c>
    </row>
    <row r="2283" spans="1:11" hidden="1" x14ac:dyDescent="0.3">
      <c r="A2283" s="1781">
        <v>16</v>
      </c>
      <c r="B2283" s="3402">
        <v>44897</v>
      </c>
      <c r="C2283" s="641" t="s">
        <v>138</v>
      </c>
      <c r="D2283" s="641" t="s">
        <v>2168</v>
      </c>
      <c r="E2283" s="641" t="s">
        <v>1751</v>
      </c>
      <c r="F2283" s="2520">
        <v>850000</v>
      </c>
      <c r="G2283" s="641" t="s">
        <v>2169</v>
      </c>
      <c r="H2283" s="641" t="s">
        <v>44</v>
      </c>
      <c r="I2283" s="641" t="s">
        <v>36</v>
      </c>
      <c r="J2283" s="642">
        <v>1</v>
      </c>
    </row>
    <row r="2284" spans="1:11" hidden="1" x14ac:dyDescent="0.3">
      <c r="A2284" s="1781">
        <v>17</v>
      </c>
      <c r="B2284" s="3402">
        <v>44653</v>
      </c>
      <c r="C2284" s="642" t="s">
        <v>37</v>
      </c>
      <c r="D2284" s="642" t="s">
        <v>2170</v>
      </c>
      <c r="E2284" s="642" t="s">
        <v>1870</v>
      </c>
      <c r="F2284" s="2519">
        <v>1250000</v>
      </c>
      <c r="G2284" s="642" t="s">
        <v>2070</v>
      </c>
      <c r="H2284" s="642" t="s">
        <v>44</v>
      </c>
      <c r="I2284" s="642" t="s">
        <v>36</v>
      </c>
      <c r="J2284" s="642">
        <v>1</v>
      </c>
    </row>
    <row r="2285" spans="1:11" hidden="1" x14ac:dyDescent="0.3">
      <c r="A2285" s="1781">
        <v>18</v>
      </c>
      <c r="B2285" s="3402" t="s">
        <v>2128</v>
      </c>
      <c r="C2285" s="641" t="s">
        <v>138</v>
      </c>
      <c r="D2285" s="641" t="s">
        <v>2171</v>
      </c>
      <c r="E2285" s="641" t="s">
        <v>1838</v>
      </c>
      <c r="F2285" s="2520">
        <v>1100000</v>
      </c>
      <c r="G2285" s="641" t="s">
        <v>729</v>
      </c>
      <c r="H2285" s="641" t="s">
        <v>44</v>
      </c>
      <c r="I2285" s="641" t="s">
        <v>36</v>
      </c>
      <c r="J2285" s="642">
        <v>1</v>
      </c>
    </row>
    <row r="2286" spans="1:11" hidden="1" x14ac:dyDescent="0.3">
      <c r="A2286" s="1781">
        <v>19</v>
      </c>
      <c r="B2286" s="3402" t="s">
        <v>2172</v>
      </c>
      <c r="C2286" s="641" t="s">
        <v>138</v>
      </c>
      <c r="D2286" s="641" t="s">
        <v>2173</v>
      </c>
      <c r="E2286" s="641" t="s">
        <v>1838</v>
      </c>
      <c r="F2286" s="2520">
        <v>1200000</v>
      </c>
      <c r="G2286" s="641" t="s">
        <v>1095</v>
      </c>
      <c r="H2286" s="641" t="s">
        <v>36</v>
      </c>
      <c r="I2286" s="641" t="s">
        <v>36</v>
      </c>
      <c r="J2286" s="642">
        <v>1</v>
      </c>
    </row>
    <row r="2287" spans="1:11" hidden="1" x14ac:dyDescent="0.3">
      <c r="A2287" s="1781">
        <v>20</v>
      </c>
      <c r="B2287" s="3402" t="s">
        <v>2135</v>
      </c>
      <c r="C2287" s="641" t="s">
        <v>74</v>
      </c>
      <c r="D2287" s="641" t="s">
        <v>2174</v>
      </c>
      <c r="E2287" s="641" t="s">
        <v>2175</v>
      </c>
      <c r="F2287" s="2520">
        <v>1300000</v>
      </c>
      <c r="G2287" s="641" t="s">
        <v>168</v>
      </c>
      <c r="H2287" s="641" t="s">
        <v>44</v>
      </c>
      <c r="I2287" s="641" t="s">
        <v>36</v>
      </c>
      <c r="J2287" s="642">
        <v>1</v>
      </c>
      <c r="K2287" t="s">
        <v>2118</v>
      </c>
    </row>
    <row r="2288" spans="1:11" ht="24.6" hidden="1" x14ac:dyDescent="0.4">
      <c r="A2288" s="1781"/>
      <c r="B2288" s="765"/>
      <c r="C2288" s="641"/>
      <c r="D2288" s="641"/>
      <c r="E2288" s="641"/>
      <c r="F2288" s="2523"/>
      <c r="G2288" s="641"/>
      <c r="H2288" s="641"/>
      <c r="I2288" s="641"/>
      <c r="J2288" s="1837"/>
    </row>
    <row r="2289" spans="1:11" ht="24.6" hidden="1" x14ac:dyDescent="0.4">
      <c r="A2289" s="3462" t="s">
        <v>2003</v>
      </c>
      <c r="B2289" s="3462"/>
      <c r="C2289" s="3462"/>
      <c r="D2289" s="3462"/>
      <c r="E2289" s="3462"/>
      <c r="F2289" s="3462"/>
      <c r="G2289" s="3462"/>
      <c r="H2289" s="3462"/>
      <c r="I2289" s="3462"/>
      <c r="J2289" s="3462"/>
    </row>
    <row r="2290" spans="1:11" hidden="1" x14ac:dyDescent="0.3">
      <c r="A2290" s="137" t="s">
        <v>3</v>
      </c>
      <c r="B2290" s="1781" t="s">
        <v>4</v>
      </c>
      <c r="C2290" s="137" t="s">
        <v>5</v>
      </c>
      <c r="D2290" s="137" t="s">
        <v>6</v>
      </c>
      <c r="E2290" s="137" t="s">
        <v>7</v>
      </c>
      <c r="F2290" s="137" t="s">
        <v>8</v>
      </c>
      <c r="G2290" s="137" t="s">
        <v>9</v>
      </c>
      <c r="H2290" s="137" t="s">
        <v>10</v>
      </c>
      <c r="I2290" s="137" t="s">
        <v>11</v>
      </c>
      <c r="J2290" s="137" t="s">
        <v>12</v>
      </c>
    </row>
    <row r="2291" spans="1:11" hidden="1" x14ac:dyDescent="0.3">
      <c r="A2291" s="1845">
        <v>1</v>
      </c>
      <c r="B2291" s="3404">
        <v>44622</v>
      </c>
      <c r="C2291" s="1838" t="s">
        <v>37</v>
      </c>
      <c r="D2291" s="1838" t="s">
        <v>2176</v>
      </c>
      <c r="E2291" s="1838" t="s">
        <v>1870</v>
      </c>
      <c r="F2291" s="1838">
        <v>272000000</v>
      </c>
      <c r="G2291" s="1838" t="s">
        <v>2070</v>
      </c>
      <c r="H2291" s="1838" t="s">
        <v>36</v>
      </c>
      <c r="I2291" s="1838" t="s">
        <v>36</v>
      </c>
      <c r="J2291" s="1839">
        <v>1</v>
      </c>
    </row>
    <row r="2292" spans="1:11" hidden="1" x14ac:dyDescent="0.3">
      <c r="A2292" s="1846">
        <v>2</v>
      </c>
      <c r="B2292" s="3404">
        <v>44622</v>
      </c>
      <c r="C2292" s="1840" t="s">
        <v>37</v>
      </c>
      <c r="D2292" s="1840" t="s">
        <v>2177</v>
      </c>
      <c r="E2292" s="1840" t="s">
        <v>1870</v>
      </c>
      <c r="F2292" s="1838">
        <v>272000000</v>
      </c>
      <c r="G2292" s="1840" t="s">
        <v>2070</v>
      </c>
      <c r="H2292" s="1840" t="s">
        <v>36</v>
      </c>
      <c r="I2292" s="1840" t="s">
        <v>36</v>
      </c>
      <c r="J2292" s="1841">
        <v>1</v>
      </c>
    </row>
    <row r="2293" spans="1:11" hidden="1" x14ac:dyDescent="0.3">
      <c r="A2293" s="2177">
        <v>3</v>
      </c>
      <c r="B2293" s="3404">
        <v>44622</v>
      </c>
      <c r="C2293" s="2350" t="s">
        <v>37</v>
      </c>
      <c r="D2293" s="2350" t="s">
        <v>2178</v>
      </c>
      <c r="E2293" s="2350" t="s">
        <v>1870</v>
      </c>
      <c r="F2293" s="1838">
        <v>272000000</v>
      </c>
      <c r="G2293" s="2350" t="s">
        <v>2070</v>
      </c>
      <c r="H2293" s="2350" t="s">
        <v>36</v>
      </c>
      <c r="I2293" s="2350" t="s">
        <v>36</v>
      </c>
      <c r="J2293" s="1842">
        <v>1</v>
      </c>
    </row>
    <row r="2294" spans="1:11" hidden="1" x14ac:dyDescent="0.3"/>
    <row r="2295" spans="1:11" hidden="1" x14ac:dyDescent="0.3"/>
    <row r="2296" spans="1:11" ht="23.4" hidden="1" x14ac:dyDescent="0.3">
      <c r="A2296" s="3460" t="s">
        <v>2073</v>
      </c>
      <c r="B2296" s="3460"/>
      <c r="C2296" s="3460"/>
      <c r="D2296" s="3460"/>
      <c r="E2296" s="3460"/>
      <c r="F2296" s="3460"/>
      <c r="G2296" s="3460"/>
      <c r="H2296" s="3460"/>
      <c r="I2296" s="3460"/>
      <c r="J2296" s="3460"/>
    </row>
    <row r="2297" spans="1:11" ht="15.6" hidden="1" x14ac:dyDescent="0.3">
      <c r="A2297" s="3461" t="s">
        <v>2</v>
      </c>
      <c r="B2297" s="3461"/>
      <c r="C2297" s="3461"/>
      <c r="D2297" s="3461"/>
      <c r="E2297" s="3461"/>
      <c r="F2297" s="3461"/>
      <c r="G2297" s="3461"/>
      <c r="H2297" s="3461"/>
      <c r="I2297" s="3461"/>
      <c r="J2297" s="3461"/>
    </row>
    <row r="2298" spans="1:11" hidden="1" x14ac:dyDescent="0.3">
      <c r="A2298" s="137" t="s">
        <v>3</v>
      </c>
      <c r="B2298" s="1781" t="s">
        <v>4</v>
      </c>
      <c r="C2298" s="137" t="s">
        <v>5</v>
      </c>
      <c r="D2298" s="137" t="s">
        <v>6</v>
      </c>
      <c r="E2298" s="137" t="s">
        <v>7</v>
      </c>
      <c r="F2298" s="2522" t="s">
        <v>8</v>
      </c>
      <c r="G2298" s="137" t="s">
        <v>9</v>
      </c>
      <c r="H2298" s="137" t="s">
        <v>10</v>
      </c>
      <c r="I2298" s="137" t="s">
        <v>11</v>
      </c>
      <c r="J2298" s="137" t="s">
        <v>12</v>
      </c>
    </row>
    <row r="2299" spans="1:11" hidden="1" x14ac:dyDescent="0.3">
      <c r="A2299" s="137">
        <v>1</v>
      </c>
      <c r="B2299" s="3402">
        <v>44563</v>
      </c>
      <c r="C2299" s="642" t="s">
        <v>37</v>
      </c>
      <c r="D2299" s="642" t="s">
        <v>2179</v>
      </c>
      <c r="E2299" s="642" t="s">
        <v>1838</v>
      </c>
      <c r="F2299" s="2519">
        <v>1200000</v>
      </c>
      <c r="G2299" s="642" t="s">
        <v>1095</v>
      </c>
      <c r="H2299" s="642" t="s">
        <v>36</v>
      </c>
      <c r="I2299" s="642" t="s">
        <v>36</v>
      </c>
      <c r="J2299" s="642">
        <v>1</v>
      </c>
      <c r="K2299" t="s">
        <v>1530</v>
      </c>
    </row>
    <row r="2300" spans="1:11" hidden="1" x14ac:dyDescent="0.3">
      <c r="A2300" s="137">
        <v>2</v>
      </c>
      <c r="B2300" s="3402">
        <v>44622</v>
      </c>
      <c r="C2300" s="642" t="s">
        <v>37</v>
      </c>
      <c r="D2300" s="642" t="s">
        <v>2180</v>
      </c>
      <c r="E2300" s="642" t="s">
        <v>1838</v>
      </c>
      <c r="F2300" s="2519">
        <v>1450000</v>
      </c>
      <c r="G2300" s="642" t="s">
        <v>1319</v>
      </c>
      <c r="H2300" s="642" t="s">
        <v>36</v>
      </c>
      <c r="I2300" s="642" t="s">
        <v>36</v>
      </c>
      <c r="J2300" s="642">
        <v>1</v>
      </c>
      <c r="K2300" t="s">
        <v>217</v>
      </c>
    </row>
    <row r="2301" spans="1:11" hidden="1" x14ac:dyDescent="0.3">
      <c r="A2301" s="137">
        <v>3</v>
      </c>
      <c r="B2301" s="3402">
        <v>44622</v>
      </c>
      <c r="C2301" s="642" t="s">
        <v>37</v>
      </c>
      <c r="D2301" s="642" t="s">
        <v>2181</v>
      </c>
      <c r="E2301" s="642" t="s">
        <v>1838</v>
      </c>
      <c r="F2301" s="2519">
        <v>1200000</v>
      </c>
      <c r="G2301" s="642" t="s">
        <v>1095</v>
      </c>
      <c r="H2301" s="642" t="s">
        <v>36</v>
      </c>
      <c r="I2301" s="642" t="s">
        <v>36</v>
      </c>
      <c r="J2301" s="642">
        <v>1</v>
      </c>
      <c r="K2301" t="s">
        <v>1530</v>
      </c>
    </row>
    <row r="2302" spans="1:11" hidden="1" x14ac:dyDescent="0.3">
      <c r="A2302" s="137">
        <v>4</v>
      </c>
      <c r="B2302" s="3402">
        <v>44683</v>
      </c>
      <c r="C2302" s="642" t="s">
        <v>37</v>
      </c>
      <c r="D2302" s="642" t="s">
        <v>2182</v>
      </c>
      <c r="E2302" s="642" t="s">
        <v>1066</v>
      </c>
      <c r="F2302" s="2519">
        <v>1100000</v>
      </c>
      <c r="G2302" s="642" t="s">
        <v>963</v>
      </c>
      <c r="H2302" s="642" t="s">
        <v>44</v>
      </c>
      <c r="I2302" s="642" t="s">
        <v>36</v>
      </c>
      <c r="J2302" s="642">
        <v>1</v>
      </c>
      <c r="K2302" t="s">
        <v>1770</v>
      </c>
    </row>
    <row r="2303" spans="1:11" hidden="1" x14ac:dyDescent="0.3">
      <c r="A2303" s="137">
        <v>5</v>
      </c>
      <c r="B2303" s="3402">
        <v>44683</v>
      </c>
      <c r="C2303" s="642" t="s">
        <v>37</v>
      </c>
      <c r="D2303" s="642" t="s">
        <v>2183</v>
      </c>
      <c r="E2303" s="642" t="s">
        <v>1838</v>
      </c>
      <c r="F2303" s="2519">
        <v>1250000</v>
      </c>
      <c r="G2303" s="642" t="s">
        <v>2184</v>
      </c>
      <c r="H2303" s="642" t="s">
        <v>44</v>
      </c>
      <c r="I2303" s="642" t="s">
        <v>36</v>
      </c>
      <c r="J2303" s="642">
        <v>1</v>
      </c>
      <c r="K2303" t="s">
        <v>1770</v>
      </c>
    </row>
    <row r="2304" spans="1:11" hidden="1" x14ac:dyDescent="0.3">
      <c r="A2304" s="137">
        <v>6</v>
      </c>
      <c r="B2304" s="3402">
        <v>44744</v>
      </c>
      <c r="C2304" s="642" t="s">
        <v>37</v>
      </c>
      <c r="D2304" s="642" t="s">
        <v>2185</v>
      </c>
      <c r="E2304" s="642" t="s">
        <v>904</v>
      </c>
      <c r="F2304" s="2519">
        <v>1450000</v>
      </c>
      <c r="G2304" s="642" t="s">
        <v>168</v>
      </c>
      <c r="H2304" s="642" t="s">
        <v>44</v>
      </c>
      <c r="I2304" s="642" t="s">
        <v>36</v>
      </c>
      <c r="J2304" s="642">
        <v>1</v>
      </c>
      <c r="K2304" t="s">
        <v>1770</v>
      </c>
    </row>
    <row r="2305" spans="1:11" hidden="1" x14ac:dyDescent="0.3">
      <c r="A2305" s="137">
        <v>7</v>
      </c>
      <c r="B2305" s="3402">
        <v>44775</v>
      </c>
      <c r="C2305" s="642" t="s">
        <v>37</v>
      </c>
      <c r="D2305" s="641" t="s">
        <v>2186</v>
      </c>
      <c r="E2305" s="641" t="s">
        <v>1838</v>
      </c>
      <c r="F2305" s="2520">
        <v>1200000</v>
      </c>
      <c r="G2305" s="641" t="s">
        <v>1095</v>
      </c>
      <c r="H2305" s="641" t="s">
        <v>44</v>
      </c>
      <c r="I2305" s="641" t="s">
        <v>36</v>
      </c>
      <c r="J2305" s="642">
        <v>1</v>
      </c>
      <c r="K2305" t="s">
        <v>217</v>
      </c>
    </row>
    <row r="2306" spans="1:11" hidden="1" x14ac:dyDescent="0.3">
      <c r="A2306" s="137">
        <v>8</v>
      </c>
      <c r="B2306" s="3402">
        <v>44775</v>
      </c>
      <c r="C2306" s="642" t="s">
        <v>138</v>
      </c>
      <c r="D2306" s="642" t="s">
        <v>2187</v>
      </c>
      <c r="E2306" s="642" t="s">
        <v>1751</v>
      </c>
      <c r="F2306" s="2519">
        <v>850000</v>
      </c>
      <c r="G2306" s="642" t="s">
        <v>1358</v>
      </c>
      <c r="H2306" s="642" t="s">
        <v>44</v>
      </c>
      <c r="I2306" s="642" t="s">
        <v>36</v>
      </c>
      <c r="J2306" s="642">
        <v>1</v>
      </c>
      <c r="K2306" t="s">
        <v>1770</v>
      </c>
    </row>
    <row r="2307" spans="1:11" hidden="1" x14ac:dyDescent="0.3">
      <c r="A2307" s="137">
        <v>9</v>
      </c>
      <c r="B2307" s="3402">
        <v>44775</v>
      </c>
      <c r="C2307" s="642" t="s">
        <v>138</v>
      </c>
      <c r="D2307" s="642" t="s">
        <v>1082</v>
      </c>
      <c r="E2307" s="642" t="s">
        <v>1838</v>
      </c>
      <c r="F2307" s="2519">
        <v>1300000</v>
      </c>
      <c r="G2307" s="642" t="s">
        <v>2118</v>
      </c>
      <c r="H2307" s="642" t="s">
        <v>44</v>
      </c>
      <c r="I2307" s="642" t="s">
        <v>36</v>
      </c>
      <c r="J2307" s="642">
        <v>1</v>
      </c>
      <c r="K2307" t="s">
        <v>1770</v>
      </c>
    </row>
    <row r="2308" spans="1:11" hidden="1" x14ac:dyDescent="0.3">
      <c r="A2308" s="137">
        <v>10</v>
      </c>
      <c r="B2308" s="3402" t="s">
        <v>2151</v>
      </c>
      <c r="C2308" s="642" t="s">
        <v>138</v>
      </c>
      <c r="D2308" s="642" t="s">
        <v>2188</v>
      </c>
      <c r="E2308" s="642" t="s">
        <v>962</v>
      </c>
      <c r="F2308" s="2519">
        <v>1150000</v>
      </c>
      <c r="G2308" s="642" t="s">
        <v>705</v>
      </c>
      <c r="H2308" s="642" t="s">
        <v>44</v>
      </c>
      <c r="I2308" s="642" t="s">
        <v>36</v>
      </c>
      <c r="J2308" s="642">
        <v>1</v>
      </c>
      <c r="K2308" t="s">
        <v>2189</v>
      </c>
    </row>
    <row r="2309" spans="1:11" hidden="1" x14ac:dyDescent="0.3">
      <c r="A2309" s="137">
        <v>11</v>
      </c>
      <c r="B2309" s="3402" t="s">
        <v>2151</v>
      </c>
      <c r="C2309" s="642" t="s">
        <v>138</v>
      </c>
      <c r="D2309" s="642" t="s">
        <v>2190</v>
      </c>
      <c r="E2309" s="642" t="s">
        <v>896</v>
      </c>
      <c r="F2309" s="2519">
        <v>900000</v>
      </c>
      <c r="G2309" s="642" t="s">
        <v>2191</v>
      </c>
      <c r="H2309" s="642" t="s">
        <v>36</v>
      </c>
      <c r="I2309" s="642" t="s">
        <v>36</v>
      </c>
      <c r="J2309" s="642">
        <v>2</v>
      </c>
      <c r="K2309" t="s">
        <v>2118</v>
      </c>
    </row>
    <row r="2310" spans="1:11" hidden="1" x14ac:dyDescent="0.3">
      <c r="A2310" s="137">
        <v>12</v>
      </c>
      <c r="B2310" s="3402">
        <v>44867</v>
      </c>
      <c r="C2310" s="642" t="s">
        <v>138</v>
      </c>
      <c r="D2310" s="642" t="s">
        <v>2192</v>
      </c>
      <c r="E2310" s="642" t="s">
        <v>822</v>
      </c>
      <c r="F2310" s="2519">
        <v>1050000</v>
      </c>
      <c r="G2310" s="642" t="s">
        <v>1790</v>
      </c>
      <c r="H2310" s="642" t="s">
        <v>44</v>
      </c>
      <c r="I2310" s="642" t="s">
        <v>36</v>
      </c>
      <c r="J2310" s="642">
        <v>1</v>
      </c>
      <c r="K2310" t="s">
        <v>2193</v>
      </c>
    </row>
    <row r="2311" spans="1:11" hidden="1" x14ac:dyDescent="0.3">
      <c r="A2311" s="137">
        <v>13</v>
      </c>
      <c r="B2311" s="765" t="s">
        <v>2119</v>
      </c>
      <c r="C2311" s="642" t="s">
        <v>138</v>
      </c>
      <c r="D2311" s="642" t="s">
        <v>2194</v>
      </c>
      <c r="E2311" s="642" t="s">
        <v>925</v>
      </c>
      <c r="F2311" s="2519">
        <v>1150000</v>
      </c>
      <c r="G2311" s="642" t="s">
        <v>2195</v>
      </c>
      <c r="H2311" s="642" t="s">
        <v>36</v>
      </c>
      <c r="I2311" s="642" t="s">
        <v>36</v>
      </c>
      <c r="J2311" s="642">
        <v>1</v>
      </c>
      <c r="K2311" t="s">
        <v>2118</v>
      </c>
    </row>
    <row r="2312" spans="1:11" hidden="1" x14ac:dyDescent="0.3">
      <c r="A2312" s="137">
        <v>14</v>
      </c>
      <c r="B2312" s="765" t="s">
        <v>2119</v>
      </c>
      <c r="C2312" s="642" t="s">
        <v>138</v>
      </c>
      <c r="D2312" s="642" t="s">
        <v>2196</v>
      </c>
      <c r="E2312" s="642" t="s">
        <v>1838</v>
      </c>
      <c r="F2312" s="2519">
        <v>1200000</v>
      </c>
      <c r="G2312" s="642" t="s">
        <v>1095</v>
      </c>
      <c r="H2312" s="642" t="s">
        <v>36</v>
      </c>
      <c r="I2312" s="642" t="s">
        <v>36</v>
      </c>
      <c r="J2312" s="642">
        <v>1</v>
      </c>
      <c r="K2312" t="s">
        <v>2193</v>
      </c>
    </row>
    <row r="2313" spans="1:11" hidden="1" x14ac:dyDescent="0.3">
      <c r="A2313" s="1781">
        <v>15</v>
      </c>
      <c r="B2313" s="765" t="s">
        <v>2123</v>
      </c>
      <c r="C2313" s="642" t="s">
        <v>138</v>
      </c>
      <c r="D2313" s="641" t="s">
        <v>2197</v>
      </c>
      <c r="E2313" s="642" t="s">
        <v>998</v>
      </c>
      <c r="F2313" s="2520">
        <v>1200000</v>
      </c>
      <c r="G2313" s="641" t="s">
        <v>2195</v>
      </c>
      <c r="H2313" s="641" t="s">
        <v>44</v>
      </c>
      <c r="I2313" s="641" t="s">
        <v>36</v>
      </c>
      <c r="J2313" s="642">
        <v>1</v>
      </c>
      <c r="K2313" t="s">
        <v>2193</v>
      </c>
    </row>
    <row r="2314" spans="1:11" hidden="1" x14ac:dyDescent="0.3">
      <c r="A2314" s="1781">
        <v>16</v>
      </c>
      <c r="B2314" s="765" t="s">
        <v>2123</v>
      </c>
      <c r="C2314" s="642" t="s">
        <v>138</v>
      </c>
      <c r="D2314" s="641" t="s">
        <v>2198</v>
      </c>
      <c r="E2314" s="642" t="s">
        <v>998</v>
      </c>
      <c r="F2314" s="2520">
        <v>1200000</v>
      </c>
      <c r="G2314" s="641" t="s">
        <v>2195</v>
      </c>
      <c r="H2314" s="641" t="s">
        <v>36</v>
      </c>
      <c r="I2314" s="641" t="s">
        <v>36</v>
      </c>
      <c r="J2314" s="642">
        <v>1</v>
      </c>
      <c r="K2314" t="s">
        <v>2193</v>
      </c>
    </row>
    <row r="2315" spans="1:11" hidden="1" x14ac:dyDescent="0.3">
      <c r="A2315" s="1781">
        <v>17</v>
      </c>
      <c r="B2315" s="765" t="s">
        <v>2123</v>
      </c>
      <c r="C2315" s="642" t="s">
        <v>138</v>
      </c>
      <c r="D2315" s="641" t="s">
        <v>2199</v>
      </c>
      <c r="E2315" s="642" t="s">
        <v>998</v>
      </c>
      <c r="F2315" s="2520">
        <v>1100000</v>
      </c>
      <c r="G2315" s="641" t="s">
        <v>2200</v>
      </c>
      <c r="H2315" s="641" t="s">
        <v>36</v>
      </c>
      <c r="I2315" s="641" t="s">
        <v>36</v>
      </c>
      <c r="J2315" s="642">
        <v>1</v>
      </c>
      <c r="K2315" t="s">
        <v>2193</v>
      </c>
    </row>
    <row r="2316" spans="1:11" hidden="1" x14ac:dyDescent="0.3">
      <c r="A2316" s="1781">
        <v>18</v>
      </c>
      <c r="B2316" s="3402" t="s">
        <v>2158</v>
      </c>
      <c r="C2316" s="642" t="s">
        <v>138</v>
      </c>
      <c r="D2316" s="641" t="s">
        <v>2201</v>
      </c>
      <c r="E2316" s="641" t="s">
        <v>962</v>
      </c>
      <c r="F2316" s="2520">
        <v>1300000</v>
      </c>
      <c r="G2316" s="641" t="s">
        <v>168</v>
      </c>
      <c r="H2316" s="641" t="s">
        <v>36</v>
      </c>
      <c r="I2316" s="641" t="s">
        <v>36</v>
      </c>
      <c r="J2316" s="642">
        <v>1</v>
      </c>
      <c r="K2316" t="s">
        <v>1770</v>
      </c>
    </row>
    <row r="2317" spans="1:11" hidden="1" x14ac:dyDescent="0.3">
      <c r="A2317" s="1781">
        <v>19</v>
      </c>
      <c r="B2317" s="3402" t="s">
        <v>2158</v>
      </c>
      <c r="C2317" s="642" t="s">
        <v>138</v>
      </c>
      <c r="D2317" s="641" t="s">
        <v>2202</v>
      </c>
      <c r="E2317" s="641" t="s">
        <v>1838</v>
      </c>
      <c r="F2317" s="2520">
        <v>1300000</v>
      </c>
      <c r="G2317" s="641" t="s">
        <v>1095</v>
      </c>
      <c r="H2317" s="641" t="s">
        <v>44</v>
      </c>
      <c r="I2317" s="641" t="s">
        <v>36</v>
      </c>
      <c r="J2317" s="642">
        <v>1</v>
      </c>
      <c r="K2317" t="s">
        <v>217</v>
      </c>
    </row>
    <row r="2318" spans="1:11" hidden="1" x14ac:dyDescent="0.3">
      <c r="A2318" s="1781">
        <v>20</v>
      </c>
      <c r="B2318" s="3402" t="s">
        <v>2158</v>
      </c>
      <c r="C2318" s="642" t="s">
        <v>138</v>
      </c>
      <c r="D2318" s="641" t="s">
        <v>2203</v>
      </c>
      <c r="E2318" s="641" t="s">
        <v>858</v>
      </c>
      <c r="F2318" s="2520">
        <v>1480000</v>
      </c>
      <c r="G2318" s="641" t="s">
        <v>168</v>
      </c>
      <c r="H2318" s="641" t="s">
        <v>44</v>
      </c>
      <c r="I2318" s="641" t="s">
        <v>36</v>
      </c>
      <c r="J2318" s="642">
        <v>1</v>
      </c>
      <c r="K2318" t="s">
        <v>217</v>
      </c>
    </row>
    <row r="2319" spans="1:11" ht="24.6" hidden="1" x14ac:dyDescent="0.4">
      <c r="A2319" s="1781"/>
      <c r="B2319" s="765"/>
      <c r="C2319" s="641"/>
      <c r="D2319" s="641"/>
      <c r="E2319" s="641"/>
      <c r="F2319" s="2523"/>
      <c r="G2319" s="641"/>
      <c r="H2319" s="641"/>
      <c r="I2319" s="641"/>
      <c r="J2319" s="1837"/>
    </row>
    <row r="2320" spans="1:11" ht="24.6" hidden="1" x14ac:dyDescent="0.4">
      <c r="A2320" s="3462" t="s">
        <v>2003</v>
      </c>
      <c r="B2320" s="3462"/>
      <c r="C2320" s="3462"/>
      <c r="D2320" s="3462"/>
      <c r="E2320" s="3462"/>
      <c r="F2320" s="3462"/>
      <c r="G2320" s="3462"/>
      <c r="H2320" s="3462"/>
      <c r="I2320" s="3462"/>
      <c r="J2320" s="3462"/>
    </row>
    <row r="2321" spans="1:11" hidden="1" x14ac:dyDescent="0.3">
      <c r="A2321" s="137" t="s">
        <v>3</v>
      </c>
      <c r="B2321" s="1781" t="s">
        <v>4</v>
      </c>
      <c r="C2321" s="137" t="s">
        <v>5</v>
      </c>
      <c r="D2321" s="137" t="s">
        <v>6</v>
      </c>
      <c r="E2321" s="137" t="s">
        <v>7</v>
      </c>
      <c r="F2321" s="137" t="s">
        <v>8</v>
      </c>
      <c r="G2321" s="137" t="s">
        <v>9</v>
      </c>
      <c r="H2321" s="137" t="s">
        <v>10</v>
      </c>
      <c r="I2321" s="137" t="s">
        <v>11</v>
      </c>
      <c r="J2321" s="137" t="s">
        <v>12</v>
      </c>
    </row>
    <row r="2322" spans="1:11" hidden="1" x14ac:dyDescent="0.3">
      <c r="A2322" s="1845">
        <v>1</v>
      </c>
      <c r="B2322" s="3404">
        <v>44563</v>
      </c>
      <c r="C2322" s="1838" t="s">
        <v>37</v>
      </c>
      <c r="D2322" s="1838" t="s">
        <v>2204</v>
      </c>
      <c r="E2322" s="1838" t="s">
        <v>1838</v>
      </c>
      <c r="F2322" s="1838">
        <v>215000000</v>
      </c>
      <c r="G2322" s="1838" t="s">
        <v>168</v>
      </c>
      <c r="H2322" s="1838" t="s">
        <v>44</v>
      </c>
      <c r="I2322" s="1838" t="s">
        <v>36</v>
      </c>
      <c r="J2322" s="1839">
        <v>1</v>
      </c>
    </row>
    <row r="2323" spans="1:11" hidden="1" x14ac:dyDescent="0.3">
      <c r="A2323" s="1846">
        <v>2</v>
      </c>
      <c r="B2323" s="3410">
        <v>44622</v>
      </c>
      <c r="C2323" s="1840" t="s">
        <v>37</v>
      </c>
      <c r="D2323" s="1840" t="s">
        <v>2205</v>
      </c>
      <c r="E2323" s="1840" t="s">
        <v>904</v>
      </c>
      <c r="F2323" s="1840">
        <v>400000000</v>
      </c>
      <c r="G2323" s="1840" t="s">
        <v>168</v>
      </c>
      <c r="H2323" s="1840" t="s">
        <v>36</v>
      </c>
      <c r="I2323" s="1840" t="s">
        <v>36</v>
      </c>
      <c r="J2323" s="1841">
        <v>1</v>
      </c>
    </row>
    <row r="2324" spans="1:11" hidden="1" x14ac:dyDescent="0.3">
      <c r="A2324" s="2177">
        <v>3</v>
      </c>
      <c r="B2324" s="3410">
        <v>44622</v>
      </c>
      <c r="C2324" s="2350" t="s">
        <v>37</v>
      </c>
      <c r="D2324" s="2350" t="s">
        <v>2206</v>
      </c>
      <c r="E2324" s="2350" t="s">
        <v>904</v>
      </c>
      <c r="F2324" s="2350">
        <v>280000000</v>
      </c>
      <c r="G2324" s="2350" t="s">
        <v>168</v>
      </c>
      <c r="H2324" s="2350" t="s">
        <v>36</v>
      </c>
      <c r="I2324" s="2350" t="s">
        <v>36</v>
      </c>
      <c r="J2324" s="1842">
        <v>1</v>
      </c>
    </row>
    <row r="2325" spans="1:11" hidden="1" x14ac:dyDescent="0.3">
      <c r="A2325" s="2351">
        <v>4</v>
      </c>
      <c r="B2325" s="3413" t="s">
        <v>2151</v>
      </c>
      <c r="C2325" s="2706" t="s">
        <v>138</v>
      </c>
      <c r="D2325" s="2706" t="s">
        <v>1794</v>
      </c>
      <c r="E2325" s="2706" t="s">
        <v>1751</v>
      </c>
      <c r="F2325" s="2706">
        <v>138000000</v>
      </c>
      <c r="G2325" s="2706" t="s">
        <v>1358</v>
      </c>
      <c r="H2325" s="2706" t="s">
        <v>44</v>
      </c>
      <c r="I2325" s="2706" t="s">
        <v>36</v>
      </c>
      <c r="J2325" s="1849">
        <v>1</v>
      </c>
    </row>
    <row r="2326" spans="1:11" hidden="1" x14ac:dyDescent="0.3">
      <c r="A2326" s="2177">
        <v>5</v>
      </c>
      <c r="B2326" s="3406" t="s">
        <v>2207</v>
      </c>
      <c r="C2326" s="2350" t="s">
        <v>138</v>
      </c>
      <c r="D2326" s="2350" t="s">
        <v>2208</v>
      </c>
      <c r="E2326" s="2350" t="s">
        <v>1838</v>
      </c>
      <c r="F2326" s="2350">
        <v>245000000</v>
      </c>
      <c r="G2326" s="2350" t="s">
        <v>1319</v>
      </c>
      <c r="H2326" s="2350" t="s">
        <v>36</v>
      </c>
      <c r="I2326" s="2350" t="s">
        <v>36</v>
      </c>
      <c r="J2326" s="1842">
        <v>1</v>
      </c>
    </row>
    <row r="2327" spans="1:11" hidden="1" x14ac:dyDescent="0.3"/>
    <row r="2328" spans="1:11" ht="23.4" hidden="1" x14ac:dyDescent="0.3">
      <c r="A2328" s="3460" t="s">
        <v>2008</v>
      </c>
      <c r="B2328" s="3460"/>
      <c r="C2328" s="3460"/>
      <c r="D2328" s="3460"/>
      <c r="E2328" s="3460"/>
      <c r="F2328" s="3460"/>
      <c r="G2328" s="3460"/>
      <c r="H2328" s="3460"/>
      <c r="I2328" s="3460"/>
      <c r="J2328" s="3460"/>
    </row>
    <row r="2329" spans="1:11" ht="15.6" hidden="1" x14ac:dyDescent="0.3">
      <c r="A2329" s="3461" t="s">
        <v>2</v>
      </c>
      <c r="B2329" s="3461"/>
      <c r="C2329" s="3461"/>
      <c r="D2329" s="3461"/>
      <c r="E2329" s="3461"/>
      <c r="F2329" s="3461"/>
      <c r="G2329" s="3461"/>
      <c r="H2329" s="3461"/>
      <c r="I2329" s="3461"/>
      <c r="J2329" s="3461"/>
    </row>
    <row r="2330" spans="1:11" hidden="1" x14ac:dyDescent="0.3">
      <c r="A2330" s="137" t="s">
        <v>3</v>
      </c>
      <c r="B2330" s="1781" t="s">
        <v>4</v>
      </c>
      <c r="C2330" s="137" t="s">
        <v>5</v>
      </c>
      <c r="D2330" s="137" t="s">
        <v>6</v>
      </c>
      <c r="E2330" s="137" t="s">
        <v>7</v>
      </c>
      <c r="F2330" s="2522" t="s">
        <v>8</v>
      </c>
      <c r="G2330" s="137" t="s">
        <v>9</v>
      </c>
      <c r="H2330" s="137" t="s">
        <v>10</v>
      </c>
      <c r="I2330" s="137" t="s">
        <v>11</v>
      </c>
      <c r="J2330" s="137" t="s">
        <v>12</v>
      </c>
    </row>
    <row r="2331" spans="1:11" hidden="1" x14ac:dyDescent="0.3">
      <c r="A2331" s="137">
        <v>1</v>
      </c>
      <c r="B2331" s="765" t="s">
        <v>2209</v>
      </c>
      <c r="C2331" s="642" t="s">
        <v>37</v>
      </c>
      <c r="D2331" s="642" t="s">
        <v>2210</v>
      </c>
      <c r="E2331" s="642" t="s">
        <v>962</v>
      </c>
      <c r="F2331" s="2519">
        <v>1100000</v>
      </c>
      <c r="G2331" s="642" t="s">
        <v>854</v>
      </c>
      <c r="H2331" s="642" t="s">
        <v>36</v>
      </c>
      <c r="I2331" s="642" t="s">
        <v>36</v>
      </c>
      <c r="J2331" s="642">
        <v>1</v>
      </c>
      <c r="K2331" t="s">
        <v>217</v>
      </c>
    </row>
    <row r="2332" spans="1:11" hidden="1" x14ac:dyDescent="0.3">
      <c r="A2332" s="137">
        <v>2</v>
      </c>
      <c r="B2332" s="765" t="s">
        <v>2209</v>
      </c>
      <c r="C2332" s="642" t="s">
        <v>37</v>
      </c>
      <c r="D2332" s="642" t="s">
        <v>2211</v>
      </c>
      <c r="E2332" s="642" t="s">
        <v>858</v>
      </c>
      <c r="F2332" s="2519">
        <v>2000000</v>
      </c>
      <c r="G2332" s="642" t="s">
        <v>2212</v>
      </c>
      <c r="H2332" s="642" t="s">
        <v>36</v>
      </c>
      <c r="I2332" s="642" t="s">
        <v>36</v>
      </c>
      <c r="J2332" s="642">
        <v>1</v>
      </c>
      <c r="K2332" t="s">
        <v>217</v>
      </c>
    </row>
    <row r="2333" spans="1:11" hidden="1" x14ac:dyDescent="0.3">
      <c r="A2333" s="137">
        <v>3</v>
      </c>
      <c r="B2333" s="765" t="s">
        <v>2209</v>
      </c>
      <c r="C2333" s="642" t="s">
        <v>37</v>
      </c>
      <c r="D2333" s="642" t="s">
        <v>2213</v>
      </c>
      <c r="E2333" s="642" t="s">
        <v>962</v>
      </c>
      <c r="F2333" s="2519">
        <v>1100000</v>
      </c>
      <c r="G2333" s="642" t="s">
        <v>604</v>
      </c>
      <c r="H2333" s="642" t="s">
        <v>36</v>
      </c>
      <c r="I2333" s="642" t="s">
        <v>36</v>
      </c>
      <c r="J2333" s="642">
        <v>1</v>
      </c>
      <c r="K2333" t="s">
        <v>217</v>
      </c>
    </row>
    <row r="2334" spans="1:11" hidden="1" x14ac:dyDescent="0.3">
      <c r="A2334" s="137">
        <v>4</v>
      </c>
      <c r="B2334" s="765" t="s">
        <v>2209</v>
      </c>
      <c r="C2334" s="642" t="s">
        <v>37</v>
      </c>
      <c r="D2334" s="642" t="s">
        <v>2214</v>
      </c>
      <c r="E2334" s="642" t="s">
        <v>962</v>
      </c>
      <c r="F2334" s="2519">
        <v>1350000</v>
      </c>
      <c r="G2334" s="642" t="s">
        <v>604</v>
      </c>
      <c r="H2334" s="642" t="s">
        <v>36</v>
      </c>
      <c r="I2334" s="642" t="s">
        <v>36</v>
      </c>
      <c r="J2334" s="642">
        <v>1</v>
      </c>
      <c r="K2334" t="s">
        <v>217</v>
      </c>
    </row>
    <row r="2335" spans="1:11" hidden="1" x14ac:dyDescent="0.3">
      <c r="A2335" s="137">
        <v>5</v>
      </c>
      <c r="B2335" s="765" t="s">
        <v>2104</v>
      </c>
      <c r="C2335" s="642" t="s">
        <v>219</v>
      </c>
      <c r="D2335" s="642" t="s">
        <v>2215</v>
      </c>
      <c r="E2335" s="642" t="s">
        <v>904</v>
      </c>
      <c r="F2335" s="2519">
        <v>1400000</v>
      </c>
      <c r="G2335" s="642" t="s">
        <v>729</v>
      </c>
      <c r="H2335" s="642" t="s">
        <v>36</v>
      </c>
      <c r="I2335" s="642" t="s">
        <v>36</v>
      </c>
      <c r="J2335" s="642">
        <v>1</v>
      </c>
      <c r="K2335" t="s">
        <v>1530</v>
      </c>
    </row>
    <row r="2336" spans="1:11" hidden="1" x14ac:dyDescent="0.3">
      <c r="A2336" s="137">
        <v>6</v>
      </c>
      <c r="B2336" s="765" t="s">
        <v>2104</v>
      </c>
      <c r="C2336" s="642" t="s">
        <v>37</v>
      </c>
      <c r="D2336" s="642" t="s">
        <v>2216</v>
      </c>
      <c r="E2336" s="642" t="s">
        <v>962</v>
      </c>
      <c r="F2336" s="2519">
        <v>1300000</v>
      </c>
      <c r="G2336" s="642" t="s">
        <v>854</v>
      </c>
      <c r="H2336" s="642" t="s">
        <v>36</v>
      </c>
      <c r="I2336" s="642" t="s">
        <v>36</v>
      </c>
      <c r="J2336" s="642">
        <v>1</v>
      </c>
      <c r="K2336" t="s">
        <v>1530</v>
      </c>
    </row>
    <row r="2337" spans="1:11" hidden="1" x14ac:dyDescent="0.3">
      <c r="A2337" s="137">
        <v>7</v>
      </c>
      <c r="B2337" s="765" t="s">
        <v>2104</v>
      </c>
      <c r="C2337" s="642" t="s">
        <v>219</v>
      </c>
      <c r="D2337" s="641" t="s">
        <v>2217</v>
      </c>
      <c r="E2337" s="641" t="s">
        <v>904</v>
      </c>
      <c r="F2337" s="2520">
        <v>1600000</v>
      </c>
      <c r="G2337" s="641" t="s">
        <v>168</v>
      </c>
      <c r="H2337" s="641" t="s">
        <v>36</v>
      </c>
      <c r="I2337" s="641" t="s">
        <v>36</v>
      </c>
      <c r="J2337" s="642">
        <v>1</v>
      </c>
      <c r="K2337" t="s">
        <v>1530</v>
      </c>
    </row>
    <row r="2338" spans="1:11" hidden="1" x14ac:dyDescent="0.3">
      <c r="A2338" s="137">
        <v>8</v>
      </c>
      <c r="B2338" s="765" t="s">
        <v>2104</v>
      </c>
      <c r="C2338" s="642" t="s">
        <v>37</v>
      </c>
      <c r="D2338" s="642" t="s">
        <v>2218</v>
      </c>
      <c r="E2338" s="642" t="s">
        <v>858</v>
      </c>
      <c r="F2338" s="2519">
        <v>2200000</v>
      </c>
      <c r="G2338" s="642" t="s">
        <v>2212</v>
      </c>
      <c r="H2338" s="642" t="s">
        <v>36</v>
      </c>
      <c r="I2338" s="642" t="s">
        <v>36</v>
      </c>
      <c r="J2338" s="642">
        <v>1</v>
      </c>
      <c r="K2338" t="s">
        <v>217</v>
      </c>
    </row>
    <row r="2339" spans="1:11" hidden="1" x14ac:dyDescent="0.3">
      <c r="A2339" s="137">
        <v>9</v>
      </c>
      <c r="B2339" s="3402">
        <v>44563</v>
      </c>
      <c r="C2339" s="642" t="s">
        <v>37</v>
      </c>
      <c r="D2339" s="642" t="s">
        <v>2219</v>
      </c>
      <c r="E2339" s="642" t="s">
        <v>904</v>
      </c>
      <c r="F2339" s="2519">
        <v>860000</v>
      </c>
      <c r="G2339" s="642" t="s">
        <v>168</v>
      </c>
      <c r="H2339" s="642" t="s">
        <v>44</v>
      </c>
      <c r="I2339" s="642" t="s">
        <v>36</v>
      </c>
      <c r="J2339" s="642">
        <v>1</v>
      </c>
      <c r="K2339" t="s">
        <v>1530</v>
      </c>
    </row>
    <row r="2340" spans="1:11" hidden="1" x14ac:dyDescent="0.3">
      <c r="A2340" s="137">
        <v>10</v>
      </c>
      <c r="B2340" s="3402">
        <v>44594</v>
      </c>
      <c r="C2340" s="642" t="s">
        <v>37</v>
      </c>
      <c r="D2340" s="642" t="s">
        <v>2220</v>
      </c>
      <c r="E2340" s="642" t="s">
        <v>858</v>
      </c>
      <c r="F2340" s="2519">
        <v>1200000</v>
      </c>
      <c r="G2340" s="642" t="s">
        <v>2221</v>
      </c>
      <c r="H2340" s="642" t="s">
        <v>36</v>
      </c>
      <c r="I2340" s="642" t="s">
        <v>36</v>
      </c>
      <c r="J2340" s="642">
        <v>1</v>
      </c>
      <c r="K2340" t="s">
        <v>1530</v>
      </c>
    </row>
    <row r="2341" spans="1:11" hidden="1" x14ac:dyDescent="0.3">
      <c r="A2341" s="137">
        <v>11</v>
      </c>
      <c r="B2341" s="3402">
        <v>44683</v>
      </c>
      <c r="C2341" s="642" t="s">
        <v>37</v>
      </c>
      <c r="D2341" s="642" t="s">
        <v>2222</v>
      </c>
      <c r="E2341" s="642" t="s">
        <v>858</v>
      </c>
      <c r="F2341" s="2519">
        <v>1450000</v>
      </c>
      <c r="G2341" s="642" t="s">
        <v>397</v>
      </c>
      <c r="H2341" s="642" t="s">
        <v>36</v>
      </c>
      <c r="I2341" s="642" t="s">
        <v>36</v>
      </c>
      <c r="J2341" s="642">
        <v>1</v>
      </c>
      <c r="K2341" t="s">
        <v>1770</v>
      </c>
    </row>
    <row r="2342" spans="1:11" hidden="1" x14ac:dyDescent="0.3">
      <c r="A2342" s="137">
        <v>12</v>
      </c>
      <c r="B2342" s="3402">
        <v>44775</v>
      </c>
      <c r="C2342" s="642" t="s">
        <v>138</v>
      </c>
      <c r="D2342" s="642" t="s">
        <v>2223</v>
      </c>
      <c r="E2342" s="642" t="s">
        <v>76</v>
      </c>
      <c r="F2342" s="2519">
        <v>1500000</v>
      </c>
      <c r="G2342" s="642" t="s">
        <v>168</v>
      </c>
      <c r="H2342" s="642" t="s">
        <v>36</v>
      </c>
      <c r="I2342" s="642" t="s">
        <v>36</v>
      </c>
      <c r="J2342" s="642">
        <v>1</v>
      </c>
      <c r="K2342" t="s">
        <v>217</v>
      </c>
    </row>
    <row r="2343" spans="1:11" hidden="1" x14ac:dyDescent="0.3">
      <c r="A2343" s="137">
        <v>13</v>
      </c>
      <c r="B2343" s="3402">
        <v>44836</v>
      </c>
      <c r="C2343" s="642" t="s">
        <v>138</v>
      </c>
      <c r="D2343" s="642" t="s">
        <v>2224</v>
      </c>
      <c r="E2343" s="642" t="s">
        <v>68</v>
      </c>
      <c r="F2343" s="2519">
        <v>1300000</v>
      </c>
      <c r="G2343" s="642" t="s">
        <v>140</v>
      </c>
      <c r="H2343" s="642" t="s">
        <v>36</v>
      </c>
      <c r="I2343" s="642" t="s">
        <v>36</v>
      </c>
      <c r="J2343" s="642">
        <v>1</v>
      </c>
      <c r="K2343" t="s">
        <v>217</v>
      </c>
    </row>
    <row r="2344" spans="1:11" hidden="1" x14ac:dyDescent="0.3">
      <c r="A2344" s="137">
        <v>14</v>
      </c>
      <c r="B2344" s="3402">
        <v>44836</v>
      </c>
      <c r="C2344" s="642" t="s">
        <v>219</v>
      </c>
      <c r="D2344" s="642" t="s">
        <v>2225</v>
      </c>
      <c r="E2344" s="642" t="s">
        <v>858</v>
      </c>
      <c r="F2344" s="2519">
        <v>1200000</v>
      </c>
      <c r="G2344" s="642" t="s">
        <v>168</v>
      </c>
      <c r="H2344" s="642" t="s">
        <v>36</v>
      </c>
      <c r="I2344" s="642" t="s">
        <v>36</v>
      </c>
      <c r="J2344" s="642">
        <v>1</v>
      </c>
      <c r="K2344" t="s">
        <v>1770</v>
      </c>
    </row>
    <row r="2345" spans="1:11" hidden="1" x14ac:dyDescent="0.3">
      <c r="A2345" s="1781">
        <v>15</v>
      </c>
      <c r="B2345" s="765" t="s">
        <v>2115</v>
      </c>
      <c r="C2345" s="642" t="s">
        <v>138</v>
      </c>
      <c r="D2345" s="641" t="s">
        <v>2226</v>
      </c>
      <c r="E2345" s="642" t="s">
        <v>1838</v>
      </c>
      <c r="F2345" s="2520">
        <v>1200000</v>
      </c>
      <c r="G2345" s="641" t="s">
        <v>1095</v>
      </c>
      <c r="H2345" s="641" t="s">
        <v>36</v>
      </c>
      <c r="I2345" s="641" t="s">
        <v>36</v>
      </c>
      <c r="J2345" s="642">
        <v>1</v>
      </c>
      <c r="K2345" t="s">
        <v>2118</v>
      </c>
    </row>
    <row r="2346" spans="1:11" hidden="1" x14ac:dyDescent="0.3">
      <c r="A2346" s="1781">
        <v>16</v>
      </c>
      <c r="B2346" s="765" t="s">
        <v>2115</v>
      </c>
      <c r="C2346" s="641" t="s">
        <v>138</v>
      </c>
      <c r="D2346" s="641" t="s">
        <v>2227</v>
      </c>
      <c r="E2346" s="641" t="s">
        <v>1870</v>
      </c>
      <c r="F2346" s="2520">
        <v>1400000</v>
      </c>
      <c r="G2346" s="641" t="s">
        <v>1942</v>
      </c>
      <c r="H2346" s="641" t="s">
        <v>36</v>
      </c>
      <c r="I2346" s="641" t="s">
        <v>36</v>
      </c>
      <c r="J2346" s="642">
        <v>1</v>
      </c>
      <c r="K2346" t="s">
        <v>2189</v>
      </c>
    </row>
    <row r="2347" spans="1:11" hidden="1" x14ac:dyDescent="0.3">
      <c r="A2347" s="1781">
        <v>17</v>
      </c>
      <c r="B2347" s="3402" t="s">
        <v>2154</v>
      </c>
      <c r="C2347" s="642" t="s">
        <v>138</v>
      </c>
      <c r="D2347" s="642" t="s">
        <v>2228</v>
      </c>
      <c r="E2347" s="642" t="s">
        <v>1838</v>
      </c>
      <c r="F2347" s="2519">
        <v>1000000</v>
      </c>
      <c r="G2347" s="642" t="s">
        <v>729</v>
      </c>
      <c r="H2347" s="642" t="s">
        <v>36</v>
      </c>
      <c r="I2347" s="642" t="s">
        <v>36</v>
      </c>
      <c r="J2347" s="642">
        <v>1</v>
      </c>
      <c r="K2347" t="s">
        <v>2118</v>
      </c>
    </row>
    <row r="2348" spans="1:11" hidden="1" x14ac:dyDescent="0.3">
      <c r="A2348" s="1781">
        <v>18</v>
      </c>
      <c r="B2348" s="3402" t="s">
        <v>2119</v>
      </c>
      <c r="C2348" s="641" t="s">
        <v>138</v>
      </c>
      <c r="D2348" s="641" t="s">
        <v>2229</v>
      </c>
      <c r="E2348" s="641" t="s">
        <v>942</v>
      </c>
      <c r="F2348" s="2520">
        <v>1100000</v>
      </c>
      <c r="G2348" s="641" t="s">
        <v>168</v>
      </c>
      <c r="H2348" s="641" t="s">
        <v>36</v>
      </c>
      <c r="I2348" s="641" t="s">
        <v>36</v>
      </c>
      <c r="J2348" s="642">
        <v>1</v>
      </c>
      <c r="K2348" t="s">
        <v>2118</v>
      </c>
    </row>
    <row r="2349" spans="1:11" hidden="1" x14ac:dyDescent="0.3">
      <c r="A2349" s="1781">
        <v>19</v>
      </c>
      <c r="B2349" s="3402" t="s">
        <v>2158</v>
      </c>
      <c r="C2349" s="641" t="s">
        <v>138</v>
      </c>
      <c r="D2349" s="641" t="s">
        <v>2230</v>
      </c>
      <c r="E2349" s="641" t="s">
        <v>2231</v>
      </c>
      <c r="F2349" s="2520">
        <v>1200000</v>
      </c>
      <c r="G2349" s="641" t="s">
        <v>2232</v>
      </c>
      <c r="H2349" s="641" t="s">
        <v>36</v>
      </c>
      <c r="I2349" s="641" t="s">
        <v>36</v>
      </c>
      <c r="J2349" s="642">
        <v>1</v>
      </c>
      <c r="K2349" t="s">
        <v>217</v>
      </c>
    </row>
    <row r="2350" spans="1:11" hidden="1" x14ac:dyDescent="0.3">
      <c r="A2350" s="1781">
        <v>20</v>
      </c>
      <c r="B2350" s="3402" t="s">
        <v>2158</v>
      </c>
      <c r="C2350" s="641" t="s">
        <v>138</v>
      </c>
      <c r="D2350" s="641" t="s">
        <v>426</v>
      </c>
      <c r="E2350" s="641" t="s">
        <v>68</v>
      </c>
      <c r="F2350" s="2520">
        <v>1350000</v>
      </c>
      <c r="G2350" s="641" t="s">
        <v>2233</v>
      </c>
      <c r="H2350" s="641" t="s">
        <v>36</v>
      </c>
      <c r="I2350" s="641" t="s">
        <v>36</v>
      </c>
      <c r="J2350" s="642">
        <v>1</v>
      </c>
      <c r="K2350" t="s">
        <v>217</v>
      </c>
    </row>
    <row r="2351" spans="1:11" ht="24.6" hidden="1" x14ac:dyDescent="0.4">
      <c r="A2351" s="1781"/>
      <c r="B2351" s="765"/>
      <c r="C2351" s="641"/>
      <c r="D2351" s="641"/>
      <c r="E2351" s="641"/>
      <c r="F2351" s="2523"/>
      <c r="G2351" s="641"/>
      <c r="H2351" s="641"/>
      <c r="I2351" s="641"/>
      <c r="J2351" s="1837"/>
    </row>
    <row r="2352" spans="1:11" ht="24.6" hidden="1" x14ac:dyDescent="0.4">
      <c r="A2352" s="3462" t="s">
        <v>2003</v>
      </c>
      <c r="B2352" s="3462"/>
      <c r="C2352" s="3462"/>
      <c r="D2352" s="3462"/>
      <c r="E2352" s="3462"/>
      <c r="F2352" s="3462"/>
      <c r="G2352" s="3462"/>
      <c r="H2352" s="3462"/>
      <c r="I2352" s="3462"/>
      <c r="J2352" s="3462"/>
    </row>
    <row r="2353" spans="1:11" hidden="1" x14ac:dyDescent="0.3">
      <c r="A2353" s="137" t="s">
        <v>3</v>
      </c>
      <c r="B2353" s="1781" t="s">
        <v>4</v>
      </c>
      <c r="C2353" s="137" t="s">
        <v>5</v>
      </c>
      <c r="D2353" s="137" t="s">
        <v>6</v>
      </c>
      <c r="E2353" s="137" t="s">
        <v>7</v>
      </c>
      <c r="F2353" s="137" t="s">
        <v>8</v>
      </c>
      <c r="G2353" s="137" t="s">
        <v>9</v>
      </c>
      <c r="H2353" s="137" t="s">
        <v>10</v>
      </c>
      <c r="I2353" s="137" t="s">
        <v>11</v>
      </c>
      <c r="J2353" s="137" t="s">
        <v>12</v>
      </c>
    </row>
    <row r="2354" spans="1:11" hidden="1" x14ac:dyDescent="0.3">
      <c r="A2354" s="1845">
        <v>1</v>
      </c>
      <c r="B2354" s="3404" t="s">
        <v>2137</v>
      </c>
      <c r="C2354" s="1838" t="s">
        <v>37</v>
      </c>
      <c r="D2354" s="1838" t="s">
        <v>2234</v>
      </c>
      <c r="E2354" s="1838" t="s">
        <v>858</v>
      </c>
      <c r="F2354" s="1838">
        <v>36000000</v>
      </c>
      <c r="G2354" s="1838" t="s">
        <v>1353</v>
      </c>
      <c r="H2354" s="1838" t="s">
        <v>44</v>
      </c>
      <c r="I2354" s="1838" t="s">
        <v>36</v>
      </c>
      <c r="J2354" s="1839">
        <v>1</v>
      </c>
    </row>
    <row r="2355" spans="1:11" hidden="1" x14ac:dyDescent="0.3">
      <c r="A2355" s="1846">
        <v>2</v>
      </c>
      <c r="B2355" s="3404" t="s">
        <v>2151</v>
      </c>
      <c r="C2355" s="1838" t="s">
        <v>219</v>
      </c>
      <c r="D2355" s="1840" t="s">
        <v>2235</v>
      </c>
      <c r="E2355" s="1840" t="s">
        <v>1130</v>
      </c>
      <c r="F2355" s="1840">
        <v>150000000</v>
      </c>
      <c r="G2355" s="1840" t="s">
        <v>168</v>
      </c>
      <c r="H2355" s="1840" t="s">
        <v>36</v>
      </c>
      <c r="I2355" s="1840" t="s">
        <v>36</v>
      </c>
      <c r="J2355" s="1841">
        <v>1</v>
      </c>
    </row>
    <row r="2356" spans="1:11" hidden="1" x14ac:dyDescent="0.3">
      <c r="A2356" s="2177">
        <v>3</v>
      </c>
      <c r="B2356" s="3404" t="s">
        <v>2151</v>
      </c>
      <c r="C2356" s="2350" t="s">
        <v>138</v>
      </c>
      <c r="D2356" s="2350" t="s">
        <v>2236</v>
      </c>
      <c r="E2356" s="2350" t="s">
        <v>1751</v>
      </c>
      <c r="F2356" s="2350">
        <v>146000000</v>
      </c>
      <c r="G2356" s="2350" t="s">
        <v>2169</v>
      </c>
      <c r="H2356" s="2350" t="s">
        <v>36</v>
      </c>
      <c r="I2356" s="2350" t="s">
        <v>36</v>
      </c>
      <c r="J2356" s="1842">
        <v>1</v>
      </c>
    </row>
    <row r="2357" spans="1:11" hidden="1" x14ac:dyDescent="0.3"/>
    <row r="2358" spans="1:11" ht="23.4" hidden="1" x14ac:dyDescent="0.3">
      <c r="A2358" s="3460" t="s">
        <v>2237</v>
      </c>
      <c r="B2358" s="3460"/>
      <c r="C2358" s="3460"/>
      <c r="D2358" s="3460"/>
      <c r="E2358" s="3460"/>
      <c r="F2358" s="3460"/>
      <c r="G2358" s="3460"/>
      <c r="H2358" s="3460"/>
      <c r="I2358" s="3460"/>
      <c r="J2358" s="3460"/>
    </row>
    <row r="2359" spans="1:11" ht="15.6" hidden="1" x14ac:dyDescent="0.3">
      <c r="A2359" s="3461" t="s">
        <v>2</v>
      </c>
      <c r="B2359" s="3461"/>
      <c r="C2359" s="3461"/>
      <c r="D2359" s="3461"/>
      <c r="E2359" s="3461"/>
      <c r="F2359" s="3461"/>
      <c r="G2359" s="3461"/>
      <c r="H2359" s="3461"/>
      <c r="I2359" s="3461"/>
      <c r="J2359" s="3461"/>
    </row>
    <row r="2360" spans="1:11" hidden="1" x14ac:dyDescent="0.3">
      <c r="A2360" s="137" t="s">
        <v>3</v>
      </c>
      <c r="B2360" s="1781" t="s">
        <v>4</v>
      </c>
      <c r="C2360" s="137" t="s">
        <v>5</v>
      </c>
      <c r="D2360" s="137" t="s">
        <v>6</v>
      </c>
      <c r="E2360" s="137" t="s">
        <v>7</v>
      </c>
      <c r="F2360" s="2522" t="s">
        <v>8</v>
      </c>
      <c r="G2360" s="137" t="s">
        <v>9</v>
      </c>
      <c r="H2360" s="137" t="s">
        <v>10</v>
      </c>
      <c r="I2360" s="137" t="s">
        <v>11</v>
      </c>
      <c r="J2360" s="137" t="s">
        <v>12</v>
      </c>
    </row>
    <row r="2361" spans="1:11" hidden="1" x14ac:dyDescent="0.3">
      <c r="A2361" s="137">
        <v>1</v>
      </c>
      <c r="B2361" s="765" t="s">
        <v>2151</v>
      </c>
      <c r="C2361" s="642" t="s">
        <v>138</v>
      </c>
      <c r="D2361" s="642" t="s">
        <v>2238</v>
      </c>
      <c r="E2361" s="642" t="s">
        <v>76</v>
      </c>
      <c r="F2361" s="2519">
        <v>1000000</v>
      </c>
      <c r="G2361" s="642" t="s">
        <v>168</v>
      </c>
      <c r="H2361" s="642" t="s">
        <v>44</v>
      </c>
      <c r="I2361" s="642" t="s">
        <v>36</v>
      </c>
      <c r="J2361" s="642">
        <v>1</v>
      </c>
      <c r="K2361" t="s">
        <v>2118</v>
      </c>
    </row>
    <row r="2362" spans="1:11" hidden="1" x14ac:dyDescent="0.3">
      <c r="A2362" s="137">
        <v>2</v>
      </c>
      <c r="B2362" s="765" t="s">
        <v>2135</v>
      </c>
      <c r="C2362" s="642" t="s">
        <v>219</v>
      </c>
      <c r="D2362" s="641" t="s">
        <v>2239</v>
      </c>
      <c r="E2362" s="642" t="s">
        <v>76</v>
      </c>
      <c r="F2362" s="2519">
        <v>1500000</v>
      </c>
      <c r="G2362" s="642" t="s">
        <v>517</v>
      </c>
      <c r="H2362" s="642" t="s">
        <v>36</v>
      </c>
      <c r="I2362" s="642" t="s">
        <v>36</v>
      </c>
      <c r="J2362" s="642">
        <v>1</v>
      </c>
      <c r="K2362" t="s">
        <v>217</v>
      </c>
    </row>
    <row r="2363" spans="1:11" hidden="1" x14ac:dyDescent="0.3">
      <c r="A2363" s="137">
        <v>3</v>
      </c>
      <c r="B2363" s="765" t="s">
        <v>2135</v>
      </c>
      <c r="C2363" s="642" t="s">
        <v>219</v>
      </c>
      <c r="D2363" s="641" t="s">
        <v>2240</v>
      </c>
      <c r="E2363" s="642" t="s">
        <v>76</v>
      </c>
      <c r="F2363" s="2519">
        <v>1200000</v>
      </c>
      <c r="G2363" s="642" t="s">
        <v>517</v>
      </c>
      <c r="H2363" s="642" t="s">
        <v>36</v>
      </c>
      <c r="I2363" s="642" t="s">
        <v>36</v>
      </c>
      <c r="J2363" s="642">
        <v>1</v>
      </c>
      <c r="K2363" t="s">
        <v>217</v>
      </c>
    </row>
    <row r="2364" spans="1:11" ht="24.6" hidden="1" x14ac:dyDescent="0.4">
      <c r="A2364" s="1781"/>
      <c r="B2364" s="765"/>
      <c r="C2364" s="641"/>
      <c r="D2364" s="641"/>
      <c r="E2364" s="641"/>
      <c r="F2364" s="2523"/>
      <c r="G2364" s="641"/>
      <c r="H2364" s="641"/>
      <c r="I2364" s="641"/>
      <c r="J2364" s="1837"/>
    </row>
    <row r="2365" spans="1:11" ht="24.6" hidden="1" x14ac:dyDescent="0.4">
      <c r="A2365" s="3462" t="s">
        <v>2003</v>
      </c>
      <c r="B2365" s="3462"/>
      <c r="C2365" s="3462"/>
      <c r="D2365" s="3462"/>
      <c r="E2365" s="3462"/>
      <c r="F2365" s="3462"/>
      <c r="G2365" s="3462"/>
      <c r="H2365" s="3462"/>
      <c r="I2365" s="3462"/>
      <c r="J2365" s="3462"/>
    </row>
    <row r="2366" spans="1:11" hidden="1" x14ac:dyDescent="0.3">
      <c r="A2366" s="137" t="s">
        <v>3</v>
      </c>
      <c r="B2366" s="1781" t="s">
        <v>4</v>
      </c>
      <c r="C2366" s="137" t="s">
        <v>5</v>
      </c>
      <c r="D2366" s="137" t="s">
        <v>6</v>
      </c>
      <c r="E2366" s="137" t="s">
        <v>7</v>
      </c>
      <c r="F2366" s="137" t="s">
        <v>8</v>
      </c>
      <c r="G2366" s="137" t="s">
        <v>9</v>
      </c>
      <c r="H2366" s="137" t="s">
        <v>10</v>
      </c>
      <c r="I2366" s="137" t="s">
        <v>11</v>
      </c>
      <c r="J2366" s="137" t="s">
        <v>12</v>
      </c>
    </row>
    <row r="2367" spans="1:11" hidden="1" x14ac:dyDescent="0.3">
      <c r="A2367" s="1845">
        <v>1</v>
      </c>
      <c r="B2367" s="3404" t="s">
        <v>2154</v>
      </c>
      <c r="C2367" s="1838" t="s">
        <v>138</v>
      </c>
      <c r="D2367" s="1838" t="s">
        <v>2241</v>
      </c>
      <c r="E2367" s="1838" t="s">
        <v>1838</v>
      </c>
      <c r="F2367" s="1838">
        <v>260000000</v>
      </c>
      <c r="G2367" s="1838" t="s">
        <v>1095</v>
      </c>
      <c r="H2367" s="1838" t="s">
        <v>36</v>
      </c>
      <c r="I2367" s="1838" t="s">
        <v>36</v>
      </c>
      <c r="J2367" s="1839">
        <v>1</v>
      </c>
    </row>
    <row r="2368" spans="1:11" hidden="1" x14ac:dyDescent="0.3">
      <c r="A2368" s="1846">
        <v>2</v>
      </c>
      <c r="B2368" s="3404" t="s">
        <v>2162</v>
      </c>
      <c r="C2368" s="1838" t="s">
        <v>138</v>
      </c>
      <c r="D2368" s="1840" t="s">
        <v>2242</v>
      </c>
      <c r="E2368" s="1840" t="s">
        <v>76</v>
      </c>
      <c r="F2368" s="1840">
        <v>365000000</v>
      </c>
      <c r="G2368" s="1840" t="s">
        <v>168</v>
      </c>
      <c r="H2368" s="1840" t="s">
        <v>36</v>
      </c>
      <c r="I2368" s="1840" t="s">
        <v>36</v>
      </c>
      <c r="J2368" s="1841">
        <v>1</v>
      </c>
    </row>
    <row r="2369" spans="1:11" hidden="1" x14ac:dyDescent="0.3">
      <c r="A2369" s="2177">
        <v>3</v>
      </c>
      <c r="B2369" s="3406"/>
      <c r="C2369" s="2350"/>
      <c r="D2369" s="2350"/>
      <c r="E2369" s="2350"/>
      <c r="F2369" s="2350"/>
      <c r="G2369" s="2350"/>
      <c r="H2369" s="2350"/>
      <c r="I2369" s="2350"/>
      <c r="J2369" s="1842"/>
    </row>
    <row r="2370" spans="1:11" hidden="1" x14ac:dyDescent="0.3"/>
    <row r="2372" spans="1:11" x14ac:dyDescent="0.3">
      <c r="A2372" s="3463" t="s">
        <v>258</v>
      </c>
      <c r="B2372" s="3464"/>
      <c r="C2372" s="3464"/>
      <c r="D2372" s="3464"/>
      <c r="E2372" s="3464"/>
      <c r="F2372" s="3464"/>
      <c r="G2372" s="3464"/>
      <c r="H2372" s="3464"/>
      <c r="I2372" s="3464"/>
      <c r="J2372" s="3464"/>
    </row>
    <row r="2373" spans="1:11" x14ac:dyDescent="0.3">
      <c r="A2373" s="3464"/>
      <c r="B2373" s="3464"/>
      <c r="C2373" s="3464"/>
      <c r="D2373" s="3464"/>
      <c r="E2373" s="3464"/>
      <c r="F2373" s="3464"/>
      <c r="G2373" s="3464"/>
      <c r="H2373" s="3464"/>
      <c r="I2373" s="3464"/>
      <c r="J2373" s="3464"/>
    </row>
    <row r="2374" spans="1:11" hidden="1" x14ac:dyDescent="0.3"/>
    <row r="2375" spans="1:11" ht="23.4" hidden="1" x14ac:dyDescent="0.3">
      <c r="A2375" s="3460" t="s">
        <v>527</v>
      </c>
      <c r="B2375" s="3460"/>
      <c r="C2375" s="3460"/>
      <c r="D2375" s="3460"/>
      <c r="E2375" s="3460"/>
      <c r="F2375" s="3460"/>
      <c r="G2375" s="3460"/>
      <c r="H2375" s="3460"/>
      <c r="I2375" s="3460"/>
      <c r="J2375" s="3460"/>
    </row>
    <row r="2376" spans="1:11" ht="15.6" hidden="1" x14ac:dyDescent="0.3">
      <c r="A2376" s="3461" t="s">
        <v>2</v>
      </c>
      <c r="B2376" s="3461"/>
      <c r="C2376" s="3461"/>
      <c r="D2376" s="3461"/>
      <c r="E2376" s="3461"/>
      <c r="F2376" s="3461"/>
      <c r="G2376" s="3461"/>
      <c r="H2376" s="3461"/>
      <c r="I2376" s="3461"/>
      <c r="J2376" s="3461"/>
    </row>
    <row r="2377" spans="1:11" hidden="1" x14ac:dyDescent="0.3">
      <c r="A2377" s="137" t="s">
        <v>3</v>
      </c>
      <c r="B2377" s="1781" t="s">
        <v>4</v>
      </c>
      <c r="C2377" s="137" t="s">
        <v>5</v>
      </c>
      <c r="D2377" s="137" t="s">
        <v>6</v>
      </c>
      <c r="E2377" s="137" t="s">
        <v>7</v>
      </c>
      <c r="F2377" s="2522" t="s">
        <v>8</v>
      </c>
      <c r="G2377" s="137" t="s">
        <v>9</v>
      </c>
      <c r="H2377" s="137" t="s">
        <v>2243</v>
      </c>
      <c r="I2377" s="137" t="s">
        <v>11</v>
      </c>
      <c r="J2377" s="137" t="s">
        <v>12</v>
      </c>
    </row>
    <row r="2378" spans="1:11" hidden="1" x14ac:dyDescent="0.3">
      <c r="A2378" s="137">
        <v>1</v>
      </c>
      <c r="B2378" s="3402">
        <v>44564</v>
      </c>
      <c r="C2378" s="642" t="s">
        <v>37</v>
      </c>
      <c r="D2378" s="642" t="s">
        <v>2244</v>
      </c>
      <c r="E2378" s="642" t="s">
        <v>1751</v>
      </c>
      <c r="F2378" s="2519">
        <v>800000</v>
      </c>
      <c r="G2378" s="642" t="s">
        <v>1790</v>
      </c>
      <c r="H2378" s="642" t="s">
        <v>44</v>
      </c>
      <c r="I2378" s="642" t="s">
        <v>36</v>
      </c>
      <c r="J2378" s="642">
        <v>1</v>
      </c>
      <c r="K2378" t="s">
        <v>217</v>
      </c>
    </row>
    <row r="2379" spans="1:11" hidden="1" x14ac:dyDescent="0.3">
      <c r="A2379" s="137">
        <v>2</v>
      </c>
      <c r="B2379" s="3402">
        <v>44623</v>
      </c>
      <c r="C2379" s="642" t="s">
        <v>37</v>
      </c>
      <c r="D2379" s="642" t="s">
        <v>2245</v>
      </c>
      <c r="E2379" s="642" t="s">
        <v>784</v>
      </c>
      <c r="F2379" s="2519">
        <v>1100000</v>
      </c>
      <c r="G2379" s="642" t="s">
        <v>1510</v>
      </c>
      <c r="H2379" s="642" t="s">
        <v>36</v>
      </c>
      <c r="I2379" s="642" t="s">
        <v>36</v>
      </c>
      <c r="J2379" s="642">
        <v>1</v>
      </c>
      <c r="K2379" t="s">
        <v>2118</v>
      </c>
    </row>
    <row r="2380" spans="1:11" hidden="1" x14ac:dyDescent="0.3">
      <c r="A2380" s="137">
        <v>3</v>
      </c>
      <c r="B2380" s="3402">
        <v>44684</v>
      </c>
      <c r="C2380" s="642" t="s">
        <v>37</v>
      </c>
      <c r="D2380" s="642" t="s">
        <v>2246</v>
      </c>
      <c r="E2380" s="642" t="s">
        <v>76</v>
      </c>
      <c r="F2380" s="2519">
        <v>1350000</v>
      </c>
      <c r="G2380" s="642" t="s">
        <v>1998</v>
      </c>
      <c r="H2380" s="642" t="s">
        <v>36</v>
      </c>
      <c r="I2380" s="642" t="s">
        <v>36</v>
      </c>
      <c r="J2380" s="642">
        <v>1</v>
      </c>
      <c r="K2380" t="s">
        <v>2118</v>
      </c>
    </row>
    <row r="2381" spans="1:11" hidden="1" x14ac:dyDescent="0.3">
      <c r="A2381" s="137">
        <v>4</v>
      </c>
      <c r="B2381" s="3402">
        <v>44776</v>
      </c>
      <c r="C2381" s="642" t="s">
        <v>37</v>
      </c>
      <c r="D2381" s="642" t="s">
        <v>2247</v>
      </c>
      <c r="E2381" s="642" t="s">
        <v>76</v>
      </c>
      <c r="F2381" s="2519">
        <v>1200000</v>
      </c>
      <c r="G2381" s="642" t="s">
        <v>1808</v>
      </c>
      <c r="H2381" s="642" t="s">
        <v>44</v>
      </c>
      <c r="I2381" s="642" t="s">
        <v>36</v>
      </c>
      <c r="J2381" s="642">
        <v>1</v>
      </c>
      <c r="K2381" t="s">
        <v>2118</v>
      </c>
    </row>
    <row r="2382" spans="1:11" hidden="1" x14ac:dyDescent="0.3">
      <c r="A2382" s="137">
        <v>5</v>
      </c>
      <c r="B2382" s="3402">
        <v>44807</v>
      </c>
      <c r="C2382" s="642" t="s">
        <v>37</v>
      </c>
      <c r="D2382" s="642" t="s">
        <v>2248</v>
      </c>
      <c r="E2382" s="642" t="s">
        <v>1751</v>
      </c>
      <c r="F2382" s="2519">
        <v>800000</v>
      </c>
      <c r="G2382" s="642" t="s">
        <v>2249</v>
      </c>
      <c r="H2382" s="642" t="s">
        <v>44</v>
      </c>
      <c r="I2382" s="642" t="s">
        <v>36</v>
      </c>
      <c r="J2382" s="642">
        <v>1</v>
      </c>
      <c r="K2382" t="s">
        <v>2118</v>
      </c>
    </row>
    <row r="2383" spans="1:11" hidden="1" x14ac:dyDescent="0.3">
      <c r="A2383" s="137">
        <v>7</v>
      </c>
      <c r="B2383" s="3402">
        <v>44807</v>
      </c>
      <c r="C2383" s="642" t="s">
        <v>37</v>
      </c>
      <c r="D2383" s="642" t="s">
        <v>2250</v>
      </c>
      <c r="E2383" s="642" t="s">
        <v>1751</v>
      </c>
      <c r="F2383" s="2519">
        <v>800000</v>
      </c>
      <c r="G2383" s="642" t="s">
        <v>2249</v>
      </c>
      <c r="H2383" s="642" t="s">
        <v>44</v>
      </c>
      <c r="I2383" s="642" t="s">
        <v>36</v>
      </c>
      <c r="J2383" s="642">
        <v>1</v>
      </c>
      <c r="K2383" t="s">
        <v>2118</v>
      </c>
    </row>
    <row r="2384" spans="1:11" hidden="1" x14ac:dyDescent="0.3">
      <c r="A2384" s="137">
        <v>8</v>
      </c>
      <c r="B2384" s="3402">
        <v>44837</v>
      </c>
      <c r="C2384" s="642" t="s">
        <v>37</v>
      </c>
      <c r="D2384" s="642" t="s">
        <v>2251</v>
      </c>
      <c r="E2384" s="642" t="s">
        <v>1751</v>
      </c>
      <c r="F2384" s="2519">
        <v>1100000</v>
      </c>
      <c r="G2384" s="642" t="s">
        <v>2252</v>
      </c>
      <c r="H2384" s="642" t="s">
        <v>44</v>
      </c>
      <c r="I2384" s="642" t="s">
        <v>36</v>
      </c>
      <c r="J2384" s="642">
        <v>1</v>
      </c>
      <c r="K2384" t="s">
        <v>217</v>
      </c>
    </row>
    <row r="2385" spans="1:11" hidden="1" x14ac:dyDescent="0.3">
      <c r="A2385" s="137">
        <v>9</v>
      </c>
      <c r="B2385" s="3402">
        <v>44837</v>
      </c>
      <c r="C2385" s="642" t="s">
        <v>37</v>
      </c>
      <c r="D2385" s="641" t="s">
        <v>2253</v>
      </c>
      <c r="E2385" s="641" t="s">
        <v>998</v>
      </c>
      <c r="F2385" s="2520">
        <v>1230000</v>
      </c>
      <c r="G2385" s="641" t="s">
        <v>2254</v>
      </c>
      <c r="H2385" s="641" t="s">
        <v>44</v>
      </c>
      <c r="I2385" s="641" t="s">
        <v>36</v>
      </c>
      <c r="J2385" s="642">
        <v>1</v>
      </c>
      <c r="K2385" t="s">
        <v>217</v>
      </c>
    </row>
    <row r="2386" spans="1:11" hidden="1" x14ac:dyDescent="0.3">
      <c r="A2386" s="137">
        <v>10</v>
      </c>
      <c r="B2386" s="3402">
        <v>44837</v>
      </c>
      <c r="C2386" s="642" t="s">
        <v>37</v>
      </c>
      <c r="D2386" s="642" t="s">
        <v>2255</v>
      </c>
      <c r="E2386" s="642" t="s">
        <v>1130</v>
      </c>
      <c r="F2386" s="2519">
        <v>1200000</v>
      </c>
      <c r="G2386" s="642" t="s">
        <v>168</v>
      </c>
      <c r="H2386" s="642" t="s">
        <v>36</v>
      </c>
      <c r="I2386" s="642" t="s">
        <v>36</v>
      </c>
      <c r="J2386" s="642">
        <v>1</v>
      </c>
      <c r="K2386" t="s">
        <v>2118</v>
      </c>
    </row>
    <row r="2387" spans="1:11" hidden="1" x14ac:dyDescent="0.3">
      <c r="A2387" s="137">
        <v>12</v>
      </c>
      <c r="B2387" s="3402" t="s">
        <v>2256</v>
      </c>
      <c r="C2387" s="642" t="s">
        <v>37</v>
      </c>
      <c r="D2387" s="642" t="s">
        <v>2257</v>
      </c>
      <c r="E2387" s="642" t="s">
        <v>1751</v>
      </c>
      <c r="F2387" s="2519">
        <v>1150000</v>
      </c>
      <c r="G2387" s="642" t="s">
        <v>2258</v>
      </c>
      <c r="H2387" s="642" t="s">
        <v>36</v>
      </c>
      <c r="I2387" s="642" t="s">
        <v>36</v>
      </c>
      <c r="J2387" s="642">
        <v>1</v>
      </c>
      <c r="K2387" t="s">
        <v>1770</v>
      </c>
    </row>
    <row r="2388" spans="1:11" hidden="1" x14ac:dyDescent="0.3">
      <c r="A2388" s="137">
        <v>13</v>
      </c>
      <c r="B2388" s="3402" t="s">
        <v>2259</v>
      </c>
      <c r="C2388" s="642" t="s">
        <v>37</v>
      </c>
      <c r="D2388" s="641" t="s">
        <v>2260</v>
      </c>
      <c r="E2388" s="641" t="s">
        <v>76</v>
      </c>
      <c r="F2388" s="2520">
        <v>1200000</v>
      </c>
      <c r="G2388" s="641" t="s">
        <v>2261</v>
      </c>
      <c r="H2388" s="641" t="s">
        <v>36</v>
      </c>
      <c r="I2388" s="641" t="s">
        <v>36</v>
      </c>
      <c r="J2388" s="642">
        <v>1</v>
      </c>
      <c r="K2388" t="s">
        <v>2118</v>
      </c>
    </row>
    <row r="2389" spans="1:11" hidden="1" x14ac:dyDescent="0.3">
      <c r="A2389" s="137">
        <v>14</v>
      </c>
      <c r="B2389" s="3402" t="s">
        <v>2262</v>
      </c>
      <c r="C2389" s="642" t="s">
        <v>37</v>
      </c>
      <c r="D2389" s="642" t="s">
        <v>2263</v>
      </c>
      <c r="E2389" s="642" t="s">
        <v>76</v>
      </c>
      <c r="F2389" s="2519">
        <v>1000000</v>
      </c>
      <c r="G2389" s="642" t="s">
        <v>2117</v>
      </c>
      <c r="H2389" s="641" t="s">
        <v>36</v>
      </c>
      <c r="I2389" s="641" t="s">
        <v>36</v>
      </c>
      <c r="J2389" s="642">
        <v>1</v>
      </c>
      <c r="K2389" t="s">
        <v>217</v>
      </c>
    </row>
    <row r="2390" spans="1:11" hidden="1" x14ac:dyDescent="0.3">
      <c r="A2390" s="137">
        <v>15</v>
      </c>
      <c r="B2390" s="3402" t="s">
        <v>2264</v>
      </c>
      <c r="C2390" s="642" t="s">
        <v>219</v>
      </c>
      <c r="D2390" s="642" t="s">
        <v>2265</v>
      </c>
      <c r="E2390" s="642" t="s">
        <v>1564</v>
      </c>
      <c r="F2390" s="2519">
        <v>3000000</v>
      </c>
      <c r="G2390" s="642" t="s">
        <v>168</v>
      </c>
      <c r="H2390" s="641" t="s">
        <v>36</v>
      </c>
      <c r="I2390" s="641" t="s">
        <v>36</v>
      </c>
      <c r="J2390" s="642">
        <v>1</v>
      </c>
      <c r="K2390" t="s">
        <v>2118</v>
      </c>
    </row>
    <row r="2391" spans="1:11" hidden="1" x14ac:dyDescent="0.3">
      <c r="A2391" s="137">
        <v>16</v>
      </c>
      <c r="B2391" s="3402" t="s">
        <v>2264</v>
      </c>
      <c r="C2391" s="642" t="s">
        <v>37</v>
      </c>
      <c r="D2391" s="642" t="s">
        <v>2266</v>
      </c>
      <c r="E2391" s="642" t="s">
        <v>1751</v>
      </c>
      <c r="F2391" s="2519">
        <v>1200000</v>
      </c>
      <c r="G2391" s="642" t="s">
        <v>494</v>
      </c>
      <c r="H2391" s="641" t="s">
        <v>36</v>
      </c>
      <c r="I2391" s="641" t="s">
        <v>36</v>
      </c>
      <c r="J2391" s="642">
        <v>1</v>
      </c>
      <c r="K2391" t="s">
        <v>2267</v>
      </c>
    </row>
    <row r="2392" spans="1:11" hidden="1" x14ac:dyDescent="0.3">
      <c r="A2392" s="1781">
        <v>17</v>
      </c>
      <c r="B2392" s="3402" t="s">
        <v>2264</v>
      </c>
      <c r="C2392" s="642" t="s">
        <v>37</v>
      </c>
      <c r="D2392" s="642" t="s">
        <v>2268</v>
      </c>
      <c r="E2392" s="642" t="s">
        <v>1751</v>
      </c>
      <c r="F2392" s="2519">
        <v>1200000</v>
      </c>
      <c r="G2392" s="642" t="s">
        <v>494</v>
      </c>
      <c r="H2392" s="642" t="s">
        <v>36</v>
      </c>
      <c r="I2392" s="642" t="s">
        <v>36</v>
      </c>
      <c r="J2392" s="642">
        <v>1</v>
      </c>
      <c r="K2392" t="s">
        <v>217</v>
      </c>
    </row>
    <row r="2393" spans="1:11" hidden="1" x14ac:dyDescent="0.3">
      <c r="A2393" s="1781">
        <v>18</v>
      </c>
      <c r="B2393" s="765" t="s">
        <v>2269</v>
      </c>
      <c r="C2393" s="642" t="s">
        <v>37</v>
      </c>
      <c r="D2393" s="642" t="s">
        <v>1046</v>
      </c>
      <c r="E2393" s="642" t="s">
        <v>942</v>
      </c>
      <c r="F2393" s="2519">
        <v>1000000</v>
      </c>
      <c r="G2393" s="642" t="s">
        <v>168</v>
      </c>
      <c r="H2393" s="642" t="s">
        <v>44</v>
      </c>
      <c r="I2393" s="642" t="s">
        <v>36</v>
      </c>
      <c r="J2393" s="642">
        <v>1</v>
      </c>
      <c r="K2393" t="s">
        <v>2270</v>
      </c>
    </row>
    <row r="2394" spans="1:11" hidden="1" x14ac:dyDescent="0.3">
      <c r="A2394" s="1781">
        <v>19</v>
      </c>
      <c r="B2394" s="765" t="s">
        <v>2269</v>
      </c>
      <c r="C2394" s="642" t="s">
        <v>37</v>
      </c>
      <c r="D2394" s="642" t="s">
        <v>2271</v>
      </c>
      <c r="E2394" s="642" t="s">
        <v>76</v>
      </c>
      <c r="F2394" s="2519">
        <v>1600000</v>
      </c>
      <c r="G2394" s="642" t="s">
        <v>1998</v>
      </c>
      <c r="H2394" s="642" t="s">
        <v>36</v>
      </c>
      <c r="I2394" s="642" t="s">
        <v>36</v>
      </c>
      <c r="J2394" s="642">
        <v>1</v>
      </c>
      <c r="K2394" t="s">
        <v>2118</v>
      </c>
    </row>
    <row r="2395" spans="1:11" hidden="1" x14ac:dyDescent="0.3">
      <c r="A2395" s="1781">
        <v>20</v>
      </c>
      <c r="B2395" s="765" t="s">
        <v>2269</v>
      </c>
      <c r="C2395" s="642" t="s">
        <v>37</v>
      </c>
      <c r="D2395" s="642" t="s">
        <v>2272</v>
      </c>
      <c r="E2395" s="642" t="s">
        <v>962</v>
      </c>
      <c r="F2395" s="2519">
        <v>1400000</v>
      </c>
      <c r="G2395" s="642" t="s">
        <v>854</v>
      </c>
      <c r="H2395" s="642" t="s">
        <v>36</v>
      </c>
      <c r="I2395" s="642" t="s">
        <v>36</v>
      </c>
      <c r="J2395" s="642">
        <v>1</v>
      </c>
      <c r="K2395" t="s">
        <v>1770</v>
      </c>
    </row>
    <row r="2396" spans="1:11" ht="24.6" hidden="1" x14ac:dyDescent="0.4">
      <c r="A2396" s="1781"/>
      <c r="B2396" s="765"/>
      <c r="C2396" s="641"/>
      <c r="D2396" s="641"/>
      <c r="E2396" s="641"/>
      <c r="F2396" s="2523"/>
      <c r="G2396" s="641"/>
      <c r="H2396" s="641"/>
      <c r="I2396" s="641"/>
      <c r="J2396" s="1837"/>
    </row>
    <row r="2397" spans="1:11" ht="24.6" hidden="1" x14ac:dyDescent="0.4">
      <c r="A2397" s="3462" t="s">
        <v>2003</v>
      </c>
      <c r="B2397" s="3462"/>
      <c r="C2397" s="3462"/>
      <c r="D2397" s="3462"/>
      <c r="E2397" s="3462"/>
      <c r="F2397" s="3462"/>
      <c r="G2397" s="3462"/>
      <c r="H2397" s="3462"/>
      <c r="I2397" s="3462"/>
      <c r="J2397" s="3462"/>
    </row>
    <row r="2398" spans="1:11" hidden="1" x14ac:dyDescent="0.3">
      <c r="A2398" s="137" t="s">
        <v>3</v>
      </c>
      <c r="B2398" s="1781" t="s">
        <v>4</v>
      </c>
      <c r="C2398" s="137" t="s">
        <v>5</v>
      </c>
      <c r="D2398" s="137" t="s">
        <v>6</v>
      </c>
      <c r="E2398" s="137" t="s">
        <v>7</v>
      </c>
      <c r="F2398" s="137" t="s">
        <v>8</v>
      </c>
      <c r="G2398" s="137" t="s">
        <v>9</v>
      </c>
      <c r="H2398" s="137" t="s">
        <v>10</v>
      </c>
      <c r="I2398" s="137" t="s">
        <v>11</v>
      </c>
      <c r="J2398" s="137" t="s">
        <v>12</v>
      </c>
    </row>
    <row r="2399" spans="1:11" hidden="1" x14ac:dyDescent="0.3">
      <c r="A2399" s="1845">
        <v>1</v>
      </c>
      <c r="B2399" s="3404">
        <v>44595</v>
      </c>
      <c r="C2399" s="1838" t="s">
        <v>37</v>
      </c>
      <c r="D2399" s="1838" t="s">
        <v>2273</v>
      </c>
      <c r="E2399" s="1838" t="s">
        <v>904</v>
      </c>
      <c r="F2399" s="1838" t="s">
        <v>2274</v>
      </c>
      <c r="G2399" s="1838" t="s">
        <v>2275</v>
      </c>
      <c r="H2399" s="1838" t="s">
        <v>44</v>
      </c>
      <c r="I2399" s="1838" t="s">
        <v>36</v>
      </c>
      <c r="J2399" s="1839">
        <v>1</v>
      </c>
    </row>
    <row r="2400" spans="1:11" hidden="1" x14ac:dyDescent="0.3">
      <c r="A2400" s="1846">
        <v>2</v>
      </c>
      <c r="B2400" s="3404">
        <v>44595</v>
      </c>
      <c r="C2400" s="1838" t="s">
        <v>37</v>
      </c>
      <c r="D2400" s="1840" t="s">
        <v>2276</v>
      </c>
      <c r="E2400" s="1838" t="s">
        <v>904</v>
      </c>
      <c r="F2400" s="1840" t="s">
        <v>2277</v>
      </c>
      <c r="G2400" s="1838" t="s">
        <v>2275</v>
      </c>
      <c r="H2400" s="1838" t="s">
        <v>44</v>
      </c>
      <c r="I2400" s="1838" t="s">
        <v>36</v>
      </c>
      <c r="J2400" s="1839">
        <v>1</v>
      </c>
    </row>
    <row r="2401" spans="1:11" hidden="1" x14ac:dyDescent="0.3">
      <c r="A2401" s="2351">
        <v>3</v>
      </c>
      <c r="B2401" s="3410">
        <v>44684</v>
      </c>
      <c r="C2401" s="1840" t="s">
        <v>37</v>
      </c>
      <c r="D2401" s="2706" t="s">
        <v>2278</v>
      </c>
      <c r="E2401" s="1840" t="s">
        <v>787</v>
      </c>
      <c r="F2401" s="2706">
        <v>155000000</v>
      </c>
      <c r="G2401" s="1840" t="s">
        <v>168</v>
      </c>
      <c r="H2401" s="1840" t="s">
        <v>44</v>
      </c>
      <c r="I2401" s="1840" t="s">
        <v>36</v>
      </c>
      <c r="J2401" s="1841">
        <v>1</v>
      </c>
    </row>
    <row r="2402" spans="1:11" hidden="1" x14ac:dyDescent="0.3">
      <c r="A2402" s="2177"/>
      <c r="B2402" s="3406"/>
      <c r="C2402" s="2350"/>
      <c r="D2402" s="2350"/>
      <c r="E2402" s="2350"/>
      <c r="F2402" s="2350"/>
      <c r="G2402" s="2350"/>
      <c r="H2402" s="2350"/>
      <c r="I2402" s="2350"/>
      <c r="J2402" s="1842"/>
    </row>
    <row r="2403" spans="1:11" hidden="1" x14ac:dyDescent="0.3"/>
    <row r="2404" spans="1:11" hidden="1" x14ac:dyDescent="0.3"/>
    <row r="2405" spans="1:11" ht="23.4" hidden="1" x14ac:dyDescent="0.3">
      <c r="A2405" s="3460" t="s">
        <v>1138</v>
      </c>
      <c r="B2405" s="3460"/>
      <c r="C2405" s="3460"/>
      <c r="D2405" s="3460"/>
      <c r="E2405" s="3460"/>
      <c r="F2405" s="3460"/>
      <c r="G2405" s="3460"/>
      <c r="H2405" s="3460"/>
      <c r="I2405" s="3460"/>
      <c r="J2405" s="3460"/>
    </row>
    <row r="2406" spans="1:11" ht="15.6" hidden="1" x14ac:dyDescent="0.3">
      <c r="A2406" s="3461" t="s">
        <v>2</v>
      </c>
      <c r="B2406" s="3461"/>
      <c r="C2406" s="3461"/>
      <c r="D2406" s="3461"/>
      <c r="E2406" s="3461"/>
      <c r="F2406" s="3461"/>
      <c r="G2406" s="3461"/>
      <c r="H2406" s="3461"/>
      <c r="I2406" s="3461"/>
      <c r="J2406" s="3461"/>
    </row>
    <row r="2407" spans="1:11" hidden="1" x14ac:dyDescent="0.3">
      <c r="A2407" s="137" t="s">
        <v>3</v>
      </c>
      <c r="B2407" s="1781" t="s">
        <v>4</v>
      </c>
      <c r="C2407" s="137" t="s">
        <v>5</v>
      </c>
      <c r="D2407" s="137" t="s">
        <v>6</v>
      </c>
      <c r="E2407" s="137" t="s">
        <v>7</v>
      </c>
      <c r="F2407" s="2522" t="s">
        <v>8</v>
      </c>
      <c r="G2407" s="137" t="s">
        <v>9</v>
      </c>
      <c r="H2407" s="137" t="s">
        <v>10</v>
      </c>
      <c r="I2407" s="137" t="s">
        <v>11</v>
      </c>
      <c r="J2407" s="137" t="s">
        <v>12</v>
      </c>
    </row>
    <row r="2408" spans="1:11" hidden="1" x14ac:dyDescent="0.3">
      <c r="A2408" s="137">
        <v>1</v>
      </c>
      <c r="B2408" s="3402">
        <v>44595</v>
      </c>
      <c r="C2408" s="642" t="s">
        <v>37</v>
      </c>
      <c r="D2408" s="642" t="s">
        <v>2279</v>
      </c>
      <c r="E2408" s="642" t="s">
        <v>1838</v>
      </c>
      <c r="F2408" s="2519">
        <v>1150000</v>
      </c>
      <c r="G2408" s="642" t="s">
        <v>168</v>
      </c>
      <c r="H2408" s="642" t="s">
        <v>44</v>
      </c>
      <c r="I2408" s="642" t="s">
        <v>36</v>
      </c>
      <c r="J2408" s="642">
        <v>1</v>
      </c>
      <c r="K2408" t="s">
        <v>1770</v>
      </c>
    </row>
    <row r="2409" spans="1:11" hidden="1" x14ac:dyDescent="0.3">
      <c r="A2409" s="137">
        <v>2</v>
      </c>
      <c r="B2409" s="3402">
        <v>44684</v>
      </c>
      <c r="C2409" s="642" t="s">
        <v>37</v>
      </c>
      <c r="D2409" s="642" t="s">
        <v>2280</v>
      </c>
      <c r="E2409" s="642" t="s">
        <v>1838</v>
      </c>
      <c r="F2409" s="2519">
        <v>1250000</v>
      </c>
      <c r="G2409" s="642" t="s">
        <v>2200</v>
      </c>
      <c r="H2409" s="642" t="s">
        <v>36</v>
      </c>
      <c r="I2409" s="642" t="s">
        <v>36</v>
      </c>
      <c r="J2409" s="642">
        <v>1</v>
      </c>
      <c r="K2409" t="s">
        <v>1770</v>
      </c>
    </row>
    <row r="2410" spans="1:11" hidden="1" x14ac:dyDescent="0.3">
      <c r="A2410" s="137">
        <v>3</v>
      </c>
      <c r="B2410" s="3402">
        <v>44684</v>
      </c>
      <c r="C2410" s="642" t="s">
        <v>37</v>
      </c>
      <c r="D2410" s="642" t="s">
        <v>2281</v>
      </c>
      <c r="E2410" s="642" t="s">
        <v>1130</v>
      </c>
      <c r="F2410" s="2519">
        <v>1300000</v>
      </c>
      <c r="G2410" s="642" t="s">
        <v>1685</v>
      </c>
      <c r="H2410" s="642" t="s">
        <v>36</v>
      </c>
      <c r="I2410" s="642" t="s">
        <v>36</v>
      </c>
      <c r="J2410" s="642">
        <v>1</v>
      </c>
      <c r="K2410" t="s">
        <v>1770</v>
      </c>
    </row>
    <row r="2411" spans="1:11" hidden="1" x14ac:dyDescent="0.3">
      <c r="A2411" s="137">
        <v>4</v>
      </c>
      <c r="B2411" s="3402">
        <v>44776</v>
      </c>
      <c r="C2411" s="642" t="s">
        <v>37</v>
      </c>
      <c r="D2411" s="642" t="s">
        <v>2282</v>
      </c>
      <c r="E2411" s="642" t="s">
        <v>787</v>
      </c>
      <c r="F2411" s="2519">
        <v>820000</v>
      </c>
      <c r="G2411" s="642" t="s">
        <v>2283</v>
      </c>
      <c r="H2411" s="642" t="s">
        <v>44</v>
      </c>
      <c r="I2411" s="642" t="s">
        <v>36</v>
      </c>
      <c r="J2411" s="642">
        <v>1</v>
      </c>
      <c r="K2411" t="s">
        <v>1770</v>
      </c>
    </row>
    <row r="2412" spans="1:11" hidden="1" x14ac:dyDescent="0.3">
      <c r="A2412" s="137">
        <v>5</v>
      </c>
      <c r="B2412" s="3402">
        <v>44776</v>
      </c>
      <c r="C2412" s="642" t="s">
        <v>37</v>
      </c>
      <c r="D2412" s="642" t="s">
        <v>2284</v>
      </c>
      <c r="E2412" s="642" t="s">
        <v>1870</v>
      </c>
      <c r="F2412" s="2519">
        <v>1400000</v>
      </c>
      <c r="G2412" s="642" t="s">
        <v>2070</v>
      </c>
      <c r="H2412" s="642" t="s">
        <v>36</v>
      </c>
      <c r="I2412" s="642" t="s">
        <v>36</v>
      </c>
      <c r="J2412" s="642">
        <v>1</v>
      </c>
      <c r="K2412" t="s">
        <v>1770</v>
      </c>
    </row>
    <row r="2413" spans="1:11" hidden="1" x14ac:dyDescent="0.3">
      <c r="A2413" s="137">
        <v>7</v>
      </c>
      <c r="B2413" s="3402">
        <v>44807</v>
      </c>
      <c r="C2413" s="642" t="s">
        <v>37</v>
      </c>
      <c r="D2413" s="642" t="s">
        <v>2285</v>
      </c>
      <c r="E2413" s="642" t="s">
        <v>869</v>
      </c>
      <c r="F2413" s="2519">
        <v>1300000</v>
      </c>
      <c r="G2413" s="642" t="s">
        <v>1095</v>
      </c>
      <c r="H2413" s="642" t="s">
        <v>44</v>
      </c>
      <c r="I2413" s="642" t="s">
        <v>36</v>
      </c>
      <c r="J2413" s="642">
        <v>1</v>
      </c>
      <c r="K2413" t="s">
        <v>1770</v>
      </c>
    </row>
    <row r="2414" spans="1:11" hidden="1" x14ac:dyDescent="0.3">
      <c r="A2414" s="137">
        <v>8</v>
      </c>
      <c r="B2414" s="3402">
        <v>44837</v>
      </c>
      <c r="C2414" s="641" t="s">
        <v>37</v>
      </c>
      <c r="D2414" s="641" t="s">
        <v>2286</v>
      </c>
      <c r="E2414" s="641" t="s">
        <v>869</v>
      </c>
      <c r="F2414" s="2520">
        <v>1250000</v>
      </c>
      <c r="G2414" s="641" t="s">
        <v>2145</v>
      </c>
      <c r="H2414" s="641" t="s">
        <v>44</v>
      </c>
      <c r="I2414" s="641" t="s">
        <v>36</v>
      </c>
      <c r="J2414" s="642">
        <v>1</v>
      </c>
      <c r="K2414" t="s">
        <v>2118</v>
      </c>
    </row>
    <row r="2415" spans="1:11" hidden="1" x14ac:dyDescent="0.3">
      <c r="A2415" s="137">
        <v>9</v>
      </c>
      <c r="B2415" s="3402" t="s">
        <v>2287</v>
      </c>
      <c r="C2415" s="641" t="s">
        <v>37</v>
      </c>
      <c r="D2415" s="642" t="s">
        <v>2288</v>
      </c>
      <c r="E2415" s="642" t="s">
        <v>2231</v>
      </c>
      <c r="F2415" s="2519">
        <v>1350000</v>
      </c>
      <c r="G2415" s="642" t="s">
        <v>168</v>
      </c>
      <c r="H2415" s="642" t="s">
        <v>44</v>
      </c>
      <c r="I2415" s="642" t="s">
        <v>36</v>
      </c>
      <c r="J2415" s="642">
        <v>1</v>
      </c>
      <c r="K2415" t="s">
        <v>217</v>
      </c>
    </row>
    <row r="2416" spans="1:11" hidden="1" x14ac:dyDescent="0.3">
      <c r="A2416" s="137">
        <v>10</v>
      </c>
      <c r="B2416" s="3402" t="s">
        <v>2287</v>
      </c>
      <c r="C2416" s="641" t="s">
        <v>37</v>
      </c>
      <c r="D2416" s="642" t="s">
        <v>2289</v>
      </c>
      <c r="E2416" s="642" t="s">
        <v>869</v>
      </c>
      <c r="F2416" s="2519">
        <v>1300000</v>
      </c>
      <c r="G2416" s="642" t="s">
        <v>1319</v>
      </c>
      <c r="H2416" s="642" t="s">
        <v>44</v>
      </c>
      <c r="I2416" s="642" t="s">
        <v>36</v>
      </c>
      <c r="J2416" s="642">
        <v>1</v>
      </c>
      <c r="K2416" t="s">
        <v>2118</v>
      </c>
    </row>
    <row r="2417" spans="1:11" hidden="1" x14ac:dyDescent="0.3">
      <c r="A2417" s="137">
        <v>12</v>
      </c>
      <c r="B2417" s="3402" t="s">
        <v>2256</v>
      </c>
      <c r="C2417" s="642" t="s">
        <v>37</v>
      </c>
      <c r="D2417" s="642" t="s">
        <v>2290</v>
      </c>
      <c r="E2417" s="642" t="s">
        <v>869</v>
      </c>
      <c r="F2417" s="2519">
        <v>1250000</v>
      </c>
      <c r="G2417" s="642" t="s">
        <v>1095</v>
      </c>
      <c r="H2417" s="642" t="s">
        <v>44</v>
      </c>
      <c r="I2417" s="642" t="s">
        <v>36</v>
      </c>
      <c r="J2417" s="642">
        <v>1</v>
      </c>
      <c r="K2417" t="s">
        <v>2118</v>
      </c>
    </row>
    <row r="2418" spans="1:11" hidden="1" x14ac:dyDescent="0.3">
      <c r="A2418" s="137">
        <v>13</v>
      </c>
      <c r="B2418" s="3402" t="s">
        <v>2256</v>
      </c>
      <c r="C2418" s="642" t="s">
        <v>37</v>
      </c>
      <c r="D2418" s="642" t="s">
        <v>2291</v>
      </c>
      <c r="E2418" s="642" t="s">
        <v>1870</v>
      </c>
      <c r="F2418" s="2519">
        <v>1500000</v>
      </c>
      <c r="G2418" s="642" t="s">
        <v>2261</v>
      </c>
      <c r="H2418" s="642" t="s">
        <v>36</v>
      </c>
      <c r="I2418" s="642" t="s">
        <v>36</v>
      </c>
      <c r="J2418" s="642">
        <v>1</v>
      </c>
      <c r="K2418" t="s">
        <v>1770</v>
      </c>
    </row>
    <row r="2419" spans="1:11" hidden="1" x14ac:dyDescent="0.3">
      <c r="A2419" s="137">
        <v>14</v>
      </c>
      <c r="B2419" s="765" t="s">
        <v>2264</v>
      </c>
      <c r="C2419" s="642" t="s">
        <v>37</v>
      </c>
      <c r="D2419" s="642" t="s">
        <v>2292</v>
      </c>
      <c r="E2419" s="642" t="s">
        <v>441</v>
      </c>
      <c r="F2419" s="2519">
        <v>1250000</v>
      </c>
      <c r="G2419" s="642" t="s">
        <v>168</v>
      </c>
      <c r="H2419" s="642" t="s">
        <v>36</v>
      </c>
      <c r="I2419" s="642" t="s">
        <v>36</v>
      </c>
      <c r="J2419" s="642">
        <v>1</v>
      </c>
      <c r="K2419" t="s">
        <v>217</v>
      </c>
    </row>
    <row r="2420" spans="1:11" hidden="1" x14ac:dyDescent="0.3">
      <c r="A2420" s="137">
        <v>15</v>
      </c>
      <c r="B2420" s="765" t="s">
        <v>2264</v>
      </c>
      <c r="C2420" s="642" t="s">
        <v>37</v>
      </c>
      <c r="D2420" s="642" t="s">
        <v>2293</v>
      </c>
      <c r="E2420" s="642" t="s">
        <v>1838</v>
      </c>
      <c r="F2420" s="2519">
        <v>1300000</v>
      </c>
      <c r="G2420" s="642" t="s">
        <v>1319</v>
      </c>
      <c r="H2420" s="642" t="s">
        <v>44</v>
      </c>
      <c r="I2420" s="642" t="s">
        <v>36</v>
      </c>
      <c r="J2420" s="642">
        <v>1</v>
      </c>
      <c r="K2420" t="s">
        <v>2118</v>
      </c>
    </row>
    <row r="2421" spans="1:11" hidden="1" x14ac:dyDescent="0.3">
      <c r="A2421" s="137">
        <v>16</v>
      </c>
      <c r="B2421" s="765" t="s">
        <v>2294</v>
      </c>
      <c r="C2421" s="642" t="s">
        <v>37</v>
      </c>
      <c r="D2421" s="642" t="s">
        <v>2295</v>
      </c>
      <c r="E2421" s="642" t="s">
        <v>180</v>
      </c>
      <c r="F2421" s="2519">
        <v>1700000</v>
      </c>
      <c r="G2421" s="642" t="s">
        <v>2261</v>
      </c>
      <c r="H2421" s="642" t="s">
        <v>44</v>
      </c>
      <c r="I2421" s="642" t="s">
        <v>36</v>
      </c>
      <c r="J2421" s="642">
        <v>1</v>
      </c>
      <c r="K2421" t="s">
        <v>1770</v>
      </c>
    </row>
    <row r="2422" spans="1:11" hidden="1" x14ac:dyDescent="0.3">
      <c r="A2422" s="1781">
        <v>17</v>
      </c>
      <c r="B2422" s="765" t="s">
        <v>2269</v>
      </c>
      <c r="C2422" s="642" t="s">
        <v>37</v>
      </c>
      <c r="D2422" s="641" t="s">
        <v>2296</v>
      </c>
      <c r="E2422" s="642" t="s">
        <v>780</v>
      </c>
      <c r="F2422" s="2520">
        <v>1000000</v>
      </c>
      <c r="G2422" s="641" t="s">
        <v>2297</v>
      </c>
      <c r="H2422" s="641" t="s">
        <v>44</v>
      </c>
      <c r="I2422" s="641" t="s">
        <v>36</v>
      </c>
      <c r="J2422" s="642">
        <v>1</v>
      </c>
      <c r="K2422" t="s">
        <v>2118</v>
      </c>
    </row>
    <row r="2423" spans="1:11" hidden="1" x14ac:dyDescent="0.3">
      <c r="A2423" s="1781">
        <v>18</v>
      </c>
      <c r="B2423" s="3402" t="s">
        <v>2269</v>
      </c>
      <c r="C2423" s="642" t="s">
        <v>37</v>
      </c>
      <c r="D2423" s="642" t="s">
        <v>2298</v>
      </c>
      <c r="E2423" s="642" t="s">
        <v>869</v>
      </c>
      <c r="F2423" s="2519">
        <v>1300000</v>
      </c>
      <c r="G2423" s="642" t="s">
        <v>2299</v>
      </c>
      <c r="H2423" s="642" t="s">
        <v>36</v>
      </c>
      <c r="I2423" s="642" t="s">
        <v>36</v>
      </c>
      <c r="J2423" s="642">
        <v>1</v>
      </c>
      <c r="K2423" t="s">
        <v>2270</v>
      </c>
    </row>
    <row r="2424" spans="1:11" hidden="1" x14ac:dyDescent="0.3">
      <c r="A2424" s="1781">
        <v>19</v>
      </c>
      <c r="B2424" s="3402" t="s">
        <v>2269</v>
      </c>
      <c r="C2424" s="642" t="s">
        <v>37</v>
      </c>
      <c r="D2424" s="642" t="s">
        <v>2300</v>
      </c>
      <c r="E2424" s="642" t="s">
        <v>904</v>
      </c>
      <c r="F2424" s="2519">
        <v>1350000</v>
      </c>
      <c r="G2424" s="642" t="s">
        <v>1790</v>
      </c>
      <c r="H2424" s="642" t="s">
        <v>44</v>
      </c>
      <c r="I2424" s="642" t="s">
        <v>36</v>
      </c>
      <c r="J2424" s="642">
        <v>1</v>
      </c>
      <c r="K2424" t="s">
        <v>2118</v>
      </c>
    </row>
    <row r="2425" spans="1:11" hidden="1" x14ac:dyDescent="0.3">
      <c r="A2425" s="1781">
        <v>20</v>
      </c>
      <c r="B2425" s="3402" t="s">
        <v>2269</v>
      </c>
      <c r="C2425" s="641" t="s">
        <v>37</v>
      </c>
      <c r="D2425" s="641" t="s">
        <v>2301</v>
      </c>
      <c r="E2425" s="641" t="s">
        <v>2302</v>
      </c>
      <c r="F2425" s="2520">
        <v>950000</v>
      </c>
      <c r="G2425" s="641" t="s">
        <v>168</v>
      </c>
      <c r="H2425" s="641" t="s">
        <v>44</v>
      </c>
      <c r="I2425" s="641" t="s">
        <v>36</v>
      </c>
      <c r="J2425" s="642">
        <v>1</v>
      </c>
      <c r="K2425" t="s">
        <v>2118</v>
      </c>
    </row>
    <row r="2426" spans="1:11" ht="24.6" hidden="1" x14ac:dyDescent="0.4">
      <c r="A2426" s="1781"/>
      <c r="B2426" s="765"/>
      <c r="C2426" s="641"/>
      <c r="D2426" s="641"/>
      <c r="E2426" s="641"/>
      <c r="F2426" s="2523"/>
      <c r="G2426" s="641"/>
      <c r="H2426" s="641"/>
      <c r="I2426" s="641"/>
      <c r="J2426" s="1837"/>
    </row>
    <row r="2427" spans="1:11" ht="24.6" hidden="1" x14ac:dyDescent="0.4">
      <c r="A2427" s="3462" t="s">
        <v>2003</v>
      </c>
      <c r="B2427" s="3462"/>
      <c r="C2427" s="3462"/>
      <c r="D2427" s="3462"/>
      <c r="E2427" s="3462"/>
      <c r="F2427" s="3462"/>
      <c r="G2427" s="3462"/>
      <c r="H2427" s="3462"/>
      <c r="I2427" s="3462"/>
      <c r="J2427" s="3462"/>
    </row>
    <row r="2428" spans="1:11" hidden="1" x14ac:dyDescent="0.3">
      <c r="A2428" s="137" t="s">
        <v>3</v>
      </c>
      <c r="B2428" s="1781" t="s">
        <v>4</v>
      </c>
      <c r="C2428" s="137" t="s">
        <v>5</v>
      </c>
      <c r="D2428" s="137" t="s">
        <v>6</v>
      </c>
      <c r="E2428" s="137" t="s">
        <v>7</v>
      </c>
      <c r="F2428" s="137" t="s">
        <v>8</v>
      </c>
      <c r="G2428" s="137" t="s">
        <v>9</v>
      </c>
      <c r="H2428" s="137" t="s">
        <v>10</v>
      </c>
      <c r="I2428" s="137" t="s">
        <v>11</v>
      </c>
      <c r="J2428" s="137" t="s">
        <v>12</v>
      </c>
    </row>
    <row r="2429" spans="1:11" hidden="1" x14ac:dyDescent="0.3">
      <c r="A2429" s="1845">
        <v>1</v>
      </c>
      <c r="B2429" s="3404">
        <v>44837</v>
      </c>
      <c r="C2429" s="1838" t="s">
        <v>37</v>
      </c>
      <c r="D2429" s="1838" t="s">
        <v>2303</v>
      </c>
      <c r="E2429" s="1838" t="s">
        <v>180</v>
      </c>
      <c r="F2429" s="1838">
        <v>215000000</v>
      </c>
      <c r="G2429" s="1838" t="s">
        <v>2118</v>
      </c>
      <c r="H2429" s="1838" t="s">
        <v>36</v>
      </c>
      <c r="I2429" s="1838" t="s">
        <v>36</v>
      </c>
      <c r="J2429" s="1839">
        <v>1</v>
      </c>
    </row>
    <row r="2430" spans="1:11" hidden="1" x14ac:dyDescent="0.3">
      <c r="A2430" s="1846">
        <v>2</v>
      </c>
      <c r="B2430" s="3404">
        <v>44837</v>
      </c>
      <c r="C2430" s="1838" t="s">
        <v>37</v>
      </c>
      <c r="D2430" s="1840" t="s">
        <v>2304</v>
      </c>
      <c r="E2430" s="1840" t="s">
        <v>180</v>
      </c>
      <c r="F2430" s="1838">
        <v>197000000</v>
      </c>
      <c r="G2430" s="1840" t="s">
        <v>168</v>
      </c>
      <c r="H2430" s="1840" t="s">
        <v>44</v>
      </c>
      <c r="I2430" s="1840" t="s">
        <v>36</v>
      </c>
      <c r="J2430" s="1841">
        <v>1</v>
      </c>
    </row>
    <row r="2431" spans="1:11" hidden="1" x14ac:dyDescent="0.3">
      <c r="A2431" s="2177">
        <v>3</v>
      </c>
      <c r="B2431" s="3404" t="s">
        <v>2305</v>
      </c>
      <c r="C2431" s="2350" t="s">
        <v>37</v>
      </c>
      <c r="D2431" s="2350" t="s">
        <v>2306</v>
      </c>
      <c r="E2431" s="2350" t="s">
        <v>869</v>
      </c>
      <c r="F2431" s="1838">
        <v>250000000</v>
      </c>
      <c r="G2431" s="2350" t="s">
        <v>2307</v>
      </c>
      <c r="H2431" s="2350" t="s">
        <v>44</v>
      </c>
      <c r="I2431" s="2350" t="s">
        <v>36</v>
      </c>
      <c r="J2431" s="1842">
        <v>1</v>
      </c>
    </row>
    <row r="2432" spans="1:11" hidden="1" x14ac:dyDescent="0.3"/>
    <row r="2433" spans="1:11" hidden="1" x14ac:dyDescent="0.3"/>
    <row r="2434" spans="1:11" ht="23.4" hidden="1" x14ac:dyDescent="0.3">
      <c r="A2434" s="3460" t="s">
        <v>2073</v>
      </c>
      <c r="B2434" s="3460"/>
      <c r="C2434" s="3460"/>
      <c r="D2434" s="3460"/>
      <c r="E2434" s="3460"/>
      <c r="F2434" s="3460"/>
      <c r="G2434" s="3460"/>
      <c r="H2434" s="3460"/>
      <c r="I2434" s="3460"/>
      <c r="J2434" s="3460"/>
    </row>
    <row r="2435" spans="1:11" ht="15.6" hidden="1" x14ac:dyDescent="0.3">
      <c r="A2435" s="3461" t="s">
        <v>2</v>
      </c>
      <c r="B2435" s="3461"/>
      <c r="C2435" s="3461"/>
      <c r="D2435" s="3461"/>
      <c r="E2435" s="3461"/>
      <c r="F2435" s="3461"/>
      <c r="G2435" s="3461"/>
      <c r="H2435" s="3461"/>
      <c r="I2435" s="3461"/>
      <c r="J2435" s="3461"/>
    </row>
    <row r="2436" spans="1:11" hidden="1" x14ac:dyDescent="0.3">
      <c r="A2436" s="137" t="s">
        <v>3</v>
      </c>
      <c r="B2436" s="1781" t="s">
        <v>4</v>
      </c>
      <c r="C2436" s="137" t="s">
        <v>5</v>
      </c>
      <c r="D2436" s="137" t="s">
        <v>6</v>
      </c>
      <c r="E2436" s="137" t="s">
        <v>7</v>
      </c>
      <c r="F2436" s="2522" t="s">
        <v>8</v>
      </c>
      <c r="G2436" s="137" t="s">
        <v>9</v>
      </c>
      <c r="H2436" s="137" t="s">
        <v>10</v>
      </c>
      <c r="I2436" s="137" t="s">
        <v>11</v>
      </c>
      <c r="J2436" s="137" t="s">
        <v>12</v>
      </c>
    </row>
    <row r="2437" spans="1:11" hidden="1" x14ac:dyDescent="0.3">
      <c r="A2437" s="137">
        <v>1</v>
      </c>
      <c r="B2437" s="3402">
        <v>44623</v>
      </c>
      <c r="C2437" s="642" t="s">
        <v>74</v>
      </c>
      <c r="D2437" s="642" t="s">
        <v>2308</v>
      </c>
      <c r="E2437" s="642" t="s">
        <v>68</v>
      </c>
      <c r="F2437" s="2519" t="s">
        <v>2309</v>
      </c>
      <c r="G2437" s="642" t="s">
        <v>168</v>
      </c>
      <c r="H2437" s="642" t="s">
        <v>36</v>
      </c>
      <c r="I2437" s="642" t="s">
        <v>36</v>
      </c>
      <c r="J2437" s="642">
        <v>1</v>
      </c>
      <c r="K2437" t="s">
        <v>1770</v>
      </c>
    </row>
    <row r="2438" spans="1:11" hidden="1" x14ac:dyDescent="0.3">
      <c r="A2438" s="137">
        <v>2</v>
      </c>
      <c r="B2438" s="3402">
        <v>44745</v>
      </c>
      <c r="C2438" s="642" t="s">
        <v>37</v>
      </c>
      <c r="D2438" s="642" t="s">
        <v>2310</v>
      </c>
      <c r="E2438" s="642" t="s">
        <v>998</v>
      </c>
      <c r="F2438" s="2519">
        <v>1100000</v>
      </c>
      <c r="G2438" s="642" t="s">
        <v>2200</v>
      </c>
      <c r="H2438" s="642" t="s">
        <v>36</v>
      </c>
      <c r="I2438" s="642" t="s">
        <v>36</v>
      </c>
      <c r="J2438" s="642">
        <v>1</v>
      </c>
      <c r="K2438" t="s">
        <v>1770</v>
      </c>
    </row>
    <row r="2439" spans="1:11" hidden="1" x14ac:dyDescent="0.3">
      <c r="A2439" s="137">
        <v>3</v>
      </c>
      <c r="B2439" s="3402">
        <v>44745</v>
      </c>
      <c r="C2439" s="642" t="s">
        <v>37</v>
      </c>
      <c r="D2439" s="642" t="s">
        <v>2311</v>
      </c>
      <c r="E2439" s="642" t="s">
        <v>998</v>
      </c>
      <c r="F2439" s="2519">
        <v>1050000</v>
      </c>
      <c r="G2439" s="642" t="s">
        <v>2195</v>
      </c>
      <c r="H2439" s="642" t="s">
        <v>44</v>
      </c>
      <c r="I2439" s="642" t="s">
        <v>36</v>
      </c>
      <c r="J2439" s="642">
        <v>1</v>
      </c>
      <c r="K2439" t="s">
        <v>1770</v>
      </c>
    </row>
    <row r="2440" spans="1:11" hidden="1" x14ac:dyDescent="0.3">
      <c r="A2440" s="137">
        <v>4</v>
      </c>
      <c r="B2440" s="3402">
        <v>44807</v>
      </c>
      <c r="C2440" s="642" t="s">
        <v>37</v>
      </c>
      <c r="D2440" s="642" t="s">
        <v>2312</v>
      </c>
      <c r="E2440" s="642" t="s">
        <v>869</v>
      </c>
      <c r="F2440" s="2519">
        <v>1200000</v>
      </c>
      <c r="G2440" s="642" t="s">
        <v>2313</v>
      </c>
      <c r="H2440" s="642" t="s">
        <v>44</v>
      </c>
      <c r="I2440" s="642" t="s">
        <v>36</v>
      </c>
      <c r="J2440" s="642">
        <v>1</v>
      </c>
      <c r="K2440" t="s">
        <v>217</v>
      </c>
    </row>
    <row r="2441" spans="1:11" hidden="1" x14ac:dyDescent="0.3">
      <c r="A2441" s="137">
        <v>5</v>
      </c>
      <c r="B2441" s="3402">
        <v>44868</v>
      </c>
      <c r="C2441" s="642" t="s">
        <v>37</v>
      </c>
      <c r="D2441" s="642" t="s">
        <v>902</v>
      </c>
      <c r="E2441" s="642" t="s">
        <v>869</v>
      </c>
      <c r="F2441" s="2519">
        <v>1100000</v>
      </c>
      <c r="G2441" s="642" t="s">
        <v>2261</v>
      </c>
      <c r="H2441" s="642" t="s">
        <v>44</v>
      </c>
      <c r="I2441" s="642" t="s">
        <v>36</v>
      </c>
      <c r="J2441" s="642">
        <v>1</v>
      </c>
      <c r="K2441" t="s">
        <v>1770</v>
      </c>
    </row>
    <row r="2442" spans="1:11" hidden="1" x14ac:dyDescent="0.3">
      <c r="A2442" s="137">
        <v>7</v>
      </c>
      <c r="B2442" s="3402">
        <v>44868</v>
      </c>
      <c r="C2442" s="642" t="s">
        <v>37</v>
      </c>
      <c r="D2442" s="642" t="s">
        <v>2314</v>
      </c>
      <c r="E2442" s="642" t="s">
        <v>869</v>
      </c>
      <c r="F2442" s="2519">
        <v>1300000</v>
      </c>
      <c r="G2442" s="642" t="s">
        <v>2261</v>
      </c>
      <c r="H2442" s="642" t="s">
        <v>44</v>
      </c>
      <c r="I2442" s="642" t="s">
        <v>36</v>
      </c>
      <c r="J2442" s="642">
        <v>1</v>
      </c>
      <c r="K2442" t="s">
        <v>1770</v>
      </c>
    </row>
    <row r="2443" spans="1:11" hidden="1" x14ac:dyDescent="0.3">
      <c r="A2443" s="137">
        <v>8</v>
      </c>
      <c r="B2443" s="3402" t="s">
        <v>2287</v>
      </c>
      <c r="C2443" s="642" t="s">
        <v>37</v>
      </c>
      <c r="D2443" s="641" t="s">
        <v>2315</v>
      </c>
      <c r="E2443" s="641" t="s">
        <v>2316</v>
      </c>
      <c r="F2443" s="2520">
        <v>650000</v>
      </c>
      <c r="G2443" s="642" t="s">
        <v>2261</v>
      </c>
      <c r="H2443" s="641" t="s">
        <v>36</v>
      </c>
      <c r="I2443" s="641" t="s">
        <v>36</v>
      </c>
      <c r="J2443" s="642">
        <v>1</v>
      </c>
    </row>
    <row r="2444" spans="1:11" hidden="1" x14ac:dyDescent="0.3">
      <c r="A2444" s="137">
        <v>9</v>
      </c>
      <c r="B2444" s="3402" t="s">
        <v>2287</v>
      </c>
      <c r="C2444" s="642" t="s">
        <v>37</v>
      </c>
      <c r="D2444" s="642" t="s">
        <v>2317</v>
      </c>
      <c r="E2444" s="642" t="s">
        <v>998</v>
      </c>
      <c r="F2444" s="2519">
        <v>1100000</v>
      </c>
      <c r="G2444" s="642" t="s">
        <v>2261</v>
      </c>
      <c r="H2444" s="642" t="s">
        <v>36</v>
      </c>
      <c r="I2444" s="642" t="s">
        <v>36</v>
      </c>
      <c r="J2444" s="642">
        <v>1</v>
      </c>
      <c r="K2444" t="s">
        <v>1770</v>
      </c>
    </row>
    <row r="2445" spans="1:11" hidden="1" x14ac:dyDescent="0.3">
      <c r="A2445" s="137">
        <v>10</v>
      </c>
      <c r="B2445" s="3402" t="s">
        <v>2256</v>
      </c>
      <c r="C2445" s="642" t="s">
        <v>37</v>
      </c>
      <c r="D2445" s="642" t="s">
        <v>2318</v>
      </c>
      <c r="E2445" s="642" t="s">
        <v>998</v>
      </c>
      <c r="F2445" s="2519">
        <v>1100000</v>
      </c>
      <c r="G2445" s="642" t="s">
        <v>2319</v>
      </c>
      <c r="H2445" s="642" t="s">
        <v>36</v>
      </c>
      <c r="I2445" s="642" t="s">
        <v>36</v>
      </c>
      <c r="J2445" s="642">
        <v>1</v>
      </c>
      <c r="K2445" t="s">
        <v>217</v>
      </c>
    </row>
    <row r="2446" spans="1:11" hidden="1" x14ac:dyDescent="0.3">
      <c r="A2446" s="137">
        <v>12</v>
      </c>
      <c r="B2446" s="3402" t="s">
        <v>2256</v>
      </c>
      <c r="C2446" s="642" t="s">
        <v>37</v>
      </c>
      <c r="D2446" s="642" t="s">
        <v>2320</v>
      </c>
      <c r="E2446" s="642" t="s">
        <v>1130</v>
      </c>
      <c r="F2446" s="2519">
        <v>1450000</v>
      </c>
      <c r="G2446" s="642" t="s">
        <v>2321</v>
      </c>
      <c r="H2446" s="642" t="s">
        <v>44</v>
      </c>
      <c r="I2446" s="642" t="s">
        <v>36</v>
      </c>
      <c r="J2446" s="642">
        <v>1</v>
      </c>
      <c r="K2446" t="s">
        <v>217</v>
      </c>
    </row>
    <row r="2447" spans="1:11" hidden="1" x14ac:dyDescent="0.3">
      <c r="A2447" s="137">
        <v>13</v>
      </c>
      <c r="B2447" s="3402" t="s">
        <v>2256</v>
      </c>
      <c r="C2447" s="642" t="s">
        <v>37</v>
      </c>
      <c r="D2447" s="642" t="s">
        <v>2322</v>
      </c>
      <c r="E2447" s="642" t="s">
        <v>998</v>
      </c>
      <c r="F2447" s="2519">
        <v>1050000</v>
      </c>
      <c r="G2447" s="642" t="s">
        <v>2323</v>
      </c>
      <c r="H2447" s="642" t="s">
        <v>36</v>
      </c>
      <c r="I2447" s="642" t="s">
        <v>36</v>
      </c>
      <c r="J2447" s="642">
        <v>1</v>
      </c>
      <c r="K2447" t="s">
        <v>2118</v>
      </c>
    </row>
    <row r="2448" spans="1:11" hidden="1" x14ac:dyDescent="0.3">
      <c r="A2448" s="137">
        <v>14</v>
      </c>
      <c r="B2448" s="3402" t="s">
        <v>2324</v>
      </c>
      <c r="C2448" s="642" t="s">
        <v>37</v>
      </c>
      <c r="D2448" s="642" t="s">
        <v>2325</v>
      </c>
      <c r="E2448" s="642" t="s">
        <v>925</v>
      </c>
      <c r="F2448" s="2519">
        <v>1200000</v>
      </c>
      <c r="G2448" s="642" t="s">
        <v>168</v>
      </c>
      <c r="H2448" s="642" t="s">
        <v>44</v>
      </c>
      <c r="I2448" s="642" t="s">
        <v>36</v>
      </c>
      <c r="J2448" s="642">
        <v>1</v>
      </c>
      <c r="K2448" t="s">
        <v>2118</v>
      </c>
    </row>
    <row r="2449" spans="1:11" hidden="1" x14ac:dyDescent="0.3">
      <c r="A2449" s="137">
        <v>15</v>
      </c>
      <c r="B2449" s="3402" t="s">
        <v>2324</v>
      </c>
      <c r="C2449" s="642" t="s">
        <v>37</v>
      </c>
      <c r="D2449" s="642" t="s">
        <v>2326</v>
      </c>
      <c r="E2449" s="642" t="s">
        <v>869</v>
      </c>
      <c r="F2449" s="2519">
        <v>1100000</v>
      </c>
      <c r="G2449" s="642" t="s">
        <v>2261</v>
      </c>
      <c r="H2449" s="642" t="s">
        <v>36</v>
      </c>
      <c r="I2449" s="642" t="s">
        <v>36</v>
      </c>
      <c r="J2449" s="642">
        <v>1</v>
      </c>
      <c r="K2449" t="s">
        <v>1770</v>
      </c>
    </row>
    <row r="2450" spans="1:11" hidden="1" x14ac:dyDescent="0.3">
      <c r="A2450" s="137">
        <v>16</v>
      </c>
      <c r="B2450" s="765" t="s">
        <v>2305</v>
      </c>
      <c r="C2450" s="642" t="s">
        <v>37</v>
      </c>
      <c r="D2450" s="642" t="s">
        <v>2327</v>
      </c>
      <c r="E2450" s="642" t="s">
        <v>869</v>
      </c>
      <c r="F2450" s="2519">
        <v>1200000</v>
      </c>
      <c r="G2450" s="642" t="s">
        <v>2261</v>
      </c>
      <c r="H2450" s="642" t="s">
        <v>44</v>
      </c>
      <c r="I2450" s="642" t="s">
        <v>36</v>
      </c>
      <c r="J2450" s="642">
        <v>1</v>
      </c>
      <c r="K2450" t="s">
        <v>1770</v>
      </c>
    </row>
    <row r="2451" spans="1:11" hidden="1" x14ac:dyDescent="0.3">
      <c r="A2451" s="1781">
        <v>17</v>
      </c>
      <c r="B2451" s="765" t="s">
        <v>2262</v>
      </c>
      <c r="C2451" s="642" t="s">
        <v>37</v>
      </c>
      <c r="D2451" s="641" t="s">
        <v>2328</v>
      </c>
      <c r="E2451" s="642" t="s">
        <v>998</v>
      </c>
      <c r="F2451" s="2520">
        <v>1200000</v>
      </c>
      <c r="G2451" s="641" t="s">
        <v>788</v>
      </c>
      <c r="H2451" s="641" t="s">
        <v>36</v>
      </c>
      <c r="I2451" s="641" t="s">
        <v>36</v>
      </c>
      <c r="J2451" s="642">
        <v>1</v>
      </c>
      <c r="K2451" t="s">
        <v>1770</v>
      </c>
    </row>
    <row r="2452" spans="1:11" hidden="1" x14ac:dyDescent="0.3">
      <c r="A2452" s="1781">
        <v>18</v>
      </c>
      <c r="B2452" s="765" t="s">
        <v>2294</v>
      </c>
      <c r="C2452" s="642" t="s">
        <v>37</v>
      </c>
      <c r="D2452" s="641" t="s">
        <v>2329</v>
      </c>
      <c r="E2452" s="642" t="s">
        <v>998</v>
      </c>
      <c r="F2452" s="2520">
        <v>1200000</v>
      </c>
      <c r="G2452" s="641" t="s">
        <v>2195</v>
      </c>
      <c r="H2452" s="641" t="s">
        <v>44</v>
      </c>
      <c r="I2452" s="641" t="s">
        <v>36</v>
      </c>
      <c r="J2452" s="642">
        <v>1</v>
      </c>
      <c r="K2452" t="s">
        <v>2118</v>
      </c>
    </row>
    <row r="2453" spans="1:11" hidden="1" x14ac:dyDescent="0.3">
      <c r="A2453" s="1781">
        <v>19</v>
      </c>
      <c r="B2453" s="765" t="s">
        <v>2269</v>
      </c>
      <c r="C2453" s="642" t="s">
        <v>37</v>
      </c>
      <c r="D2453" s="641" t="s">
        <v>2330</v>
      </c>
      <c r="E2453" s="642" t="s">
        <v>1140</v>
      </c>
      <c r="F2453" s="2520">
        <v>1050000</v>
      </c>
      <c r="G2453" s="641" t="s">
        <v>2331</v>
      </c>
      <c r="H2453" s="641" t="s">
        <v>44</v>
      </c>
      <c r="I2453" s="641" t="s">
        <v>36</v>
      </c>
      <c r="J2453" s="642">
        <v>1</v>
      </c>
      <c r="K2453" t="s">
        <v>2270</v>
      </c>
    </row>
    <row r="2454" spans="1:11" hidden="1" x14ac:dyDescent="0.3">
      <c r="A2454" s="1781">
        <v>20</v>
      </c>
      <c r="B2454" s="765" t="s">
        <v>2269</v>
      </c>
      <c r="C2454" s="642" t="s">
        <v>37</v>
      </c>
      <c r="D2454" s="641" t="s">
        <v>2332</v>
      </c>
      <c r="E2454" s="641" t="s">
        <v>925</v>
      </c>
      <c r="F2454" s="2520">
        <v>850000</v>
      </c>
      <c r="G2454" s="641" t="s">
        <v>2333</v>
      </c>
      <c r="H2454" s="641" t="s">
        <v>36</v>
      </c>
      <c r="I2454" s="641" t="s">
        <v>36</v>
      </c>
      <c r="J2454" s="642">
        <v>1</v>
      </c>
      <c r="K2454" t="s">
        <v>1770</v>
      </c>
    </row>
    <row r="2455" spans="1:11" ht="24.6" hidden="1" x14ac:dyDescent="0.4">
      <c r="A2455" s="1781"/>
      <c r="B2455" s="765"/>
      <c r="C2455" s="641"/>
      <c r="D2455" s="641"/>
      <c r="E2455" s="641"/>
      <c r="F2455" s="2523"/>
      <c r="G2455" s="641"/>
      <c r="H2455" s="641"/>
      <c r="I2455" s="641"/>
      <c r="J2455" s="1837"/>
    </row>
    <row r="2456" spans="1:11" ht="24.6" hidden="1" x14ac:dyDescent="0.4">
      <c r="A2456" s="3462" t="s">
        <v>2003</v>
      </c>
      <c r="B2456" s="3462"/>
      <c r="C2456" s="3462"/>
      <c r="D2456" s="3462"/>
      <c r="E2456" s="3462"/>
      <c r="F2456" s="3462"/>
      <c r="G2456" s="3462"/>
      <c r="H2456" s="3462"/>
      <c r="I2456" s="3462"/>
      <c r="J2456" s="3462"/>
    </row>
    <row r="2457" spans="1:11" hidden="1" x14ac:dyDescent="0.3">
      <c r="A2457" s="137" t="s">
        <v>3</v>
      </c>
      <c r="B2457" s="1781" t="s">
        <v>4</v>
      </c>
      <c r="C2457" s="137" t="s">
        <v>5</v>
      </c>
      <c r="D2457" s="137" t="s">
        <v>6</v>
      </c>
      <c r="E2457" s="137" t="s">
        <v>7</v>
      </c>
      <c r="F2457" s="137" t="s">
        <v>8</v>
      </c>
      <c r="G2457" s="137" t="s">
        <v>9</v>
      </c>
      <c r="H2457" s="137" t="s">
        <v>10</v>
      </c>
      <c r="I2457" s="137" t="s">
        <v>11</v>
      </c>
      <c r="J2457" s="137" t="s">
        <v>12</v>
      </c>
    </row>
    <row r="2458" spans="1:11" hidden="1" x14ac:dyDescent="0.3">
      <c r="A2458" s="1845">
        <v>1</v>
      </c>
      <c r="B2458" s="3404">
        <v>44623</v>
      </c>
      <c r="C2458" s="1838" t="s">
        <v>74</v>
      </c>
      <c r="D2458" s="1838" t="s">
        <v>2334</v>
      </c>
      <c r="E2458" s="1838" t="s">
        <v>2335</v>
      </c>
      <c r="F2458" s="1838" t="s">
        <v>2336</v>
      </c>
      <c r="G2458" s="1838" t="s">
        <v>168</v>
      </c>
      <c r="H2458" s="1838" t="s">
        <v>44</v>
      </c>
      <c r="I2458" s="1838" t="s">
        <v>36</v>
      </c>
      <c r="J2458" s="1839">
        <v>1</v>
      </c>
    </row>
    <row r="2459" spans="1:11" hidden="1" x14ac:dyDescent="0.3">
      <c r="A2459" s="1846">
        <v>2</v>
      </c>
      <c r="B2459" s="3404">
        <v>44623</v>
      </c>
      <c r="C2459" s="1840" t="s">
        <v>37</v>
      </c>
      <c r="D2459" s="1840" t="s">
        <v>1787</v>
      </c>
      <c r="E2459" s="1840" t="s">
        <v>869</v>
      </c>
      <c r="F2459" s="1840" t="s">
        <v>2337</v>
      </c>
      <c r="G2459" s="1840" t="s">
        <v>634</v>
      </c>
      <c r="H2459" s="1840" t="s">
        <v>44</v>
      </c>
      <c r="I2459" s="1840" t="s">
        <v>36</v>
      </c>
      <c r="J2459" s="1841">
        <v>1</v>
      </c>
    </row>
    <row r="2460" spans="1:11" hidden="1" x14ac:dyDescent="0.3">
      <c r="A2460" s="2177">
        <v>3</v>
      </c>
      <c r="B2460" s="3410">
        <v>44745</v>
      </c>
      <c r="C2460" s="2350" t="s">
        <v>37</v>
      </c>
      <c r="D2460" s="2350" t="s">
        <v>2310</v>
      </c>
      <c r="E2460" s="2350" t="s">
        <v>998</v>
      </c>
      <c r="F2460" s="2350">
        <v>200000000</v>
      </c>
      <c r="G2460" s="2350" t="s">
        <v>2200</v>
      </c>
      <c r="H2460" s="2350" t="s">
        <v>36</v>
      </c>
      <c r="I2460" s="2350" t="s">
        <v>36</v>
      </c>
      <c r="J2460" s="1842">
        <v>1</v>
      </c>
    </row>
    <row r="2461" spans="1:11" hidden="1" x14ac:dyDescent="0.3">
      <c r="A2461" s="2351">
        <v>4</v>
      </c>
      <c r="B2461" s="3413">
        <v>44868</v>
      </c>
      <c r="C2461" s="2706" t="s">
        <v>37</v>
      </c>
      <c r="D2461" s="2706" t="s">
        <v>1115</v>
      </c>
      <c r="E2461" s="2706" t="s">
        <v>913</v>
      </c>
      <c r="F2461" s="2706">
        <v>175000000</v>
      </c>
      <c r="G2461" s="2706" t="s">
        <v>168</v>
      </c>
      <c r="H2461" s="2706" t="s">
        <v>44</v>
      </c>
      <c r="I2461" s="2706" t="s">
        <v>36</v>
      </c>
      <c r="J2461" s="1849">
        <v>1</v>
      </c>
    </row>
    <row r="2462" spans="1:11" hidden="1" x14ac:dyDescent="0.3">
      <c r="A2462" s="2177">
        <v>5</v>
      </c>
      <c r="B2462" s="3406"/>
      <c r="C2462" s="2350"/>
      <c r="D2462" s="2350"/>
      <c r="E2462" s="2350"/>
      <c r="F2462" s="2350"/>
      <c r="G2462" s="2350"/>
      <c r="H2462" s="2350"/>
      <c r="I2462" s="2350"/>
      <c r="J2462" s="1842"/>
    </row>
    <row r="2463" spans="1:11" hidden="1" x14ac:dyDescent="0.3"/>
    <row r="2464" spans="1:11" ht="23.4" hidden="1" x14ac:dyDescent="0.3">
      <c r="A2464" s="3460" t="s">
        <v>2008</v>
      </c>
      <c r="B2464" s="3460"/>
      <c r="C2464" s="3460"/>
      <c r="D2464" s="3460"/>
      <c r="E2464" s="3460"/>
      <c r="F2464" s="3460"/>
      <c r="G2464" s="3460"/>
      <c r="H2464" s="3460"/>
      <c r="I2464" s="3460"/>
      <c r="J2464" s="3460"/>
    </row>
    <row r="2465" spans="1:11" ht="15.6" hidden="1" x14ac:dyDescent="0.3">
      <c r="A2465" s="3461" t="s">
        <v>2</v>
      </c>
      <c r="B2465" s="3461"/>
      <c r="C2465" s="3461"/>
      <c r="D2465" s="3461"/>
      <c r="E2465" s="3461"/>
      <c r="F2465" s="3461"/>
      <c r="G2465" s="3461"/>
      <c r="H2465" s="3461"/>
      <c r="I2465" s="3461"/>
      <c r="J2465" s="3461"/>
    </row>
    <row r="2466" spans="1:11" hidden="1" x14ac:dyDescent="0.3">
      <c r="A2466" s="137" t="s">
        <v>3</v>
      </c>
      <c r="B2466" s="1781" t="s">
        <v>4</v>
      </c>
      <c r="C2466" s="137" t="s">
        <v>5</v>
      </c>
      <c r="D2466" s="137" t="s">
        <v>6</v>
      </c>
      <c r="E2466" s="137" t="s">
        <v>7</v>
      </c>
      <c r="F2466" s="2522" t="s">
        <v>8</v>
      </c>
      <c r="G2466" s="137" t="s">
        <v>9</v>
      </c>
      <c r="H2466" s="137" t="s">
        <v>10</v>
      </c>
      <c r="I2466" s="137" t="s">
        <v>11</v>
      </c>
      <c r="J2466" s="137" t="s">
        <v>12</v>
      </c>
    </row>
    <row r="2467" spans="1:11" hidden="1" x14ac:dyDescent="0.3">
      <c r="A2467" s="137">
        <v>1</v>
      </c>
      <c r="B2467" s="765" t="s">
        <v>2338</v>
      </c>
      <c r="C2467" s="642" t="s">
        <v>2339</v>
      </c>
      <c r="D2467" s="642" t="s">
        <v>2340</v>
      </c>
      <c r="E2467" s="642" t="s">
        <v>2341</v>
      </c>
      <c r="F2467" s="2595">
        <v>1250000</v>
      </c>
      <c r="G2467" s="642" t="s">
        <v>1095</v>
      </c>
      <c r="H2467" s="642" t="s">
        <v>36</v>
      </c>
      <c r="I2467" s="642" t="s">
        <v>36</v>
      </c>
      <c r="J2467" s="642">
        <v>1</v>
      </c>
      <c r="K2467" t="s">
        <v>1770</v>
      </c>
    </row>
    <row r="2468" spans="1:11" hidden="1" x14ac:dyDescent="0.3">
      <c r="A2468" s="137">
        <v>2</v>
      </c>
      <c r="B2468" s="3402">
        <v>44564</v>
      </c>
      <c r="C2468" s="642" t="s">
        <v>219</v>
      </c>
      <c r="D2468" s="642" t="s">
        <v>2342</v>
      </c>
      <c r="E2468" s="642" t="s">
        <v>904</v>
      </c>
      <c r="F2468" s="2595">
        <v>800000</v>
      </c>
      <c r="G2468" s="642" t="s">
        <v>729</v>
      </c>
      <c r="H2468" s="642" t="s">
        <v>36</v>
      </c>
      <c r="I2468" s="642" t="s">
        <v>36</v>
      </c>
      <c r="J2468" s="642">
        <v>1</v>
      </c>
      <c r="K2468" t="s">
        <v>2118</v>
      </c>
    </row>
    <row r="2469" spans="1:11" hidden="1" x14ac:dyDescent="0.3">
      <c r="A2469" s="137">
        <v>3</v>
      </c>
      <c r="B2469" s="3402">
        <v>44564</v>
      </c>
      <c r="C2469" s="642" t="s">
        <v>37</v>
      </c>
      <c r="D2469" s="642" t="s">
        <v>2343</v>
      </c>
      <c r="E2469" s="642" t="s">
        <v>2344</v>
      </c>
      <c r="F2469" s="2595">
        <v>700000</v>
      </c>
      <c r="G2469" s="642" t="s">
        <v>168</v>
      </c>
      <c r="H2469" s="642" t="s">
        <v>36</v>
      </c>
      <c r="I2469" s="642" t="s">
        <v>36</v>
      </c>
      <c r="J2469" s="642">
        <v>1</v>
      </c>
      <c r="K2469" t="s">
        <v>217</v>
      </c>
    </row>
    <row r="2470" spans="1:11" hidden="1" x14ac:dyDescent="0.3">
      <c r="A2470" s="137">
        <v>4</v>
      </c>
      <c r="B2470" s="3402">
        <v>44564</v>
      </c>
      <c r="C2470" s="642" t="s">
        <v>37</v>
      </c>
      <c r="D2470" s="642" t="s">
        <v>2345</v>
      </c>
      <c r="E2470" s="642" t="s">
        <v>1130</v>
      </c>
      <c r="F2470" s="2595">
        <v>1350000</v>
      </c>
      <c r="G2470" s="642" t="s">
        <v>2258</v>
      </c>
      <c r="H2470" s="642" t="s">
        <v>36</v>
      </c>
      <c r="I2470" s="642" t="s">
        <v>36</v>
      </c>
      <c r="J2470" s="642">
        <v>1</v>
      </c>
      <c r="K2470" t="s">
        <v>217</v>
      </c>
    </row>
    <row r="2471" spans="1:11" hidden="1" x14ac:dyDescent="0.3">
      <c r="A2471" s="137">
        <v>5</v>
      </c>
      <c r="B2471" s="3402">
        <v>44623</v>
      </c>
      <c r="C2471" s="642" t="s">
        <v>37</v>
      </c>
      <c r="D2471" s="642" t="s">
        <v>2346</v>
      </c>
      <c r="E2471" s="642" t="s">
        <v>1130</v>
      </c>
      <c r="F2471" s="2595">
        <v>1200000</v>
      </c>
      <c r="G2471" s="642" t="s">
        <v>2347</v>
      </c>
      <c r="H2471" s="642" t="s">
        <v>36</v>
      </c>
      <c r="I2471" s="642" t="s">
        <v>36</v>
      </c>
      <c r="J2471" s="642">
        <v>1</v>
      </c>
      <c r="K2471" t="s">
        <v>217</v>
      </c>
    </row>
    <row r="2472" spans="1:11" hidden="1" x14ac:dyDescent="0.3">
      <c r="A2472" s="137">
        <v>6</v>
      </c>
      <c r="B2472" s="3402">
        <v>44623</v>
      </c>
      <c r="C2472" s="642" t="s">
        <v>37</v>
      </c>
      <c r="D2472" s="642" t="s">
        <v>2348</v>
      </c>
      <c r="E2472" s="642" t="s">
        <v>2341</v>
      </c>
      <c r="F2472" s="2595">
        <v>1300000</v>
      </c>
      <c r="G2472" s="642" t="s">
        <v>1095</v>
      </c>
      <c r="H2472" s="642" t="s">
        <v>36</v>
      </c>
      <c r="I2472" s="642" t="s">
        <v>36</v>
      </c>
      <c r="J2472" s="642">
        <v>1</v>
      </c>
      <c r="K2472" t="s">
        <v>2118</v>
      </c>
    </row>
    <row r="2473" spans="1:11" hidden="1" x14ac:dyDescent="0.3">
      <c r="A2473" s="137">
        <v>7</v>
      </c>
      <c r="B2473" s="3402">
        <v>44684</v>
      </c>
      <c r="C2473" s="642" t="s">
        <v>37</v>
      </c>
      <c r="D2473" s="641" t="s">
        <v>2349</v>
      </c>
      <c r="E2473" s="641" t="s">
        <v>869</v>
      </c>
      <c r="F2473" s="2520">
        <v>1300000</v>
      </c>
      <c r="G2473" s="641" t="s">
        <v>1095</v>
      </c>
      <c r="H2473" s="641" t="s">
        <v>36</v>
      </c>
      <c r="I2473" s="641" t="s">
        <v>36</v>
      </c>
      <c r="J2473" s="642">
        <v>1</v>
      </c>
      <c r="K2473" t="s">
        <v>217</v>
      </c>
    </row>
    <row r="2474" spans="1:11" hidden="1" x14ac:dyDescent="0.3">
      <c r="A2474" s="137">
        <v>8</v>
      </c>
      <c r="B2474" s="3402">
        <v>44684</v>
      </c>
      <c r="C2474" s="642" t="s">
        <v>219</v>
      </c>
      <c r="D2474" s="642" t="s">
        <v>2350</v>
      </c>
      <c r="E2474" s="642" t="s">
        <v>869</v>
      </c>
      <c r="F2474" s="2519">
        <v>870000</v>
      </c>
      <c r="G2474" s="642" t="s">
        <v>168</v>
      </c>
      <c r="H2474" s="642" t="s">
        <v>36</v>
      </c>
      <c r="I2474" s="642" t="s">
        <v>2351</v>
      </c>
      <c r="J2474" s="642">
        <v>1</v>
      </c>
      <c r="K2474" t="s">
        <v>217</v>
      </c>
    </row>
    <row r="2475" spans="1:11" hidden="1" x14ac:dyDescent="0.3">
      <c r="A2475" s="137">
        <v>9</v>
      </c>
      <c r="B2475" s="3402">
        <v>44684</v>
      </c>
      <c r="C2475" s="642" t="s">
        <v>219</v>
      </c>
      <c r="D2475" s="642" t="s">
        <v>2352</v>
      </c>
      <c r="E2475" s="642" t="s">
        <v>2353</v>
      </c>
      <c r="F2475" s="2519">
        <v>1000000</v>
      </c>
      <c r="G2475" s="642" t="s">
        <v>168</v>
      </c>
      <c r="H2475" s="642" t="s">
        <v>36</v>
      </c>
      <c r="I2475" s="642" t="s">
        <v>36</v>
      </c>
      <c r="J2475" s="642">
        <v>1</v>
      </c>
      <c r="K2475" t="s">
        <v>217</v>
      </c>
    </row>
    <row r="2476" spans="1:11" hidden="1" x14ac:dyDescent="0.3">
      <c r="A2476" s="137">
        <v>11</v>
      </c>
      <c r="B2476" s="3402">
        <v>44745</v>
      </c>
      <c r="C2476" s="642" t="s">
        <v>37</v>
      </c>
      <c r="D2476" s="642" t="s">
        <v>2354</v>
      </c>
      <c r="E2476" s="642" t="s">
        <v>962</v>
      </c>
      <c r="F2476" s="2519">
        <v>1200000</v>
      </c>
      <c r="G2476" s="642" t="s">
        <v>604</v>
      </c>
      <c r="H2476" s="642" t="s">
        <v>36</v>
      </c>
      <c r="I2476" s="642" t="s">
        <v>36</v>
      </c>
      <c r="J2476" s="642">
        <v>1</v>
      </c>
      <c r="K2476" t="s">
        <v>217</v>
      </c>
    </row>
    <row r="2477" spans="1:11" hidden="1" x14ac:dyDescent="0.3">
      <c r="A2477" s="137">
        <v>12</v>
      </c>
      <c r="B2477" s="3402">
        <v>44776</v>
      </c>
      <c r="C2477" s="642" t="s">
        <v>37</v>
      </c>
      <c r="D2477" s="642" t="s">
        <v>2355</v>
      </c>
      <c r="E2477" s="642" t="s">
        <v>869</v>
      </c>
      <c r="F2477" s="2519">
        <v>1300000</v>
      </c>
      <c r="G2477" s="642" t="s">
        <v>231</v>
      </c>
      <c r="H2477" s="642" t="s">
        <v>44</v>
      </c>
      <c r="I2477" s="642" t="s">
        <v>36</v>
      </c>
      <c r="J2477" s="642">
        <v>1</v>
      </c>
      <c r="K2477" t="s">
        <v>217</v>
      </c>
    </row>
    <row r="2478" spans="1:11" hidden="1" x14ac:dyDescent="0.3">
      <c r="A2478" s="137">
        <v>13</v>
      </c>
      <c r="B2478" s="3402">
        <v>44776</v>
      </c>
      <c r="C2478" s="642" t="s">
        <v>37</v>
      </c>
      <c r="D2478" s="642" t="s">
        <v>2356</v>
      </c>
      <c r="E2478" s="642" t="s">
        <v>1564</v>
      </c>
      <c r="F2478" s="2519">
        <v>850000</v>
      </c>
      <c r="G2478" s="642" t="s">
        <v>168</v>
      </c>
      <c r="H2478" s="642" t="s">
        <v>44</v>
      </c>
      <c r="I2478" s="642" t="s">
        <v>36</v>
      </c>
      <c r="J2478" s="642">
        <v>1</v>
      </c>
      <c r="K2478" t="s">
        <v>217</v>
      </c>
    </row>
    <row r="2479" spans="1:11" hidden="1" x14ac:dyDescent="0.3">
      <c r="A2479" s="137">
        <v>14</v>
      </c>
      <c r="B2479" s="3402">
        <v>44807</v>
      </c>
      <c r="C2479" s="642" t="s">
        <v>37</v>
      </c>
      <c r="D2479" s="642" t="s">
        <v>2357</v>
      </c>
      <c r="E2479" s="642" t="s">
        <v>68</v>
      </c>
      <c r="F2479" s="2519">
        <v>1600000</v>
      </c>
      <c r="G2479" s="642" t="s">
        <v>2358</v>
      </c>
      <c r="H2479" s="642" t="s">
        <v>36</v>
      </c>
      <c r="I2479" s="642" t="s">
        <v>36</v>
      </c>
      <c r="J2479" s="642">
        <v>1</v>
      </c>
      <c r="K2479" t="s">
        <v>217</v>
      </c>
    </row>
    <row r="2480" spans="1:11" hidden="1" x14ac:dyDescent="0.3">
      <c r="A2480" s="137">
        <v>15</v>
      </c>
      <c r="B2480" s="3402">
        <v>44837</v>
      </c>
      <c r="C2480" s="642" t="s">
        <v>37</v>
      </c>
      <c r="D2480" s="642" t="s">
        <v>2359</v>
      </c>
      <c r="E2480" s="642" t="s">
        <v>1130</v>
      </c>
      <c r="F2480" s="2519">
        <v>1350000</v>
      </c>
      <c r="G2480" s="642" t="s">
        <v>2360</v>
      </c>
      <c r="H2480" s="642" t="s">
        <v>44</v>
      </c>
      <c r="I2480" s="642" t="s">
        <v>36</v>
      </c>
      <c r="J2480" s="642">
        <v>1</v>
      </c>
      <c r="K2480" t="s">
        <v>2118</v>
      </c>
    </row>
    <row r="2481" spans="1:11" hidden="1" x14ac:dyDescent="0.3">
      <c r="A2481" s="1781">
        <v>16</v>
      </c>
      <c r="B2481" s="3402">
        <v>44837</v>
      </c>
      <c r="C2481" s="642" t="s">
        <v>37</v>
      </c>
      <c r="D2481" s="641" t="s">
        <v>2361</v>
      </c>
      <c r="E2481" s="642" t="s">
        <v>68</v>
      </c>
      <c r="F2481" s="2520">
        <v>1500000</v>
      </c>
      <c r="G2481" s="641" t="s">
        <v>2358</v>
      </c>
      <c r="H2481" s="641" t="s">
        <v>36</v>
      </c>
      <c r="I2481" s="641" t="s">
        <v>36</v>
      </c>
      <c r="J2481" s="642">
        <v>1</v>
      </c>
      <c r="K2481" t="s">
        <v>2118</v>
      </c>
    </row>
    <row r="2482" spans="1:11" hidden="1" x14ac:dyDescent="0.3">
      <c r="A2482" s="1781">
        <v>17</v>
      </c>
      <c r="B2482" s="765" t="s">
        <v>2287</v>
      </c>
      <c r="C2482" s="641" t="s">
        <v>37</v>
      </c>
      <c r="D2482" s="641" t="s">
        <v>2362</v>
      </c>
      <c r="E2482" s="641" t="s">
        <v>180</v>
      </c>
      <c r="F2482" s="2520">
        <v>1600000</v>
      </c>
      <c r="G2482" s="641" t="s">
        <v>2358</v>
      </c>
      <c r="H2482" s="641" t="s">
        <v>36</v>
      </c>
      <c r="I2482" s="641" t="s">
        <v>36</v>
      </c>
      <c r="J2482" s="642">
        <v>1</v>
      </c>
      <c r="K2482" t="s">
        <v>217</v>
      </c>
    </row>
    <row r="2483" spans="1:11" hidden="1" x14ac:dyDescent="0.3">
      <c r="A2483" s="1781">
        <v>18</v>
      </c>
      <c r="B2483" s="3402" t="s">
        <v>2363</v>
      </c>
      <c r="C2483" s="642" t="s">
        <v>37</v>
      </c>
      <c r="D2483" s="642" t="s">
        <v>218</v>
      </c>
      <c r="E2483" s="642" t="s">
        <v>858</v>
      </c>
      <c r="F2483" s="2519">
        <v>1500000</v>
      </c>
      <c r="G2483" s="642" t="s">
        <v>2364</v>
      </c>
      <c r="H2483" s="642" t="s">
        <v>36</v>
      </c>
      <c r="I2483" s="642" t="s">
        <v>36</v>
      </c>
      <c r="J2483" s="642">
        <v>1</v>
      </c>
      <c r="K2483" t="s">
        <v>1770</v>
      </c>
    </row>
    <row r="2484" spans="1:11" hidden="1" x14ac:dyDescent="0.3">
      <c r="A2484" s="1781">
        <v>19</v>
      </c>
      <c r="B2484" s="3402" t="s">
        <v>2365</v>
      </c>
      <c r="C2484" s="641" t="s">
        <v>37</v>
      </c>
      <c r="D2484" s="641" t="s">
        <v>2366</v>
      </c>
      <c r="E2484" s="641" t="s">
        <v>962</v>
      </c>
      <c r="F2484" s="2520">
        <v>1400000</v>
      </c>
      <c r="G2484" s="641" t="s">
        <v>2169</v>
      </c>
      <c r="H2484" s="641" t="s">
        <v>36</v>
      </c>
      <c r="I2484" s="641" t="s">
        <v>36</v>
      </c>
      <c r="J2484" s="642">
        <v>1</v>
      </c>
      <c r="K2484" t="s">
        <v>217</v>
      </c>
    </row>
    <row r="2485" spans="1:11" hidden="1" x14ac:dyDescent="0.3">
      <c r="A2485" s="1781">
        <v>20</v>
      </c>
      <c r="B2485" s="3402" t="s">
        <v>2264</v>
      </c>
      <c r="C2485" s="641" t="s">
        <v>37</v>
      </c>
      <c r="D2485" s="641" t="s">
        <v>2367</v>
      </c>
      <c r="E2485" s="641" t="s">
        <v>858</v>
      </c>
      <c r="F2485" s="2520">
        <v>1700000</v>
      </c>
      <c r="G2485" s="641" t="s">
        <v>612</v>
      </c>
      <c r="H2485" s="641" t="s">
        <v>36</v>
      </c>
      <c r="I2485" s="641" t="s">
        <v>36</v>
      </c>
      <c r="J2485" s="642">
        <v>1</v>
      </c>
      <c r="K2485" t="s">
        <v>1770</v>
      </c>
    </row>
    <row r="2486" spans="1:11" ht="24.6" hidden="1" x14ac:dyDescent="0.4">
      <c r="A2486" s="1781"/>
      <c r="B2486" s="765"/>
      <c r="C2486" s="641"/>
      <c r="D2486" s="641"/>
      <c r="E2486" s="641"/>
      <c r="F2486" s="2523"/>
      <c r="G2486" s="641"/>
      <c r="H2486" s="641"/>
      <c r="I2486" s="641"/>
      <c r="J2486" s="1837"/>
    </row>
    <row r="2487" spans="1:11" ht="24.6" hidden="1" x14ac:dyDescent="0.4">
      <c r="A2487" s="3462"/>
      <c r="B2487" s="3462"/>
      <c r="C2487" s="3462"/>
      <c r="D2487" s="3462"/>
      <c r="E2487" s="3462"/>
      <c r="F2487" s="3462"/>
      <c r="G2487" s="3462"/>
      <c r="H2487" s="3462"/>
      <c r="I2487" s="3462"/>
      <c r="J2487" s="3462"/>
    </row>
    <row r="2488" spans="1:11" hidden="1" x14ac:dyDescent="0.3">
      <c r="A2488" s="137" t="s">
        <v>3</v>
      </c>
      <c r="B2488" s="1781" t="s">
        <v>4</v>
      </c>
      <c r="C2488" s="137" t="s">
        <v>5</v>
      </c>
      <c r="D2488" s="137" t="s">
        <v>6</v>
      </c>
      <c r="E2488" s="137" t="s">
        <v>7</v>
      </c>
      <c r="F2488" s="137" t="s">
        <v>8</v>
      </c>
      <c r="G2488" s="137" t="s">
        <v>9</v>
      </c>
      <c r="H2488" s="137" t="s">
        <v>10</v>
      </c>
      <c r="I2488" s="137" t="s">
        <v>11</v>
      </c>
      <c r="J2488" s="137" t="s">
        <v>12</v>
      </c>
    </row>
    <row r="2489" spans="1:11" hidden="1" x14ac:dyDescent="0.3">
      <c r="A2489" s="1845">
        <v>1</v>
      </c>
      <c r="B2489" s="3404">
        <v>44684</v>
      </c>
      <c r="C2489" s="1838" t="s">
        <v>37</v>
      </c>
      <c r="D2489" s="1838" t="s">
        <v>2368</v>
      </c>
      <c r="E2489" s="1838" t="s">
        <v>840</v>
      </c>
      <c r="F2489" s="1838">
        <v>365000000</v>
      </c>
      <c r="G2489" s="1838" t="s">
        <v>168</v>
      </c>
      <c r="H2489" s="1838" t="s">
        <v>44</v>
      </c>
      <c r="I2489" s="1838" t="s">
        <v>36</v>
      </c>
      <c r="J2489" s="1839">
        <v>1</v>
      </c>
    </row>
    <row r="2490" spans="1:11" hidden="1" x14ac:dyDescent="0.3">
      <c r="A2490" s="1846">
        <v>2</v>
      </c>
      <c r="B2490" s="3404">
        <v>44684</v>
      </c>
      <c r="C2490" s="1838" t="s">
        <v>37</v>
      </c>
      <c r="D2490" s="1840" t="s">
        <v>2369</v>
      </c>
      <c r="E2490" s="1840" t="s">
        <v>2370</v>
      </c>
      <c r="F2490" s="1840">
        <v>490000000</v>
      </c>
      <c r="G2490" s="1840" t="s">
        <v>168</v>
      </c>
      <c r="H2490" s="1840" t="s">
        <v>44</v>
      </c>
      <c r="I2490" s="1840" t="s">
        <v>36</v>
      </c>
      <c r="J2490" s="1841">
        <v>1</v>
      </c>
    </row>
    <row r="2491" spans="1:11" hidden="1" x14ac:dyDescent="0.3">
      <c r="A2491" s="2177">
        <v>3</v>
      </c>
      <c r="B2491" s="3404">
        <v>44684</v>
      </c>
      <c r="C2491" s="2350" t="s">
        <v>37</v>
      </c>
      <c r="D2491" s="2350" t="s">
        <v>2349</v>
      </c>
      <c r="E2491" s="2350" t="s">
        <v>869</v>
      </c>
      <c r="F2491" s="2350">
        <v>237000000</v>
      </c>
      <c r="G2491" s="2350" t="s">
        <v>1095</v>
      </c>
      <c r="H2491" s="2350" t="s">
        <v>44</v>
      </c>
      <c r="I2491" s="2350" t="s">
        <v>36</v>
      </c>
      <c r="J2491" s="1842">
        <v>1</v>
      </c>
    </row>
    <row r="2492" spans="1:11" hidden="1" x14ac:dyDescent="0.3"/>
    <row r="2493" spans="1:11" ht="23.4" hidden="1" x14ac:dyDescent="0.3">
      <c r="A2493" s="3460" t="s">
        <v>2237</v>
      </c>
      <c r="B2493" s="3460"/>
      <c r="C2493" s="3460"/>
      <c r="D2493" s="3460"/>
      <c r="E2493" s="3460"/>
      <c r="F2493" s="3460"/>
      <c r="G2493" s="3460"/>
      <c r="H2493" s="3460"/>
      <c r="I2493" s="3460"/>
      <c r="J2493" s="3460"/>
    </row>
    <row r="2494" spans="1:11" ht="15.6" hidden="1" x14ac:dyDescent="0.3">
      <c r="A2494" s="3461" t="s">
        <v>2</v>
      </c>
      <c r="B2494" s="3461"/>
      <c r="C2494" s="3461"/>
      <c r="D2494" s="3461"/>
      <c r="E2494" s="3461"/>
      <c r="F2494" s="3461"/>
      <c r="G2494" s="3461"/>
      <c r="H2494" s="3461"/>
      <c r="I2494" s="3461"/>
      <c r="J2494" s="3461"/>
    </row>
    <row r="2495" spans="1:11" hidden="1" x14ac:dyDescent="0.3">
      <c r="A2495" s="137" t="s">
        <v>3</v>
      </c>
      <c r="B2495" s="1781" t="s">
        <v>4</v>
      </c>
      <c r="C2495" s="137" t="s">
        <v>5</v>
      </c>
      <c r="D2495" s="137" t="s">
        <v>6</v>
      </c>
      <c r="E2495" s="137" t="s">
        <v>7</v>
      </c>
      <c r="F2495" s="2522" t="s">
        <v>8</v>
      </c>
      <c r="G2495" s="137" t="s">
        <v>9</v>
      </c>
      <c r="H2495" s="137" t="s">
        <v>10</v>
      </c>
      <c r="I2495" s="137" t="s">
        <v>11</v>
      </c>
      <c r="J2495" s="137" t="s">
        <v>12</v>
      </c>
    </row>
    <row r="2496" spans="1:11" hidden="1" x14ac:dyDescent="0.3">
      <c r="A2496" s="137">
        <v>1</v>
      </c>
      <c r="B2496" s="765" t="s">
        <v>2371</v>
      </c>
      <c r="C2496" s="642" t="s">
        <v>74</v>
      </c>
      <c r="D2496" s="642" t="s">
        <v>2372</v>
      </c>
      <c r="E2496" s="642" t="s">
        <v>1720</v>
      </c>
      <c r="F2496" s="2519">
        <v>1600000</v>
      </c>
      <c r="G2496" s="642" t="s">
        <v>168</v>
      </c>
      <c r="H2496" s="642" t="s">
        <v>44</v>
      </c>
      <c r="I2496" s="642" t="s">
        <v>36</v>
      </c>
      <c r="J2496" s="642">
        <v>1</v>
      </c>
      <c r="K2496" t="s">
        <v>1770</v>
      </c>
    </row>
    <row r="2497" spans="1:11" hidden="1" x14ac:dyDescent="0.3">
      <c r="A2497" s="137">
        <v>2</v>
      </c>
      <c r="B2497" s="3402">
        <v>44745</v>
      </c>
      <c r="C2497" s="642" t="s">
        <v>37</v>
      </c>
      <c r="D2497" s="641" t="s">
        <v>2373</v>
      </c>
      <c r="E2497" s="642" t="s">
        <v>787</v>
      </c>
      <c r="F2497" s="2519">
        <v>900000</v>
      </c>
      <c r="G2497" s="642" t="s">
        <v>1790</v>
      </c>
      <c r="H2497" s="642" t="s">
        <v>36</v>
      </c>
      <c r="I2497" s="642" t="s">
        <v>36</v>
      </c>
      <c r="J2497" s="642">
        <v>1</v>
      </c>
      <c r="K2497" t="s">
        <v>2118</v>
      </c>
    </row>
    <row r="2498" spans="1:11" hidden="1" x14ac:dyDescent="0.3">
      <c r="A2498" s="137">
        <v>3</v>
      </c>
      <c r="B2498" s="3402">
        <v>44745</v>
      </c>
      <c r="C2498" s="642" t="s">
        <v>37</v>
      </c>
      <c r="D2498" s="641" t="s">
        <v>2374</v>
      </c>
      <c r="E2498" s="642" t="s">
        <v>2375</v>
      </c>
      <c r="F2498" s="2519">
        <v>750000</v>
      </c>
      <c r="G2498" s="642" t="s">
        <v>168</v>
      </c>
      <c r="H2498" s="642" t="s">
        <v>36</v>
      </c>
      <c r="I2498" s="642" t="s">
        <v>36</v>
      </c>
      <c r="J2498" s="642">
        <v>1</v>
      </c>
      <c r="K2498" t="s">
        <v>2118</v>
      </c>
    </row>
    <row r="2499" spans="1:11" hidden="1" x14ac:dyDescent="0.3">
      <c r="A2499" s="137">
        <v>4</v>
      </c>
      <c r="B2499" s="3402">
        <v>44745</v>
      </c>
      <c r="C2499" s="642" t="s">
        <v>37</v>
      </c>
      <c r="D2499" s="641" t="s">
        <v>2376</v>
      </c>
      <c r="E2499" s="642" t="s">
        <v>2375</v>
      </c>
      <c r="F2499" s="2519">
        <v>850000</v>
      </c>
      <c r="G2499" s="642" t="s">
        <v>168</v>
      </c>
      <c r="H2499" s="642" t="s">
        <v>36</v>
      </c>
      <c r="I2499" s="642" t="s">
        <v>36</v>
      </c>
      <c r="J2499" s="642">
        <v>1</v>
      </c>
      <c r="K2499" t="s">
        <v>2118</v>
      </c>
    </row>
    <row r="2500" spans="1:11" hidden="1" x14ac:dyDescent="0.3">
      <c r="A2500" s="137">
        <v>5</v>
      </c>
      <c r="B2500" s="3402">
        <v>44776</v>
      </c>
      <c r="C2500" s="642" t="s">
        <v>37</v>
      </c>
      <c r="D2500" s="642" t="s">
        <v>2377</v>
      </c>
      <c r="E2500" s="642" t="s">
        <v>76</v>
      </c>
      <c r="F2500" s="2519">
        <v>1000000</v>
      </c>
      <c r="G2500" s="642" t="s">
        <v>517</v>
      </c>
      <c r="H2500" s="642" t="s">
        <v>44</v>
      </c>
      <c r="I2500" s="642" t="s">
        <v>36</v>
      </c>
      <c r="J2500" s="642">
        <v>1</v>
      </c>
      <c r="K2500" t="s">
        <v>2118</v>
      </c>
    </row>
    <row r="2501" spans="1:11" hidden="1" x14ac:dyDescent="0.3">
      <c r="A2501" s="137">
        <v>6</v>
      </c>
      <c r="B2501" s="3402">
        <v>44807</v>
      </c>
      <c r="C2501" s="642" t="s">
        <v>37</v>
      </c>
      <c r="D2501" s="642" t="s">
        <v>2378</v>
      </c>
      <c r="E2501" s="642" t="s">
        <v>76</v>
      </c>
      <c r="F2501" s="2519">
        <v>1000000</v>
      </c>
      <c r="G2501" s="642" t="s">
        <v>2379</v>
      </c>
      <c r="H2501" s="642" t="s">
        <v>36</v>
      </c>
      <c r="I2501" s="642" t="s">
        <v>36</v>
      </c>
      <c r="J2501" s="642">
        <v>1</v>
      </c>
      <c r="K2501" t="s">
        <v>2118</v>
      </c>
    </row>
    <row r="2502" spans="1:11" hidden="1" x14ac:dyDescent="0.3">
      <c r="A2502" s="137">
        <v>7</v>
      </c>
      <c r="B2502" s="3402">
        <v>44837</v>
      </c>
      <c r="C2502" s="642" t="s">
        <v>37</v>
      </c>
      <c r="D2502" s="641" t="s">
        <v>2380</v>
      </c>
      <c r="E2502" s="641" t="s">
        <v>76</v>
      </c>
      <c r="F2502" s="2520">
        <v>1400000</v>
      </c>
      <c r="G2502" s="641" t="s">
        <v>1510</v>
      </c>
      <c r="H2502" s="641" t="s">
        <v>44</v>
      </c>
      <c r="I2502" s="641" t="s">
        <v>36</v>
      </c>
      <c r="J2502" s="642">
        <v>1</v>
      </c>
      <c r="K2502" t="s">
        <v>2189</v>
      </c>
    </row>
    <row r="2503" spans="1:11" hidden="1" x14ac:dyDescent="0.3">
      <c r="A2503" s="137">
        <v>8</v>
      </c>
      <c r="B2503" s="3402" t="s">
        <v>2287</v>
      </c>
      <c r="C2503" s="642" t="s">
        <v>37</v>
      </c>
      <c r="D2503" s="642" t="s">
        <v>2381</v>
      </c>
      <c r="E2503" s="642" t="s">
        <v>904</v>
      </c>
      <c r="F2503" s="2519">
        <v>1300000</v>
      </c>
      <c r="G2503" s="642" t="s">
        <v>1353</v>
      </c>
      <c r="H2503" s="642" t="s">
        <v>44</v>
      </c>
      <c r="I2503" s="642" t="s">
        <v>36</v>
      </c>
      <c r="J2503" s="642">
        <v>1</v>
      </c>
      <c r="K2503" t="s">
        <v>2118</v>
      </c>
    </row>
    <row r="2504" spans="1:11" hidden="1" x14ac:dyDescent="0.3">
      <c r="A2504" s="137">
        <v>9</v>
      </c>
      <c r="B2504" s="3402" t="s">
        <v>2287</v>
      </c>
      <c r="C2504" s="642" t="s">
        <v>37</v>
      </c>
      <c r="D2504" s="642" t="s">
        <v>2382</v>
      </c>
      <c r="E2504" s="642" t="s">
        <v>858</v>
      </c>
      <c r="F2504" s="2519">
        <v>750000</v>
      </c>
      <c r="G2504" s="642" t="s">
        <v>233</v>
      </c>
      <c r="H2504" s="642" t="s">
        <v>44</v>
      </c>
      <c r="I2504" s="642" t="s">
        <v>36</v>
      </c>
      <c r="J2504" s="642">
        <v>1</v>
      </c>
      <c r="K2504" t="s">
        <v>2118</v>
      </c>
    </row>
    <row r="2505" spans="1:11" hidden="1" x14ac:dyDescent="0.3">
      <c r="A2505" s="137">
        <v>10</v>
      </c>
      <c r="B2505" s="3402" t="s">
        <v>2365</v>
      </c>
      <c r="C2505" s="642" t="s">
        <v>37</v>
      </c>
      <c r="D2505" s="642" t="s">
        <v>2383</v>
      </c>
      <c r="E2505" s="642" t="s">
        <v>904</v>
      </c>
      <c r="F2505" s="2519">
        <v>1500000</v>
      </c>
      <c r="G2505" s="642" t="s">
        <v>2384</v>
      </c>
      <c r="H2505" s="642" t="s">
        <v>44</v>
      </c>
      <c r="I2505" s="642" t="s">
        <v>36</v>
      </c>
      <c r="J2505" s="642">
        <v>1</v>
      </c>
      <c r="K2505" t="s">
        <v>1770</v>
      </c>
    </row>
    <row r="2506" spans="1:11" hidden="1" x14ac:dyDescent="0.3">
      <c r="A2506" s="137">
        <v>11</v>
      </c>
      <c r="B2506" s="3402" t="s">
        <v>2365</v>
      </c>
      <c r="C2506" s="642" t="s">
        <v>37</v>
      </c>
      <c r="D2506" s="642" t="s">
        <v>2385</v>
      </c>
      <c r="E2506" s="642" t="s">
        <v>904</v>
      </c>
      <c r="F2506" s="2519">
        <v>1500000</v>
      </c>
      <c r="G2506" s="642" t="s">
        <v>2384</v>
      </c>
      <c r="H2506" s="642" t="s">
        <v>44</v>
      </c>
      <c r="I2506" s="642" t="s">
        <v>36</v>
      </c>
      <c r="J2506" s="642">
        <v>1</v>
      </c>
      <c r="K2506" t="s">
        <v>2270</v>
      </c>
    </row>
    <row r="2507" spans="1:11" hidden="1" x14ac:dyDescent="0.3">
      <c r="A2507" s="137">
        <v>12</v>
      </c>
      <c r="B2507" s="3402" t="s">
        <v>2264</v>
      </c>
      <c r="C2507" s="642" t="s">
        <v>37</v>
      </c>
      <c r="D2507" s="642" t="s">
        <v>2386</v>
      </c>
      <c r="E2507" s="642" t="s">
        <v>840</v>
      </c>
      <c r="F2507" s="2519">
        <v>1400000</v>
      </c>
      <c r="G2507" s="642" t="s">
        <v>1353</v>
      </c>
      <c r="H2507" s="642" t="s">
        <v>44</v>
      </c>
      <c r="I2507" s="642" t="s">
        <v>36</v>
      </c>
      <c r="J2507" s="642">
        <v>1</v>
      </c>
      <c r="K2507" t="s">
        <v>1770</v>
      </c>
    </row>
    <row r="2508" spans="1:11" hidden="1" x14ac:dyDescent="0.3">
      <c r="A2508" s="137">
        <v>13</v>
      </c>
      <c r="B2508" s="3402" t="s">
        <v>2264</v>
      </c>
      <c r="C2508" s="642" t="s">
        <v>37</v>
      </c>
      <c r="D2508" s="642" t="s">
        <v>347</v>
      </c>
      <c r="E2508" s="642" t="s">
        <v>858</v>
      </c>
      <c r="F2508" s="2519">
        <v>1500000</v>
      </c>
      <c r="G2508" s="642" t="s">
        <v>397</v>
      </c>
      <c r="H2508" s="642" t="s">
        <v>44</v>
      </c>
      <c r="I2508" s="642" t="s">
        <v>36</v>
      </c>
      <c r="J2508" s="642">
        <v>1</v>
      </c>
      <c r="K2508" t="s">
        <v>2270</v>
      </c>
    </row>
    <row r="2509" spans="1:11" hidden="1" x14ac:dyDescent="0.3">
      <c r="A2509" s="137">
        <v>14</v>
      </c>
      <c r="B2509" s="765" t="s">
        <v>2269</v>
      </c>
      <c r="C2509" s="642" t="s">
        <v>37</v>
      </c>
      <c r="D2509" s="641" t="s">
        <v>2387</v>
      </c>
      <c r="E2509" s="642" t="s">
        <v>998</v>
      </c>
      <c r="F2509" s="2520">
        <v>1200000</v>
      </c>
      <c r="G2509" s="641" t="s">
        <v>2388</v>
      </c>
      <c r="H2509" s="641" t="s">
        <v>36</v>
      </c>
      <c r="I2509" s="641" t="s">
        <v>36</v>
      </c>
      <c r="J2509" s="642">
        <v>1</v>
      </c>
      <c r="K2509" t="s">
        <v>1770</v>
      </c>
    </row>
    <row r="2510" spans="1:11" hidden="1" x14ac:dyDescent="0.3">
      <c r="A2510" s="137">
        <v>15</v>
      </c>
      <c r="B2510" s="765" t="s">
        <v>2269</v>
      </c>
      <c r="C2510" s="642" t="s">
        <v>37</v>
      </c>
      <c r="D2510" s="641" t="s">
        <v>2389</v>
      </c>
      <c r="E2510" s="641" t="s">
        <v>998</v>
      </c>
      <c r="F2510" s="2520">
        <v>1200000</v>
      </c>
      <c r="G2510" s="641" t="s">
        <v>2390</v>
      </c>
      <c r="H2510" s="641" t="s">
        <v>36</v>
      </c>
      <c r="I2510" s="641" t="s">
        <v>36</v>
      </c>
      <c r="J2510" s="642">
        <v>1</v>
      </c>
      <c r="K2510" t="s">
        <v>133</v>
      </c>
    </row>
    <row r="2511" spans="1:11" hidden="1" x14ac:dyDescent="0.3">
      <c r="A2511" s="137">
        <v>16</v>
      </c>
      <c r="B2511" s="3402" t="s">
        <v>2269</v>
      </c>
      <c r="C2511" s="641" t="s">
        <v>37</v>
      </c>
      <c r="D2511" s="641" t="s">
        <v>2391</v>
      </c>
      <c r="E2511" s="641" t="s">
        <v>76</v>
      </c>
      <c r="F2511" s="2520">
        <v>1400000</v>
      </c>
      <c r="G2511" s="641" t="s">
        <v>1510</v>
      </c>
      <c r="H2511" s="641" t="s">
        <v>44</v>
      </c>
      <c r="I2511" s="641" t="s">
        <v>36</v>
      </c>
      <c r="J2511" s="642">
        <v>1</v>
      </c>
      <c r="K2511" t="s">
        <v>1770</v>
      </c>
    </row>
    <row r="2512" spans="1:11" hidden="1" x14ac:dyDescent="0.3">
      <c r="A2512" s="137">
        <v>17</v>
      </c>
      <c r="B2512" s="3402" t="s">
        <v>2269</v>
      </c>
      <c r="C2512" s="641" t="s">
        <v>37</v>
      </c>
      <c r="D2512" s="641" t="s">
        <v>2392</v>
      </c>
      <c r="E2512" s="641" t="s">
        <v>2344</v>
      </c>
      <c r="F2512" s="2520">
        <v>530000</v>
      </c>
      <c r="G2512" s="641" t="s">
        <v>168</v>
      </c>
      <c r="H2512" s="641" t="s">
        <v>36</v>
      </c>
      <c r="I2512" s="641" t="s">
        <v>36</v>
      </c>
      <c r="J2512" s="642">
        <v>1</v>
      </c>
      <c r="K2512" t="s">
        <v>217</v>
      </c>
    </row>
    <row r="2513" spans="1:11" hidden="1" x14ac:dyDescent="0.3">
      <c r="A2513" s="137">
        <v>18</v>
      </c>
      <c r="B2513" s="3402" t="s">
        <v>2269</v>
      </c>
      <c r="C2513" s="641" t="s">
        <v>37</v>
      </c>
      <c r="D2513" s="641" t="s">
        <v>2393</v>
      </c>
      <c r="E2513" s="641" t="s">
        <v>858</v>
      </c>
      <c r="F2513" s="2520">
        <v>1600000</v>
      </c>
      <c r="G2513" s="641" t="s">
        <v>2394</v>
      </c>
      <c r="H2513" s="641" t="s">
        <v>44</v>
      </c>
      <c r="I2513" s="641" t="s">
        <v>36</v>
      </c>
      <c r="J2513" s="642">
        <v>1</v>
      </c>
      <c r="K2513" t="s">
        <v>1770</v>
      </c>
    </row>
    <row r="2514" spans="1:11" hidden="1" x14ac:dyDescent="0.3">
      <c r="A2514" s="137">
        <v>19</v>
      </c>
      <c r="B2514" s="3402" t="s">
        <v>2269</v>
      </c>
      <c r="C2514" s="641" t="s">
        <v>37</v>
      </c>
      <c r="D2514" s="641" t="s">
        <v>2395</v>
      </c>
      <c r="E2514" s="641" t="s">
        <v>76</v>
      </c>
      <c r="F2514" s="2520">
        <v>1450000</v>
      </c>
      <c r="G2514" s="641" t="s">
        <v>1510</v>
      </c>
      <c r="H2514" s="641" t="s">
        <v>44</v>
      </c>
      <c r="I2514" s="641" t="s">
        <v>36</v>
      </c>
      <c r="J2514" s="642">
        <v>1</v>
      </c>
      <c r="K2514" t="s">
        <v>217</v>
      </c>
    </row>
    <row r="2515" spans="1:11" hidden="1" x14ac:dyDescent="0.3">
      <c r="A2515" s="137">
        <v>20</v>
      </c>
      <c r="B2515" s="3402" t="s">
        <v>2269</v>
      </c>
      <c r="C2515" s="641" t="s">
        <v>37</v>
      </c>
      <c r="D2515" s="641" t="s">
        <v>2396</v>
      </c>
      <c r="E2515" s="641" t="s">
        <v>962</v>
      </c>
      <c r="F2515" s="2520">
        <v>1200000</v>
      </c>
      <c r="G2515" s="641" t="s">
        <v>854</v>
      </c>
      <c r="H2515" s="641" t="s">
        <v>36</v>
      </c>
      <c r="I2515" s="641" t="s">
        <v>36</v>
      </c>
      <c r="J2515" s="642">
        <v>1</v>
      </c>
      <c r="K2515" t="s">
        <v>217</v>
      </c>
    </row>
    <row r="2516" spans="1:11" ht="24.6" hidden="1" x14ac:dyDescent="0.4">
      <c r="A2516" s="1781"/>
      <c r="B2516" s="765"/>
      <c r="C2516" s="641"/>
      <c r="D2516" s="641"/>
      <c r="E2516" s="641"/>
      <c r="F2516" s="2523"/>
      <c r="G2516" s="641"/>
      <c r="H2516" s="641"/>
      <c r="I2516" s="641"/>
      <c r="J2516" s="1837"/>
    </row>
    <row r="2517" spans="1:11" ht="24.6" hidden="1" x14ac:dyDescent="0.4">
      <c r="A2517" s="3462" t="s">
        <v>2003</v>
      </c>
      <c r="B2517" s="3462"/>
      <c r="C2517" s="3462"/>
      <c r="D2517" s="3462"/>
      <c r="E2517" s="3462"/>
      <c r="F2517" s="3462"/>
      <c r="G2517" s="3462"/>
      <c r="H2517" s="3462"/>
      <c r="I2517" s="3462"/>
      <c r="J2517" s="3462"/>
    </row>
    <row r="2518" spans="1:11" hidden="1" x14ac:dyDescent="0.3">
      <c r="A2518" s="137" t="s">
        <v>3</v>
      </c>
      <c r="B2518" s="1781" t="s">
        <v>4</v>
      </c>
      <c r="C2518" s="137" t="s">
        <v>5</v>
      </c>
      <c r="D2518" s="137" t="s">
        <v>6</v>
      </c>
      <c r="E2518" s="137" t="s">
        <v>7</v>
      </c>
      <c r="F2518" s="137" t="s">
        <v>8</v>
      </c>
      <c r="G2518" s="137" t="s">
        <v>9</v>
      </c>
      <c r="H2518" s="137" t="s">
        <v>10</v>
      </c>
      <c r="I2518" s="137" t="s">
        <v>11</v>
      </c>
      <c r="J2518" s="137" t="s">
        <v>12</v>
      </c>
    </row>
    <row r="2519" spans="1:11" hidden="1" x14ac:dyDescent="0.3">
      <c r="A2519" s="1845">
        <v>1</v>
      </c>
      <c r="B2519" s="3404">
        <v>44564</v>
      </c>
      <c r="C2519" s="1838" t="s">
        <v>219</v>
      </c>
      <c r="D2519" s="1838" t="s">
        <v>2239</v>
      </c>
      <c r="E2519" s="1838" t="s">
        <v>76</v>
      </c>
      <c r="F2519" s="1838">
        <v>195000000</v>
      </c>
      <c r="G2519" s="1838" t="s">
        <v>517</v>
      </c>
      <c r="H2519" s="1838" t="s">
        <v>36</v>
      </c>
      <c r="I2519" s="1838" t="s">
        <v>36</v>
      </c>
      <c r="J2519" s="1839">
        <v>1</v>
      </c>
    </row>
    <row r="2520" spans="1:11" hidden="1" x14ac:dyDescent="0.3">
      <c r="A2520" s="1846">
        <v>2</v>
      </c>
      <c r="B2520" s="3404">
        <v>44564</v>
      </c>
      <c r="C2520" s="1838" t="s">
        <v>219</v>
      </c>
      <c r="D2520" s="1838" t="s">
        <v>2240</v>
      </c>
      <c r="E2520" s="1840" t="s">
        <v>76</v>
      </c>
      <c r="F2520" s="1840">
        <v>150000000</v>
      </c>
      <c r="G2520" s="1840" t="s">
        <v>517</v>
      </c>
      <c r="H2520" s="1840" t="s">
        <v>36</v>
      </c>
      <c r="I2520" s="1840" t="s">
        <v>36</v>
      </c>
      <c r="J2520" s="1841">
        <v>1</v>
      </c>
    </row>
    <row r="2521" spans="1:11" hidden="1" x14ac:dyDescent="0.3">
      <c r="A2521" s="2177">
        <v>3</v>
      </c>
      <c r="B2521" s="3404">
        <v>44564</v>
      </c>
      <c r="C2521" s="2350" t="s">
        <v>37</v>
      </c>
      <c r="D2521" s="2350" t="s">
        <v>2377</v>
      </c>
      <c r="E2521" s="2350" t="s">
        <v>76</v>
      </c>
      <c r="F2521" s="2350">
        <v>150000000</v>
      </c>
      <c r="G2521" s="2350" t="s">
        <v>517</v>
      </c>
      <c r="H2521" s="2350" t="s">
        <v>36</v>
      </c>
      <c r="I2521" s="2350" t="s">
        <v>36</v>
      </c>
      <c r="J2521" s="1842">
        <v>1</v>
      </c>
    </row>
    <row r="2522" spans="1:11" hidden="1" x14ac:dyDescent="0.3"/>
    <row r="2523" spans="1:11" ht="23.4" hidden="1" x14ac:dyDescent="0.3">
      <c r="A2523" s="3460" t="s">
        <v>118</v>
      </c>
      <c r="B2523" s="3460"/>
      <c r="C2523" s="3460"/>
      <c r="D2523" s="3460"/>
      <c r="E2523" s="3460"/>
      <c r="F2523" s="3460"/>
      <c r="G2523" s="3460"/>
      <c r="H2523" s="3460"/>
      <c r="I2523" s="3460"/>
      <c r="J2523" s="3460"/>
    </row>
    <row r="2524" spans="1:11" ht="15.6" hidden="1" x14ac:dyDescent="0.3">
      <c r="A2524" s="3461" t="s">
        <v>2</v>
      </c>
      <c r="B2524" s="3461"/>
      <c r="C2524" s="3461"/>
      <c r="D2524" s="3461"/>
      <c r="E2524" s="3461"/>
      <c r="F2524" s="3461"/>
      <c r="G2524" s="3461"/>
      <c r="H2524" s="3461"/>
      <c r="I2524" s="3461"/>
      <c r="J2524" s="3461"/>
    </row>
    <row r="2525" spans="1:11" hidden="1" x14ac:dyDescent="0.3">
      <c r="A2525" s="137" t="s">
        <v>3</v>
      </c>
      <c r="B2525" s="1781" t="s">
        <v>4</v>
      </c>
      <c r="C2525" s="137" t="s">
        <v>5</v>
      </c>
      <c r="D2525" s="137" t="s">
        <v>6</v>
      </c>
      <c r="E2525" s="137" t="s">
        <v>7</v>
      </c>
      <c r="F2525" s="2522" t="s">
        <v>8</v>
      </c>
      <c r="G2525" s="137" t="s">
        <v>9</v>
      </c>
      <c r="H2525" s="137" t="s">
        <v>10</v>
      </c>
      <c r="I2525" s="137" t="s">
        <v>11</v>
      </c>
      <c r="J2525" s="137" t="s">
        <v>12</v>
      </c>
    </row>
    <row r="2526" spans="1:11" hidden="1" x14ac:dyDescent="0.3">
      <c r="A2526" s="137">
        <v>1</v>
      </c>
      <c r="B2526" s="3402">
        <v>44623</v>
      </c>
      <c r="C2526" s="642" t="s">
        <v>219</v>
      </c>
      <c r="D2526" s="642" t="s">
        <v>2397</v>
      </c>
      <c r="E2526" s="642" t="s">
        <v>925</v>
      </c>
      <c r="F2526" s="2519">
        <v>600</v>
      </c>
      <c r="G2526" s="642" t="s">
        <v>168</v>
      </c>
      <c r="H2526" s="642" t="s">
        <v>36</v>
      </c>
      <c r="I2526" s="642" t="s">
        <v>36</v>
      </c>
      <c r="J2526" s="642">
        <v>1</v>
      </c>
      <c r="K2526" t="s">
        <v>1770</v>
      </c>
    </row>
    <row r="2527" spans="1:11" hidden="1" x14ac:dyDescent="0.3">
      <c r="A2527" s="137">
        <v>2</v>
      </c>
      <c r="B2527" s="3402">
        <v>44807</v>
      </c>
      <c r="C2527" s="642" t="s">
        <v>74</v>
      </c>
      <c r="D2527" s="641" t="s">
        <v>2398</v>
      </c>
      <c r="E2527" s="642" t="s">
        <v>904</v>
      </c>
      <c r="F2527" s="2519">
        <v>1000000</v>
      </c>
      <c r="G2527" s="642" t="s">
        <v>168</v>
      </c>
      <c r="H2527" s="642" t="s">
        <v>36</v>
      </c>
      <c r="I2527" s="642" t="s">
        <v>36</v>
      </c>
      <c r="J2527" s="642">
        <v>1</v>
      </c>
      <c r="K2527" t="s">
        <v>217</v>
      </c>
    </row>
    <row r="2528" spans="1:11" hidden="1" x14ac:dyDescent="0.3">
      <c r="A2528" s="137">
        <v>3</v>
      </c>
      <c r="B2528" s="3402">
        <v>44837</v>
      </c>
      <c r="C2528" s="642" t="s">
        <v>37</v>
      </c>
      <c r="D2528" s="641" t="s">
        <v>719</v>
      </c>
      <c r="E2528" s="642" t="s">
        <v>76</v>
      </c>
      <c r="F2528" s="2519">
        <v>1000000</v>
      </c>
      <c r="G2528" s="642" t="s">
        <v>168</v>
      </c>
      <c r="H2528" s="642" t="s">
        <v>36</v>
      </c>
      <c r="I2528" s="642" t="s">
        <v>36</v>
      </c>
      <c r="J2528" s="642">
        <v>1</v>
      </c>
      <c r="K2528" t="s">
        <v>217</v>
      </c>
    </row>
    <row r="2529" spans="1:12" hidden="1" x14ac:dyDescent="0.3">
      <c r="A2529" s="137">
        <v>4</v>
      </c>
      <c r="B2529" s="765"/>
      <c r="C2529" s="642"/>
      <c r="D2529" s="642"/>
      <c r="E2529" s="642"/>
      <c r="F2529" s="2519"/>
      <c r="G2529" s="642"/>
      <c r="H2529" s="642"/>
      <c r="I2529" s="642"/>
      <c r="J2529" s="642"/>
    </row>
    <row r="2530" spans="1:12" hidden="1" x14ac:dyDescent="0.3">
      <c r="A2530" s="137">
        <v>5</v>
      </c>
      <c r="B2530" s="765"/>
      <c r="C2530" s="642"/>
      <c r="D2530" s="642"/>
      <c r="E2530" s="642"/>
      <c r="F2530" s="2519"/>
      <c r="G2530" s="642"/>
      <c r="H2530" s="642"/>
      <c r="I2530" s="642"/>
      <c r="J2530" s="642"/>
    </row>
    <row r="2531" spans="1:12" hidden="1" x14ac:dyDescent="0.3">
      <c r="A2531" s="137">
        <v>6</v>
      </c>
      <c r="B2531" s="765"/>
      <c r="C2531" s="642"/>
      <c r="D2531" s="642"/>
      <c r="E2531" s="642"/>
      <c r="F2531" s="2519"/>
      <c r="G2531" s="642"/>
      <c r="H2531" s="642"/>
      <c r="I2531" s="642"/>
      <c r="J2531" s="642"/>
    </row>
    <row r="2532" spans="1:12" hidden="1" x14ac:dyDescent="0.3">
      <c r="A2532" s="137">
        <v>7</v>
      </c>
      <c r="B2532" s="765"/>
      <c r="C2532" s="642"/>
      <c r="D2532" s="641"/>
      <c r="E2532" s="641"/>
      <c r="F2532" s="2520"/>
      <c r="G2532" s="641"/>
      <c r="H2532" s="641"/>
      <c r="I2532" s="641"/>
      <c r="J2532" s="642"/>
    </row>
    <row r="2533" spans="1:12" hidden="1" x14ac:dyDescent="0.3">
      <c r="A2533" s="137">
        <v>8</v>
      </c>
      <c r="B2533" s="765"/>
      <c r="C2533" s="642"/>
      <c r="D2533" s="642"/>
      <c r="E2533" s="642"/>
      <c r="F2533" s="2519"/>
      <c r="G2533" s="642"/>
      <c r="H2533" s="642"/>
      <c r="I2533" s="642"/>
      <c r="J2533" s="642"/>
    </row>
    <row r="2534" spans="1:12" hidden="1" x14ac:dyDescent="0.3">
      <c r="A2534" s="137">
        <v>9</v>
      </c>
      <c r="B2534" s="3402"/>
      <c r="C2534" s="642"/>
      <c r="D2534" s="642"/>
      <c r="E2534" s="642"/>
      <c r="F2534" s="2519"/>
      <c r="G2534" s="642"/>
      <c r="H2534" s="642"/>
      <c r="I2534" s="642"/>
      <c r="J2534" s="642"/>
    </row>
    <row r="2535" spans="1:12" hidden="1" x14ac:dyDescent="0.3">
      <c r="A2535" s="137">
        <v>10</v>
      </c>
      <c r="B2535" s="3402"/>
      <c r="C2535" s="642"/>
      <c r="D2535" s="642"/>
      <c r="E2535" s="642"/>
      <c r="F2535" s="2519"/>
      <c r="G2535" s="642"/>
      <c r="H2535" s="642"/>
      <c r="I2535" s="642"/>
      <c r="J2535" s="642"/>
    </row>
    <row r="2536" spans="1:12" ht="23.4" hidden="1" x14ac:dyDescent="0.3">
      <c r="A2536" s="3460" t="s">
        <v>2399</v>
      </c>
      <c r="B2536" s="3460"/>
      <c r="C2536" s="3460"/>
      <c r="D2536" s="3460"/>
      <c r="E2536" s="3460"/>
      <c r="F2536" s="3460"/>
      <c r="G2536" s="3460"/>
      <c r="H2536" s="3460"/>
      <c r="I2536" s="3460"/>
      <c r="J2536" s="3460"/>
    </row>
    <row r="2537" spans="1:12" hidden="1" x14ac:dyDescent="0.3">
      <c r="A2537" s="137">
        <v>1</v>
      </c>
      <c r="B2537" s="3402">
        <v>44868</v>
      </c>
      <c r="C2537" s="642" t="s">
        <v>37</v>
      </c>
      <c r="D2537" s="642" t="s">
        <v>2400</v>
      </c>
      <c r="E2537" s="642" t="s">
        <v>76</v>
      </c>
      <c r="F2537" s="2519">
        <v>1550000</v>
      </c>
      <c r="G2537" s="642" t="s">
        <v>1510</v>
      </c>
      <c r="H2537" s="642" t="s">
        <v>44</v>
      </c>
      <c r="I2537" s="642" t="s">
        <v>36</v>
      </c>
      <c r="J2537" s="642">
        <v>1</v>
      </c>
      <c r="K2537" t="s">
        <v>1770</v>
      </c>
      <c r="L2537" t="s">
        <v>2401</v>
      </c>
    </row>
    <row r="2538" spans="1:12" hidden="1" x14ac:dyDescent="0.3">
      <c r="A2538" s="137">
        <v>2</v>
      </c>
      <c r="B2538" s="3402" t="s">
        <v>2269</v>
      </c>
      <c r="C2538" s="642" t="s">
        <v>37</v>
      </c>
      <c r="D2538" s="642" t="s">
        <v>2402</v>
      </c>
      <c r="E2538" s="642" t="s">
        <v>1066</v>
      </c>
      <c r="F2538" s="2519">
        <v>950000</v>
      </c>
      <c r="G2538" s="642" t="s">
        <v>168</v>
      </c>
      <c r="H2538" s="642" t="s">
        <v>36</v>
      </c>
      <c r="I2538" s="642" t="s">
        <v>36</v>
      </c>
      <c r="J2538" s="642">
        <v>1</v>
      </c>
      <c r="K2538" t="s">
        <v>217</v>
      </c>
      <c r="L2538" t="s">
        <v>2403</v>
      </c>
    </row>
    <row r="2539" spans="1:12" hidden="1" x14ac:dyDescent="0.3">
      <c r="A2539" s="137">
        <v>3</v>
      </c>
      <c r="B2539" s="3402" t="s">
        <v>2269</v>
      </c>
      <c r="C2539" s="642" t="s">
        <v>37</v>
      </c>
      <c r="D2539" s="642" t="s">
        <v>2404</v>
      </c>
      <c r="E2539" s="642" t="s">
        <v>76</v>
      </c>
      <c r="F2539" s="2519">
        <v>1200000</v>
      </c>
      <c r="G2539" s="642"/>
      <c r="H2539" s="642"/>
      <c r="I2539" s="642"/>
      <c r="J2539" s="642"/>
      <c r="K2539" t="s">
        <v>2118</v>
      </c>
      <c r="L2539" t="s">
        <v>2401</v>
      </c>
    </row>
    <row r="2540" spans="1:12" hidden="1" x14ac:dyDescent="0.3">
      <c r="A2540" s="137">
        <v>4</v>
      </c>
      <c r="B2540" s="765"/>
      <c r="C2540" s="642"/>
      <c r="D2540" s="641"/>
      <c r="E2540" s="642"/>
      <c r="F2540" s="2520"/>
      <c r="G2540" s="641"/>
      <c r="H2540" s="641"/>
      <c r="I2540" s="641"/>
      <c r="J2540" s="642"/>
    </row>
    <row r="2541" spans="1:12" hidden="1" x14ac:dyDescent="0.3">
      <c r="A2541" s="137">
        <v>5</v>
      </c>
      <c r="B2541" s="765"/>
      <c r="C2541" s="641"/>
      <c r="D2541" s="641"/>
      <c r="E2541" s="641"/>
      <c r="F2541" s="2520"/>
      <c r="G2541" s="641"/>
      <c r="H2541" s="641"/>
      <c r="I2541" s="641"/>
      <c r="J2541" s="642"/>
    </row>
    <row r="2542" spans="1:12" hidden="1" x14ac:dyDescent="0.3">
      <c r="A2542" s="137">
        <v>6</v>
      </c>
      <c r="B2542" s="3402"/>
      <c r="C2542" s="641"/>
      <c r="D2542" s="641"/>
      <c r="E2542" s="641"/>
      <c r="F2542" s="2520"/>
      <c r="G2542" s="641"/>
      <c r="H2542" s="641"/>
      <c r="I2542" s="641"/>
      <c r="J2542" s="642"/>
    </row>
    <row r="2543" spans="1:12" hidden="1" x14ac:dyDescent="0.3">
      <c r="A2543" s="137">
        <v>7</v>
      </c>
      <c r="B2543" s="3402"/>
      <c r="C2543" s="641"/>
      <c r="D2543" s="641"/>
      <c r="E2543" s="641"/>
      <c r="F2543" s="2520"/>
      <c r="G2543" s="641"/>
      <c r="H2543" s="641"/>
      <c r="I2543" s="641"/>
      <c r="J2543" s="642"/>
    </row>
    <row r="2544" spans="1:12" hidden="1" x14ac:dyDescent="0.3">
      <c r="A2544" s="137">
        <v>8</v>
      </c>
      <c r="B2544" s="3402"/>
      <c r="C2544" s="641"/>
      <c r="D2544" s="641"/>
      <c r="E2544" s="641"/>
      <c r="F2544" s="2520"/>
      <c r="G2544" s="641"/>
      <c r="H2544" s="641"/>
      <c r="I2544" s="641"/>
      <c r="J2544" s="642"/>
    </row>
    <row r="2545" spans="1:11" hidden="1" x14ac:dyDescent="0.3">
      <c r="A2545" s="137">
        <v>9</v>
      </c>
      <c r="B2545" s="3402"/>
      <c r="C2545" s="641"/>
      <c r="D2545" s="641"/>
      <c r="E2545" s="641"/>
      <c r="F2545" s="2520"/>
      <c r="G2545" s="641"/>
      <c r="H2545" s="641"/>
      <c r="I2545" s="641"/>
      <c r="J2545" s="642"/>
    </row>
    <row r="2546" spans="1:11" ht="24.6" hidden="1" x14ac:dyDescent="0.4">
      <c r="A2546" s="1781"/>
      <c r="B2546" s="765"/>
      <c r="C2546" s="641"/>
      <c r="D2546" s="641"/>
      <c r="E2546" s="641"/>
      <c r="F2546" s="2523"/>
      <c r="G2546" s="641"/>
      <c r="H2546" s="641"/>
      <c r="I2546" s="641"/>
      <c r="J2546" s="1837"/>
    </row>
    <row r="2547" spans="1:11" hidden="1" x14ac:dyDescent="0.3"/>
    <row r="2549" spans="1:11" ht="21" customHeight="1" x14ac:dyDescent="0.3">
      <c r="A2549" s="3463" t="s">
        <v>2405</v>
      </c>
      <c r="B2549" s="3464"/>
      <c r="C2549" s="3464"/>
      <c r="D2549" s="3464"/>
      <c r="E2549" s="3464"/>
      <c r="F2549" s="3464"/>
      <c r="G2549" s="3464"/>
      <c r="H2549" s="3464"/>
      <c r="I2549" s="3464"/>
      <c r="J2549" s="3464"/>
    </row>
    <row r="2550" spans="1:11" ht="15" customHeight="1" x14ac:dyDescent="0.3">
      <c r="A2550" s="3464"/>
      <c r="B2550" s="3464"/>
      <c r="C2550" s="3464"/>
      <c r="D2550" s="3464"/>
      <c r="E2550" s="3464"/>
      <c r="F2550" s="3464"/>
      <c r="G2550" s="3464"/>
      <c r="H2550" s="3464"/>
      <c r="I2550" s="3464"/>
      <c r="J2550" s="3464"/>
    </row>
    <row r="2552" spans="1:11" ht="23.4" hidden="1" x14ac:dyDescent="0.3">
      <c r="A2552" s="3460" t="s">
        <v>527</v>
      </c>
      <c r="B2552" s="3460"/>
      <c r="C2552" s="3460"/>
      <c r="D2552" s="3460"/>
      <c r="E2552" s="3460"/>
      <c r="F2552" s="3460"/>
      <c r="G2552" s="3460"/>
      <c r="H2552" s="3460"/>
      <c r="I2552" s="3460"/>
      <c r="J2552" s="3460"/>
    </row>
    <row r="2553" spans="1:11" ht="15.6" hidden="1" x14ac:dyDescent="0.3">
      <c r="A2553" s="3461" t="s">
        <v>2</v>
      </c>
      <c r="B2553" s="3461"/>
      <c r="C2553" s="3461"/>
      <c r="D2553" s="3461"/>
      <c r="E2553" s="3461"/>
      <c r="F2553" s="3461"/>
      <c r="G2553" s="3461"/>
      <c r="H2553" s="3461"/>
      <c r="I2553" s="3461"/>
      <c r="J2553" s="3461"/>
    </row>
    <row r="2554" spans="1:11" hidden="1" x14ac:dyDescent="0.3">
      <c r="A2554" s="137" t="s">
        <v>3</v>
      </c>
      <c r="B2554" s="1781" t="s">
        <v>4</v>
      </c>
      <c r="C2554" s="137" t="s">
        <v>5</v>
      </c>
      <c r="D2554" s="137" t="s">
        <v>6</v>
      </c>
      <c r="E2554" s="137" t="s">
        <v>7</v>
      </c>
      <c r="F2554" s="2522" t="s">
        <v>8</v>
      </c>
      <c r="G2554" s="137" t="s">
        <v>9</v>
      </c>
      <c r="H2554" s="137" t="s">
        <v>2243</v>
      </c>
      <c r="I2554" s="137" t="s">
        <v>11</v>
      </c>
      <c r="J2554" s="137" t="s">
        <v>12</v>
      </c>
    </row>
    <row r="2555" spans="1:11" hidden="1" x14ac:dyDescent="0.3">
      <c r="A2555" s="137">
        <v>1</v>
      </c>
      <c r="B2555" s="3402" t="s">
        <v>2406</v>
      </c>
      <c r="C2555" s="642" t="s">
        <v>37</v>
      </c>
      <c r="D2555" s="642" t="s">
        <v>2407</v>
      </c>
      <c r="E2555" s="642" t="s">
        <v>76</v>
      </c>
      <c r="F2555" s="2519">
        <v>1150000</v>
      </c>
      <c r="G2555" s="642" t="s">
        <v>1808</v>
      </c>
      <c r="H2555" s="642" t="s">
        <v>44</v>
      </c>
      <c r="I2555" s="642" t="s">
        <v>36</v>
      </c>
      <c r="J2555" s="642">
        <v>1</v>
      </c>
      <c r="K2555" t="s">
        <v>217</v>
      </c>
    </row>
    <row r="2556" spans="1:11" hidden="1" x14ac:dyDescent="0.3">
      <c r="A2556" s="137">
        <v>2</v>
      </c>
      <c r="B2556" s="3402" t="s">
        <v>2406</v>
      </c>
      <c r="C2556" s="642" t="s">
        <v>37</v>
      </c>
      <c r="D2556" s="642" t="s">
        <v>2408</v>
      </c>
      <c r="E2556" s="642" t="s">
        <v>1751</v>
      </c>
      <c r="F2556" s="2519">
        <v>1200000</v>
      </c>
      <c r="G2556" s="642" t="s">
        <v>2258</v>
      </c>
      <c r="H2556" s="642" t="s">
        <v>36</v>
      </c>
      <c r="I2556" s="642" t="s">
        <v>36</v>
      </c>
      <c r="J2556" s="642">
        <v>1</v>
      </c>
      <c r="K2556" t="s">
        <v>217</v>
      </c>
    </row>
    <row r="2557" spans="1:11" hidden="1" x14ac:dyDescent="0.3">
      <c r="A2557" s="137">
        <v>3</v>
      </c>
      <c r="B2557" s="3402">
        <v>44716</v>
      </c>
      <c r="C2557" s="642" t="s">
        <v>37</v>
      </c>
      <c r="D2557" s="642" t="s">
        <v>2409</v>
      </c>
      <c r="E2557" s="642" t="s">
        <v>998</v>
      </c>
      <c r="F2557" s="2519">
        <v>1250000</v>
      </c>
      <c r="G2557" s="642" t="s">
        <v>2410</v>
      </c>
      <c r="H2557" s="642" t="s">
        <v>44</v>
      </c>
      <c r="I2557" s="642" t="s">
        <v>36</v>
      </c>
      <c r="J2557" s="642">
        <v>1</v>
      </c>
      <c r="K2557" t="s">
        <v>1770</v>
      </c>
    </row>
    <row r="2558" spans="1:11" hidden="1" x14ac:dyDescent="0.3">
      <c r="A2558" s="137">
        <v>4</v>
      </c>
      <c r="B2558" s="3402">
        <v>44716</v>
      </c>
      <c r="C2558" s="642" t="s">
        <v>37</v>
      </c>
      <c r="D2558" s="642" t="s">
        <v>2411</v>
      </c>
      <c r="E2558" s="642" t="s">
        <v>998</v>
      </c>
      <c r="F2558" s="2519">
        <v>1250000</v>
      </c>
      <c r="G2558" s="642" t="s">
        <v>2410</v>
      </c>
      <c r="H2558" s="642" t="s">
        <v>44</v>
      </c>
      <c r="I2558" s="642" t="s">
        <v>36</v>
      </c>
      <c r="J2558" s="642">
        <v>1</v>
      </c>
      <c r="K2558" t="s">
        <v>217</v>
      </c>
    </row>
    <row r="2559" spans="1:11" hidden="1" x14ac:dyDescent="0.3">
      <c r="A2559" s="137">
        <v>5</v>
      </c>
      <c r="B2559" s="3402">
        <v>44869</v>
      </c>
      <c r="C2559" s="642" t="s">
        <v>37</v>
      </c>
      <c r="D2559" s="642" t="s">
        <v>2412</v>
      </c>
      <c r="E2559" s="642" t="s">
        <v>76</v>
      </c>
      <c r="F2559" s="2519">
        <v>1400000</v>
      </c>
      <c r="G2559" s="642" t="s">
        <v>1808</v>
      </c>
      <c r="H2559" s="642" t="s">
        <v>36</v>
      </c>
      <c r="I2559" s="642" t="s">
        <v>36</v>
      </c>
      <c r="J2559" s="642">
        <v>1</v>
      </c>
      <c r="K2559" t="s">
        <v>1770</v>
      </c>
    </row>
    <row r="2560" spans="1:11" hidden="1" x14ac:dyDescent="0.3">
      <c r="A2560" s="137">
        <v>7</v>
      </c>
      <c r="B2560" s="3402" t="s">
        <v>2413</v>
      </c>
      <c r="C2560" s="642" t="s">
        <v>37</v>
      </c>
      <c r="D2560" s="642" t="s">
        <v>2414</v>
      </c>
      <c r="E2560" s="642" t="s">
        <v>76</v>
      </c>
      <c r="F2560" s="2519">
        <v>1200000</v>
      </c>
      <c r="G2560" s="642" t="s">
        <v>2415</v>
      </c>
      <c r="H2560" s="642" t="s">
        <v>44</v>
      </c>
      <c r="I2560" s="642" t="s">
        <v>36</v>
      </c>
      <c r="J2560" s="642">
        <v>1</v>
      </c>
      <c r="K2560" t="s">
        <v>217</v>
      </c>
    </row>
    <row r="2561" spans="1:11" hidden="1" x14ac:dyDescent="0.3">
      <c r="A2561" s="137">
        <v>8</v>
      </c>
      <c r="B2561" s="3402" t="s">
        <v>2413</v>
      </c>
      <c r="C2561" s="642" t="s">
        <v>37</v>
      </c>
      <c r="D2561" s="642" t="s">
        <v>2416</v>
      </c>
      <c r="E2561" s="642" t="s">
        <v>1066</v>
      </c>
      <c r="F2561" s="2519">
        <v>1200000</v>
      </c>
      <c r="G2561" s="642" t="s">
        <v>2132</v>
      </c>
      <c r="H2561" s="642" t="s">
        <v>44</v>
      </c>
      <c r="I2561" s="642" t="s">
        <v>36</v>
      </c>
      <c r="J2561" s="642">
        <v>1</v>
      </c>
      <c r="K2561" t="s">
        <v>2118</v>
      </c>
    </row>
    <row r="2562" spans="1:11" hidden="1" x14ac:dyDescent="0.3">
      <c r="A2562" s="137">
        <v>9</v>
      </c>
      <c r="B2562" s="3402" t="s">
        <v>2413</v>
      </c>
      <c r="C2562" s="642" t="s">
        <v>37</v>
      </c>
      <c r="D2562" s="641" t="s">
        <v>2417</v>
      </c>
      <c r="E2562" s="641" t="s">
        <v>76</v>
      </c>
      <c r="F2562" s="2520">
        <v>1200000</v>
      </c>
      <c r="G2562" s="641" t="s">
        <v>1462</v>
      </c>
      <c r="H2562" s="641" t="s">
        <v>44</v>
      </c>
      <c r="I2562" s="641" t="s">
        <v>36</v>
      </c>
      <c r="J2562" s="642">
        <v>1</v>
      </c>
      <c r="K2562" t="s">
        <v>1770</v>
      </c>
    </row>
    <row r="2563" spans="1:11" hidden="1" x14ac:dyDescent="0.3">
      <c r="A2563" s="137">
        <v>10</v>
      </c>
      <c r="B2563" s="3402" t="s">
        <v>2413</v>
      </c>
      <c r="C2563" s="642" t="s">
        <v>37</v>
      </c>
      <c r="D2563" s="642" t="s">
        <v>2418</v>
      </c>
      <c r="E2563" s="642" t="s">
        <v>1751</v>
      </c>
      <c r="F2563" s="2519">
        <v>1200000</v>
      </c>
      <c r="G2563" s="642" t="s">
        <v>2258</v>
      </c>
      <c r="H2563" s="642" t="s">
        <v>44</v>
      </c>
      <c r="I2563" s="642" t="s">
        <v>36</v>
      </c>
      <c r="J2563" s="642">
        <v>1</v>
      </c>
      <c r="K2563" t="s">
        <v>2118</v>
      </c>
    </row>
    <row r="2564" spans="1:11" hidden="1" x14ac:dyDescent="0.3">
      <c r="A2564" s="137">
        <v>12</v>
      </c>
      <c r="B2564" s="3402" t="s">
        <v>2419</v>
      </c>
      <c r="C2564" s="642" t="s">
        <v>37</v>
      </c>
      <c r="D2564" s="642" t="s">
        <v>2420</v>
      </c>
      <c r="E2564" s="642" t="s">
        <v>1066</v>
      </c>
      <c r="F2564" s="2519">
        <v>850000</v>
      </c>
      <c r="G2564" s="642" t="s">
        <v>2421</v>
      </c>
      <c r="H2564" s="642" t="s">
        <v>36</v>
      </c>
      <c r="I2564" s="642" t="s">
        <v>36</v>
      </c>
      <c r="J2564" s="642">
        <v>1</v>
      </c>
      <c r="K2564" t="s">
        <v>2118</v>
      </c>
    </row>
    <row r="2565" spans="1:11" hidden="1" x14ac:dyDescent="0.3">
      <c r="A2565" s="137">
        <v>13</v>
      </c>
      <c r="B2565" s="3402" t="s">
        <v>2419</v>
      </c>
      <c r="C2565" s="642" t="s">
        <v>37</v>
      </c>
      <c r="D2565" s="641" t="s">
        <v>2422</v>
      </c>
      <c r="E2565" s="642" t="s">
        <v>1066</v>
      </c>
      <c r="F2565" s="2520">
        <v>650000</v>
      </c>
      <c r="G2565" s="641" t="s">
        <v>2421</v>
      </c>
      <c r="H2565" s="641" t="s">
        <v>36</v>
      </c>
      <c r="I2565" s="641" t="s">
        <v>36</v>
      </c>
      <c r="J2565" s="642">
        <v>1</v>
      </c>
      <c r="K2565" t="s">
        <v>217</v>
      </c>
    </row>
    <row r="2566" spans="1:11" hidden="1" x14ac:dyDescent="0.3">
      <c r="A2566" s="137">
        <v>14</v>
      </c>
      <c r="B2566" s="3402" t="s">
        <v>2419</v>
      </c>
      <c r="C2566" s="642" t="s">
        <v>37</v>
      </c>
      <c r="D2566" s="642" t="s">
        <v>2423</v>
      </c>
      <c r="E2566" s="642" t="s">
        <v>76</v>
      </c>
      <c r="F2566" s="2519">
        <v>1050000</v>
      </c>
      <c r="G2566" s="642" t="s">
        <v>2424</v>
      </c>
      <c r="H2566" s="641" t="s">
        <v>44</v>
      </c>
      <c r="I2566" s="641" t="s">
        <v>36</v>
      </c>
      <c r="J2566" s="642">
        <v>1</v>
      </c>
      <c r="K2566" t="s">
        <v>1770</v>
      </c>
    </row>
    <row r="2567" spans="1:11" hidden="1" x14ac:dyDescent="0.3">
      <c r="A2567" s="137">
        <v>15</v>
      </c>
      <c r="B2567" s="3402" t="s">
        <v>2425</v>
      </c>
      <c r="C2567" s="642" t="s">
        <v>37</v>
      </c>
      <c r="D2567" s="642" t="s">
        <v>2426</v>
      </c>
      <c r="E2567" s="642" t="s">
        <v>68</v>
      </c>
      <c r="F2567" s="2519">
        <v>1650000</v>
      </c>
      <c r="G2567" s="642" t="s">
        <v>2358</v>
      </c>
      <c r="H2567" s="641" t="s">
        <v>44</v>
      </c>
      <c r="I2567" s="641" t="s">
        <v>36</v>
      </c>
      <c r="J2567" s="642">
        <v>1</v>
      </c>
      <c r="K2567" t="s">
        <v>1770</v>
      </c>
    </row>
    <row r="2568" spans="1:11" hidden="1" x14ac:dyDescent="0.3">
      <c r="A2568" s="137">
        <v>16</v>
      </c>
      <c r="B2568" s="3402" t="s">
        <v>2425</v>
      </c>
      <c r="C2568" s="642" t="s">
        <v>37</v>
      </c>
      <c r="D2568" s="642" t="s">
        <v>2427</v>
      </c>
      <c r="E2568" s="642" t="s">
        <v>858</v>
      </c>
      <c r="F2568" s="2519">
        <v>1000000</v>
      </c>
      <c r="G2568" s="642" t="s">
        <v>2421</v>
      </c>
      <c r="H2568" s="641" t="s">
        <v>36</v>
      </c>
      <c r="I2568" s="641" t="s">
        <v>36</v>
      </c>
      <c r="J2568" s="642">
        <v>1</v>
      </c>
      <c r="K2568" t="s">
        <v>217</v>
      </c>
    </row>
    <row r="2569" spans="1:11" ht="24.6" hidden="1" x14ac:dyDescent="0.4">
      <c r="A2569" s="1781"/>
      <c r="B2569" s="765"/>
      <c r="C2569" s="641"/>
      <c r="D2569" s="641"/>
      <c r="E2569" s="641"/>
      <c r="F2569" s="2523"/>
      <c r="G2569" s="641"/>
      <c r="H2569" s="641"/>
      <c r="I2569" s="641"/>
      <c r="J2569" s="1837"/>
    </row>
    <row r="2570" spans="1:11" ht="24.6" hidden="1" x14ac:dyDescent="0.4">
      <c r="A2570" s="3462" t="s">
        <v>2003</v>
      </c>
      <c r="B2570" s="3462"/>
      <c r="C2570" s="3462"/>
      <c r="D2570" s="3462"/>
      <c r="E2570" s="3462"/>
      <c r="F2570" s="3462"/>
      <c r="G2570" s="3462"/>
      <c r="H2570" s="3462"/>
      <c r="I2570" s="3462"/>
      <c r="J2570" s="3462"/>
    </row>
    <row r="2571" spans="1:11" hidden="1" x14ac:dyDescent="0.3">
      <c r="A2571" s="137" t="s">
        <v>3</v>
      </c>
      <c r="B2571" s="1781" t="s">
        <v>4</v>
      </c>
      <c r="C2571" s="137" t="s">
        <v>5</v>
      </c>
      <c r="D2571" s="137" t="s">
        <v>6</v>
      </c>
      <c r="E2571" s="137" t="s">
        <v>7</v>
      </c>
      <c r="F2571" s="137" t="s">
        <v>8</v>
      </c>
      <c r="G2571" s="137" t="s">
        <v>9</v>
      </c>
      <c r="H2571" s="137" t="s">
        <v>10</v>
      </c>
      <c r="I2571" s="137" t="s">
        <v>11</v>
      </c>
      <c r="J2571" s="137" t="s">
        <v>12</v>
      </c>
    </row>
    <row r="2572" spans="1:11" ht="15.6" hidden="1" x14ac:dyDescent="0.3">
      <c r="A2572" s="1845">
        <v>1</v>
      </c>
      <c r="B2572" s="3404" t="s">
        <v>2371</v>
      </c>
      <c r="C2572" s="1838" t="s">
        <v>37</v>
      </c>
      <c r="D2572" s="2502" t="s">
        <v>2428</v>
      </c>
      <c r="E2572" s="1838" t="s">
        <v>904</v>
      </c>
      <c r="F2572" s="1838">
        <v>380000000</v>
      </c>
      <c r="G2572" s="1838" t="s">
        <v>168</v>
      </c>
      <c r="H2572" s="1838" t="s">
        <v>44</v>
      </c>
      <c r="I2572" s="1838" t="s">
        <v>36</v>
      </c>
      <c r="J2572" s="1839">
        <v>1</v>
      </c>
    </row>
    <row r="2573" spans="1:11" hidden="1" x14ac:dyDescent="0.3">
      <c r="A2573" s="1846">
        <v>2</v>
      </c>
      <c r="B2573" s="3404" t="s">
        <v>2406</v>
      </c>
      <c r="C2573" s="1838" t="s">
        <v>37</v>
      </c>
      <c r="D2573" s="1840" t="s">
        <v>2429</v>
      </c>
      <c r="E2573" s="1838" t="s">
        <v>1446</v>
      </c>
      <c r="F2573" s="1840">
        <v>190000000</v>
      </c>
      <c r="G2573" s="1838" t="s">
        <v>1812</v>
      </c>
      <c r="H2573" s="1838" t="s">
        <v>44</v>
      </c>
      <c r="I2573" s="1838" t="s">
        <v>36</v>
      </c>
      <c r="J2573" s="1839">
        <v>1</v>
      </c>
    </row>
    <row r="2574" spans="1:11" hidden="1" x14ac:dyDescent="0.3">
      <c r="A2574" s="2351">
        <v>3</v>
      </c>
      <c r="B2574" s="3410">
        <v>44685</v>
      </c>
      <c r="C2574" s="1840" t="s">
        <v>37</v>
      </c>
      <c r="D2574" s="2706" t="s">
        <v>2430</v>
      </c>
      <c r="E2574" s="1840" t="s">
        <v>824</v>
      </c>
      <c r="F2574" s="2706">
        <v>130000000</v>
      </c>
      <c r="G2574" s="1840" t="s">
        <v>2431</v>
      </c>
      <c r="H2574" s="1840" t="s">
        <v>44</v>
      </c>
      <c r="I2574" s="1840" t="s">
        <v>36</v>
      </c>
      <c r="J2574" s="1841">
        <v>1</v>
      </c>
    </row>
    <row r="2575" spans="1:11" hidden="1" x14ac:dyDescent="0.3">
      <c r="A2575" s="2177"/>
      <c r="B2575" s="3406"/>
      <c r="C2575" s="2350"/>
      <c r="D2575" s="2350"/>
      <c r="E2575" s="2350"/>
      <c r="F2575" s="2350"/>
      <c r="G2575" s="2350"/>
      <c r="H2575" s="2350"/>
      <c r="I2575" s="2350"/>
      <c r="J2575" s="1842"/>
    </row>
    <row r="2576" spans="1:11" hidden="1" x14ac:dyDescent="0.3"/>
    <row r="2577" spans="1:11" hidden="1" x14ac:dyDescent="0.3"/>
    <row r="2578" spans="1:11" ht="23.4" hidden="1" x14ac:dyDescent="0.3">
      <c r="A2578" s="3460" t="s">
        <v>1138</v>
      </c>
      <c r="B2578" s="3460"/>
      <c r="C2578" s="3460"/>
      <c r="D2578" s="3460"/>
      <c r="E2578" s="3460"/>
      <c r="F2578" s="3460"/>
      <c r="G2578" s="3460"/>
      <c r="H2578" s="3460"/>
      <c r="I2578" s="3460"/>
      <c r="J2578" s="3460"/>
    </row>
    <row r="2579" spans="1:11" ht="15.6" hidden="1" x14ac:dyDescent="0.3">
      <c r="A2579" s="3461" t="s">
        <v>2</v>
      </c>
      <c r="B2579" s="3461"/>
      <c r="C2579" s="3461"/>
      <c r="D2579" s="3461"/>
      <c r="E2579" s="3461"/>
      <c r="F2579" s="3461"/>
      <c r="G2579" s="3461"/>
      <c r="H2579" s="3461"/>
      <c r="I2579" s="3461"/>
      <c r="J2579" s="3461"/>
    </row>
    <row r="2580" spans="1:11" hidden="1" x14ac:dyDescent="0.3">
      <c r="A2580" s="137" t="s">
        <v>3</v>
      </c>
      <c r="B2580" s="1781" t="s">
        <v>4</v>
      </c>
      <c r="C2580" s="137" t="s">
        <v>5</v>
      </c>
      <c r="D2580" s="137" t="s">
        <v>6</v>
      </c>
      <c r="E2580" s="137" t="s">
        <v>7</v>
      </c>
      <c r="F2580" s="2522" t="s">
        <v>8</v>
      </c>
      <c r="G2580" s="137" t="s">
        <v>9</v>
      </c>
      <c r="H2580" s="137" t="s">
        <v>10</v>
      </c>
      <c r="I2580" s="137" t="s">
        <v>11</v>
      </c>
      <c r="J2580" s="137" t="s">
        <v>12</v>
      </c>
    </row>
    <row r="2581" spans="1:11" hidden="1" x14ac:dyDescent="0.3">
      <c r="A2581" s="137">
        <v>1</v>
      </c>
      <c r="B2581" s="3402" t="s">
        <v>2371</v>
      </c>
      <c r="C2581" s="642" t="s">
        <v>37</v>
      </c>
      <c r="D2581" s="642" t="s">
        <v>2432</v>
      </c>
      <c r="E2581" s="642" t="s">
        <v>1838</v>
      </c>
      <c r="F2581" s="2519">
        <v>1250000</v>
      </c>
      <c r="G2581" s="642" t="s">
        <v>1095</v>
      </c>
      <c r="H2581" s="642" t="s">
        <v>44</v>
      </c>
      <c r="I2581" s="642" t="s">
        <v>36</v>
      </c>
      <c r="J2581" s="642">
        <v>1</v>
      </c>
      <c r="K2581" t="s">
        <v>1770</v>
      </c>
    </row>
    <row r="2582" spans="1:11" hidden="1" x14ac:dyDescent="0.3">
      <c r="A2582" s="137">
        <v>2</v>
      </c>
      <c r="B2582" s="3402" t="s">
        <v>2433</v>
      </c>
      <c r="C2582" s="642" t="s">
        <v>37</v>
      </c>
      <c r="D2582" s="642" t="s">
        <v>2434</v>
      </c>
      <c r="E2582" s="642" t="s">
        <v>869</v>
      </c>
      <c r="F2582" s="2519">
        <v>1350000</v>
      </c>
      <c r="G2582" s="642" t="s">
        <v>1319</v>
      </c>
      <c r="H2582" s="642"/>
      <c r="I2582" s="642"/>
      <c r="J2582" s="642"/>
    </row>
    <row r="2583" spans="1:11" hidden="1" x14ac:dyDescent="0.3">
      <c r="A2583" s="137">
        <v>3</v>
      </c>
      <c r="B2583" s="3402" t="s">
        <v>2406</v>
      </c>
      <c r="C2583" s="642" t="s">
        <v>37</v>
      </c>
      <c r="D2583" s="642" t="s">
        <v>2435</v>
      </c>
      <c r="E2583" s="642" t="s">
        <v>76</v>
      </c>
      <c r="F2583" s="2595">
        <v>1600000</v>
      </c>
      <c r="G2583" s="642" t="s">
        <v>168</v>
      </c>
      <c r="H2583" s="642" t="s">
        <v>44</v>
      </c>
      <c r="I2583" s="642" t="s">
        <v>36</v>
      </c>
      <c r="J2583" s="642">
        <v>1</v>
      </c>
      <c r="K2583" t="s">
        <v>1770</v>
      </c>
    </row>
    <row r="2584" spans="1:11" hidden="1" x14ac:dyDescent="0.3">
      <c r="A2584" s="137">
        <v>4</v>
      </c>
      <c r="B2584" s="3402">
        <v>44716</v>
      </c>
      <c r="C2584" s="642" t="s">
        <v>37</v>
      </c>
      <c r="D2584" s="642" t="s">
        <v>2436</v>
      </c>
      <c r="E2584" s="642" t="s">
        <v>2437</v>
      </c>
      <c r="F2584" s="2519">
        <v>1100000</v>
      </c>
      <c r="G2584" s="642" t="s">
        <v>168</v>
      </c>
      <c r="H2584" s="642" t="s">
        <v>44</v>
      </c>
      <c r="I2584" s="642" t="s">
        <v>36</v>
      </c>
      <c r="J2584" s="642">
        <v>1</v>
      </c>
      <c r="K2584" t="s">
        <v>2118</v>
      </c>
    </row>
    <row r="2585" spans="1:11" hidden="1" x14ac:dyDescent="0.3">
      <c r="A2585" s="137">
        <v>5</v>
      </c>
      <c r="B2585" s="3402">
        <v>44869</v>
      </c>
      <c r="C2585" s="642" t="s">
        <v>37</v>
      </c>
      <c r="D2585" s="642" t="s">
        <v>2438</v>
      </c>
      <c r="E2585" s="642" t="s">
        <v>2439</v>
      </c>
      <c r="F2585" s="2519">
        <v>1100000</v>
      </c>
      <c r="G2585" s="642" t="s">
        <v>168</v>
      </c>
      <c r="H2585" s="642" t="s">
        <v>44</v>
      </c>
      <c r="I2585" s="642" t="s">
        <v>36</v>
      </c>
      <c r="J2585" s="642">
        <v>1</v>
      </c>
      <c r="K2585" t="s">
        <v>2440</v>
      </c>
    </row>
    <row r="2586" spans="1:11" hidden="1" x14ac:dyDescent="0.3">
      <c r="A2586" s="137">
        <v>7</v>
      </c>
      <c r="B2586" s="3402">
        <v>44869</v>
      </c>
      <c r="C2586" s="642" t="s">
        <v>37</v>
      </c>
      <c r="D2586" s="642" t="s">
        <v>2441</v>
      </c>
      <c r="E2586" s="642" t="s">
        <v>68</v>
      </c>
      <c r="F2586" s="2519">
        <v>1900000</v>
      </c>
      <c r="G2586" s="642" t="s">
        <v>2358</v>
      </c>
      <c r="H2586" s="642" t="s">
        <v>44</v>
      </c>
      <c r="I2586" s="642" t="s">
        <v>36</v>
      </c>
      <c r="J2586" s="642">
        <v>1</v>
      </c>
      <c r="K2586" t="s">
        <v>2440</v>
      </c>
    </row>
    <row r="2587" spans="1:11" hidden="1" x14ac:dyDescent="0.3">
      <c r="A2587" s="137">
        <v>8</v>
      </c>
      <c r="B2587" s="3402">
        <v>44869</v>
      </c>
      <c r="C2587" s="642" t="s">
        <v>37</v>
      </c>
      <c r="D2587" s="641" t="s">
        <v>2442</v>
      </c>
      <c r="E2587" s="641" t="s">
        <v>1130</v>
      </c>
      <c r="F2587" s="2520">
        <v>1600000</v>
      </c>
      <c r="G2587" s="641" t="s">
        <v>2358</v>
      </c>
      <c r="H2587" s="642" t="s">
        <v>44</v>
      </c>
      <c r="I2587" s="642" t="s">
        <v>36</v>
      </c>
      <c r="J2587" s="642">
        <v>1</v>
      </c>
    </row>
    <row r="2588" spans="1:11" hidden="1" x14ac:dyDescent="0.3">
      <c r="A2588" s="137">
        <v>9</v>
      </c>
      <c r="B2588" s="3402" t="s">
        <v>2443</v>
      </c>
      <c r="C2588" s="641" t="s">
        <v>37</v>
      </c>
      <c r="D2588" s="642" t="s">
        <v>2444</v>
      </c>
      <c r="E2588" s="642" t="s">
        <v>998</v>
      </c>
      <c r="F2588" s="2519">
        <v>1000000</v>
      </c>
      <c r="G2588" s="642" t="s">
        <v>168</v>
      </c>
      <c r="H2588" s="642" t="s">
        <v>44</v>
      </c>
      <c r="I2588" s="642" t="s">
        <v>36</v>
      </c>
      <c r="J2588" s="642">
        <v>1</v>
      </c>
      <c r="K2588" t="s">
        <v>2118</v>
      </c>
    </row>
    <row r="2589" spans="1:11" hidden="1" x14ac:dyDescent="0.3">
      <c r="A2589" s="137">
        <v>10</v>
      </c>
      <c r="B2589" s="3402" t="s">
        <v>2443</v>
      </c>
      <c r="C2589" s="641" t="s">
        <v>37</v>
      </c>
      <c r="D2589" s="642" t="s">
        <v>2445</v>
      </c>
      <c r="E2589" s="642" t="s">
        <v>68</v>
      </c>
      <c r="F2589" s="2519">
        <v>1100000</v>
      </c>
      <c r="G2589" s="642" t="s">
        <v>168</v>
      </c>
      <c r="H2589" s="642" t="s">
        <v>44</v>
      </c>
      <c r="I2589" s="642" t="s">
        <v>36</v>
      </c>
      <c r="J2589" s="642">
        <v>1</v>
      </c>
      <c r="K2589" t="s">
        <v>2118</v>
      </c>
    </row>
    <row r="2590" spans="1:11" hidden="1" x14ac:dyDescent="0.3">
      <c r="A2590" s="137">
        <v>12</v>
      </c>
      <c r="B2590" s="3402" t="s">
        <v>2446</v>
      </c>
      <c r="C2590" s="642" t="s">
        <v>37</v>
      </c>
      <c r="D2590" s="642" t="s">
        <v>2447</v>
      </c>
      <c r="E2590" s="642" t="s">
        <v>787</v>
      </c>
      <c r="F2590" s="2519">
        <v>1000000</v>
      </c>
      <c r="G2590" s="642" t="s">
        <v>2283</v>
      </c>
      <c r="H2590" s="642" t="s">
        <v>44</v>
      </c>
      <c r="I2590" s="642" t="s">
        <v>36</v>
      </c>
      <c r="J2590" s="642">
        <v>1</v>
      </c>
      <c r="K2590" t="s">
        <v>2448</v>
      </c>
    </row>
    <row r="2591" spans="1:11" hidden="1" x14ac:dyDescent="0.3">
      <c r="A2591" s="137">
        <v>13</v>
      </c>
      <c r="B2591" s="3402" t="s">
        <v>2419</v>
      </c>
      <c r="C2591" s="642" t="s">
        <v>37</v>
      </c>
      <c r="D2591" s="642" t="s">
        <v>2449</v>
      </c>
      <c r="E2591" s="642" t="s">
        <v>2450</v>
      </c>
      <c r="F2591" s="2519">
        <v>1350000</v>
      </c>
      <c r="G2591" s="642" t="s">
        <v>1319</v>
      </c>
      <c r="H2591" s="642" t="s">
        <v>44</v>
      </c>
      <c r="I2591" s="642" t="s">
        <v>36</v>
      </c>
      <c r="J2591" s="642">
        <v>1</v>
      </c>
      <c r="K2591" t="s">
        <v>1770</v>
      </c>
    </row>
    <row r="2592" spans="1:11" hidden="1" x14ac:dyDescent="0.3">
      <c r="A2592" s="137">
        <v>14</v>
      </c>
      <c r="B2592" s="765" t="s">
        <v>2425</v>
      </c>
      <c r="C2592" s="642" t="s">
        <v>37</v>
      </c>
      <c r="D2592" s="642" t="s">
        <v>2451</v>
      </c>
      <c r="E2592" s="642" t="s">
        <v>869</v>
      </c>
      <c r="F2592" s="2519">
        <v>1300000</v>
      </c>
      <c r="G2592" s="642" t="s">
        <v>2200</v>
      </c>
      <c r="H2592" s="642" t="s">
        <v>44</v>
      </c>
      <c r="I2592" s="642" t="s">
        <v>36</v>
      </c>
      <c r="J2592" s="642">
        <v>1</v>
      </c>
      <c r="K2592" t="s">
        <v>2118</v>
      </c>
    </row>
    <row r="2593" spans="1:11" hidden="1" x14ac:dyDescent="0.3">
      <c r="A2593" s="137">
        <v>15</v>
      </c>
      <c r="B2593" s="765" t="s">
        <v>2452</v>
      </c>
      <c r="C2593" s="642" t="s">
        <v>37</v>
      </c>
      <c r="D2593" s="642" t="s">
        <v>2453</v>
      </c>
      <c r="E2593" s="642" t="s">
        <v>787</v>
      </c>
      <c r="F2593" s="2519">
        <v>1000000</v>
      </c>
      <c r="G2593" s="642" t="s">
        <v>2283</v>
      </c>
      <c r="H2593" s="642" t="s">
        <v>44</v>
      </c>
      <c r="I2593" s="642" t="s">
        <v>36</v>
      </c>
      <c r="J2593" s="642">
        <v>1</v>
      </c>
      <c r="K2593" t="s">
        <v>2118</v>
      </c>
    </row>
    <row r="2594" spans="1:11" hidden="1" x14ac:dyDescent="0.3">
      <c r="A2594" s="137">
        <v>16</v>
      </c>
      <c r="B2594" s="765" t="s">
        <v>2452</v>
      </c>
      <c r="C2594" s="642" t="s">
        <v>37</v>
      </c>
      <c r="D2594" s="642" t="s">
        <v>2454</v>
      </c>
      <c r="E2594" s="642" t="s">
        <v>869</v>
      </c>
      <c r="F2594" s="2519">
        <v>1300000</v>
      </c>
      <c r="G2594" s="642" t="s">
        <v>2145</v>
      </c>
      <c r="H2594" s="642" t="s">
        <v>44</v>
      </c>
      <c r="I2594" s="642" t="s">
        <v>36</v>
      </c>
      <c r="J2594" s="642">
        <v>1</v>
      </c>
      <c r="K2594" t="s">
        <v>2118</v>
      </c>
    </row>
    <row r="2595" spans="1:11" ht="24.6" hidden="1" x14ac:dyDescent="0.4">
      <c r="A2595" s="1781"/>
      <c r="B2595" s="765"/>
      <c r="C2595" s="641"/>
      <c r="D2595" s="641"/>
      <c r="E2595" s="641"/>
      <c r="F2595" s="2523"/>
      <c r="G2595" s="641"/>
      <c r="H2595" s="641"/>
      <c r="I2595" s="641"/>
      <c r="J2595" s="1837"/>
    </row>
    <row r="2596" spans="1:11" ht="24.6" hidden="1" x14ac:dyDescent="0.4">
      <c r="A2596" s="3462" t="s">
        <v>2003</v>
      </c>
      <c r="B2596" s="3462"/>
      <c r="C2596" s="3462"/>
      <c r="D2596" s="3462"/>
      <c r="E2596" s="3462"/>
      <c r="F2596" s="3462"/>
      <c r="G2596" s="3462"/>
      <c r="H2596" s="3462"/>
      <c r="I2596" s="3462"/>
      <c r="J2596" s="3462"/>
    </row>
    <row r="2597" spans="1:11" hidden="1" x14ac:dyDescent="0.3">
      <c r="A2597" s="137" t="s">
        <v>3</v>
      </c>
      <c r="B2597" s="1781" t="s">
        <v>4</v>
      </c>
      <c r="C2597" s="137" t="s">
        <v>5</v>
      </c>
      <c r="D2597" s="137" t="s">
        <v>6</v>
      </c>
      <c r="E2597" s="137" t="s">
        <v>7</v>
      </c>
      <c r="F2597" s="137" t="s">
        <v>8</v>
      </c>
      <c r="G2597" s="137" t="s">
        <v>9</v>
      </c>
      <c r="H2597" s="137" t="s">
        <v>10</v>
      </c>
      <c r="I2597" s="137" t="s">
        <v>11</v>
      </c>
      <c r="J2597" s="137" t="s">
        <v>12</v>
      </c>
    </row>
    <row r="2598" spans="1:11" hidden="1" x14ac:dyDescent="0.3">
      <c r="A2598" s="1845">
        <v>1</v>
      </c>
      <c r="B2598" s="3404" t="s">
        <v>2446</v>
      </c>
      <c r="C2598" s="1838" t="s">
        <v>37</v>
      </c>
      <c r="D2598" s="1838" t="s">
        <v>2455</v>
      </c>
      <c r="E2598" s="1838" t="s">
        <v>2456</v>
      </c>
      <c r="F2598" s="1838">
        <v>172000000</v>
      </c>
      <c r="G2598" s="1838" t="s">
        <v>168</v>
      </c>
      <c r="H2598" s="1838" t="s">
        <v>44</v>
      </c>
      <c r="I2598" s="1838" t="s">
        <v>36</v>
      </c>
      <c r="J2598" s="1839">
        <v>1</v>
      </c>
    </row>
    <row r="2599" spans="1:11" hidden="1" x14ac:dyDescent="0.3">
      <c r="A2599" s="1846">
        <v>2</v>
      </c>
      <c r="B2599" s="3404" t="s">
        <v>2419</v>
      </c>
      <c r="C2599" s="1838" t="s">
        <v>37</v>
      </c>
      <c r="D2599" s="1840" t="s">
        <v>2457</v>
      </c>
      <c r="E2599" s="1840" t="s">
        <v>1066</v>
      </c>
      <c r="F2599" s="1838">
        <v>187000000</v>
      </c>
      <c r="G2599" s="1840" t="s">
        <v>168</v>
      </c>
      <c r="H2599" s="1840" t="s">
        <v>44</v>
      </c>
      <c r="I2599" s="1840" t="s">
        <v>36</v>
      </c>
      <c r="J2599" s="1841">
        <v>1</v>
      </c>
    </row>
    <row r="2600" spans="1:11" hidden="1" x14ac:dyDescent="0.3">
      <c r="A2600" s="2177">
        <v>3</v>
      </c>
      <c r="B2600" s="3404" t="s">
        <v>2458</v>
      </c>
      <c r="C2600" s="2350" t="s">
        <v>37</v>
      </c>
      <c r="D2600" s="2350" t="s">
        <v>2459</v>
      </c>
      <c r="E2600" s="2350" t="s">
        <v>858</v>
      </c>
      <c r="F2600" s="1838">
        <v>560000000</v>
      </c>
      <c r="G2600" s="2350" t="s">
        <v>168</v>
      </c>
      <c r="H2600" s="2350" t="s">
        <v>44</v>
      </c>
      <c r="I2600" s="2350" t="s">
        <v>36</v>
      </c>
      <c r="J2600" s="1842">
        <v>1</v>
      </c>
    </row>
    <row r="2601" spans="1:11" hidden="1" x14ac:dyDescent="0.3"/>
    <row r="2602" spans="1:11" hidden="1" x14ac:dyDescent="0.3"/>
    <row r="2603" spans="1:11" ht="23.4" hidden="1" x14ac:dyDescent="0.3">
      <c r="A2603" s="3460" t="s">
        <v>2073</v>
      </c>
      <c r="B2603" s="3460"/>
      <c r="C2603" s="3460"/>
      <c r="D2603" s="3460"/>
      <c r="E2603" s="3460"/>
      <c r="F2603" s="3460"/>
      <c r="G2603" s="3460"/>
      <c r="H2603" s="3460"/>
      <c r="I2603" s="3460"/>
      <c r="J2603" s="3460"/>
    </row>
    <row r="2604" spans="1:11" ht="15.6" hidden="1" x14ac:dyDescent="0.3">
      <c r="A2604" s="3461" t="s">
        <v>2</v>
      </c>
      <c r="B2604" s="3461"/>
      <c r="C2604" s="3461"/>
      <c r="D2604" s="3461"/>
      <c r="E2604" s="3461"/>
      <c r="F2604" s="3461"/>
      <c r="G2604" s="3461"/>
      <c r="H2604" s="3461"/>
      <c r="I2604" s="3461"/>
      <c r="J2604" s="3461"/>
    </row>
    <row r="2605" spans="1:11" hidden="1" x14ac:dyDescent="0.3">
      <c r="A2605" s="137" t="s">
        <v>3</v>
      </c>
      <c r="B2605" s="1781" t="s">
        <v>4</v>
      </c>
      <c r="C2605" s="137" t="s">
        <v>5</v>
      </c>
      <c r="D2605" s="137" t="s">
        <v>6</v>
      </c>
      <c r="E2605" s="137" t="s">
        <v>7</v>
      </c>
      <c r="F2605" s="2522" t="s">
        <v>8</v>
      </c>
      <c r="G2605" s="137" t="s">
        <v>9</v>
      </c>
      <c r="H2605" s="137" t="s">
        <v>10</v>
      </c>
      <c r="I2605" s="137" t="s">
        <v>11</v>
      </c>
      <c r="J2605" s="137" t="s">
        <v>12</v>
      </c>
    </row>
    <row r="2606" spans="1:11" hidden="1" x14ac:dyDescent="0.3">
      <c r="A2606" s="137">
        <v>1</v>
      </c>
      <c r="B2606" s="3402" t="s">
        <v>2406</v>
      </c>
      <c r="C2606" s="642" t="s">
        <v>37</v>
      </c>
      <c r="D2606" s="642" t="s">
        <v>2460</v>
      </c>
      <c r="E2606" s="642" t="s">
        <v>2461</v>
      </c>
      <c r="F2606" s="2519">
        <v>1600000</v>
      </c>
      <c r="G2606" s="642" t="s">
        <v>2462</v>
      </c>
      <c r="H2606" s="642" t="s">
        <v>44</v>
      </c>
      <c r="I2606" s="642" t="s">
        <v>36</v>
      </c>
      <c r="J2606" s="642">
        <v>1</v>
      </c>
      <c r="K2606" t="s">
        <v>217</v>
      </c>
    </row>
    <row r="2607" spans="1:11" hidden="1" x14ac:dyDescent="0.3">
      <c r="A2607" s="137">
        <v>2</v>
      </c>
      <c r="B2607" s="3402" t="s">
        <v>2406</v>
      </c>
      <c r="C2607" s="642" t="s">
        <v>37</v>
      </c>
      <c r="D2607" s="642" t="s">
        <v>2463</v>
      </c>
      <c r="E2607" s="642" t="s">
        <v>998</v>
      </c>
      <c r="F2607" s="2519">
        <v>1200000</v>
      </c>
      <c r="G2607" s="642" t="s">
        <v>788</v>
      </c>
      <c r="H2607" s="642" t="s">
        <v>36</v>
      </c>
      <c r="I2607" s="642" t="s">
        <v>36</v>
      </c>
      <c r="J2607" s="642">
        <v>1</v>
      </c>
      <c r="K2607" t="s">
        <v>217</v>
      </c>
    </row>
    <row r="2608" spans="1:11" hidden="1" x14ac:dyDescent="0.3">
      <c r="A2608" s="137">
        <v>3</v>
      </c>
      <c r="B2608" s="3402">
        <v>44716</v>
      </c>
      <c r="C2608" s="642" t="s">
        <v>37</v>
      </c>
      <c r="D2608" s="642" t="s">
        <v>2464</v>
      </c>
      <c r="E2608" s="642" t="s">
        <v>998</v>
      </c>
      <c r="F2608" s="2519">
        <v>1150000</v>
      </c>
      <c r="G2608" s="642" t="s">
        <v>2035</v>
      </c>
      <c r="H2608" s="642" t="s">
        <v>36</v>
      </c>
      <c r="I2608" s="642" t="s">
        <v>36</v>
      </c>
      <c r="J2608" s="642">
        <v>1</v>
      </c>
      <c r="K2608" t="s">
        <v>217</v>
      </c>
    </row>
    <row r="2609" spans="1:11" hidden="1" x14ac:dyDescent="0.3">
      <c r="A2609" s="137">
        <v>4</v>
      </c>
      <c r="B2609" s="3402">
        <v>44716</v>
      </c>
      <c r="C2609" s="642" t="s">
        <v>37</v>
      </c>
      <c r="D2609" s="642" t="s">
        <v>2465</v>
      </c>
      <c r="E2609" s="642" t="s">
        <v>998</v>
      </c>
      <c r="F2609" s="2519">
        <v>1300000</v>
      </c>
      <c r="G2609" s="642" t="s">
        <v>2035</v>
      </c>
      <c r="H2609" s="642" t="s">
        <v>44</v>
      </c>
      <c r="I2609" s="642" t="s">
        <v>36</v>
      </c>
      <c r="J2609" s="642">
        <v>1</v>
      </c>
      <c r="K2609" t="s">
        <v>2118</v>
      </c>
    </row>
    <row r="2610" spans="1:11" hidden="1" x14ac:dyDescent="0.3">
      <c r="A2610" s="137">
        <v>5</v>
      </c>
      <c r="B2610" s="3402">
        <v>44716</v>
      </c>
      <c r="C2610" s="642" t="s">
        <v>37</v>
      </c>
      <c r="D2610" s="642" t="s">
        <v>2466</v>
      </c>
      <c r="E2610" s="642" t="s">
        <v>998</v>
      </c>
      <c r="F2610" s="2519">
        <v>1200000</v>
      </c>
      <c r="G2610" s="642" t="s">
        <v>2035</v>
      </c>
      <c r="H2610" s="642" t="s">
        <v>36</v>
      </c>
      <c r="I2610" s="642" t="s">
        <v>36</v>
      </c>
      <c r="J2610" s="642">
        <v>1</v>
      </c>
      <c r="K2610" t="s">
        <v>1770</v>
      </c>
    </row>
    <row r="2611" spans="1:11" hidden="1" x14ac:dyDescent="0.3">
      <c r="A2611" s="137">
        <v>7</v>
      </c>
      <c r="B2611" s="3402">
        <v>44899</v>
      </c>
      <c r="C2611" s="642" t="s">
        <v>37</v>
      </c>
      <c r="D2611" s="642" t="s">
        <v>2467</v>
      </c>
      <c r="E2611" s="642" t="s">
        <v>998</v>
      </c>
      <c r="F2611" s="2519">
        <v>1200000</v>
      </c>
      <c r="G2611" s="642" t="s">
        <v>2462</v>
      </c>
      <c r="H2611" s="642" t="s">
        <v>36</v>
      </c>
      <c r="I2611" s="642" t="s">
        <v>36</v>
      </c>
      <c r="J2611" s="642">
        <v>1</v>
      </c>
      <c r="K2611" t="s">
        <v>2440</v>
      </c>
    </row>
    <row r="2612" spans="1:11" hidden="1" x14ac:dyDescent="0.3">
      <c r="A2612" s="137">
        <v>8</v>
      </c>
      <c r="B2612" s="3402">
        <v>44899</v>
      </c>
      <c r="C2612" s="642" t="s">
        <v>37</v>
      </c>
      <c r="D2612" s="641" t="s">
        <v>2468</v>
      </c>
      <c r="E2612" s="641" t="s">
        <v>998</v>
      </c>
      <c r="F2612" s="2520">
        <v>1150000</v>
      </c>
      <c r="G2612" s="642" t="s">
        <v>2469</v>
      </c>
      <c r="H2612" s="642" t="s">
        <v>36</v>
      </c>
      <c r="I2612" s="642" t="s">
        <v>36</v>
      </c>
      <c r="J2612" s="642">
        <v>1</v>
      </c>
      <c r="K2612" t="s">
        <v>1770</v>
      </c>
    </row>
    <row r="2613" spans="1:11" hidden="1" x14ac:dyDescent="0.3">
      <c r="A2613" s="137">
        <v>9</v>
      </c>
      <c r="B2613" s="3402">
        <v>44899</v>
      </c>
      <c r="C2613" s="642" t="s">
        <v>37</v>
      </c>
      <c r="D2613" s="642" t="s">
        <v>2470</v>
      </c>
      <c r="E2613" s="642" t="s">
        <v>904</v>
      </c>
      <c r="F2613" s="2519">
        <v>1050000</v>
      </c>
      <c r="G2613" s="642" t="s">
        <v>168</v>
      </c>
      <c r="H2613" s="642" t="s">
        <v>36</v>
      </c>
      <c r="I2613" s="642" t="s">
        <v>36</v>
      </c>
      <c r="J2613" s="642">
        <v>1</v>
      </c>
      <c r="K2613" t="s">
        <v>2118</v>
      </c>
    </row>
    <row r="2614" spans="1:11" hidden="1" x14ac:dyDescent="0.3">
      <c r="A2614" s="137">
        <v>10</v>
      </c>
      <c r="B2614" s="3402" t="s">
        <v>2419</v>
      </c>
      <c r="C2614" s="642" t="s">
        <v>37</v>
      </c>
      <c r="D2614" s="642" t="s">
        <v>2471</v>
      </c>
      <c r="E2614" s="642" t="s">
        <v>869</v>
      </c>
      <c r="F2614" s="2519">
        <v>1300000</v>
      </c>
      <c r="G2614" s="642" t="s">
        <v>2200</v>
      </c>
      <c r="H2614" s="642" t="s">
        <v>44</v>
      </c>
      <c r="I2614" s="642" t="s">
        <v>36</v>
      </c>
      <c r="J2614" s="642">
        <v>1</v>
      </c>
      <c r="K2614" t="s">
        <v>217</v>
      </c>
    </row>
    <row r="2615" spans="1:11" hidden="1" x14ac:dyDescent="0.3">
      <c r="A2615" s="137">
        <v>12</v>
      </c>
      <c r="B2615" s="3402" t="s">
        <v>2419</v>
      </c>
      <c r="C2615" s="642" t="s">
        <v>37</v>
      </c>
      <c r="D2615" s="642" t="s">
        <v>2472</v>
      </c>
      <c r="E2615" s="642" t="s">
        <v>904</v>
      </c>
      <c r="F2615" s="2519">
        <v>1300000</v>
      </c>
      <c r="G2615" s="642" t="s">
        <v>2070</v>
      </c>
      <c r="H2615" s="642" t="s">
        <v>44</v>
      </c>
      <c r="I2615" s="642" t="s">
        <v>36</v>
      </c>
      <c r="J2615" s="642">
        <v>1</v>
      </c>
      <c r="K2615" t="s">
        <v>2118</v>
      </c>
    </row>
    <row r="2616" spans="1:11" hidden="1" x14ac:dyDescent="0.3">
      <c r="A2616" s="137">
        <v>13</v>
      </c>
      <c r="B2616" s="3402" t="s">
        <v>2419</v>
      </c>
      <c r="C2616" s="642" t="s">
        <v>37</v>
      </c>
      <c r="D2616" s="642" t="s">
        <v>2473</v>
      </c>
      <c r="E2616" s="642" t="s">
        <v>925</v>
      </c>
      <c r="F2616" s="2519">
        <v>1200000</v>
      </c>
      <c r="G2616" s="642" t="s">
        <v>168</v>
      </c>
      <c r="H2616" s="642" t="s">
        <v>44</v>
      </c>
      <c r="I2616" s="642" t="s">
        <v>36</v>
      </c>
      <c r="J2616" s="642">
        <v>1</v>
      </c>
      <c r="K2616" t="s">
        <v>1770</v>
      </c>
    </row>
    <row r="2617" spans="1:11" hidden="1" x14ac:dyDescent="0.3">
      <c r="A2617" s="137">
        <v>14</v>
      </c>
      <c r="B2617" s="3402" t="s">
        <v>2419</v>
      </c>
      <c r="C2617" s="642" t="s">
        <v>37</v>
      </c>
      <c r="D2617" s="642" t="s">
        <v>2474</v>
      </c>
      <c r="E2617" s="642" t="s">
        <v>869</v>
      </c>
      <c r="F2617" s="2519">
        <v>1300000</v>
      </c>
      <c r="G2617" s="642" t="s">
        <v>2475</v>
      </c>
      <c r="H2617" s="642" t="s">
        <v>44</v>
      </c>
      <c r="I2617" s="642" t="s">
        <v>36</v>
      </c>
      <c r="J2617" s="642">
        <v>1</v>
      </c>
      <c r="K2617" t="s">
        <v>1770</v>
      </c>
    </row>
    <row r="2618" spans="1:11" hidden="1" x14ac:dyDescent="0.3">
      <c r="A2618" s="137">
        <v>15</v>
      </c>
      <c r="B2618" s="3402" t="s">
        <v>2419</v>
      </c>
      <c r="C2618" s="642" t="s">
        <v>37</v>
      </c>
      <c r="D2618" s="642" t="s">
        <v>2476</v>
      </c>
      <c r="E2618" s="642" t="s">
        <v>869</v>
      </c>
      <c r="F2618" s="2519">
        <v>1200000</v>
      </c>
      <c r="G2618" s="642" t="s">
        <v>2200</v>
      </c>
      <c r="H2618" s="642" t="s">
        <v>44</v>
      </c>
      <c r="I2618" s="642" t="s">
        <v>36</v>
      </c>
      <c r="J2618" s="642">
        <v>1</v>
      </c>
      <c r="K2618" t="s">
        <v>2118</v>
      </c>
    </row>
    <row r="2619" spans="1:11" ht="24.6" hidden="1" x14ac:dyDescent="0.4">
      <c r="A2619" s="1781"/>
      <c r="B2619" s="765"/>
      <c r="C2619" s="641"/>
      <c r="D2619" s="641"/>
      <c r="E2619" s="641"/>
      <c r="F2619" s="2523"/>
      <c r="G2619" s="641"/>
      <c r="H2619" s="641"/>
      <c r="I2619" s="641"/>
      <c r="J2619" s="1837"/>
    </row>
    <row r="2620" spans="1:11" ht="24.6" hidden="1" x14ac:dyDescent="0.4">
      <c r="A2620" s="3462" t="s">
        <v>2003</v>
      </c>
      <c r="B2620" s="3462"/>
      <c r="C2620" s="3462"/>
      <c r="D2620" s="3462"/>
      <c r="E2620" s="3462"/>
      <c r="F2620" s="3462"/>
      <c r="G2620" s="3462"/>
      <c r="H2620" s="3462"/>
      <c r="I2620" s="3462"/>
      <c r="J2620" s="3462"/>
    </row>
    <row r="2621" spans="1:11" hidden="1" x14ac:dyDescent="0.3">
      <c r="A2621" s="137" t="s">
        <v>3</v>
      </c>
      <c r="B2621" s="1781" t="s">
        <v>4</v>
      </c>
      <c r="C2621" s="137" t="s">
        <v>5</v>
      </c>
      <c r="D2621" s="137" t="s">
        <v>6</v>
      </c>
      <c r="E2621" s="137" t="s">
        <v>7</v>
      </c>
      <c r="F2621" s="137" t="s">
        <v>8</v>
      </c>
      <c r="G2621" s="137" t="s">
        <v>9</v>
      </c>
      <c r="H2621" s="137" t="s">
        <v>10</v>
      </c>
      <c r="I2621" s="137" t="s">
        <v>11</v>
      </c>
      <c r="J2621" s="137" t="s">
        <v>12</v>
      </c>
    </row>
    <row r="2622" spans="1:11" hidden="1" x14ac:dyDescent="0.3">
      <c r="A2622" s="1845">
        <v>1</v>
      </c>
      <c r="B2622" s="3404" t="s">
        <v>2425</v>
      </c>
      <c r="C2622" s="1838" t="s">
        <v>37</v>
      </c>
      <c r="D2622" s="1838" t="s">
        <v>2477</v>
      </c>
      <c r="E2622" s="1838" t="s">
        <v>998</v>
      </c>
      <c r="F2622" s="1838">
        <v>220000000</v>
      </c>
      <c r="G2622" s="1838" t="s">
        <v>2469</v>
      </c>
      <c r="H2622" s="1838" t="s">
        <v>44</v>
      </c>
      <c r="I2622" s="1838" t="s">
        <v>36</v>
      </c>
      <c r="J2622" s="1839">
        <v>1</v>
      </c>
    </row>
    <row r="2623" spans="1:11" hidden="1" x14ac:dyDescent="0.3">
      <c r="A2623" s="1846">
        <v>2</v>
      </c>
      <c r="B2623" s="3404" t="s">
        <v>2478</v>
      </c>
      <c r="C2623" s="1838" t="s">
        <v>37</v>
      </c>
      <c r="D2623" s="1840" t="s">
        <v>1947</v>
      </c>
      <c r="E2623" s="1840" t="s">
        <v>869</v>
      </c>
      <c r="F2623" s="1840">
        <v>250000000</v>
      </c>
      <c r="G2623" s="1840" t="s">
        <v>2261</v>
      </c>
      <c r="H2623" s="1840" t="s">
        <v>44</v>
      </c>
      <c r="I2623" s="1840" t="s">
        <v>36</v>
      </c>
      <c r="J2623" s="1841">
        <v>1</v>
      </c>
    </row>
    <row r="2624" spans="1:11" hidden="1" x14ac:dyDescent="0.3">
      <c r="A2624" s="2177">
        <v>3</v>
      </c>
      <c r="B2624" s="3410"/>
      <c r="C2624" s="2350"/>
      <c r="D2624" s="2350"/>
      <c r="E2624" s="2350"/>
      <c r="F2624" s="2350"/>
      <c r="G2624" s="2350"/>
      <c r="H2624" s="2350"/>
      <c r="I2624" s="2350"/>
      <c r="J2624" s="1842"/>
    </row>
    <row r="2625" spans="1:11" hidden="1" x14ac:dyDescent="0.3"/>
    <row r="2626" spans="1:11" ht="23.4" hidden="1" x14ac:dyDescent="0.3">
      <c r="A2626" s="3460" t="s">
        <v>2008</v>
      </c>
      <c r="B2626" s="3460"/>
      <c r="C2626" s="3460"/>
      <c r="D2626" s="3460"/>
      <c r="E2626" s="3460"/>
      <c r="F2626" s="3460"/>
      <c r="G2626" s="3460"/>
      <c r="H2626" s="3460"/>
      <c r="I2626" s="3460"/>
      <c r="J2626" s="3460"/>
    </row>
    <row r="2627" spans="1:11" ht="15.6" hidden="1" x14ac:dyDescent="0.3">
      <c r="A2627" s="3461" t="s">
        <v>2</v>
      </c>
      <c r="B2627" s="3461"/>
      <c r="C2627" s="3461"/>
      <c r="D2627" s="3461"/>
      <c r="E2627" s="3461"/>
      <c r="F2627" s="3461"/>
      <c r="G2627" s="3461"/>
      <c r="H2627" s="3461"/>
      <c r="I2627" s="3461"/>
      <c r="J2627" s="3461"/>
    </row>
    <row r="2628" spans="1:11" hidden="1" x14ac:dyDescent="0.3">
      <c r="A2628" s="137" t="s">
        <v>3</v>
      </c>
      <c r="B2628" s="1781" t="s">
        <v>4</v>
      </c>
      <c r="C2628" s="137" t="s">
        <v>5</v>
      </c>
      <c r="D2628" s="137" t="s">
        <v>6</v>
      </c>
      <c r="E2628" s="137" t="s">
        <v>7</v>
      </c>
      <c r="F2628" s="2522" t="s">
        <v>8</v>
      </c>
      <c r="G2628" s="137" t="s">
        <v>9</v>
      </c>
      <c r="H2628" s="137" t="s">
        <v>10</v>
      </c>
      <c r="I2628" s="137" t="s">
        <v>11</v>
      </c>
      <c r="J2628" s="137" t="s">
        <v>12</v>
      </c>
    </row>
    <row r="2629" spans="1:11" hidden="1" x14ac:dyDescent="0.3">
      <c r="A2629" s="137">
        <v>1</v>
      </c>
      <c r="B2629" s="765" t="s">
        <v>2406</v>
      </c>
      <c r="C2629" s="642" t="s">
        <v>37</v>
      </c>
      <c r="D2629" s="642" t="s">
        <v>2479</v>
      </c>
      <c r="E2629" s="642" t="s">
        <v>962</v>
      </c>
      <c r="F2629" s="2595">
        <v>1300000</v>
      </c>
      <c r="G2629" s="642" t="s">
        <v>854</v>
      </c>
      <c r="H2629" s="642" t="s">
        <v>36</v>
      </c>
      <c r="I2629" s="642" t="s">
        <v>36</v>
      </c>
      <c r="J2629" s="642">
        <v>1</v>
      </c>
      <c r="K2629" t="s">
        <v>1770</v>
      </c>
    </row>
    <row r="2630" spans="1:11" hidden="1" x14ac:dyDescent="0.3">
      <c r="A2630" s="137">
        <v>2</v>
      </c>
      <c r="B2630" s="765" t="s">
        <v>2480</v>
      </c>
      <c r="C2630" s="642" t="s">
        <v>37</v>
      </c>
      <c r="D2630" s="642" t="s">
        <v>2481</v>
      </c>
      <c r="E2630" s="642" t="s">
        <v>962</v>
      </c>
      <c r="F2630" s="2595">
        <v>1050000</v>
      </c>
      <c r="G2630" s="642" t="s">
        <v>854</v>
      </c>
      <c r="H2630" s="642" t="s">
        <v>36</v>
      </c>
      <c r="I2630" s="642" t="s">
        <v>36</v>
      </c>
      <c r="J2630" s="642">
        <v>1</v>
      </c>
      <c r="K2630" t="s">
        <v>2118</v>
      </c>
    </row>
    <row r="2631" spans="1:11" hidden="1" x14ac:dyDescent="0.3">
      <c r="A2631" s="137">
        <v>3</v>
      </c>
      <c r="B2631" s="3402">
        <v>44655</v>
      </c>
      <c r="C2631" s="642" t="s">
        <v>37</v>
      </c>
      <c r="D2631" s="642" t="s">
        <v>93</v>
      </c>
      <c r="E2631" s="642" t="s">
        <v>68</v>
      </c>
      <c r="F2631" s="2595">
        <v>1350000</v>
      </c>
      <c r="G2631" s="642" t="s">
        <v>2358</v>
      </c>
      <c r="H2631" s="642" t="s">
        <v>36</v>
      </c>
      <c r="I2631" s="642" t="s">
        <v>36</v>
      </c>
      <c r="J2631" s="642">
        <v>1</v>
      </c>
      <c r="K2631" t="s">
        <v>1770</v>
      </c>
    </row>
    <row r="2632" spans="1:11" hidden="1" x14ac:dyDescent="0.3">
      <c r="A2632" s="137">
        <v>4</v>
      </c>
      <c r="B2632" s="3402">
        <v>44685</v>
      </c>
      <c r="C2632" s="642" t="s">
        <v>37</v>
      </c>
      <c r="D2632" s="642" t="s">
        <v>2482</v>
      </c>
      <c r="E2632" s="642" t="s">
        <v>858</v>
      </c>
      <c r="F2632" s="2595">
        <v>1500000</v>
      </c>
      <c r="G2632" s="642" t="s">
        <v>397</v>
      </c>
      <c r="H2632" s="642" t="s">
        <v>36</v>
      </c>
      <c r="I2632" s="642" t="s">
        <v>36</v>
      </c>
      <c r="J2632" s="642">
        <v>1</v>
      </c>
      <c r="K2632" t="s">
        <v>1770</v>
      </c>
    </row>
    <row r="2633" spans="1:11" hidden="1" x14ac:dyDescent="0.3">
      <c r="A2633" s="137">
        <v>5</v>
      </c>
      <c r="B2633" s="3402">
        <v>44716</v>
      </c>
      <c r="C2633" s="642" t="s">
        <v>37</v>
      </c>
      <c r="D2633" s="642" t="s">
        <v>2483</v>
      </c>
      <c r="E2633" s="642" t="s">
        <v>2484</v>
      </c>
      <c r="F2633" s="2595">
        <v>1000000</v>
      </c>
      <c r="G2633" s="642" t="s">
        <v>168</v>
      </c>
      <c r="H2633" s="642" t="s">
        <v>36</v>
      </c>
      <c r="I2633" s="642" t="s">
        <v>36</v>
      </c>
      <c r="J2633" s="642">
        <v>1</v>
      </c>
      <c r="K2633" t="s">
        <v>217</v>
      </c>
    </row>
    <row r="2634" spans="1:11" hidden="1" x14ac:dyDescent="0.3">
      <c r="A2634" s="137">
        <v>6</v>
      </c>
      <c r="B2634" s="3402">
        <v>44716</v>
      </c>
      <c r="C2634" s="642" t="s">
        <v>37</v>
      </c>
      <c r="D2634" s="642" t="s">
        <v>2485</v>
      </c>
      <c r="E2634" s="642" t="s">
        <v>2484</v>
      </c>
      <c r="F2634" s="2595">
        <v>900000</v>
      </c>
      <c r="G2634" s="642" t="s">
        <v>168</v>
      </c>
      <c r="H2634" s="642" t="s">
        <v>36</v>
      </c>
      <c r="I2634" s="642" t="s">
        <v>36</v>
      </c>
      <c r="J2634" s="642">
        <v>1</v>
      </c>
      <c r="K2634" t="s">
        <v>1530</v>
      </c>
    </row>
    <row r="2635" spans="1:11" hidden="1" x14ac:dyDescent="0.3">
      <c r="A2635" s="137">
        <v>7</v>
      </c>
      <c r="B2635" s="3402">
        <v>44716</v>
      </c>
      <c r="C2635" s="642" t="s">
        <v>37</v>
      </c>
      <c r="D2635" s="641" t="s">
        <v>2486</v>
      </c>
      <c r="E2635" s="641" t="s">
        <v>68</v>
      </c>
      <c r="F2635" s="2520">
        <v>1450000</v>
      </c>
      <c r="G2635" s="641" t="s">
        <v>2358</v>
      </c>
      <c r="H2635" s="641" t="s">
        <v>36</v>
      </c>
      <c r="I2635" s="641" t="s">
        <v>36</v>
      </c>
      <c r="J2635" s="642">
        <v>1</v>
      </c>
      <c r="K2635" t="s">
        <v>217</v>
      </c>
    </row>
    <row r="2636" spans="1:11" hidden="1" x14ac:dyDescent="0.3">
      <c r="A2636" s="137">
        <v>8</v>
      </c>
      <c r="B2636" s="3402">
        <v>44746</v>
      </c>
      <c r="C2636" s="642" t="s">
        <v>219</v>
      </c>
      <c r="D2636" s="642" t="s">
        <v>2487</v>
      </c>
      <c r="E2636" s="642" t="s">
        <v>904</v>
      </c>
      <c r="F2636" s="2519">
        <v>800000</v>
      </c>
      <c r="G2636" s="642" t="s">
        <v>168</v>
      </c>
      <c r="H2636" s="642" t="s">
        <v>36</v>
      </c>
      <c r="I2636" s="642" t="s">
        <v>36</v>
      </c>
      <c r="J2636" s="642">
        <v>1</v>
      </c>
      <c r="K2636" t="s">
        <v>217</v>
      </c>
    </row>
    <row r="2637" spans="1:11" hidden="1" x14ac:dyDescent="0.3">
      <c r="A2637" s="137">
        <v>9</v>
      </c>
      <c r="B2637" s="3402">
        <v>44746</v>
      </c>
      <c r="C2637" s="642" t="s">
        <v>37</v>
      </c>
      <c r="D2637" s="642" t="s">
        <v>2488</v>
      </c>
      <c r="E2637" s="642" t="s">
        <v>904</v>
      </c>
      <c r="F2637" s="2519">
        <v>1350000</v>
      </c>
      <c r="G2637" s="642" t="s">
        <v>168</v>
      </c>
      <c r="H2637" s="642" t="s">
        <v>36</v>
      </c>
      <c r="I2637" s="642" t="s">
        <v>36</v>
      </c>
      <c r="J2637" s="642">
        <v>1</v>
      </c>
      <c r="K2637" t="s">
        <v>2118</v>
      </c>
    </row>
    <row r="2638" spans="1:11" hidden="1" x14ac:dyDescent="0.3">
      <c r="A2638" s="137">
        <v>11</v>
      </c>
      <c r="B2638" s="3402">
        <v>44746</v>
      </c>
      <c r="C2638" s="642" t="s">
        <v>37</v>
      </c>
      <c r="D2638" s="642" t="s">
        <v>2489</v>
      </c>
      <c r="E2638" s="642" t="s">
        <v>904</v>
      </c>
      <c r="F2638" s="2519">
        <v>1500000</v>
      </c>
      <c r="G2638" s="642" t="s">
        <v>168</v>
      </c>
      <c r="H2638" s="642" t="s">
        <v>36</v>
      </c>
      <c r="I2638" s="642" t="s">
        <v>36</v>
      </c>
      <c r="J2638" s="642">
        <v>1</v>
      </c>
      <c r="K2638" t="s">
        <v>1770</v>
      </c>
    </row>
    <row r="2639" spans="1:11" hidden="1" x14ac:dyDescent="0.3">
      <c r="A2639" s="137">
        <v>12</v>
      </c>
      <c r="B2639" s="3402">
        <v>44808</v>
      </c>
      <c r="C2639" s="642" t="s">
        <v>37</v>
      </c>
      <c r="D2639" s="642" t="s">
        <v>2490</v>
      </c>
      <c r="E2639" s="642" t="s">
        <v>998</v>
      </c>
      <c r="F2639" s="2519">
        <v>1200000</v>
      </c>
      <c r="G2639" s="642" t="s">
        <v>2491</v>
      </c>
      <c r="H2639" s="642" t="s">
        <v>36</v>
      </c>
      <c r="I2639" s="642" t="s">
        <v>36</v>
      </c>
      <c r="J2639" s="642">
        <v>1</v>
      </c>
      <c r="K2639" t="s">
        <v>217</v>
      </c>
    </row>
    <row r="2640" spans="1:11" hidden="1" x14ac:dyDescent="0.3">
      <c r="A2640" s="137">
        <v>13</v>
      </c>
      <c r="B2640" s="3402" t="s">
        <v>2419</v>
      </c>
      <c r="C2640" s="642" t="s">
        <v>37</v>
      </c>
      <c r="D2640" s="642" t="s">
        <v>392</v>
      </c>
      <c r="E2640" s="642" t="s">
        <v>68</v>
      </c>
      <c r="F2640" s="2519">
        <v>1400000</v>
      </c>
      <c r="G2640" s="642" t="s">
        <v>2358</v>
      </c>
      <c r="H2640" s="642" t="s">
        <v>36</v>
      </c>
      <c r="I2640" s="642" t="s">
        <v>36</v>
      </c>
      <c r="J2640" s="642">
        <v>1</v>
      </c>
      <c r="K2640" t="s">
        <v>217</v>
      </c>
    </row>
    <row r="2641" spans="1:11" ht="24.6" hidden="1" x14ac:dyDescent="0.4">
      <c r="A2641" s="1781"/>
      <c r="B2641" s="765"/>
      <c r="C2641" s="641"/>
      <c r="D2641" s="641"/>
      <c r="E2641" s="641"/>
      <c r="F2641" s="2523"/>
      <c r="G2641" s="641"/>
      <c r="H2641" s="641"/>
      <c r="I2641" s="641"/>
      <c r="J2641" s="1837"/>
    </row>
    <row r="2642" spans="1:11" ht="24.6" hidden="1" x14ac:dyDescent="0.4">
      <c r="A2642" s="3462"/>
      <c r="B2642" s="3462"/>
      <c r="C2642" s="3462"/>
      <c r="D2642" s="3462"/>
      <c r="E2642" s="3462"/>
      <c r="F2642" s="3462"/>
      <c r="G2642" s="3462"/>
      <c r="H2642" s="3462"/>
      <c r="I2642" s="3462"/>
      <c r="J2642" s="3462"/>
    </row>
    <row r="2643" spans="1:11" hidden="1" x14ac:dyDescent="0.3">
      <c r="A2643" s="137" t="s">
        <v>3</v>
      </c>
      <c r="B2643" s="1781" t="s">
        <v>4</v>
      </c>
      <c r="C2643" s="137" t="s">
        <v>5</v>
      </c>
      <c r="D2643" s="137" t="s">
        <v>6</v>
      </c>
      <c r="E2643" s="137" t="s">
        <v>7</v>
      </c>
      <c r="F2643" s="137" t="s">
        <v>8</v>
      </c>
      <c r="G2643" s="137" t="s">
        <v>9</v>
      </c>
      <c r="H2643" s="137" t="s">
        <v>10</v>
      </c>
      <c r="I2643" s="137" t="s">
        <v>11</v>
      </c>
      <c r="J2643" s="137" t="s">
        <v>12</v>
      </c>
    </row>
    <row r="2644" spans="1:11" hidden="1" x14ac:dyDescent="0.3">
      <c r="A2644" s="1845">
        <v>1</v>
      </c>
      <c r="B2644" s="3404" t="s">
        <v>2371</v>
      </c>
      <c r="C2644" s="1838" t="s">
        <v>37</v>
      </c>
      <c r="D2644" s="1838" t="s">
        <v>2492</v>
      </c>
      <c r="E2644" s="1838" t="s">
        <v>1838</v>
      </c>
      <c r="F2644" s="1838">
        <v>360000000</v>
      </c>
      <c r="G2644" s="1838" t="s">
        <v>140</v>
      </c>
      <c r="H2644" s="1838" t="s">
        <v>44</v>
      </c>
      <c r="I2644" s="1838" t="s">
        <v>36</v>
      </c>
      <c r="J2644" s="1839">
        <v>1</v>
      </c>
    </row>
    <row r="2645" spans="1:11" hidden="1" x14ac:dyDescent="0.3">
      <c r="A2645" s="1846">
        <v>2</v>
      </c>
      <c r="B2645" s="3404" t="s">
        <v>2406</v>
      </c>
      <c r="C2645" s="1838" t="s">
        <v>37</v>
      </c>
      <c r="D2645" s="1840" t="s">
        <v>2493</v>
      </c>
      <c r="E2645" s="1838" t="s">
        <v>1838</v>
      </c>
      <c r="F2645" s="1840">
        <v>550000000</v>
      </c>
      <c r="G2645" s="1840" t="s">
        <v>168</v>
      </c>
      <c r="H2645" s="1838" t="s">
        <v>44</v>
      </c>
      <c r="I2645" s="1838" t="s">
        <v>36</v>
      </c>
      <c r="J2645" s="1841">
        <v>1</v>
      </c>
    </row>
    <row r="2646" spans="1:11" hidden="1" x14ac:dyDescent="0.3">
      <c r="A2646" s="2177">
        <v>3</v>
      </c>
      <c r="B2646" s="3404" t="s">
        <v>2406</v>
      </c>
      <c r="C2646" s="1838" t="s">
        <v>37</v>
      </c>
      <c r="D2646" s="2350" t="s">
        <v>2396</v>
      </c>
      <c r="E2646" s="1838" t="s">
        <v>1838</v>
      </c>
      <c r="F2646" s="2350">
        <v>240000000</v>
      </c>
      <c r="G2646" s="2350" t="s">
        <v>854</v>
      </c>
      <c r="H2646" s="1838" t="s">
        <v>44</v>
      </c>
      <c r="I2646" s="1838" t="s">
        <v>36</v>
      </c>
      <c r="J2646" s="1842">
        <v>1</v>
      </c>
    </row>
    <row r="2647" spans="1:11" hidden="1" x14ac:dyDescent="0.3">
      <c r="A2647" s="2351">
        <v>4</v>
      </c>
      <c r="B2647" s="3410" t="s">
        <v>2406</v>
      </c>
      <c r="C2647" s="1840" t="s">
        <v>37</v>
      </c>
      <c r="D2647" s="2706" t="s">
        <v>2494</v>
      </c>
      <c r="E2647" s="1840" t="s">
        <v>1838</v>
      </c>
      <c r="F2647" s="2706">
        <v>295000000</v>
      </c>
      <c r="G2647" s="2706" t="s">
        <v>854</v>
      </c>
      <c r="H2647" s="1840" t="s">
        <v>44</v>
      </c>
      <c r="I2647" s="1840" t="s">
        <v>36</v>
      </c>
      <c r="J2647" s="1849">
        <v>1</v>
      </c>
    </row>
    <row r="2648" spans="1:11" hidden="1" x14ac:dyDescent="0.3">
      <c r="A2648" s="2177">
        <v>5</v>
      </c>
      <c r="B2648" s="3406">
        <v>44685</v>
      </c>
      <c r="C2648" s="2350" t="s">
        <v>37</v>
      </c>
      <c r="D2648" s="2350" t="s">
        <v>2495</v>
      </c>
      <c r="E2648" s="2350" t="s">
        <v>858</v>
      </c>
      <c r="F2648" s="2350">
        <v>420000000</v>
      </c>
      <c r="G2648" s="2350" t="s">
        <v>612</v>
      </c>
      <c r="H2648" s="2350" t="s">
        <v>44</v>
      </c>
      <c r="I2648" s="2350" t="s">
        <v>36</v>
      </c>
      <c r="J2648" s="1842">
        <v>1</v>
      </c>
    </row>
    <row r="2649" spans="1:11" hidden="1" x14ac:dyDescent="0.3">
      <c r="A2649" s="2177">
        <v>6</v>
      </c>
      <c r="B2649" s="3406">
        <v>44746</v>
      </c>
      <c r="C2649" s="2350" t="s">
        <v>37</v>
      </c>
      <c r="D2649" s="2350" t="s">
        <v>2496</v>
      </c>
      <c r="E2649" s="2350" t="s">
        <v>1870</v>
      </c>
      <c r="F2649" s="2350">
        <v>300000000</v>
      </c>
      <c r="G2649" s="2350" t="s">
        <v>1942</v>
      </c>
      <c r="H2649" s="2350" t="s">
        <v>44</v>
      </c>
      <c r="I2649" s="2350" t="s">
        <v>36</v>
      </c>
      <c r="J2649" s="1842">
        <v>1</v>
      </c>
    </row>
    <row r="2650" spans="1:11" hidden="1" x14ac:dyDescent="0.3"/>
    <row r="2651" spans="1:11" ht="23.4" hidden="1" x14ac:dyDescent="0.3">
      <c r="A2651" s="3460" t="s">
        <v>2237</v>
      </c>
      <c r="B2651" s="3460"/>
      <c r="C2651" s="3460"/>
      <c r="D2651" s="3460"/>
      <c r="E2651" s="3460"/>
      <c r="F2651" s="3460"/>
      <c r="G2651" s="3460"/>
      <c r="H2651" s="3460"/>
      <c r="I2651" s="3460"/>
      <c r="J2651" s="3460"/>
    </row>
    <row r="2652" spans="1:11" ht="15.6" hidden="1" x14ac:dyDescent="0.3">
      <c r="A2652" s="3461" t="s">
        <v>2</v>
      </c>
      <c r="B2652" s="3461"/>
      <c r="C2652" s="3461"/>
      <c r="D2652" s="3461"/>
      <c r="E2652" s="3461"/>
      <c r="F2652" s="3461"/>
      <c r="G2652" s="3461"/>
      <c r="H2652" s="3461"/>
      <c r="I2652" s="3461"/>
      <c r="J2652" s="3461"/>
    </row>
    <row r="2653" spans="1:11" hidden="1" x14ac:dyDescent="0.3">
      <c r="A2653" s="137" t="s">
        <v>3</v>
      </c>
      <c r="B2653" s="1781" t="s">
        <v>4</v>
      </c>
      <c r="C2653" s="137" t="s">
        <v>5</v>
      </c>
      <c r="D2653" s="137" t="s">
        <v>6</v>
      </c>
      <c r="E2653" s="137" t="s">
        <v>7</v>
      </c>
      <c r="F2653" s="2522" t="s">
        <v>8</v>
      </c>
      <c r="G2653" s="137" t="s">
        <v>9</v>
      </c>
      <c r="H2653" s="137" t="s">
        <v>10</v>
      </c>
      <c r="I2653" s="137" t="s">
        <v>11</v>
      </c>
      <c r="J2653" s="137" t="s">
        <v>12</v>
      </c>
    </row>
    <row r="2654" spans="1:11" hidden="1" x14ac:dyDescent="0.3">
      <c r="A2654" s="137">
        <v>1</v>
      </c>
      <c r="B2654" s="765" t="s">
        <v>2371</v>
      </c>
      <c r="C2654" s="642" t="s">
        <v>37</v>
      </c>
      <c r="D2654" s="642" t="s">
        <v>2497</v>
      </c>
      <c r="E2654" s="642" t="s">
        <v>962</v>
      </c>
      <c r="F2654" s="2519">
        <v>1200000</v>
      </c>
      <c r="G2654" s="642" t="s">
        <v>854</v>
      </c>
      <c r="H2654" s="642" t="s">
        <v>36</v>
      </c>
      <c r="I2654" s="642" t="s">
        <v>36</v>
      </c>
      <c r="J2654" s="642">
        <v>1</v>
      </c>
      <c r="K2654" t="s">
        <v>2118</v>
      </c>
    </row>
    <row r="2655" spans="1:11" ht="24.6" hidden="1" x14ac:dyDescent="0.4">
      <c r="A2655" s="1781"/>
      <c r="B2655" s="765"/>
      <c r="C2655" s="641"/>
      <c r="D2655" s="641"/>
      <c r="E2655" s="641"/>
      <c r="F2655" s="2523"/>
      <c r="G2655" s="641"/>
      <c r="H2655" s="641"/>
      <c r="I2655" s="641"/>
      <c r="J2655" s="1837"/>
    </row>
    <row r="2656" spans="1:11" hidden="1" x14ac:dyDescent="0.3"/>
    <row r="2657" spans="1:11" ht="23.4" hidden="1" x14ac:dyDescent="0.3">
      <c r="A2657" s="3460" t="s">
        <v>118</v>
      </c>
      <c r="B2657" s="3460"/>
      <c r="C2657" s="3460"/>
      <c r="D2657" s="3460"/>
      <c r="E2657" s="3460"/>
      <c r="F2657" s="3460"/>
      <c r="G2657" s="3460"/>
      <c r="H2657" s="3460"/>
      <c r="I2657" s="3460"/>
      <c r="J2657" s="3460"/>
    </row>
    <row r="2658" spans="1:11" ht="15.6" hidden="1" x14ac:dyDescent="0.3">
      <c r="A2658" s="3461" t="s">
        <v>2</v>
      </c>
      <c r="B2658" s="3461"/>
      <c r="C2658" s="3461"/>
      <c r="D2658" s="3461"/>
      <c r="E2658" s="3461"/>
      <c r="F2658" s="3461"/>
      <c r="G2658" s="3461"/>
      <c r="H2658" s="3461"/>
      <c r="I2658" s="3461"/>
      <c r="J2658" s="3461"/>
    </row>
    <row r="2659" spans="1:11" hidden="1" x14ac:dyDescent="0.3">
      <c r="A2659" s="137" t="s">
        <v>3</v>
      </c>
      <c r="B2659" s="1781" t="s">
        <v>4</v>
      </c>
      <c r="C2659" s="137" t="s">
        <v>5</v>
      </c>
      <c r="D2659" s="137" t="s">
        <v>6</v>
      </c>
      <c r="E2659" s="137" t="s">
        <v>7</v>
      </c>
      <c r="F2659" s="2522" t="s">
        <v>8</v>
      </c>
      <c r="G2659" s="137" t="s">
        <v>9</v>
      </c>
      <c r="H2659" s="137" t="s">
        <v>10</v>
      </c>
      <c r="I2659" s="137" t="s">
        <v>11</v>
      </c>
      <c r="J2659" s="137" t="s">
        <v>12</v>
      </c>
    </row>
    <row r="2660" spans="1:11" hidden="1" x14ac:dyDescent="0.3">
      <c r="A2660" s="137">
        <v>1</v>
      </c>
      <c r="B2660" s="3402" t="s">
        <v>2480</v>
      </c>
      <c r="C2660" s="642" t="s">
        <v>37</v>
      </c>
      <c r="D2660" s="642" t="s">
        <v>190</v>
      </c>
      <c r="E2660" s="642" t="s">
        <v>76</v>
      </c>
      <c r="F2660" s="2519">
        <v>1300000</v>
      </c>
      <c r="G2660" s="642" t="s">
        <v>168</v>
      </c>
      <c r="H2660" s="642" t="s">
        <v>36</v>
      </c>
      <c r="I2660" s="642" t="s">
        <v>36</v>
      </c>
      <c r="J2660" s="642">
        <v>1</v>
      </c>
      <c r="K2660" t="s">
        <v>217</v>
      </c>
    </row>
    <row r="2661" spans="1:11" hidden="1" x14ac:dyDescent="0.3">
      <c r="A2661" s="137">
        <v>2</v>
      </c>
      <c r="B2661" s="3402" t="s">
        <v>2480</v>
      </c>
      <c r="C2661" s="642" t="s">
        <v>37</v>
      </c>
      <c r="D2661" s="641" t="s">
        <v>1195</v>
      </c>
      <c r="E2661" s="642" t="s">
        <v>76</v>
      </c>
      <c r="F2661" s="2519">
        <v>1100000</v>
      </c>
      <c r="G2661" s="642" t="s">
        <v>168</v>
      </c>
      <c r="H2661" s="642" t="s">
        <v>36</v>
      </c>
      <c r="I2661" s="642" t="s">
        <v>36</v>
      </c>
      <c r="J2661" s="642">
        <v>1</v>
      </c>
      <c r="K2661" t="s">
        <v>1770</v>
      </c>
    </row>
    <row r="2662" spans="1:11" hidden="1" x14ac:dyDescent="0.3">
      <c r="A2662" s="137">
        <v>3</v>
      </c>
      <c r="B2662" s="3402">
        <v>44685</v>
      </c>
      <c r="C2662" s="642" t="s">
        <v>37</v>
      </c>
      <c r="D2662" s="641" t="s">
        <v>1101</v>
      </c>
      <c r="E2662" s="642" t="s">
        <v>76</v>
      </c>
      <c r="F2662" s="2519">
        <v>1150000</v>
      </c>
      <c r="G2662" s="642" t="s">
        <v>168</v>
      </c>
      <c r="H2662" s="642" t="s">
        <v>36</v>
      </c>
      <c r="I2662" s="642" t="s">
        <v>36</v>
      </c>
      <c r="J2662" s="642">
        <v>1</v>
      </c>
      <c r="K2662" t="s">
        <v>217</v>
      </c>
    </row>
    <row r="2663" spans="1:11" hidden="1" x14ac:dyDescent="0.3">
      <c r="A2663" s="137">
        <v>4</v>
      </c>
      <c r="B2663" s="3402">
        <v>44685</v>
      </c>
      <c r="C2663" s="642" t="s">
        <v>37</v>
      </c>
      <c r="D2663" s="642" t="s">
        <v>562</v>
      </c>
      <c r="E2663" s="642" t="s">
        <v>1720</v>
      </c>
      <c r="F2663" s="2519">
        <v>1050000</v>
      </c>
      <c r="G2663" s="642" t="s">
        <v>168</v>
      </c>
      <c r="H2663" s="642" t="s">
        <v>36</v>
      </c>
      <c r="I2663" s="642" t="s">
        <v>36</v>
      </c>
      <c r="J2663" s="642">
        <v>1</v>
      </c>
      <c r="K2663" t="s">
        <v>217</v>
      </c>
    </row>
    <row r="2664" spans="1:11" hidden="1" x14ac:dyDescent="0.3">
      <c r="A2664" s="137">
        <v>5</v>
      </c>
      <c r="B2664" s="765" t="s">
        <v>2419</v>
      </c>
      <c r="C2664" s="642" t="s">
        <v>37</v>
      </c>
      <c r="D2664" s="642" t="s">
        <v>2498</v>
      </c>
      <c r="E2664" s="642" t="s">
        <v>1751</v>
      </c>
      <c r="F2664" s="2519">
        <v>1200000</v>
      </c>
      <c r="G2664" s="642" t="s">
        <v>168</v>
      </c>
      <c r="H2664" s="642" t="s">
        <v>44</v>
      </c>
      <c r="I2664" s="642" t="s">
        <v>36</v>
      </c>
      <c r="J2664" s="642">
        <v>1</v>
      </c>
      <c r="K2664" t="s">
        <v>217</v>
      </c>
    </row>
    <row r="2665" spans="1:11" hidden="1" x14ac:dyDescent="0.3">
      <c r="A2665" s="137">
        <v>6</v>
      </c>
      <c r="B2665" s="765"/>
      <c r="C2665" s="642"/>
      <c r="D2665" s="642"/>
      <c r="E2665" s="642"/>
      <c r="F2665" s="2519"/>
      <c r="G2665" s="642"/>
      <c r="H2665" s="642"/>
      <c r="I2665" s="642"/>
      <c r="J2665" s="642"/>
    </row>
    <row r="2666" spans="1:11" hidden="1" x14ac:dyDescent="0.3">
      <c r="A2666" s="137">
        <v>7</v>
      </c>
      <c r="B2666" s="765"/>
      <c r="C2666" s="642"/>
      <c r="D2666" s="641"/>
      <c r="E2666" s="641"/>
      <c r="F2666" s="2520"/>
      <c r="G2666" s="641"/>
      <c r="H2666" s="641"/>
      <c r="I2666" s="641"/>
      <c r="J2666" s="642"/>
    </row>
    <row r="2667" spans="1:11" hidden="1" x14ac:dyDescent="0.3">
      <c r="A2667" s="137">
        <v>8</v>
      </c>
      <c r="B2667" s="765"/>
      <c r="C2667" s="642"/>
      <c r="D2667" s="642"/>
      <c r="E2667" s="642"/>
      <c r="F2667" s="2519"/>
      <c r="G2667" s="642"/>
      <c r="H2667" s="642"/>
      <c r="I2667" s="642"/>
      <c r="J2667" s="642"/>
    </row>
    <row r="2668" spans="1:11" hidden="1" x14ac:dyDescent="0.3">
      <c r="A2668" s="137">
        <v>9</v>
      </c>
      <c r="B2668" s="3402"/>
      <c r="C2668" s="642"/>
      <c r="D2668" s="642"/>
      <c r="E2668" s="642"/>
      <c r="F2668" s="2519"/>
      <c r="G2668" s="642"/>
      <c r="H2668" s="642"/>
      <c r="I2668" s="642"/>
      <c r="J2668" s="642"/>
    </row>
    <row r="2669" spans="1:11" hidden="1" x14ac:dyDescent="0.3">
      <c r="A2669" s="137">
        <v>10</v>
      </c>
      <c r="B2669" s="3402"/>
      <c r="C2669" s="642"/>
      <c r="D2669" s="642"/>
      <c r="E2669" s="642"/>
      <c r="F2669" s="2519"/>
      <c r="G2669" s="642"/>
      <c r="H2669" s="642"/>
      <c r="I2669" s="642"/>
      <c r="J2669" s="642"/>
    </row>
    <row r="2670" spans="1:11" ht="23.4" hidden="1" x14ac:dyDescent="0.3">
      <c r="A2670" s="3460" t="s">
        <v>2399</v>
      </c>
      <c r="B2670" s="3460"/>
      <c r="C2670" s="3460"/>
      <c r="D2670" s="3460"/>
      <c r="E2670" s="3460"/>
      <c r="F2670" s="3460"/>
      <c r="G2670" s="3460"/>
      <c r="H2670" s="3460"/>
      <c r="I2670" s="3460"/>
      <c r="J2670" s="3460"/>
    </row>
    <row r="2671" spans="1:11" hidden="1" x14ac:dyDescent="0.3">
      <c r="A2671" s="137">
        <v>1</v>
      </c>
      <c r="B2671" s="3402">
        <v>44685</v>
      </c>
      <c r="C2671" s="642" t="s">
        <v>1881</v>
      </c>
      <c r="D2671" s="642" t="s">
        <v>2499</v>
      </c>
      <c r="E2671" s="642" t="s">
        <v>76</v>
      </c>
      <c r="F2671" s="2519">
        <v>650000</v>
      </c>
      <c r="G2671" s="642" t="s">
        <v>168</v>
      </c>
      <c r="H2671" s="642" t="s">
        <v>44</v>
      </c>
      <c r="I2671" s="642" t="s">
        <v>36</v>
      </c>
      <c r="J2671" s="642">
        <v>1</v>
      </c>
      <c r="K2671" t="s">
        <v>2118</v>
      </c>
    </row>
    <row r="2672" spans="1:11" hidden="1" x14ac:dyDescent="0.3">
      <c r="A2672" s="137">
        <v>2</v>
      </c>
      <c r="B2672" s="3402"/>
      <c r="C2672" s="642"/>
      <c r="D2672" s="642"/>
      <c r="E2672" s="642"/>
      <c r="F2672" s="2519"/>
      <c r="G2672" s="642"/>
      <c r="H2672" s="642"/>
      <c r="I2672" s="642"/>
      <c r="J2672" s="642"/>
    </row>
    <row r="2673" spans="1:11" hidden="1" x14ac:dyDescent="0.3">
      <c r="A2673" s="137">
        <v>3</v>
      </c>
      <c r="B2673" s="3402"/>
      <c r="C2673" s="642"/>
      <c r="D2673" s="642"/>
      <c r="E2673" s="642"/>
      <c r="F2673" s="2519"/>
      <c r="G2673" s="642"/>
      <c r="H2673" s="642"/>
      <c r="I2673" s="642"/>
      <c r="J2673" s="642"/>
    </row>
    <row r="2674" spans="1:11" hidden="1" x14ac:dyDescent="0.3">
      <c r="A2674" s="137">
        <v>4</v>
      </c>
      <c r="B2674" s="765"/>
      <c r="C2674" s="642"/>
      <c r="D2674" s="641"/>
      <c r="E2674" s="642"/>
      <c r="F2674" s="2520"/>
      <c r="G2674" s="641"/>
      <c r="H2674" s="641"/>
      <c r="I2674" s="641"/>
      <c r="J2674" s="642"/>
    </row>
    <row r="2675" spans="1:11" hidden="1" x14ac:dyDescent="0.3">
      <c r="A2675" s="137">
        <v>5</v>
      </c>
      <c r="B2675" s="765"/>
      <c r="C2675" s="641"/>
      <c r="D2675" s="641"/>
      <c r="E2675" s="641"/>
      <c r="F2675" s="2520"/>
      <c r="G2675" s="641"/>
      <c r="H2675" s="641"/>
      <c r="I2675" s="641"/>
      <c r="J2675" s="642"/>
    </row>
    <row r="2676" spans="1:11" hidden="1" x14ac:dyDescent="0.3">
      <c r="A2676" s="137">
        <v>6</v>
      </c>
      <c r="B2676" s="3402"/>
      <c r="C2676" s="641"/>
      <c r="D2676" s="641"/>
      <c r="E2676" s="641"/>
      <c r="F2676" s="2520"/>
      <c r="G2676" s="641"/>
      <c r="H2676" s="641"/>
      <c r="I2676" s="641"/>
      <c r="J2676" s="642"/>
    </row>
    <row r="2677" spans="1:11" hidden="1" x14ac:dyDescent="0.3">
      <c r="A2677" s="137">
        <v>7</v>
      </c>
      <c r="B2677" s="3402"/>
      <c r="C2677" s="641"/>
      <c r="D2677" s="641"/>
      <c r="E2677" s="641"/>
      <c r="F2677" s="2520"/>
      <c r="G2677" s="641"/>
      <c r="H2677" s="641"/>
      <c r="I2677" s="641"/>
      <c r="J2677" s="642"/>
    </row>
    <row r="2678" spans="1:11" hidden="1" x14ac:dyDescent="0.3">
      <c r="A2678" s="137">
        <v>8</v>
      </c>
      <c r="B2678" s="3402"/>
      <c r="C2678" s="641" t="s">
        <v>2500</v>
      </c>
      <c r="D2678" s="641"/>
      <c r="E2678" s="641"/>
      <c r="F2678" s="2520"/>
      <c r="G2678" s="641"/>
      <c r="H2678" s="641"/>
      <c r="I2678" s="641"/>
      <c r="J2678" s="642"/>
    </row>
    <row r="2679" spans="1:11" hidden="1" x14ac:dyDescent="0.3">
      <c r="A2679" s="137">
        <v>9</v>
      </c>
      <c r="B2679" s="3402"/>
      <c r="C2679" s="641"/>
      <c r="D2679" s="641"/>
      <c r="E2679" s="641"/>
      <c r="F2679" s="2520"/>
      <c r="G2679" s="641"/>
      <c r="H2679" s="641"/>
      <c r="I2679" s="641"/>
      <c r="J2679" s="642"/>
    </row>
    <row r="2680" spans="1:11" ht="24.6" hidden="1" x14ac:dyDescent="0.4">
      <c r="A2680" s="1781"/>
      <c r="B2680" s="765"/>
      <c r="C2680" s="641"/>
      <c r="D2680" s="641"/>
      <c r="E2680" s="641"/>
      <c r="F2680" s="2523"/>
      <c r="G2680" s="641"/>
      <c r="H2680" s="641"/>
      <c r="I2680" s="641"/>
      <c r="J2680" s="1837"/>
    </row>
    <row r="2682" spans="1:11" x14ac:dyDescent="0.3">
      <c r="A2682" s="3463" t="s">
        <v>2501</v>
      </c>
      <c r="B2682" s="3464"/>
      <c r="C2682" s="3464"/>
      <c r="D2682" s="3464"/>
      <c r="E2682" s="3464"/>
      <c r="F2682" s="3464"/>
      <c r="G2682" s="3464"/>
      <c r="H2682" s="3464"/>
      <c r="I2682" s="3464"/>
      <c r="J2682" s="3464"/>
    </row>
    <row r="2683" spans="1:11" ht="23.25" customHeight="1" x14ac:dyDescent="0.3">
      <c r="A2683" s="3464"/>
      <c r="B2683" s="3464"/>
      <c r="C2683" s="3464"/>
      <c r="D2683" s="3464"/>
      <c r="E2683" s="3464"/>
      <c r="F2683" s="3464"/>
      <c r="G2683" s="3464"/>
      <c r="H2683" s="3464"/>
      <c r="I2683" s="3464"/>
      <c r="J2683" s="3464"/>
    </row>
    <row r="2685" spans="1:11" ht="23.4" hidden="1" x14ac:dyDescent="0.3">
      <c r="A2685" s="3460" t="s">
        <v>527</v>
      </c>
      <c r="B2685" s="3460"/>
      <c r="C2685" s="3460"/>
      <c r="D2685" s="3460"/>
      <c r="E2685" s="3460"/>
      <c r="F2685" s="3460"/>
      <c r="G2685" s="3460"/>
      <c r="H2685" s="3460"/>
      <c r="I2685" s="3460"/>
      <c r="J2685" s="3460"/>
    </row>
    <row r="2686" spans="1:11" ht="15.6" hidden="1" x14ac:dyDescent="0.3">
      <c r="A2686" s="3461" t="s">
        <v>2</v>
      </c>
      <c r="B2686" s="3461"/>
      <c r="C2686" s="3461"/>
      <c r="D2686" s="3461"/>
      <c r="E2686" s="3461"/>
      <c r="F2686" s="3461"/>
      <c r="G2686" s="3461"/>
      <c r="H2686" s="3461"/>
      <c r="I2686" s="3461"/>
      <c r="J2686" s="3461"/>
    </row>
    <row r="2687" spans="1:11" hidden="1" x14ac:dyDescent="0.3">
      <c r="A2687" s="137" t="s">
        <v>3</v>
      </c>
      <c r="B2687" s="1781" t="s">
        <v>4</v>
      </c>
      <c r="C2687" s="137" t="s">
        <v>5</v>
      </c>
      <c r="D2687" s="137" t="s">
        <v>6</v>
      </c>
      <c r="E2687" s="137" t="s">
        <v>7</v>
      </c>
      <c r="F2687" s="2522" t="s">
        <v>8</v>
      </c>
      <c r="G2687" s="137" t="s">
        <v>9</v>
      </c>
      <c r="H2687" s="137" t="s">
        <v>2243</v>
      </c>
      <c r="I2687" s="137" t="s">
        <v>11</v>
      </c>
      <c r="J2687" s="137" t="s">
        <v>12</v>
      </c>
    </row>
    <row r="2688" spans="1:11" hidden="1" x14ac:dyDescent="0.3">
      <c r="A2688" s="137">
        <v>1</v>
      </c>
      <c r="B2688" s="3402" t="s">
        <v>2502</v>
      </c>
      <c r="C2688" s="642" t="s">
        <v>37</v>
      </c>
      <c r="D2688" s="642" t="s">
        <v>2503</v>
      </c>
      <c r="E2688" s="642" t="s">
        <v>76</v>
      </c>
      <c r="F2688" s="2595">
        <v>1000000</v>
      </c>
      <c r="G2688" s="642" t="s">
        <v>2504</v>
      </c>
      <c r="H2688" s="642" t="s">
        <v>36</v>
      </c>
      <c r="I2688" s="642" t="s">
        <v>36</v>
      </c>
      <c r="J2688" s="642">
        <v>1</v>
      </c>
      <c r="K2688" t="s">
        <v>1770</v>
      </c>
    </row>
    <row r="2689" spans="1:11" hidden="1" x14ac:dyDescent="0.3">
      <c r="A2689" s="137">
        <v>2</v>
      </c>
      <c r="B2689" s="3402" t="s">
        <v>2505</v>
      </c>
      <c r="C2689" s="642" t="s">
        <v>37</v>
      </c>
      <c r="D2689" s="642" t="s">
        <v>2506</v>
      </c>
      <c r="E2689" s="642" t="s">
        <v>76</v>
      </c>
      <c r="F2689" s="2595">
        <v>1100000</v>
      </c>
      <c r="G2689" s="642" t="s">
        <v>2507</v>
      </c>
      <c r="H2689" s="642" t="s">
        <v>36</v>
      </c>
      <c r="I2689" s="642" t="s">
        <v>36</v>
      </c>
      <c r="J2689" s="642">
        <v>1</v>
      </c>
      <c r="K2689" t="s">
        <v>1770</v>
      </c>
    </row>
    <row r="2690" spans="1:11" hidden="1" x14ac:dyDescent="0.3">
      <c r="A2690" s="137">
        <v>3</v>
      </c>
      <c r="B2690" s="3402" t="s">
        <v>2508</v>
      </c>
      <c r="C2690" s="642" t="s">
        <v>37</v>
      </c>
      <c r="D2690" s="642" t="s">
        <v>2509</v>
      </c>
      <c r="E2690" s="642" t="s">
        <v>76</v>
      </c>
      <c r="F2690" s="2595">
        <v>1500000</v>
      </c>
      <c r="G2690" s="642" t="s">
        <v>1426</v>
      </c>
      <c r="H2690" s="642" t="s">
        <v>44</v>
      </c>
      <c r="I2690" s="642" t="s">
        <v>36</v>
      </c>
      <c r="J2690" s="642">
        <v>1</v>
      </c>
      <c r="K2690" t="s">
        <v>217</v>
      </c>
    </row>
    <row r="2691" spans="1:11" hidden="1" x14ac:dyDescent="0.3">
      <c r="A2691" s="137">
        <v>4</v>
      </c>
      <c r="B2691" s="3402">
        <v>44809</v>
      </c>
      <c r="C2691" s="642" t="s">
        <v>138</v>
      </c>
      <c r="D2691" s="642" t="s">
        <v>2510</v>
      </c>
      <c r="E2691" s="642" t="s">
        <v>76</v>
      </c>
      <c r="F2691" s="2595">
        <v>1200000</v>
      </c>
      <c r="G2691" s="642" t="s">
        <v>1833</v>
      </c>
      <c r="H2691" s="642" t="s">
        <v>44</v>
      </c>
      <c r="I2691" s="642" t="s">
        <v>36</v>
      </c>
      <c r="J2691" s="642">
        <v>1</v>
      </c>
      <c r="K2691" t="s">
        <v>217</v>
      </c>
    </row>
    <row r="2692" spans="1:11" hidden="1" x14ac:dyDescent="0.3">
      <c r="A2692" s="137">
        <v>5</v>
      </c>
      <c r="B2692" s="3402">
        <v>44839</v>
      </c>
      <c r="C2692" s="642" t="s">
        <v>138</v>
      </c>
      <c r="D2692" s="642" t="s">
        <v>2511</v>
      </c>
      <c r="E2692" s="642" t="s">
        <v>76</v>
      </c>
      <c r="F2692" s="2595">
        <v>1200000</v>
      </c>
      <c r="G2692" s="642" t="s">
        <v>1833</v>
      </c>
      <c r="H2692" s="642" t="s">
        <v>44</v>
      </c>
      <c r="I2692" s="642" t="s">
        <v>36</v>
      </c>
      <c r="J2692" s="642">
        <v>1</v>
      </c>
      <c r="K2692" t="s">
        <v>2512</v>
      </c>
    </row>
    <row r="2693" spans="1:11" hidden="1" x14ac:dyDescent="0.3">
      <c r="A2693" s="137">
        <v>6</v>
      </c>
      <c r="B2693" s="3402" t="s">
        <v>2513</v>
      </c>
      <c r="C2693" s="642" t="s">
        <v>138</v>
      </c>
      <c r="D2693" s="642" t="s">
        <v>2514</v>
      </c>
      <c r="E2693" s="642" t="s">
        <v>76</v>
      </c>
      <c r="F2693" s="2595">
        <v>1000000</v>
      </c>
      <c r="G2693" s="642" t="s">
        <v>2117</v>
      </c>
      <c r="H2693" s="642" t="s">
        <v>44</v>
      </c>
      <c r="I2693" s="642" t="s">
        <v>36</v>
      </c>
      <c r="J2693" s="642">
        <v>1</v>
      </c>
      <c r="K2693" t="s">
        <v>217</v>
      </c>
    </row>
    <row r="2694" spans="1:11" hidden="1" x14ac:dyDescent="0.3">
      <c r="A2694" s="137">
        <v>7</v>
      </c>
      <c r="B2694" s="3402" t="s">
        <v>2513</v>
      </c>
      <c r="C2694" s="642" t="s">
        <v>138</v>
      </c>
      <c r="D2694" s="642" t="s">
        <v>2515</v>
      </c>
      <c r="E2694" s="642" t="s">
        <v>76</v>
      </c>
      <c r="F2694" s="2519">
        <v>1380000</v>
      </c>
      <c r="G2694" s="642" t="s">
        <v>2516</v>
      </c>
      <c r="H2694" s="642" t="s">
        <v>44</v>
      </c>
      <c r="I2694" s="642" t="s">
        <v>36</v>
      </c>
      <c r="J2694" s="642">
        <v>1</v>
      </c>
      <c r="K2694" t="s">
        <v>217</v>
      </c>
    </row>
    <row r="2695" spans="1:11" hidden="1" x14ac:dyDescent="0.3">
      <c r="A2695" s="137">
        <v>8</v>
      </c>
      <c r="B2695" s="3402" t="s">
        <v>2517</v>
      </c>
      <c r="C2695" s="642" t="s">
        <v>219</v>
      </c>
      <c r="D2695" s="641" t="s">
        <v>2518</v>
      </c>
      <c r="E2695" s="641" t="s">
        <v>1564</v>
      </c>
      <c r="F2695" s="2520">
        <v>4500000</v>
      </c>
      <c r="G2695" s="641" t="s">
        <v>168</v>
      </c>
      <c r="H2695" s="641" t="s">
        <v>36</v>
      </c>
      <c r="I2695" s="641" t="s">
        <v>36</v>
      </c>
      <c r="J2695" s="642">
        <v>1</v>
      </c>
      <c r="K2695" t="s">
        <v>217</v>
      </c>
    </row>
    <row r="2696" spans="1:11" hidden="1" x14ac:dyDescent="0.3">
      <c r="A2696" s="137">
        <v>9</v>
      </c>
      <c r="B2696" s="3402" t="s">
        <v>2517</v>
      </c>
      <c r="C2696" s="642" t="s">
        <v>219</v>
      </c>
      <c r="D2696" s="642" t="s">
        <v>2519</v>
      </c>
      <c r="E2696" s="641" t="s">
        <v>1564</v>
      </c>
      <c r="F2696" s="2519">
        <v>2500000</v>
      </c>
      <c r="G2696" s="642" t="s">
        <v>168</v>
      </c>
      <c r="H2696" s="642" t="s">
        <v>36</v>
      </c>
      <c r="I2696" s="642" t="s">
        <v>36</v>
      </c>
      <c r="J2696" s="642">
        <v>1</v>
      </c>
      <c r="K2696" t="s">
        <v>2512</v>
      </c>
    </row>
    <row r="2697" spans="1:11" hidden="1" x14ac:dyDescent="0.3">
      <c r="A2697" s="137">
        <v>10</v>
      </c>
      <c r="B2697" s="3402" t="s">
        <v>2517</v>
      </c>
      <c r="C2697" s="642" t="s">
        <v>219</v>
      </c>
      <c r="D2697" s="642" t="s">
        <v>2520</v>
      </c>
      <c r="E2697" s="641" t="s">
        <v>1564</v>
      </c>
      <c r="F2697" s="2519">
        <v>4500000</v>
      </c>
      <c r="G2697" s="642" t="s">
        <v>168</v>
      </c>
      <c r="H2697" s="642" t="s">
        <v>36</v>
      </c>
      <c r="I2697" s="642" t="s">
        <v>36</v>
      </c>
      <c r="J2697" s="642">
        <v>1</v>
      </c>
      <c r="K2697" t="s">
        <v>217</v>
      </c>
    </row>
    <row r="2698" spans="1:11" hidden="1" x14ac:dyDescent="0.3">
      <c r="A2698" s="137">
        <v>11</v>
      </c>
      <c r="B2698" s="3402" t="s">
        <v>2521</v>
      </c>
      <c r="C2698" s="642" t="s">
        <v>138</v>
      </c>
      <c r="D2698" s="641" t="s">
        <v>2522</v>
      </c>
      <c r="E2698" s="642" t="s">
        <v>76</v>
      </c>
      <c r="F2698" s="2520">
        <v>1100000</v>
      </c>
      <c r="G2698" s="641" t="s">
        <v>1223</v>
      </c>
      <c r="H2698" s="641" t="s">
        <v>1468</v>
      </c>
      <c r="I2698" s="641" t="s">
        <v>271</v>
      </c>
      <c r="J2698" s="642">
        <v>1</v>
      </c>
      <c r="K2698" t="s">
        <v>2512</v>
      </c>
    </row>
    <row r="2699" spans="1:11" hidden="1" x14ac:dyDescent="0.3">
      <c r="A2699" s="137">
        <v>12</v>
      </c>
      <c r="B2699" s="3402" t="s">
        <v>2523</v>
      </c>
      <c r="C2699" s="642" t="s">
        <v>138</v>
      </c>
      <c r="D2699" s="642" t="s">
        <v>2524</v>
      </c>
      <c r="E2699" s="642" t="s">
        <v>1124</v>
      </c>
      <c r="F2699" s="2519">
        <v>750000</v>
      </c>
      <c r="G2699" s="642" t="s">
        <v>168</v>
      </c>
      <c r="H2699" s="641" t="s">
        <v>36</v>
      </c>
      <c r="I2699" s="641" t="s">
        <v>271</v>
      </c>
      <c r="J2699" s="642">
        <v>1</v>
      </c>
      <c r="K2699" t="s">
        <v>217</v>
      </c>
    </row>
    <row r="2700" spans="1:11" hidden="1" x14ac:dyDescent="0.3">
      <c r="A2700" s="137">
        <v>13</v>
      </c>
      <c r="B2700" s="3402" t="s">
        <v>2525</v>
      </c>
      <c r="C2700" s="642" t="s">
        <v>138</v>
      </c>
      <c r="D2700" s="642" t="s">
        <v>2526</v>
      </c>
      <c r="E2700" s="642" t="s">
        <v>76</v>
      </c>
      <c r="F2700" s="2519">
        <v>1300000</v>
      </c>
      <c r="G2700" s="642" t="s">
        <v>1833</v>
      </c>
      <c r="H2700" s="641" t="s">
        <v>1468</v>
      </c>
      <c r="I2700" s="641" t="s">
        <v>271</v>
      </c>
      <c r="J2700" s="642">
        <v>1</v>
      </c>
      <c r="K2700" t="s">
        <v>217</v>
      </c>
    </row>
    <row r="2701" spans="1:11" hidden="1" x14ac:dyDescent="0.3">
      <c r="A2701" s="137">
        <v>14</v>
      </c>
      <c r="B2701" s="3402" t="s">
        <v>2525</v>
      </c>
      <c r="C2701" s="642" t="s">
        <v>138</v>
      </c>
      <c r="D2701" s="642" t="s">
        <v>2527</v>
      </c>
      <c r="E2701" s="642" t="s">
        <v>76</v>
      </c>
      <c r="F2701" s="2519">
        <v>1200000</v>
      </c>
      <c r="G2701" s="642" t="s">
        <v>2117</v>
      </c>
      <c r="H2701" s="641" t="s">
        <v>1468</v>
      </c>
      <c r="I2701" s="641" t="s">
        <v>271</v>
      </c>
      <c r="J2701" s="642">
        <v>1</v>
      </c>
      <c r="K2701" t="s">
        <v>2512</v>
      </c>
    </row>
    <row r="2702" spans="1:11" ht="24.6" hidden="1" x14ac:dyDescent="0.4">
      <c r="A2702" s="1781"/>
      <c r="B2702" s="765"/>
      <c r="C2702" s="641"/>
      <c r="D2702" s="641"/>
      <c r="E2702" s="641"/>
      <c r="F2702" s="2523"/>
      <c r="G2702" s="641"/>
      <c r="H2702" s="641"/>
      <c r="I2702" s="641"/>
      <c r="J2702" s="1837"/>
    </row>
    <row r="2703" spans="1:11" ht="24.6" hidden="1" x14ac:dyDescent="0.4">
      <c r="A2703" s="3462" t="s">
        <v>2003</v>
      </c>
      <c r="B2703" s="3462"/>
      <c r="C2703" s="3462"/>
      <c r="D2703" s="3462"/>
      <c r="E2703" s="3462"/>
      <c r="F2703" s="3462"/>
      <c r="G2703" s="3462"/>
      <c r="H2703" s="3462"/>
      <c r="I2703" s="3462"/>
      <c r="J2703" s="3462"/>
    </row>
    <row r="2704" spans="1:11" hidden="1" x14ac:dyDescent="0.3">
      <c r="A2704" s="137" t="s">
        <v>3</v>
      </c>
      <c r="B2704" s="1781" t="s">
        <v>4</v>
      </c>
      <c r="C2704" s="137" t="s">
        <v>5</v>
      </c>
      <c r="D2704" s="137" t="s">
        <v>6</v>
      </c>
      <c r="E2704" s="137" t="s">
        <v>7</v>
      </c>
      <c r="F2704" s="137" t="s">
        <v>8</v>
      </c>
      <c r="G2704" s="137" t="s">
        <v>9</v>
      </c>
      <c r="H2704" s="137" t="s">
        <v>10</v>
      </c>
      <c r="I2704" s="137" t="s">
        <v>11</v>
      </c>
      <c r="J2704" s="137" t="s">
        <v>12</v>
      </c>
    </row>
    <row r="2705" spans="1:11" ht="15.6" hidden="1" x14ac:dyDescent="0.3">
      <c r="A2705" s="1845">
        <v>1</v>
      </c>
      <c r="B2705" s="3404" t="s">
        <v>2508</v>
      </c>
      <c r="C2705" s="1838" t="s">
        <v>37</v>
      </c>
      <c r="D2705" s="2502" t="s">
        <v>2506</v>
      </c>
      <c r="E2705" s="1838" t="s">
        <v>76</v>
      </c>
      <c r="F2705" s="1838" t="s">
        <v>1049</v>
      </c>
      <c r="G2705" s="1838" t="s">
        <v>2507</v>
      </c>
      <c r="H2705" s="1838" t="s">
        <v>36</v>
      </c>
      <c r="I2705" s="1838" t="s">
        <v>36</v>
      </c>
      <c r="J2705" s="1839">
        <v>1</v>
      </c>
    </row>
    <row r="2706" spans="1:11" ht="15.6" hidden="1" x14ac:dyDescent="0.3">
      <c r="A2706" s="1846">
        <v>2</v>
      </c>
      <c r="B2706" s="3404">
        <v>44597</v>
      </c>
      <c r="C2706" s="1838" t="s">
        <v>37</v>
      </c>
      <c r="D2706" s="2502" t="s">
        <v>2528</v>
      </c>
      <c r="E2706" s="1838" t="s">
        <v>1066</v>
      </c>
      <c r="F2706" s="1838" t="s">
        <v>2529</v>
      </c>
      <c r="G2706" s="1838" t="s">
        <v>2132</v>
      </c>
      <c r="H2706" s="1838" t="s">
        <v>44</v>
      </c>
      <c r="I2706" s="1838" t="s">
        <v>36</v>
      </c>
      <c r="J2706" s="1839">
        <v>1</v>
      </c>
    </row>
    <row r="2707" spans="1:11" hidden="1" x14ac:dyDescent="0.3">
      <c r="A2707" s="2351">
        <v>3</v>
      </c>
      <c r="B2707" s="3404" t="s">
        <v>2521</v>
      </c>
      <c r="C2707" s="1838" t="s">
        <v>37</v>
      </c>
      <c r="D2707" s="1840" t="s">
        <v>2530</v>
      </c>
      <c r="E2707" s="1838" t="s">
        <v>942</v>
      </c>
      <c r="F2707" s="1840" t="s">
        <v>1939</v>
      </c>
      <c r="G2707" s="1838" t="s">
        <v>2531</v>
      </c>
      <c r="H2707" s="1838" t="s">
        <v>36</v>
      </c>
      <c r="I2707" s="1838" t="s">
        <v>36</v>
      </c>
      <c r="J2707" s="1839">
        <v>1</v>
      </c>
    </row>
    <row r="2708" spans="1:11" hidden="1" x14ac:dyDescent="0.3">
      <c r="A2708" s="2177"/>
      <c r="B2708" s="3406"/>
      <c r="C2708" s="2350"/>
      <c r="D2708" s="2350"/>
      <c r="E2708" s="2350"/>
      <c r="F2708" s="2350"/>
      <c r="G2708" s="2350"/>
      <c r="H2708" s="2350"/>
      <c r="I2708" s="2350"/>
      <c r="J2708" s="1842"/>
    </row>
    <row r="2709" spans="1:11" hidden="1" x14ac:dyDescent="0.3"/>
    <row r="2710" spans="1:11" hidden="1" x14ac:dyDescent="0.3"/>
    <row r="2711" spans="1:11" ht="23.4" hidden="1" x14ac:dyDescent="0.3">
      <c r="A2711" s="3460" t="s">
        <v>1138</v>
      </c>
      <c r="B2711" s="3460"/>
      <c r="C2711" s="3460"/>
      <c r="D2711" s="3460"/>
      <c r="E2711" s="3460"/>
      <c r="F2711" s="3460"/>
      <c r="G2711" s="3460"/>
      <c r="H2711" s="3460"/>
      <c r="I2711" s="3460"/>
      <c r="J2711" s="3460"/>
    </row>
    <row r="2712" spans="1:11" ht="15.6" hidden="1" x14ac:dyDescent="0.3">
      <c r="A2712" s="3461" t="s">
        <v>2</v>
      </c>
      <c r="B2712" s="3461"/>
      <c r="C2712" s="3461"/>
      <c r="D2712" s="3461"/>
      <c r="E2712" s="3461"/>
      <c r="F2712" s="3461"/>
      <c r="G2712" s="3461"/>
      <c r="H2712" s="3461"/>
      <c r="I2712" s="3461"/>
      <c r="J2712" s="3461"/>
    </row>
    <row r="2713" spans="1:11" hidden="1" x14ac:dyDescent="0.3">
      <c r="A2713" s="137" t="s">
        <v>3</v>
      </c>
      <c r="B2713" s="1781" t="s">
        <v>4</v>
      </c>
      <c r="C2713" s="137" t="s">
        <v>5</v>
      </c>
      <c r="D2713" s="137" t="s">
        <v>6</v>
      </c>
      <c r="E2713" s="137" t="s">
        <v>7</v>
      </c>
      <c r="F2713" s="2522" t="s">
        <v>8</v>
      </c>
      <c r="G2713" s="137" t="s">
        <v>9</v>
      </c>
      <c r="H2713" s="137" t="s">
        <v>10</v>
      </c>
      <c r="I2713" s="137" t="s">
        <v>11</v>
      </c>
      <c r="J2713" s="137" t="s">
        <v>12</v>
      </c>
    </row>
    <row r="2714" spans="1:11" hidden="1" x14ac:dyDescent="0.3">
      <c r="A2714" s="137">
        <v>1</v>
      </c>
      <c r="B2714" s="3402" t="s">
        <v>2502</v>
      </c>
      <c r="C2714" s="642" t="s">
        <v>37</v>
      </c>
      <c r="D2714" s="642" t="s">
        <v>2532</v>
      </c>
      <c r="E2714" s="642" t="s">
        <v>1838</v>
      </c>
      <c r="F2714" s="2595">
        <v>1300000</v>
      </c>
      <c r="G2714" s="642" t="s">
        <v>1319</v>
      </c>
      <c r="H2714" s="642" t="s">
        <v>44</v>
      </c>
      <c r="I2714" s="642" t="s">
        <v>36</v>
      </c>
      <c r="J2714" s="642">
        <v>1</v>
      </c>
      <c r="K2714" t="s">
        <v>217</v>
      </c>
    </row>
    <row r="2715" spans="1:11" hidden="1" x14ac:dyDescent="0.3">
      <c r="A2715" s="137">
        <v>2</v>
      </c>
      <c r="B2715" s="3402" t="s">
        <v>2502</v>
      </c>
      <c r="C2715" s="642" t="s">
        <v>37</v>
      </c>
      <c r="D2715" s="642" t="s">
        <v>2533</v>
      </c>
      <c r="E2715" s="642" t="s">
        <v>869</v>
      </c>
      <c r="F2715" s="2595">
        <v>1350000</v>
      </c>
      <c r="G2715" s="642" t="s">
        <v>140</v>
      </c>
      <c r="H2715" s="642" t="s">
        <v>44</v>
      </c>
      <c r="I2715" s="642" t="s">
        <v>36</v>
      </c>
      <c r="J2715" s="642">
        <v>1</v>
      </c>
      <c r="K2715" t="s">
        <v>217</v>
      </c>
    </row>
    <row r="2716" spans="1:11" hidden="1" x14ac:dyDescent="0.3">
      <c r="A2716" s="137">
        <v>3</v>
      </c>
      <c r="B2716" s="3402" t="s">
        <v>2508</v>
      </c>
      <c r="C2716" s="642" t="s">
        <v>37</v>
      </c>
      <c r="D2716" s="642" t="s">
        <v>2534</v>
      </c>
      <c r="E2716" s="642" t="s">
        <v>869</v>
      </c>
      <c r="F2716" s="2595">
        <v>1350000</v>
      </c>
      <c r="G2716" s="642" t="s">
        <v>2200</v>
      </c>
      <c r="H2716" s="642" t="s">
        <v>44</v>
      </c>
      <c r="I2716" s="642" t="s">
        <v>36</v>
      </c>
      <c r="J2716" s="642">
        <v>1</v>
      </c>
      <c r="K2716" t="s">
        <v>217</v>
      </c>
    </row>
    <row r="2717" spans="1:11" hidden="1" x14ac:dyDescent="0.3">
      <c r="A2717" s="137">
        <v>4</v>
      </c>
      <c r="B2717" s="3402">
        <v>44597</v>
      </c>
      <c r="C2717" s="642" t="s">
        <v>37</v>
      </c>
      <c r="D2717" s="642" t="s">
        <v>2535</v>
      </c>
      <c r="E2717" s="642" t="s">
        <v>68</v>
      </c>
      <c r="F2717" s="2595">
        <v>1450000</v>
      </c>
      <c r="G2717" s="642" t="s">
        <v>2536</v>
      </c>
      <c r="H2717" s="642" t="s">
        <v>44</v>
      </c>
      <c r="I2717" s="642" t="s">
        <v>36</v>
      </c>
      <c r="J2717" s="642">
        <v>1</v>
      </c>
      <c r="K2717" t="s">
        <v>217</v>
      </c>
    </row>
    <row r="2718" spans="1:11" hidden="1" x14ac:dyDescent="0.3">
      <c r="A2718" s="137">
        <v>5</v>
      </c>
      <c r="B2718" s="3402">
        <v>44717</v>
      </c>
      <c r="C2718" s="642" t="s">
        <v>37</v>
      </c>
      <c r="D2718" s="642" t="s">
        <v>2537</v>
      </c>
      <c r="E2718" s="642" t="s">
        <v>68</v>
      </c>
      <c r="F2718" s="2595">
        <v>1600000</v>
      </c>
      <c r="G2718" s="642" t="s">
        <v>2358</v>
      </c>
      <c r="H2718" s="642" t="s">
        <v>44</v>
      </c>
      <c r="I2718" s="642" t="s">
        <v>36</v>
      </c>
      <c r="J2718" s="642">
        <v>1</v>
      </c>
      <c r="K2718" t="s">
        <v>217</v>
      </c>
    </row>
    <row r="2719" spans="1:11" hidden="1" x14ac:dyDescent="0.3">
      <c r="A2719" s="137">
        <v>6</v>
      </c>
      <c r="B2719" s="3402">
        <v>44747</v>
      </c>
      <c r="C2719" s="642" t="s">
        <v>37</v>
      </c>
      <c r="D2719" s="642" t="s">
        <v>2538</v>
      </c>
      <c r="E2719" s="642" t="s">
        <v>869</v>
      </c>
      <c r="F2719" s="2595">
        <v>1450000</v>
      </c>
      <c r="G2719" s="642" t="s">
        <v>2539</v>
      </c>
      <c r="H2719" s="642" t="s">
        <v>44</v>
      </c>
      <c r="I2719" s="642" t="s">
        <v>36</v>
      </c>
      <c r="J2719" s="642">
        <v>1</v>
      </c>
      <c r="K2719" t="s">
        <v>2512</v>
      </c>
    </row>
    <row r="2720" spans="1:11" hidden="1" x14ac:dyDescent="0.3">
      <c r="A2720" s="137">
        <v>7</v>
      </c>
      <c r="B2720" s="3402">
        <v>44747</v>
      </c>
      <c r="C2720" s="642" t="s">
        <v>74</v>
      </c>
      <c r="D2720" s="641" t="s">
        <v>2540</v>
      </c>
      <c r="E2720" s="641" t="s">
        <v>1888</v>
      </c>
      <c r="F2720" s="2604">
        <v>1100000</v>
      </c>
      <c r="G2720" s="641" t="s">
        <v>168</v>
      </c>
      <c r="H2720" s="642" t="s">
        <v>44</v>
      </c>
      <c r="I2720" s="642" t="s">
        <v>36</v>
      </c>
      <c r="J2720" s="642">
        <v>1</v>
      </c>
      <c r="K2720" t="s">
        <v>2512</v>
      </c>
    </row>
    <row r="2721" spans="1:11" hidden="1" x14ac:dyDescent="0.3">
      <c r="A2721" s="137">
        <v>8</v>
      </c>
      <c r="B2721" s="3402">
        <v>44900</v>
      </c>
      <c r="C2721" s="642" t="s">
        <v>37</v>
      </c>
      <c r="D2721" s="642" t="s">
        <v>2541</v>
      </c>
      <c r="E2721" s="642" t="s">
        <v>869</v>
      </c>
      <c r="F2721" s="2595">
        <v>1350000</v>
      </c>
      <c r="G2721" s="642" t="s">
        <v>2307</v>
      </c>
      <c r="H2721" s="642" t="s">
        <v>44</v>
      </c>
      <c r="I2721" s="642" t="s">
        <v>36</v>
      </c>
      <c r="J2721" s="642">
        <v>1</v>
      </c>
      <c r="K2721" t="s">
        <v>217</v>
      </c>
    </row>
    <row r="2722" spans="1:11" hidden="1" x14ac:dyDescent="0.3">
      <c r="A2722" s="137">
        <v>9</v>
      </c>
      <c r="B2722" s="3402" t="s">
        <v>2542</v>
      </c>
      <c r="C2722" s="641" t="s">
        <v>138</v>
      </c>
      <c r="D2722" s="642" t="s">
        <v>2543</v>
      </c>
      <c r="E2722" s="642" t="s">
        <v>68</v>
      </c>
      <c r="F2722" s="2595">
        <v>1550000</v>
      </c>
      <c r="G2722" s="642" t="s">
        <v>2358</v>
      </c>
      <c r="H2722" s="642" t="s">
        <v>1468</v>
      </c>
      <c r="I2722" s="642" t="s">
        <v>36</v>
      </c>
      <c r="J2722" s="642">
        <v>1</v>
      </c>
      <c r="K2722" t="s">
        <v>2512</v>
      </c>
    </row>
    <row r="2723" spans="1:11" hidden="1" x14ac:dyDescent="0.3">
      <c r="A2723" s="137">
        <v>10</v>
      </c>
      <c r="B2723" s="3402" t="s">
        <v>2517</v>
      </c>
      <c r="C2723" s="641" t="s">
        <v>138</v>
      </c>
      <c r="D2723" s="642" t="s">
        <v>2544</v>
      </c>
      <c r="E2723" s="642" t="s">
        <v>1319</v>
      </c>
      <c r="F2723" s="2595">
        <v>1200000</v>
      </c>
      <c r="G2723" s="642" t="s">
        <v>1319</v>
      </c>
      <c r="H2723" s="642" t="s">
        <v>1468</v>
      </c>
      <c r="I2723" s="642" t="s">
        <v>36</v>
      </c>
      <c r="J2723" s="642">
        <v>1</v>
      </c>
      <c r="K2723" t="s">
        <v>2512</v>
      </c>
    </row>
    <row r="2724" spans="1:11" hidden="1" x14ac:dyDescent="0.3">
      <c r="A2724" s="137">
        <v>11</v>
      </c>
      <c r="B2724" s="3402" t="s">
        <v>2517</v>
      </c>
      <c r="C2724" s="641" t="s">
        <v>138</v>
      </c>
      <c r="D2724" s="642" t="s">
        <v>2545</v>
      </c>
      <c r="E2724" s="642" t="s">
        <v>76</v>
      </c>
      <c r="F2724" s="2595">
        <v>560000</v>
      </c>
      <c r="G2724" s="642" t="s">
        <v>168</v>
      </c>
      <c r="H2724" s="642" t="s">
        <v>1468</v>
      </c>
      <c r="I2724" s="642" t="s">
        <v>36</v>
      </c>
      <c r="J2724" s="642">
        <v>1</v>
      </c>
      <c r="K2724" t="s">
        <v>217</v>
      </c>
    </row>
    <row r="2725" spans="1:11" hidden="1" x14ac:dyDescent="0.3">
      <c r="A2725" s="137">
        <v>12</v>
      </c>
      <c r="B2725" s="3402" t="s">
        <v>2517</v>
      </c>
      <c r="C2725" s="641" t="s">
        <v>138</v>
      </c>
      <c r="D2725" s="642" t="s">
        <v>2546</v>
      </c>
      <c r="E2725" s="642" t="s">
        <v>2547</v>
      </c>
      <c r="F2725" s="2595">
        <v>670000</v>
      </c>
      <c r="G2725" s="642" t="s">
        <v>168</v>
      </c>
      <c r="H2725" s="642" t="s">
        <v>1468</v>
      </c>
      <c r="I2725" s="642" t="s">
        <v>36</v>
      </c>
      <c r="J2725" s="642">
        <v>1</v>
      </c>
      <c r="K2725" t="s">
        <v>2512</v>
      </c>
    </row>
    <row r="2726" spans="1:11" hidden="1" x14ac:dyDescent="0.3">
      <c r="A2726" s="137">
        <v>13</v>
      </c>
      <c r="B2726" s="3402" t="s">
        <v>2517</v>
      </c>
      <c r="C2726" s="641" t="s">
        <v>138</v>
      </c>
      <c r="D2726" s="642" t="s">
        <v>2548</v>
      </c>
      <c r="E2726" s="642" t="s">
        <v>76</v>
      </c>
      <c r="F2726" s="2595">
        <v>620000</v>
      </c>
      <c r="G2726" s="642" t="s">
        <v>168</v>
      </c>
      <c r="H2726" s="642" t="s">
        <v>1468</v>
      </c>
      <c r="I2726" s="642" t="s">
        <v>36</v>
      </c>
      <c r="J2726" s="642">
        <v>1</v>
      </c>
      <c r="K2726" t="s">
        <v>217</v>
      </c>
    </row>
    <row r="2727" spans="1:11" hidden="1" x14ac:dyDescent="0.3">
      <c r="A2727" s="137">
        <v>14</v>
      </c>
      <c r="B2727" s="765" t="s">
        <v>2549</v>
      </c>
      <c r="C2727" s="641" t="s">
        <v>138</v>
      </c>
      <c r="D2727" s="642" t="s">
        <v>2550</v>
      </c>
      <c r="E2727" s="642" t="s">
        <v>904</v>
      </c>
      <c r="F2727" s="2595">
        <v>1500000</v>
      </c>
      <c r="G2727" s="642" t="s">
        <v>168</v>
      </c>
      <c r="H2727" s="642" t="s">
        <v>1468</v>
      </c>
      <c r="I2727" s="642" t="s">
        <v>271</v>
      </c>
      <c r="J2727" s="642">
        <v>1</v>
      </c>
      <c r="K2727" t="s">
        <v>2512</v>
      </c>
    </row>
    <row r="2728" spans="1:11" ht="24.6" hidden="1" x14ac:dyDescent="0.4">
      <c r="A2728" s="1781"/>
      <c r="B2728" s="765"/>
      <c r="C2728" s="641"/>
      <c r="D2728" s="641"/>
      <c r="E2728" s="641"/>
      <c r="F2728" s="2523"/>
      <c r="G2728" s="641"/>
      <c r="H2728" s="641"/>
      <c r="I2728" s="641"/>
      <c r="J2728" s="1837"/>
    </row>
    <row r="2729" spans="1:11" ht="24.6" hidden="1" x14ac:dyDescent="0.4">
      <c r="A2729" s="3462" t="s">
        <v>2003</v>
      </c>
      <c r="B2729" s="3462"/>
      <c r="C2729" s="3462"/>
      <c r="D2729" s="3462"/>
      <c r="E2729" s="3462"/>
      <c r="F2729" s="3462"/>
      <c r="G2729" s="3462"/>
      <c r="H2729" s="3462"/>
      <c r="I2729" s="3462"/>
      <c r="J2729" s="3462"/>
    </row>
    <row r="2730" spans="1:11" hidden="1" x14ac:dyDescent="0.3">
      <c r="A2730" s="137" t="s">
        <v>3</v>
      </c>
      <c r="B2730" s="1781" t="s">
        <v>4</v>
      </c>
      <c r="C2730" s="137" t="s">
        <v>5</v>
      </c>
      <c r="D2730" s="137" t="s">
        <v>6</v>
      </c>
      <c r="E2730" s="137" t="s">
        <v>7</v>
      </c>
      <c r="F2730" s="137" t="s">
        <v>8</v>
      </c>
      <c r="G2730" s="137" t="s">
        <v>9</v>
      </c>
      <c r="H2730" s="137" t="s">
        <v>10</v>
      </c>
      <c r="I2730" s="137" t="s">
        <v>11</v>
      </c>
      <c r="J2730" s="137" t="s">
        <v>12</v>
      </c>
    </row>
    <row r="2731" spans="1:11" hidden="1" x14ac:dyDescent="0.3">
      <c r="A2731" s="1845">
        <v>1</v>
      </c>
      <c r="B2731" s="3404" t="s">
        <v>2508</v>
      </c>
      <c r="C2731" s="1838" t="s">
        <v>37</v>
      </c>
      <c r="D2731" s="1838" t="s">
        <v>2551</v>
      </c>
      <c r="E2731" s="1838" t="s">
        <v>68</v>
      </c>
      <c r="F2731" s="1838" t="s">
        <v>2552</v>
      </c>
      <c r="G2731" s="1838" t="s">
        <v>2358</v>
      </c>
      <c r="H2731" s="2350" t="s">
        <v>44</v>
      </c>
      <c r="I2731" s="2350" t="s">
        <v>36</v>
      </c>
      <c r="J2731" s="1839">
        <v>1</v>
      </c>
    </row>
    <row r="2732" spans="1:11" hidden="1" x14ac:dyDescent="0.3">
      <c r="A2732" s="1846">
        <v>2</v>
      </c>
      <c r="B2732" s="3404" t="s">
        <v>2508</v>
      </c>
      <c r="C2732" s="1838" t="s">
        <v>37</v>
      </c>
      <c r="D2732" s="1840" t="s">
        <v>2553</v>
      </c>
      <c r="E2732" s="1840" t="s">
        <v>998</v>
      </c>
      <c r="F2732" s="1838"/>
      <c r="G2732" s="1840"/>
      <c r="H2732" s="1840"/>
      <c r="I2732" s="1840"/>
      <c r="J2732" s="1841"/>
    </row>
    <row r="2733" spans="1:11" hidden="1" x14ac:dyDescent="0.3">
      <c r="A2733" s="2177">
        <v>3</v>
      </c>
      <c r="B2733" s="3404">
        <v>44900</v>
      </c>
      <c r="C2733" s="2350" t="s">
        <v>138</v>
      </c>
      <c r="D2733" s="2350" t="s">
        <v>2541</v>
      </c>
      <c r="E2733" s="2350" t="s">
        <v>869</v>
      </c>
      <c r="F2733" s="1838" t="s">
        <v>1796</v>
      </c>
      <c r="G2733" s="2350" t="s">
        <v>2307</v>
      </c>
      <c r="H2733" s="2350" t="s">
        <v>44</v>
      </c>
      <c r="I2733" s="2350" t="s">
        <v>36</v>
      </c>
      <c r="J2733" s="1842">
        <v>1</v>
      </c>
    </row>
    <row r="2734" spans="1:11" hidden="1" x14ac:dyDescent="0.3"/>
    <row r="2735" spans="1:11" hidden="1" x14ac:dyDescent="0.3"/>
    <row r="2736" spans="1:11" ht="23.4" hidden="1" x14ac:dyDescent="0.3">
      <c r="A2736" s="3460" t="s">
        <v>2073</v>
      </c>
      <c r="B2736" s="3460"/>
      <c r="C2736" s="3460"/>
      <c r="D2736" s="3460"/>
      <c r="E2736" s="3460"/>
      <c r="F2736" s="3460"/>
      <c r="G2736" s="3460"/>
      <c r="H2736" s="3460"/>
      <c r="I2736" s="3460"/>
      <c r="J2736" s="3460"/>
    </row>
    <row r="2737" spans="1:11" ht="15.6" hidden="1" x14ac:dyDescent="0.3">
      <c r="A2737" s="3461" t="s">
        <v>2</v>
      </c>
      <c r="B2737" s="3461"/>
      <c r="C2737" s="3461"/>
      <c r="D2737" s="3461"/>
      <c r="E2737" s="3461"/>
      <c r="F2737" s="3461"/>
      <c r="G2737" s="3461"/>
      <c r="H2737" s="3461"/>
      <c r="I2737" s="3461"/>
      <c r="J2737" s="3461"/>
    </row>
    <row r="2738" spans="1:11" hidden="1" x14ac:dyDescent="0.3">
      <c r="A2738" s="137" t="s">
        <v>3</v>
      </c>
      <c r="B2738" s="1781" t="s">
        <v>4</v>
      </c>
      <c r="C2738" s="137" t="s">
        <v>5</v>
      </c>
      <c r="D2738" s="137" t="s">
        <v>6</v>
      </c>
      <c r="E2738" s="137" t="s">
        <v>7</v>
      </c>
      <c r="F2738" s="2522" t="s">
        <v>8</v>
      </c>
      <c r="G2738" s="137" t="s">
        <v>9</v>
      </c>
      <c r="H2738" s="137" t="s">
        <v>10</v>
      </c>
      <c r="I2738" s="137" t="s">
        <v>11</v>
      </c>
      <c r="J2738" s="137" t="s">
        <v>12</v>
      </c>
    </row>
    <row r="2739" spans="1:11" hidden="1" x14ac:dyDescent="0.3">
      <c r="A2739" s="137">
        <v>1</v>
      </c>
      <c r="B2739" s="3402">
        <v>44625</v>
      </c>
      <c r="C2739" s="642" t="s">
        <v>37</v>
      </c>
      <c r="D2739" s="642" t="s">
        <v>2554</v>
      </c>
      <c r="E2739" s="642" t="s">
        <v>998</v>
      </c>
      <c r="F2739" s="2595">
        <v>1200000</v>
      </c>
      <c r="G2739" s="642" t="s">
        <v>2462</v>
      </c>
      <c r="H2739" s="642" t="s">
        <v>44</v>
      </c>
      <c r="I2739" s="642" t="s">
        <v>36</v>
      </c>
      <c r="J2739" s="642">
        <v>1</v>
      </c>
      <c r="K2739" t="s">
        <v>1770</v>
      </c>
    </row>
    <row r="2740" spans="1:11" hidden="1" x14ac:dyDescent="0.3">
      <c r="A2740" s="137">
        <v>2</v>
      </c>
      <c r="B2740" s="3402">
        <v>44625</v>
      </c>
      <c r="C2740" s="642" t="s">
        <v>37</v>
      </c>
      <c r="D2740" s="642" t="s">
        <v>2555</v>
      </c>
      <c r="E2740" s="642" t="s">
        <v>869</v>
      </c>
      <c r="F2740" s="2595">
        <v>13000000</v>
      </c>
      <c r="G2740" s="642" t="s">
        <v>1095</v>
      </c>
      <c r="H2740" s="642" t="s">
        <v>36</v>
      </c>
      <c r="I2740" s="642" t="s">
        <v>36</v>
      </c>
      <c r="J2740" s="642">
        <v>1</v>
      </c>
      <c r="K2740" t="s">
        <v>1770</v>
      </c>
    </row>
    <row r="2741" spans="1:11" hidden="1" x14ac:dyDescent="0.3">
      <c r="A2741" s="137">
        <v>3</v>
      </c>
      <c r="B2741" s="3402">
        <v>44900</v>
      </c>
      <c r="C2741" s="642" t="s">
        <v>138</v>
      </c>
      <c r="D2741" s="642" t="s">
        <v>2556</v>
      </c>
      <c r="E2741" s="642" t="s">
        <v>76</v>
      </c>
      <c r="F2741" s="2595">
        <v>1500000</v>
      </c>
      <c r="G2741" s="642" t="s">
        <v>188</v>
      </c>
      <c r="H2741" s="642" t="s">
        <v>44</v>
      </c>
      <c r="I2741" s="642" t="s">
        <v>36</v>
      </c>
      <c r="J2741" s="642">
        <v>1</v>
      </c>
      <c r="K2741" t="s">
        <v>217</v>
      </c>
    </row>
    <row r="2742" spans="1:11" hidden="1" x14ac:dyDescent="0.3">
      <c r="A2742" s="137">
        <v>4</v>
      </c>
      <c r="B2742" s="3402" t="s">
        <v>2542</v>
      </c>
      <c r="C2742" s="642" t="s">
        <v>138</v>
      </c>
      <c r="D2742" s="642" t="s">
        <v>2557</v>
      </c>
      <c r="E2742" s="642" t="s">
        <v>869</v>
      </c>
      <c r="F2742" s="2595">
        <v>1300000</v>
      </c>
      <c r="G2742" s="642" t="s">
        <v>2195</v>
      </c>
      <c r="H2742" s="642" t="s">
        <v>1468</v>
      </c>
      <c r="I2742" s="642" t="s">
        <v>36</v>
      </c>
      <c r="J2742" s="642">
        <v>1</v>
      </c>
      <c r="K2742" t="s">
        <v>2512</v>
      </c>
    </row>
    <row r="2743" spans="1:11" hidden="1" x14ac:dyDescent="0.3">
      <c r="A2743" s="137">
        <v>5</v>
      </c>
      <c r="B2743" s="3402" t="s">
        <v>2542</v>
      </c>
      <c r="C2743" s="642" t="s">
        <v>138</v>
      </c>
      <c r="D2743" s="642" t="s">
        <v>2558</v>
      </c>
      <c r="E2743" s="642" t="s">
        <v>1066</v>
      </c>
      <c r="F2743" s="2595">
        <v>1100000</v>
      </c>
      <c r="G2743" s="642" t="s">
        <v>2200</v>
      </c>
      <c r="H2743" s="642" t="s">
        <v>1468</v>
      </c>
      <c r="I2743" s="642" t="s">
        <v>36</v>
      </c>
      <c r="J2743" s="642">
        <v>1</v>
      </c>
      <c r="K2743" t="s">
        <v>217</v>
      </c>
    </row>
    <row r="2744" spans="1:11" hidden="1" x14ac:dyDescent="0.3">
      <c r="A2744" s="137">
        <v>6</v>
      </c>
      <c r="B2744" s="3402" t="s">
        <v>2517</v>
      </c>
      <c r="C2744" s="642" t="s">
        <v>138</v>
      </c>
      <c r="D2744" s="642" t="s">
        <v>2076</v>
      </c>
      <c r="E2744" s="642" t="s">
        <v>869</v>
      </c>
      <c r="F2744" s="2595">
        <v>1350000</v>
      </c>
      <c r="G2744" s="642" t="s">
        <v>1906</v>
      </c>
      <c r="H2744" s="642" t="s">
        <v>1468</v>
      </c>
      <c r="I2744" s="642" t="s">
        <v>36</v>
      </c>
      <c r="J2744" s="642">
        <v>1</v>
      </c>
      <c r="K2744" t="s">
        <v>2512</v>
      </c>
    </row>
    <row r="2745" spans="1:11" hidden="1" x14ac:dyDescent="0.3">
      <c r="A2745" s="137">
        <v>7</v>
      </c>
      <c r="B2745" s="3402" t="s">
        <v>2517</v>
      </c>
      <c r="C2745" s="642" t="s">
        <v>138</v>
      </c>
      <c r="D2745" s="641" t="s">
        <v>2559</v>
      </c>
      <c r="E2745" s="641" t="s">
        <v>998</v>
      </c>
      <c r="F2745" s="2595">
        <v>1200000</v>
      </c>
      <c r="G2745" s="642" t="s">
        <v>2200</v>
      </c>
      <c r="H2745" s="642" t="s">
        <v>1468</v>
      </c>
      <c r="I2745" s="642" t="s">
        <v>36</v>
      </c>
      <c r="J2745" s="642">
        <v>1</v>
      </c>
      <c r="K2745" t="s">
        <v>217</v>
      </c>
    </row>
    <row r="2746" spans="1:11" hidden="1" x14ac:dyDescent="0.3">
      <c r="A2746" s="137">
        <v>8</v>
      </c>
      <c r="B2746" s="3402" t="s">
        <v>2523</v>
      </c>
      <c r="C2746" s="642" t="s">
        <v>138</v>
      </c>
      <c r="D2746" s="642" t="s">
        <v>2560</v>
      </c>
      <c r="E2746" s="642" t="s">
        <v>1130</v>
      </c>
      <c r="F2746" s="2595">
        <v>1350000</v>
      </c>
      <c r="G2746" s="642" t="s">
        <v>140</v>
      </c>
      <c r="H2746" s="642" t="s">
        <v>1468</v>
      </c>
      <c r="I2746" s="642" t="s">
        <v>36</v>
      </c>
      <c r="J2746" s="642">
        <v>1</v>
      </c>
      <c r="K2746" t="s">
        <v>217</v>
      </c>
    </row>
    <row r="2747" spans="1:11" hidden="1" x14ac:dyDescent="0.3">
      <c r="A2747" s="137">
        <v>9</v>
      </c>
      <c r="B2747" s="3402" t="s">
        <v>2523</v>
      </c>
      <c r="C2747" s="642" t="s">
        <v>138</v>
      </c>
      <c r="D2747" s="642" t="s">
        <v>2561</v>
      </c>
      <c r="E2747" s="642" t="s">
        <v>869</v>
      </c>
      <c r="F2747" s="2595">
        <v>1300000</v>
      </c>
      <c r="G2747" s="642" t="s">
        <v>2200</v>
      </c>
      <c r="H2747" s="642" t="s">
        <v>1468</v>
      </c>
      <c r="I2747" s="642" t="s">
        <v>36</v>
      </c>
      <c r="J2747" s="642">
        <v>1</v>
      </c>
      <c r="K2747" t="s">
        <v>2512</v>
      </c>
    </row>
    <row r="2748" spans="1:11" hidden="1" x14ac:dyDescent="0.3">
      <c r="A2748" s="137">
        <v>10</v>
      </c>
      <c r="B2748" s="3402" t="s">
        <v>2549</v>
      </c>
      <c r="C2748" s="642" t="s">
        <v>138</v>
      </c>
      <c r="D2748" s="642" t="s">
        <v>2562</v>
      </c>
      <c r="E2748" s="642" t="s">
        <v>904</v>
      </c>
      <c r="F2748" s="2595">
        <v>700000</v>
      </c>
      <c r="G2748" s="642" t="s">
        <v>168</v>
      </c>
      <c r="H2748" s="642" t="s">
        <v>1468</v>
      </c>
      <c r="I2748" s="642" t="s">
        <v>271</v>
      </c>
      <c r="J2748" s="642">
        <v>1</v>
      </c>
      <c r="K2748" t="s">
        <v>2512</v>
      </c>
    </row>
    <row r="2749" spans="1:11" hidden="1" x14ac:dyDescent="0.3">
      <c r="A2749" s="137">
        <v>11</v>
      </c>
      <c r="B2749" s="3402" t="s">
        <v>2549</v>
      </c>
      <c r="C2749" s="642" t="s">
        <v>138</v>
      </c>
      <c r="D2749" s="642" t="s">
        <v>2563</v>
      </c>
      <c r="E2749" s="642" t="s">
        <v>2564</v>
      </c>
      <c r="F2749" s="2595">
        <v>3500000</v>
      </c>
      <c r="G2749" s="642" t="s">
        <v>2070</v>
      </c>
      <c r="H2749" s="642" t="s">
        <v>1468</v>
      </c>
      <c r="I2749" s="642" t="s">
        <v>271</v>
      </c>
      <c r="J2749" s="642">
        <v>1</v>
      </c>
      <c r="K2749" t="s">
        <v>217</v>
      </c>
    </row>
    <row r="2750" spans="1:11" hidden="1" x14ac:dyDescent="0.3">
      <c r="A2750" s="137">
        <v>12</v>
      </c>
      <c r="B2750" s="3402" t="s">
        <v>2565</v>
      </c>
      <c r="C2750" s="642" t="s">
        <v>138</v>
      </c>
      <c r="D2750" s="642" t="s">
        <v>2566</v>
      </c>
      <c r="E2750" s="642" t="s">
        <v>68</v>
      </c>
      <c r="F2750" s="2595">
        <v>1500000</v>
      </c>
      <c r="G2750" s="642" t="s">
        <v>2358</v>
      </c>
      <c r="H2750" s="642" t="s">
        <v>36</v>
      </c>
      <c r="I2750" s="642" t="s">
        <v>271</v>
      </c>
      <c r="J2750" s="642">
        <v>1</v>
      </c>
      <c r="K2750" t="s">
        <v>2567</v>
      </c>
    </row>
    <row r="2751" spans="1:11" hidden="1" x14ac:dyDescent="0.3">
      <c r="A2751" s="137">
        <v>13</v>
      </c>
      <c r="B2751" s="3402" t="s">
        <v>2565</v>
      </c>
      <c r="C2751" s="642" t="s">
        <v>138</v>
      </c>
      <c r="D2751" s="642" t="s">
        <v>1927</v>
      </c>
      <c r="E2751" s="642" t="s">
        <v>925</v>
      </c>
      <c r="F2751" s="2519">
        <v>1150000</v>
      </c>
      <c r="G2751" s="642" t="s">
        <v>2568</v>
      </c>
      <c r="H2751" s="642" t="s">
        <v>1468</v>
      </c>
      <c r="I2751" s="642" t="s">
        <v>271</v>
      </c>
      <c r="J2751" s="642">
        <v>1</v>
      </c>
      <c r="K2751" t="s">
        <v>2567</v>
      </c>
    </row>
    <row r="2752" spans="1:11" hidden="1" x14ac:dyDescent="0.3">
      <c r="A2752" s="137">
        <v>14</v>
      </c>
      <c r="B2752" s="3402" t="s">
        <v>2525</v>
      </c>
      <c r="C2752" s="642" t="s">
        <v>138</v>
      </c>
      <c r="D2752" s="642" t="s">
        <v>2569</v>
      </c>
      <c r="E2752" s="642" t="s">
        <v>904</v>
      </c>
      <c r="F2752" s="2519">
        <v>1050000</v>
      </c>
      <c r="G2752" s="642" t="s">
        <v>168</v>
      </c>
      <c r="H2752" s="642" t="s">
        <v>36</v>
      </c>
      <c r="I2752" s="642" t="s">
        <v>271</v>
      </c>
      <c r="J2752" s="642">
        <v>1</v>
      </c>
    </row>
    <row r="2753" spans="1:11" ht="24.6" hidden="1" x14ac:dyDescent="0.4">
      <c r="A2753" s="1781"/>
      <c r="B2753" s="765"/>
      <c r="C2753" s="641"/>
      <c r="D2753" s="641"/>
      <c r="E2753" s="641"/>
      <c r="F2753" s="2523"/>
      <c r="G2753" s="641"/>
      <c r="H2753" s="641"/>
      <c r="I2753" s="641"/>
      <c r="J2753" s="1837"/>
    </row>
    <row r="2754" spans="1:11" ht="24.6" hidden="1" x14ac:dyDescent="0.4">
      <c r="A2754" s="3462" t="s">
        <v>138</v>
      </c>
      <c r="B2754" s="3462"/>
      <c r="C2754" s="3462"/>
      <c r="D2754" s="3462"/>
      <c r="E2754" s="3462"/>
      <c r="F2754" s="3462"/>
      <c r="G2754" s="3462"/>
      <c r="H2754" s="3462"/>
      <c r="I2754" s="3462"/>
      <c r="J2754" s="3462"/>
    </row>
    <row r="2755" spans="1:11" hidden="1" x14ac:dyDescent="0.3">
      <c r="A2755" s="137" t="s">
        <v>3</v>
      </c>
      <c r="B2755" s="1781" t="s">
        <v>4</v>
      </c>
      <c r="C2755" s="137" t="s">
        <v>5</v>
      </c>
      <c r="D2755" s="137" t="s">
        <v>6</v>
      </c>
      <c r="E2755" s="137" t="s">
        <v>7</v>
      </c>
      <c r="F2755" s="137" t="s">
        <v>8</v>
      </c>
      <c r="G2755" s="137" t="s">
        <v>9</v>
      </c>
      <c r="H2755" s="137" t="s">
        <v>10</v>
      </c>
      <c r="I2755" s="137" t="s">
        <v>11</v>
      </c>
      <c r="J2755" s="137" t="s">
        <v>12</v>
      </c>
    </row>
    <row r="2756" spans="1:11" hidden="1" x14ac:dyDescent="0.3">
      <c r="A2756" s="1845">
        <v>1</v>
      </c>
      <c r="B2756" s="3404">
        <v>44900</v>
      </c>
      <c r="C2756" s="1838" t="s">
        <v>138</v>
      </c>
      <c r="D2756" s="1838" t="s">
        <v>2570</v>
      </c>
      <c r="E2756" s="1838" t="s">
        <v>998</v>
      </c>
      <c r="F2756" s="1838" t="s">
        <v>2571</v>
      </c>
      <c r="G2756" s="1838" t="s">
        <v>2200</v>
      </c>
      <c r="H2756" s="1838" t="s">
        <v>44</v>
      </c>
      <c r="I2756" s="1838" t="s">
        <v>36</v>
      </c>
      <c r="J2756" s="1839">
        <v>1</v>
      </c>
    </row>
    <row r="2757" spans="1:11" hidden="1" x14ac:dyDescent="0.3">
      <c r="A2757" s="1846">
        <v>2</v>
      </c>
      <c r="B2757" s="3404">
        <v>44900</v>
      </c>
      <c r="C2757" s="1838" t="s">
        <v>138</v>
      </c>
      <c r="D2757" s="1840" t="s">
        <v>2572</v>
      </c>
      <c r="E2757" s="1840" t="s">
        <v>787</v>
      </c>
      <c r="F2757" s="1840" t="s">
        <v>2573</v>
      </c>
      <c r="G2757" s="1840" t="s">
        <v>703</v>
      </c>
      <c r="H2757" s="1840" t="s">
        <v>1468</v>
      </c>
      <c r="I2757" s="1840" t="s">
        <v>36</v>
      </c>
      <c r="J2757" s="1841">
        <v>1</v>
      </c>
    </row>
    <row r="2758" spans="1:11" hidden="1" x14ac:dyDescent="0.3">
      <c r="A2758" s="2177">
        <v>3</v>
      </c>
      <c r="B2758" s="3410" t="s">
        <v>2549</v>
      </c>
      <c r="C2758" s="1838" t="s">
        <v>138</v>
      </c>
      <c r="D2758" s="2350" t="s">
        <v>1082</v>
      </c>
      <c r="E2758" s="2350" t="s">
        <v>869</v>
      </c>
      <c r="F2758" s="2350" t="s">
        <v>2277</v>
      </c>
      <c r="G2758" s="2350" t="s">
        <v>1095</v>
      </c>
      <c r="H2758" s="2350" t="s">
        <v>1468</v>
      </c>
      <c r="I2758" s="2350" t="s">
        <v>271</v>
      </c>
      <c r="J2758" s="1842">
        <v>1</v>
      </c>
    </row>
    <row r="2759" spans="1:11" hidden="1" x14ac:dyDescent="0.3"/>
    <row r="2760" spans="1:11" ht="23.4" hidden="1" x14ac:dyDescent="0.3">
      <c r="A2760" s="3460" t="s">
        <v>2008</v>
      </c>
      <c r="B2760" s="3460"/>
      <c r="C2760" s="3460"/>
      <c r="D2760" s="3460"/>
      <c r="E2760" s="3460"/>
      <c r="F2760" s="3460"/>
      <c r="G2760" s="3460"/>
      <c r="H2760" s="3460"/>
      <c r="I2760" s="3460"/>
      <c r="J2760" s="3460"/>
    </row>
    <row r="2761" spans="1:11" ht="15.6" hidden="1" x14ac:dyDescent="0.3">
      <c r="A2761" s="3461" t="s">
        <v>2</v>
      </c>
      <c r="B2761" s="3461"/>
      <c r="C2761" s="3461"/>
      <c r="D2761" s="3461"/>
      <c r="E2761" s="3461"/>
      <c r="F2761" s="3461"/>
      <c r="G2761" s="3461"/>
      <c r="H2761" s="3461"/>
      <c r="I2761" s="3461"/>
      <c r="J2761" s="3461"/>
    </row>
    <row r="2762" spans="1:11" hidden="1" x14ac:dyDescent="0.3">
      <c r="A2762" s="137" t="s">
        <v>3</v>
      </c>
      <c r="B2762" s="1781" t="s">
        <v>4</v>
      </c>
      <c r="C2762" s="137" t="s">
        <v>5</v>
      </c>
      <c r="D2762" s="137" t="s">
        <v>6</v>
      </c>
      <c r="E2762" s="137" t="s">
        <v>7</v>
      </c>
      <c r="F2762" s="2522" t="s">
        <v>8</v>
      </c>
      <c r="G2762" s="137" t="s">
        <v>9</v>
      </c>
      <c r="H2762" s="137" t="s">
        <v>10</v>
      </c>
      <c r="I2762" s="137" t="s">
        <v>11</v>
      </c>
      <c r="J2762" s="137" t="s">
        <v>12</v>
      </c>
    </row>
    <row r="2763" spans="1:11" hidden="1" x14ac:dyDescent="0.3">
      <c r="A2763" s="137">
        <v>1</v>
      </c>
      <c r="B2763" s="765" t="s">
        <v>2502</v>
      </c>
      <c r="C2763" s="642" t="s">
        <v>37</v>
      </c>
      <c r="D2763" s="642" t="s">
        <v>2574</v>
      </c>
      <c r="E2763" s="642" t="s">
        <v>869</v>
      </c>
      <c r="F2763" s="2595" t="s">
        <v>2575</v>
      </c>
      <c r="G2763" s="642" t="s">
        <v>1906</v>
      </c>
      <c r="H2763" s="642" t="s">
        <v>36</v>
      </c>
      <c r="I2763" s="642" t="s">
        <v>36</v>
      </c>
      <c r="J2763" s="642">
        <v>1</v>
      </c>
    </row>
    <row r="2764" spans="1:11" hidden="1" x14ac:dyDescent="0.3">
      <c r="A2764" s="137">
        <v>2</v>
      </c>
      <c r="B2764" s="3402">
        <v>44686</v>
      </c>
      <c r="C2764" s="642" t="s">
        <v>37</v>
      </c>
      <c r="D2764" s="642" t="s">
        <v>2576</v>
      </c>
      <c r="E2764" s="642" t="s">
        <v>68</v>
      </c>
      <c r="F2764" s="2595" t="s">
        <v>2577</v>
      </c>
      <c r="G2764" s="642" t="s">
        <v>2358</v>
      </c>
      <c r="H2764" s="642" t="s">
        <v>44</v>
      </c>
      <c r="I2764" s="642" t="s">
        <v>36</v>
      </c>
      <c r="J2764" s="642">
        <v>1</v>
      </c>
      <c r="K2764" t="s">
        <v>2512</v>
      </c>
    </row>
    <row r="2765" spans="1:11" hidden="1" x14ac:dyDescent="0.3">
      <c r="A2765" s="137">
        <v>3</v>
      </c>
      <c r="B2765" s="3402">
        <v>44686</v>
      </c>
      <c r="C2765" s="642" t="s">
        <v>37</v>
      </c>
      <c r="D2765" s="642" t="s">
        <v>2578</v>
      </c>
      <c r="E2765" s="642" t="s">
        <v>68</v>
      </c>
      <c r="F2765" s="2595" t="s">
        <v>2577</v>
      </c>
      <c r="G2765" s="642" t="s">
        <v>2358</v>
      </c>
      <c r="H2765" s="642" t="s">
        <v>44</v>
      </c>
      <c r="I2765" s="642" t="s">
        <v>36</v>
      </c>
      <c r="J2765" s="642">
        <v>1</v>
      </c>
      <c r="K2765" t="s">
        <v>217</v>
      </c>
    </row>
    <row r="2766" spans="1:11" hidden="1" x14ac:dyDescent="0.3">
      <c r="A2766" s="137">
        <v>4</v>
      </c>
      <c r="B2766" s="3402">
        <v>44717</v>
      </c>
      <c r="C2766" s="642" t="s">
        <v>37</v>
      </c>
      <c r="D2766" s="642" t="s">
        <v>2579</v>
      </c>
      <c r="E2766" s="642" t="s">
        <v>904</v>
      </c>
      <c r="F2766" s="2595">
        <v>1600000</v>
      </c>
      <c r="G2766" s="642" t="s">
        <v>705</v>
      </c>
      <c r="H2766" s="642" t="s">
        <v>36</v>
      </c>
      <c r="I2766" s="642" t="s">
        <v>36</v>
      </c>
      <c r="J2766" s="642">
        <v>1</v>
      </c>
      <c r="K2766" t="s">
        <v>2512</v>
      </c>
    </row>
    <row r="2767" spans="1:11" hidden="1" x14ac:dyDescent="0.3">
      <c r="A2767" s="137">
        <v>5</v>
      </c>
      <c r="C2767" s="642"/>
      <c r="D2767" s="642"/>
      <c r="E2767" s="642"/>
      <c r="F2767" s="2595"/>
      <c r="G2767" s="642"/>
      <c r="H2767" s="642"/>
      <c r="I2767" s="642"/>
      <c r="J2767" s="642"/>
    </row>
    <row r="2768" spans="1:11" hidden="1" x14ac:dyDescent="0.3">
      <c r="A2768" s="137">
        <v>6</v>
      </c>
      <c r="B2768" s="3402"/>
      <c r="C2768" s="642"/>
      <c r="D2768" s="642"/>
      <c r="E2768" s="642"/>
      <c r="F2768" s="2595"/>
      <c r="G2768" s="642"/>
      <c r="H2768" s="642"/>
      <c r="I2768" s="642"/>
      <c r="J2768" s="642"/>
    </row>
    <row r="2769" spans="1:10" hidden="1" x14ac:dyDescent="0.3">
      <c r="A2769" s="137">
        <v>7</v>
      </c>
      <c r="B2769" s="3402"/>
      <c r="C2769" s="642"/>
      <c r="D2769" s="641"/>
      <c r="E2769" s="641"/>
      <c r="F2769" s="2520"/>
      <c r="G2769" s="641"/>
      <c r="H2769" s="641"/>
      <c r="I2769" s="641"/>
      <c r="J2769" s="642"/>
    </row>
    <row r="2770" spans="1:10" hidden="1" x14ac:dyDescent="0.3">
      <c r="A2770" s="137">
        <v>8</v>
      </c>
      <c r="B2770" s="3402"/>
      <c r="C2770" s="642"/>
      <c r="D2770" s="642"/>
      <c r="E2770" s="642"/>
      <c r="F2770" s="2519"/>
      <c r="G2770" s="642"/>
      <c r="H2770" s="642"/>
      <c r="I2770" s="642"/>
      <c r="J2770" s="642"/>
    </row>
    <row r="2771" spans="1:10" hidden="1" x14ac:dyDescent="0.3">
      <c r="A2771" s="137">
        <v>9</v>
      </c>
      <c r="B2771" s="3402"/>
      <c r="C2771" s="642"/>
      <c r="D2771" s="642"/>
      <c r="E2771" s="642"/>
      <c r="F2771" s="2519"/>
      <c r="G2771" s="642"/>
      <c r="H2771" s="642"/>
      <c r="I2771" s="642"/>
      <c r="J2771" s="642"/>
    </row>
    <row r="2772" spans="1:10" hidden="1" x14ac:dyDescent="0.3">
      <c r="A2772" s="137">
        <v>10</v>
      </c>
      <c r="B2772" s="3402"/>
      <c r="C2772" s="642"/>
      <c r="D2772" s="642"/>
      <c r="E2772" s="642"/>
      <c r="F2772" s="2519"/>
      <c r="G2772" s="642"/>
      <c r="H2772" s="642"/>
      <c r="I2772" s="642"/>
      <c r="J2772" s="642"/>
    </row>
    <row r="2773" spans="1:10" hidden="1" x14ac:dyDescent="0.3">
      <c r="A2773" s="137">
        <v>11</v>
      </c>
      <c r="B2773" s="3402"/>
      <c r="C2773" s="642"/>
      <c r="D2773" s="642"/>
      <c r="E2773" s="642"/>
      <c r="F2773" s="2519"/>
      <c r="G2773" s="642"/>
      <c r="H2773" s="642"/>
      <c r="I2773" s="642"/>
      <c r="J2773" s="642"/>
    </row>
    <row r="2774" spans="1:10" hidden="1" x14ac:dyDescent="0.3">
      <c r="A2774" s="137">
        <v>12</v>
      </c>
      <c r="B2774" s="3402"/>
      <c r="C2774" s="642"/>
      <c r="D2774" s="642"/>
      <c r="E2774" s="642"/>
      <c r="F2774" s="2519"/>
      <c r="G2774" s="642"/>
      <c r="H2774" s="642"/>
      <c r="I2774" s="642"/>
      <c r="J2774" s="642"/>
    </row>
    <row r="2775" spans="1:10" hidden="1" x14ac:dyDescent="0.3">
      <c r="A2775" s="137">
        <v>13</v>
      </c>
      <c r="B2775" s="3402"/>
      <c r="C2775" s="642"/>
      <c r="D2775" s="642"/>
      <c r="E2775" s="642"/>
      <c r="F2775" s="2519"/>
      <c r="G2775" s="642"/>
      <c r="H2775" s="642"/>
      <c r="I2775" s="642"/>
      <c r="J2775" s="642"/>
    </row>
    <row r="2776" spans="1:10" hidden="1" x14ac:dyDescent="0.3">
      <c r="A2776" s="137">
        <v>14</v>
      </c>
      <c r="B2776" s="3402"/>
      <c r="C2776" s="642"/>
      <c r="D2776" s="642"/>
      <c r="E2776" s="642"/>
      <c r="F2776" s="2519"/>
      <c r="G2776" s="642"/>
      <c r="H2776" s="642"/>
      <c r="I2776" s="642"/>
      <c r="J2776" s="642"/>
    </row>
    <row r="2777" spans="1:10" hidden="1" x14ac:dyDescent="0.3">
      <c r="A2777" s="137">
        <v>15</v>
      </c>
      <c r="B2777" s="3402"/>
      <c r="C2777" s="642"/>
      <c r="D2777" s="642"/>
      <c r="E2777" s="1357"/>
      <c r="F2777" s="2519"/>
      <c r="G2777" s="642"/>
      <c r="H2777" s="642"/>
      <c r="I2777" s="642"/>
      <c r="J2777" s="642"/>
    </row>
    <row r="2778" spans="1:10" ht="24.6" hidden="1" x14ac:dyDescent="0.4">
      <c r="A2778" s="1781"/>
      <c r="B2778" s="765"/>
      <c r="C2778" s="641"/>
      <c r="D2778" s="641"/>
      <c r="E2778" s="641"/>
      <c r="F2778" s="2523"/>
      <c r="G2778" s="641"/>
      <c r="H2778" s="641"/>
      <c r="I2778" s="641"/>
      <c r="J2778" s="1837"/>
    </row>
    <row r="2779" spans="1:10" ht="24.6" hidden="1" x14ac:dyDescent="0.4">
      <c r="A2779" s="3462"/>
      <c r="B2779" s="3462"/>
      <c r="C2779" s="3462"/>
      <c r="D2779" s="3462"/>
      <c r="E2779" s="3462"/>
      <c r="F2779" s="3462"/>
      <c r="G2779" s="3462"/>
      <c r="H2779" s="3462"/>
      <c r="I2779" s="3462"/>
      <c r="J2779" s="3462"/>
    </row>
    <row r="2780" spans="1:10" hidden="1" x14ac:dyDescent="0.3">
      <c r="A2780" s="137" t="s">
        <v>3</v>
      </c>
      <c r="B2780" s="1781" t="s">
        <v>4</v>
      </c>
      <c r="C2780" s="137" t="s">
        <v>5</v>
      </c>
      <c r="D2780" s="137" t="s">
        <v>6</v>
      </c>
      <c r="E2780" s="137" t="s">
        <v>7</v>
      </c>
      <c r="F2780" s="137" t="s">
        <v>8</v>
      </c>
      <c r="G2780" s="137" t="s">
        <v>9</v>
      </c>
      <c r="H2780" s="137" t="s">
        <v>10</v>
      </c>
      <c r="I2780" s="137" t="s">
        <v>11</v>
      </c>
      <c r="J2780" s="137" t="s">
        <v>12</v>
      </c>
    </row>
    <row r="2781" spans="1:10" hidden="1" x14ac:dyDescent="0.3">
      <c r="A2781" s="1845">
        <v>1</v>
      </c>
      <c r="B2781" s="3404"/>
      <c r="C2781" s="1838"/>
      <c r="D2781" s="1838"/>
      <c r="E2781" s="1838"/>
      <c r="F2781" s="1838"/>
      <c r="G2781" s="1838"/>
      <c r="H2781" s="1838"/>
      <c r="I2781" s="1838"/>
      <c r="J2781" s="1839"/>
    </row>
    <row r="2782" spans="1:10" hidden="1" x14ac:dyDescent="0.3">
      <c r="A2782" s="1846">
        <v>2</v>
      </c>
      <c r="B2782" s="3404"/>
      <c r="C2782" s="1838"/>
      <c r="D2782" s="1840"/>
      <c r="E2782" s="1838"/>
      <c r="F2782" s="1840"/>
      <c r="G2782" s="1840"/>
      <c r="H2782" s="1838"/>
      <c r="I2782" s="1838"/>
      <c r="J2782" s="1841"/>
    </row>
    <row r="2783" spans="1:10" hidden="1" x14ac:dyDescent="0.3">
      <c r="A2783" s="2177">
        <v>3</v>
      </c>
      <c r="B2783" s="3404"/>
      <c r="C2783" s="1838"/>
      <c r="D2783" s="2350"/>
      <c r="E2783" s="1838"/>
      <c r="F2783" s="2350"/>
      <c r="G2783" s="2350"/>
      <c r="H2783" s="1838"/>
      <c r="I2783" s="1838"/>
      <c r="J2783" s="1842"/>
    </row>
    <row r="2784" spans="1:10" hidden="1" x14ac:dyDescent="0.3"/>
    <row r="2785" spans="1:10" ht="23.4" hidden="1" x14ac:dyDescent="0.3">
      <c r="A2785" s="3460" t="s">
        <v>118</v>
      </c>
      <c r="B2785" s="3460"/>
      <c r="C2785" s="3460"/>
      <c r="D2785" s="3460"/>
      <c r="E2785" s="3460"/>
      <c r="F2785" s="3460"/>
      <c r="G2785" s="3460"/>
      <c r="H2785" s="3460"/>
      <c r="I2785" s="3460"/>
      <c r="J2785" s="3460"/>
    </row>
    <row r="2786" spans="1:10" ht="15.6" hidden="1" x14ac:dyDescent="0.3">
      <c r="A2786" s="3461" t="s">
        <v>2</v>
      </c>
      <c r="B2786" s="3461"/>
      <c r="C2786" s="3461"/>
      <c r="D2786" s="3461"/>
      <c r="E2786" s="3461"/>
      <c r="F2786" s="3461"/>
      <c r="G2786" s="3461"/>
      <c r="H2786" s="3461"/>
      <c r="I2786" s="3461"/>
      <c r="J2786" s="3461"/>
    </row>
    <row r="2787" spans="1:10" hidden="1" x14ac:dyDescent="0.3">
      <c r="A2787" s="137" t="s">
        <v>3</v>
      </c>
      <c r="B2787" s="1781" t="s">
        <v>4</v>
      </c>
      <c r="C2787" s="137" t="s">
        <v>5</v>
      </c>
      <c r="D2787" s="137" t="s">
        <v>6</v>
      </c>
      <c r="E2787" s="137" t="s">
        <v>7</v>
      </c>
      <c r="F2787" s="2522" t="s">
        <v>8</v>
      </c>
      <c r="G2787" s="137" t="s">
        <v>9</v>
      </c>
      <c r="H2787" s="137" t="s">
        <v>10</v>
      </c>
      <c r="I2787" s="137" t="s">
        <v>11</v>
      </c>
      <c r="J2787" s="137" t="s">
        <v>12</v>
      </c>
    </row>
    <row r="2788" spans="1:10" hidden="1" x14ac:dyDescent="0.3">
      <c r="A2788" s="137">
        <v>1</v>
      </c>
      <c r="B2788" s="3402" t="s">
        <v>2565</v>
      </c>
      <c r="C2788" s="642" t="s">
        <v>219</v>
      </c>
      <c r="D2788" s="642" t="s">
        <v>2580</v>
      </c>
      <c r="E2788" s="642" t="s">
        <v>76</v>
      </c>
      <c r="F2788" s="2519">
        <v>3500000</v>
      </c>
      <c r="G2788" s="642" t="s">
        <v>168</v>
      </c>
      <c r="H2788" s="642" t="s">
        <v>36</v>
      </c>
      <c r="I2788" s="642" t="s">
        <v>36</v>
      </c>
      <c r="J2788" s="642">
        <v>1</v>
      </c>
    </row>
    <row r="2789" spans="1:10" hidden="1" x14ac:dyDescent="0.3">
      <c r="A2789" s="137">
        <v>2</v>
      </c>
      <c r="B2789" s="3402"/>
      <c r="C2789" s="642"/>
      <c r="D2789" s="641"/>
      <c r="E2789" s="642"/>
      <c r="F2789" s="2519"/>
      <c r="G2789" s="642"/>
      <c r="H2789" s="642"/>
      <c r="I2789" s="642"/>
      <c r="J2789" s="642"/>
    </row>
    <row r="2790" spans="1:10" hidden="1" x14ac:dyDescent="0.3">
      <c r="A2790" s="137">
        <v>3</v>
      </c>
      <c r="B2790" s="3402"/>
      <c r="C2790" s="642"/>
      <c r="D2790" s="641"/>
      <c r="E2790" s="642"/>
      <c r="F2790" s="2519"/>
      <c r="G2790" s="642"/>
      <c r="H2790" s="642"/>
      <c r="I2790" s="642"/>
      <c r="J2790" s="642"/>
    </row>
    <row r="2791" spans="1:10" hidden="1" x14ac:dyDescent="0.3">
      <c r="A2791" s="137">
        <v>4</v>
      </c>
      <c r="B2791" s="3402"/>
      <c r="C2791" s="642"/>
      <c r="D2791" s="642"/>
      <c r="E2791" s="642"/>
      <c r="F2791" s="2519"/>
      <c r="G2791" s="642"/>
      <c r="H2791" s="642"/>
      <c r="I2791" s="642"/>
      <c r="J2791" s="642"/>
    </row>
    <row r="2792" spans="1:10" hidden="1" x14ac:dyDescent="0.3">
      <c r="A2792" s="137">
        <v>5</v>
      </c>
      <c r="B2792" s="765"/>
      <c r="C2792" s="642"/>
      <c r="D2792" s="642"/>
      <c r="E2792" s="642"/>
      <c r="F2792" s="2519"/>
      <c r="G2792" s="642"/>
      <c r="H2792" s="642"/>
      <c r="I2792" s="642"/>
      <c r="J2792" s="642"/>
    </row>
    <row r="2793" spans="1:10" hidden="1" x14ac:dyDescent="0.3">
      <c r="A2793" s="137">
        <v>6</v>
      </c>
      <c r="B2793" s="765"/>
      <c r="C2793" s="642"/>
      <c r="D2793" s="642"/>
      <c r="E2793" s="642"/>
      <c r="F2793" s="2519"/>
      <c r="G2793" s="642"/>
      <c r="H2793" s="642"/>
      <c r="I2793" s="642"/>
      <c r="J2793" s="642"/>
    </row>
    <row r="2794" spans="1:10" hidden="1" x14ac:dyDescent="0.3">
      <c r="A2794" s="137">
        <v>7</v>
      </c>
      <c r="B2794" s="765"/>
      <c r="C2794" s="642"/>
      <c r="D2794" s="641"/>
      <c r="E2794" s="641"/>
      <c r="F2794" s="2520"/>
      <c r="G2794" s="641"/>
      <c r="H2794" s="641"/>
      <c r="I2794" s="641"/>
      <c r="J2794" s="642"/>
    </row>
    <row r="2795" spans="1:10" hidden="1" x14ac:dyDescent="0.3">
      <c r="A2795" s="137">
        <v>8</v>
      </c>
      <c r="B2795" s="765"/>
      <c r="C2795" s="642"/>
      <c r="D2795" s="642"/>
      <c r="E2795" s="642"/>
      <c r="F2795" s="2519"/>
      <c r="G2795" s="642"/>
      <c r="H2795" s="642"/>
      <c r="I2795" s="642"/>
      <c r="J2795" s="642"/>
    </row>
    <row r="2796" spans="1:10" hidden="1" x14ac:dyDescent="0.3">
      <c r="A2796" s="137">
        <v>9</v>
      </c>
      <c r="B2796" s="3402"/>
      <c r="C2796" s="642"/>
      <c r="D2796" s="642"/>
      <c r="E2796" s="642"/>
      <c r="F2796" s="2519"/>
      <c r="G2796" s="642"/>
      <c r="H2796" s="642"/>
      <c r="I2796" s="642"/>
      <c r="J2796" s="642"/>
    </row>
    <row r="2797" spans="1:10" hidden="1" x14ac:dyDescent="0.3">
      <c r="A2797" s="137">
        <v>10</v>
      </c>
      <c r="B2797" s="3402"/>
      <c r="C2797" s="642"/>
      <c r="D2797" s="642"/>
      <c r="E2797" s="642"/>
      <c r="F2797" s="2519"/>
      <c r="G2797" s="642"/>
      <c r="H2797" s="642"/>
      <c r="I2797" s="642"/>
      <c r="J2797" s="642"/>
    </row>
    <row r="2798" spans="1:10" ht="23.4" hidden="1" x14ac:dyDescent="0.3">
      <c r="A2798" s="3460" t="s">
        <v>2399</v>
      </c>
      <c r="B2798" s="3460"/>
      <c r="C2798" s="3460"/>
      <c r="D2798" s="3460"/>
      <c r="E2798" s="3460"/>
      <c r="F2798" s="3460"/>
      <c r="G2798" s="3460"/>
      <c r="H2798" s="3460"/>
      <c r="I2798" s="3460"/>
      <c r="J2798" s="3460"/>
    </row>
    <row r="2799" spans="1:10" hidden="1" x14ac:dyDescent="0.3">
      <c r="A2799" s="137">
        <v>1</v>
      </c>
      <c r="B2799" s="3402"/>
      <c r="C2799" s="642"/>
      <c r="D2799" s="642"/>
      <c r="E2799" s="642"/>
      <c r="F2799" s="2519"/>
      <c r="G2799" s="642"/>
      <c r="H2799" s="642"/>
      <c r="I2799" s="642"/>
      <c r="J2799" s="642"/>
    </row>
    <row r="2800" spans="1:10" hidden="1" x14ac:dyDescent="0.3">
      <c r="A2800" s="137">
        <v>2</v>
      </c>
      <c r="B2800" s="3402"/>
      <c r="C2800" s="642"/>
      <c r="D2800" s="642"/>
      <c r="E2800" s="642"/>
      <c r="F2800" s="2519"/>
      <c r="G2800" s="642"/>
      <c r="H2800" s="642"/>
      <c r="I2800" s="642"/>
      <c r="J2800" s="642"/>
    </row>
    <row r="2801" spans="1:10" hidden="1" x14ac:dyDescent="0.3">
      <c r="A2801" s="137">
        <v>3</v>
      </c>
      <c r="B2801" s="3402"/>
      <c r="C2801" s="642"/>
      <c r="D2801" s="642"/>
      <c r="E2801" s="642"/>
      <c r="F2801" s="2519"/>
      <c r="G2801" s="642"/>
      <c r="H2801" s="642"/>
      <c r="I2801" s="642"/>
      <c r="J2801" s="642"/>
    </row>
    <row r="2802" spans="1:10" hidden="1" x14ac:dyDescent="0.3">
      <c r="A2802" s="137">
        <v>4</v>
      </c>
      <c r="B2802" s="765"/>
      <c r="C2802" s="642"/>
      <c r="D2802" s="641"/>
      <c r="E2802" s="642"/>
      <c r="F2802" s="2520"/>
      <c r="G2802" s="641"/>
      <c r="H2802" s="641"/>
      <c r="I2802" s="641"/>
      <c r="J2802" s="642"/>
    </row>
    <row r="2803" spans="1:10" hidden="1" x14ac:dyDescent="0.3">
      <c r="A2803" s="137">
        <v>5</v>
      </c>
      <c r="B2803" s="765"/>
      <c r="C2803" s="641"/>
      <c r="D2803" s="641"/>
      <c r="E2803" s="641"/>
      <c r="F2803" s="2520"/>
      <c r="G2803" s="641"/>
      <c r="H2803" s="641"/>
      <c r="I2803" s="641"/>
      <c r="J2803" s="642"/>
    </row>
    <row r="2804" spans="1:10" hidden="1" x14ac:dyDescent="0.3">
      <c r="A2804" s="137">
        <v>6</v>
      </c>
      <c r="B2804" s="3402"/>
      <c r="C2804" s="641"/>
      <c r="D2804" s="641"/>
      <c r="E2804" s="641"/>
      <c r="F2804" s="2520"/>
      <c r="G2804" s="641"/>
      <c r="H2804" s="641"/>
      <c r="I2804" s="641"/>
      <c r="J2804" s="642"/>
    </row>
    <row r="2805" spans="1:10" hidden="1" x14ac:dyDescent="0.3">
      <c r="A2805" s="137">
        <v>7</v>
      </c>
      <c r="B2805" s="3402"/>
      <c r="C2805" s="641"/>
      <c r="D2805" s="641"/>
      <c r="E2805" s="641"/>
      <c r="F2805" s="2520"/>
      <c r="G2805" s="641"/>
      <c r="H2805" s="641"/>
      <c r="I2805" s="641"/>
      <c r="J2805" s="642"/>
    </row>
    <row r="2806" spans="1:10" hidden="1" x14ac:dyDescent="0.3">
      <c r="A2806" s="137">
        <v>8</v>
      </c>
      <c r="B2806" s="3402"/>
      <c r="C2806" s="641"/>
      <c r="D2806" s="641"/>
      <c r="E2806" s="641"/>
      <c r="F2806" s="2520"/>
      <c r="G2806" s="641"/>
      <c r="H2806" s="641"/>
      <c r="I2806" s="641"/>
      <c r="J2806" s="642"/>
    </row>
    <row r="2807" spans="1:10" hidden="1" x14ac:dyDescent="0.3">
      <c r="A2807" s="137">
        <v>9</v>
      </c>
      <c r="B2807" s="3402"/>
      <c r="C2807" s="641"/>
      <c r="D2807" s="641"/>
      <c r="E2807" s="641"/>
      <c r="F2807" s="2520"/>
      <c r="G2807" s="641"/>
      <c r="H2807" s="641"/>
      <c r="I2807" s="641"/>
      <c r="J2807" s="642"/>
    </row>
    <row r="2808" spans="1:10" ht="24.6" hidden="1" x14ac:dyDescent="0.4">
      <c r="A2808" s="1781"/>
      <c r="B2808" s="765"/>
      <c r="C2808" s="641"/>
      <c r="D2808" s="641"/>
      <c r="E2808" s="641"/>
      <c r="F2808" s="2523"/>
      <c r="G2808" s="641"/>
      <c r="H2808" s="641"/>
      <c r="I2808" s="641"/>
      <c r="J2808" s="1837"/>
    </row>
    <row r="2809" spans="1:10" hidden="1" x14ac:dyDescent="0.3"/>
    <row r="2811" spans="1:10" hidden="1" x14ac:dyDescent="0.3">
      <c r="A2811" s="3463" t="s">
        <v>2581</v>
      </c>
      <c r="B2811" s="3464"/>
      <c r="C2811" s="3464"/>
      <c r="D2811" s="3464"/>
      <c r="E2811" s="3464"/>
      <c r="F2811" s="3464"/>
      <c r="G2811" s="3464"/>
      <c r="H2811" s="3464"/>
      <c r="I2811" s="3464"/>
      <c r="J2811" s="3464"/>
    </row>
    <row r="2812" spans="1:10" hidden="1" x14ac:dyDescent="0.3">
      <c r="A2812" s="3464"/>
      <c r="B2812" s="3464"/>
      <c r="C2812" s="3464"/>
      <c r="D2812" s="3464"/>
      <c r="E2812" s="3464"/>
      <c r="F2812" s="3464"/>
      <c r="G2812" s="3464"/>
      <c r="H2812" s="3464"/>
      <c r="I2812" s="3464"/>
      <c r="J2812" s="3464"/>
    </row>
    <row r="2813" spans="1:10" hidden="1" x14ac:dyDescent="0.3"/>
    <row r="2814" spans="1:10" ht="23.4" hidden="1" x14ac:dyDescent="0.3">
      <c r="A2814" s="3460" t="s">
        <v>527</v>
      </c>
      <c r="B2814" s="3460"/>
      <c r="C2814" s="3460"/>
      <c r="D2814" s="3460"/>
      <c r="E2814" s="3460"/>
      <c r="F2814" s="3460"/>
      <c r="G2814" s="3460"/>
      <c r="H2814" s="3460"/>
      <c r="I2814" s="3460"/>
      <c r="J2814" s="3460"/>
    </row>
    <row r="2815" spans="1:10" ht="15.6" hidden="1" x14ac:dyDescent="0.3">
      <c r="A2815" s="3461" t="s">
        <v>2</v>
      </c>
      <c r="B2815" s="3461"/>
      <c r="C2815" s="3461"/>
      <c r="D2815" s="3461"/>
      <c r="E2815" s="3461"/>
      <c r="F2815" s="3461"/>
      <c r="G2815" s="3461"/>
      <c r="H2815" s="3461"/>
      <c r="I2815" s="3461"/>
      <c r="J2815" s="3461"/>
    </row>
    <row r="2816" spans="1:10" hidden="1" x14ac:dyDescent="0.3">
      <c r="A2816" s="137" t="s">
        <v>3</v>
      </c>
      <c r="B2816" s="3397" t="s">
        <v>4</v>
      </c>
      <c r="C2816" s="147" t="s">
        <v>5</v>
      </c>
      <c r="D2816" s="147" t="s">
        <v>6</v>
      </c>
      <c r="E2816" s="147" t="s">
        <v>7</v>
      </c>
      <c r="F2816" s="2893" t="s">
        <v>8</v>
      </c>
      <c r="G2816" s="147" t="s">
        <v>9</v>
      </c>
      <c r="H2816" s="147" t="s">
        <v>2243</v>
      </c>
      <c r="I2816" s="147" t="s">
        <v>11</v>
      </c>
      <c r="J2816" s="147" t="s">
        <v>12</v>
      </c>
    </row>
    <row r="2817" spans="1:11" hidden="1" x14ac:dyDescent="0.3">
      <c r="A2817" s="1005">
        <v>1</v>
      </c>
      <c r="B2817" s="2" t="s">
        <v>2582</v>
      </c>
      <c r="C2817" s="11" t="s">
        <v>37</v>
      </c>
      <c r="D2817" s="11" t="s">
        <v>2583</v>
      </c>
      <c r="E2817" s="11" t="s">
        <v>76</v>
      </c>
      <c r="F2817" s="2907">
        <v>1300000</v>
      </c>
      <c r="G2817" s="11" t="s">
        <v>2415</v>
      </c>
      <c r="H2817" s="11" t="s">
        <v>36</v>
      </c>
      <c r="I2817" s="11" t="s">
        <v>36</v>
      </c>
      <c r="J2817" s="11">
        <v>1</v>
      </c>
    </row>
    <row r="2818" spans="1:11" hidden="1" x14ac:dyDescent="0.3">
      <c r="A2818" s="1005">
        <v>2</v>
      </c>
      <c r="B2818" s="2" t="s">
        <v>2584</v>
      </c>
      <c r="C2818" s="11" t="s">
        <v>138</v>
      </c>
      <c r="D2818" s="11" t="s">
        <v>2585</v>
      </c>
      <c r="E2818" s="11" t="s">
        <v>76</v>
      </c>
      <c r="F2818" s="2907">
        <v>1100000</v>
      </c>
      <c r="G2818" s="11" t="s">
        <v>1687</v>
      </c>
      <c r="H2818" s="11" t="s">
        <v>36</v>
      </c>
      <c r="I2818" s="11" t="s">
        <v>271</v>
      </c>
      <c r="J2818" s="11">
        <v>1</v>
      </c>
      <c r="K2818" t="s">
        <v>2567</v>
      </c>
    </row>
    <row r="2819" spans="1:11" hidden="1" x14ac:dyDescent="0.3">
      <c r="A2819" s="1005">
        <v>3</v>
      </c>
      <c r="B2819" s="3414">
        <v>44567</v>
      </c>
      <c r="C2819" s="11" t="s">
        <v>138</v>
      </c>
      <c r="D2819" s="11" t="s">
        <v>2527</v>
      </c>
      <c r="E2819" s="11" t="s">
        <v>76</v>
      </c>
      <c r="F2819" s="2907">
        <v>1100000</v>
      </c>
      <c r="G2819" s="11" t="s">
        <v>168</v>
      </c>
      <c r="H2819" s="11" t="s">
        <v>44</v>
      </c>
      <c r="I2819" s="11" t="s">
        <v>271</v>
      </c>
      <c r="J2819" s="11">
        <v>1</v>
      </c>
      <c r="K2819" t="s">
        <v>2567</v>
      </c>
    </row>
    <row r="2820" spans="1:11" hidden="1" x14ac:dyDescent="0.3">
      <c r="A2820" s="1005">
        <v>4</v>
      </c>
      <c r="B2820" s="3414">
        <v>44598</v>
      </c>
      <c r="C2820" s="11" t="s">
        <v>138</v>
      </c>
      <c r="D2820" s="11" t="s">
        <v>2586</v>
      </c>
      <c r="E2820" s="11" t="s">
        <v>76</v>
      </c>
      <c r="F2820" s="2907">
        <v>1200000</v>
      </c>
      <c r="G2820" s="11" t="s">
        <v>2504</v>
      </c>
      <c r="H2820" s="11" t="s">
        <v>44</v>
      </c>
      <c r="I2820" s="11" t="s">
        <v>271</v>
      </c>
      <c r="J2820" s="11">
        <v>1</v>
      </c>
      <c r="K2820" t="s">
        <v>217</v>
      </c>
    </row>
    <row r="2821" spans="1:11" hidden="1" x14ac:dyDescent="0.3">
      <c r="A2821" s="1005">
        <v>5</v>
      </c>
      <c r="B2821" s="3414">
        <v>44626</v>
      </c>
      <c r="C2821" s="11" t="s">
        <v>138</v>
      </c>
      <c r="D2821" s="11" t="s">
        <v>2587</v>
      </c>
      <c r="E2821" s="11" t="s">
        <v>998</v>
      </c>
      <c r="F2821" s="2907">
        <v>1250000</v>
      </c>
      <c r="G2821" s="11" t="s">
        <v>2588</v>
      </c>
      <c r="H2821" s="11" t="s">
        <v>271</v>
      </c>
      <c r="I2821" s="11" t="s">
        <v>271</v>
      </c>
      <c r="J2821" s="11">
        <v>1</v>
      </c>
      <c r="K2821" t="s">
        <v>2567</v>
      </c>
    </row>
    <row r="2822" spans="1:11" hidden="1" x14ac:dyDescent="0.3">
      <c r="A2822" s="1005">
        <v>6</v>
      </c>
      <c r="B2822" s="3414">
        <v>44657</v>
      </c>
      <c r="C2822" s="11" t="s">
        <v>138</v>
      </c>
      <c r="D2822" s="11" t="s">
        <v>2589</v>
      </c>
      <c r="E2822" s="11" t="s">
        <v>76</v>
      </c>
      <c r="F2822" s="2907">
        <v>1200000</v>
      </c>
      <c r="G2822" s="11" t="s">
        <v>1687</v>
      </c>
      <c r="H2822" s="11" t="s">
        <v>44</v>
      </c>
      <c r="I2822" s="11" t="s">
        <v>271</v>
      </c>
      <c r="J2822" s="11">
        <v>1</v>
      </c>
      <c r="K2822" t="s">
        <v>217</v>
      </c>
    </row>
    <row r="2823" spans="1:11" hidden="1" x14ac:dyDescent="0.3">
      <c r="A2823" s="1005">
        <v>7</v>
      </c>
      <c r="B2823" s="3414">
        <v>44779</v>
      </c>
      <c r="C2823" s="11" t="s">
        <v>219</v>
      </c>
      <c r="D2823" s="11" t="s">
        <v>2590</v>
      </c>
      <c r="E2823" s="11" t="s">
        <v>1392</v>
      </c>
      <c r="F2823" s="2907">
        <v>8500000</v>
      </c>
      <c r="G2823" s="11" t="s">
        <v>168</v>
      </c>
      <c r="H2823" s="11" t="s">
        <v>271</v>
      </c>
      <c r="I2823" s="11" t="s">
        <v>271</v>
      </c>
      <c r="J2823" s="11">
        <v>1</v>
      </c>
      <c r="K2823" t="s">
        <v>217</v>
      </c>
    </row>
    <row r="2824" spans="1:11" hidden="1" x14ac:dyDescent="0.3">
      <c r="A2824" s="1005">
        <v>8</v>
      </c>
      <c r="B2824" s="3414">
        <v>44840</v>
      </c>
      <c r="C2824" s="11" t="s">
        <v>138</v>
      </c>
      <c r="D2824" s="11" t="s">
        <v>2591</v>
      </c>
      <c r="E2824" s="11" t="s">
        <v>68</v>
      </c>
      <c r="F2824" s="2907">
        <v>1600000</v>
      </c>
      <c r="G2824" s="11" t="s">
        <v>2358</v>
      </c>
      <c r="H2824" s="11" t="s">
        <v>44</v>
      </c>
      <c r="I2824" s="11" t="s">
        <v>271</v>
      </c>
      <c r="J2824" s="11">
        <v>1</v>
      </c>
    </row>
    <row r="2825" spans="1:11" hidden="1" x14ac:dyDescent="0.3">
      <c r="A2825" s="1005">
        <v>9</v>
      </c>
      <c r="B2825" s="2" t="s">
        <v>2592</v>
      </c>
      <c r="C2825" s="11" t="s">
        <v>138</v>
      </c>
      <c r="D2825" s="11" t="s">
        <v>2593</v>
      </c>
      <c r="E2825" s="11" t="s">
        <v>76</v>
      </c>
      <c r="F2825" s="2907">
        <v>1100000</v>
      </c>
      <c r="G2825" s="11" t="s">
        <v>2594</v>
      </c>
      <c r="H2825" s="11" t="s">
        <v>44</v>
      </c>
      <c r="I2825" s="11" t="s">
        <v>271</v>
      </c>
      <c r="J2825" s="11">
        <v>1</v>
      </c>
    </row>
    <row r="2826" spans="1:11" hidden="1" x14ac:dyDescent="0.3">
      <c r="A2826" s="1005">
        <v>10</v>
      </c>
      <c r="B2826" s="2" t="s">
        <v>2595</v>
      </c>
      <c r="C2826" s="11" t="s">
        <v>138</v>
      </c>
      <c r="D2826" s="11" t="s">
        <v>2596</v>
      </c>
      <c r="E2826" s="11" t="s">
        <v>1066</v>
      </c>
      <c r="F2826" s="2907">
        <v>1000000</v>
      </c>
      <c r="G2826" s="11" t="s">
        <v>168</v>
      </c>
      <c r="H2826" s="11" t="s">
        <v>44</v>
      </c>
      <c r="I2826" s="11" t="s">
        <v>271</v>
      </c>
      <c r="J2826" s="11">
        <v>1</v>
      </c>
      <c r="K2826" t="s">
        <v>2567</v>
      </c>
    </row>
    <row r="2827" spans="1:11" hidden="1" x14ac:dyDescent="0.3">
      <c r="A2827" s="1005">
        <v>11</v>
      </c>
      <c r="B2827" s="2" t="s">
        <v>2595</v>
      </c>
      <c r="C2827" s="11" t="s">
        <v>138</v>
      </c>
      <c r="D2827" s="11" t="s">
        <v>2597</v>
      </c>
      <c r="E2827" s="11" t="s">
        <v>1066</v>
      </c>
      <c r="F2827" s="2907">
        <v>1000000</v>
      </c>
      <c r="G2827" s="11" t="s">
        <v>168</v>
      </c>
      <c r="H2827" s="11" t="s">
        <v>44</v>
      </c>
      <c r="I2827" s="11" t="s">
        <v>271</v>
      </c>
      <c r="J2827" s="11">
        <v>1</v>
      </c>
      <c r="K2827" t="s">
        <v>217</v>
      </c>
    </row>
    <row r="2828" spans="1:11" hidden="1" x14ac:dyDescent="0.3">
      <c r="A2828" s="1005">
        <v>12</v>
      </c>
      <c r="B2828" s="2" t="s">
        <v>2595</v>
      </c>
      <c r="C2828" s="11" t="s">
        <v>219</v>
      </c>
      <c r="D2828" s="11" t="s">
        <v>2598</v>
      </c>
      <c r="E2828" s="11" t="s">
        <v>1066</v>
      </c>
      <c r="F2828" s="2907">
        <v>3000000</v>
      </c>
      <c r="G2828" s="11" t="s">
        <v>168</v>
      </c>
      <c r="H2828" s="11" t="s">
        <v>44</v>
      </c>
      <c r="I2828" s="11" t="s">
        <v>271</v>
      </c>
      <c r="J2828" s="11">
        <v>1</v>
      </c>
      <c r="K2828" t="s">
        <v>2567</v>
      </c>
    </row>
    <row r="2829" spans="1:11" hidden="1" x14ac:dyDescent="0.3">
      <c r="A2829" s="1005">
        <v>13</v>
      </c>
      <c r="B2829" s="2" t="s">
        <v>2595</v>
      </c>
      <c r="C2829" s="11" t="s">
        <v>219</v>
      </c>
      <c r="D2829" s="11" t="s">
        <v>2599</v>
      </c>
      <c r="E2829" s="11" t="s">
        <v>1066</v>
      </c>
      <c r="F2829" s="2907">
        <v>1500000</v>
      </c>
      <c r="G2829" s="11" t="s">
        <v>168</v>
      </c>
      <c r="H2829" s="11" t="s">
        <v>44</v>
      </c>
      <c r="I2829" s="11" t="s">
        <v>271</v>
      </c>
      <c r="J2829" s="11">
        <v>1</v>
      </c>
      <c r="K2829" t="s">
        <v>217</v>
      </c>
    </row>
    <row r="2830" spans="1:11" hidden="1" x14ac:dyDescent="0.3">
      <c r="A2830" s="1005">
        <v>14</v>
      </c>
      <c r="B2830" s="2" t="s">
        <v>2595</v>
      </c>
      <c r="C2830" s="11" t="s">
        <v>219</v>
      </c>
      <c r="D2830" s="11" t="s">
        <v>2600</v>
      </c>
      <c r="E2830" s="11" t="s">
        <v>1066</v>
      </c>
      <c r="F2830" s="2907">
        <v>1500000</v>
      </c>
      <c r="G2830" s="11" t="s">
        <v>168</v>
      </c>
      <c r="H2830" s="11" t="s">
        <v>44</v>
      </c>
      <c r="I2830" s="11" t="s">
        <v>271</v>
      </c>
      <c r="J2830" s="11">
        <v>1</v>
      </c>
      <c r="K2830" t="s">
        <v>2567</v>
      </c>
    </row>
    <row r="2831" spans="1:11" hidden="1" x14ac:dyDescent="0.3"/>
    <row r="2832" spans="1:11" ht="24.6" hidden="1" x14ac:dyDescent="0.4">
      <c r="A2832" s="3462" t="s">
        <v>2003</v>
      </c>
      <c r="B2832" s="3462"/>
      <c r="C2832" s="3462"/>
      <c r="D2832" s="3462"/>
      <c r="E2832" s="3462"/>
      <c r="F2832" s="3462"/>
      <c r="G2832" s="3462"/>
      <c r="H2832" s="3462"/>
      <c r="I2832" s="3462"/>
      <c r="J2832" s="3462"/>
    </row>
    <row r="2833" spans="1:11" hidden="1" x14ac:dyDescent="0.3">
      <c r="A2833" s="147" t="s">
        <v>3</v>
      </c>
      <c r="B2833" s="3397" t="s">
        <v>4</v>
      </c>
      <c r="C2833" s="147" t="s">
        <v>5</v>
      </c>
      <c r="D2833" s="147" t="s">
        <v>6</v>
      </c>
      <c r="E2833" s="147" t="s">
        <v>7</v>
      </c>
      <c r="F2833" s="147" t="s">
        <v>8</v>
      </c>
      <c r="G2833" s="147" t="s">
        <v>9</v>
      </c>
      <c r="H2833" s="147" t="s">
        <v>10</v>
      </c>
      <c r="I2833" s="147" t="s">
        <v>11</v>
      </c>
      <c r="J2833" s="147" t="s">
        <v>12</v>
      </c>
    </row>
    <row r="2834" spans="1:11" ht="15.6" hidden="1" x14ac:dyDescent="0.3">
      <c r="A2834" s="2">
        <v>1</v>
      </c>
      <c r="B2834" s="3414">
        <v>44718</v>
      </c>
      <c r="C2834" s="160" t="s">
        <v>37</v>
      </c>
      <c r="D2834" s="1426" t="s">
        <v>2601</v>
      </c>
      <c r="E2834" s="160" t="s">
        <v>2602</v>
      </c>
      <c r="F2834" s="2923">
        <v>300000000</v>
      </c>
      <c r="G2834" s="160" t="s">
        <v>168</v>
      </c>
      <c r="H2834" s="160" t="s">
        <v>44</v>
      </c>
      <c r="I2834" s="160" t="s">
        <v>271</v>
      </c>
      <c r="J2834" s="11">
        <v>1</v>
      </c>
    </row>
    <row r="2835" spans="1:11" ht="15.6" hidden="1" x14ac:dyDescent="0.3">
      <c r="A2835" s="2">
        <v>2</v>
      </c>
      <c r="B2835" s="3414">
        <v>44718</v>
      </c>
      <c r="C2835" s="160" t="s">
        <v>37</v>
      </c>
      <c r="D2835" s="1426" t="s">
        <v>2603</v>
      </c>
      <c r="E2835" s="160" t="s">
        <v>1751</v>
      </c>
      <c r="F2835" s="2923">
        <v>1360000000</v>
      </c>
      <c r="G2835" s="160" t="s">
        <v>168</v>
      </c>
      <c r="H2835" s="160" t="s">
        <v>44</v>
      </c>
      <c r="I2835" s="160" t="s">
        <v>271</v>
      </c>
      <c r="J2835" s="11">
        <v>1</v>
      </c>
    </row>
    <row r="2836" spans="1:11" hidden="1" x14ac:dyDescent="0.3">
      <c r="A2836" s="2">
        <v>3</v>
      </c>
      <c r="B2836" s="3414">
        <v>44779</v>
      </c>
      <c r="C2836" s="160" t="s">
        <v>37</v>
      </c>
      <c r="D2836" s="160" t="s">
        <v>1619</v>
      </c>
      <c r="E2836" s="160" t="s">
        <v>76</v>
      </c>
      <c r="F2836" s="2925">
        <v>380000000</v>
      </c>
      <c r="G2836" s="160" t="s">
        <v>2604</v>
      </c>
      <c r="H2836" s="160" t="s">
        <v>44</v>
      </c>
      <c r="I2836" s="160" t="s">
        <v>271</v>
      </c>
      <c r="J2836" s="11">
        <v>1</v>
      </c>
    </row>
    <row r="2837" spans="1:11" hidden="1" x14ac:dyDescent="0.3"/>
    <row r="2838" spans="1:11" ht="23.4" hidden="1" x14ac:dyDescent="0.3">
      <c r="A2838" s="3460" t="s">
        <v>1138</v>
      </c>
      <c r="B2838" s="3460"/>
      <c r="C2838" s="3460"/>
      <c r="D2838" s="3460"/>
      <c r="E2838" s="3460"/>
      <c r="F2838" s="3460"/>
      <c r="G2838" s="3460"/>
      <c r="H2838" s="3460"/>
      <c r="I2838" s="3460"/>
      <c r="J2838" s="3460"/>
    </row>
    <row r="2839" spans="1:11" ht="15.6" hidden="1" x14ac:dyDescent="0.3">
      <c r="A2839" s="3461" t="s">
        <v>2</v>
      </c>
      <c r="B2839" s="3461"/>
      <c r="C2839" s="3461"/>
      <c r="D2839" s="3461"/>
      <c r="E2839" s="3461"/>
      <c r="F2839" s="3461"/>
      <c r="G2839" s="3461"/>
      <c r="H2839" s="3461"/>
      <c r="I2839" s="3461"/>
      <c r="J2839" s="3461"/>
    </row>
    <row r="2840" spans="1:11" hidden="1" x14ac:dyDescent="0.3">
      <c r="A2840" s="137" t="s">
        <v>3</v>
      </c>
      <c r="B2840" s="3397" t="s">
        <v>4</v>
      </c>
      <c r="C2840" s="147" t="s">
        <v>5</v>
      </c>
      <c r="D2840" s="147" t="s">
        <v>6</v>
      </c>
      <c r="E2840" s="147" t="s">
        <v>7</v>
      </c>
      <c r="F2840" s="2893" t="s">
        <v>8</v>
      </c>
      <c r="G2840" s="147" t="s">
        <v>9</v>
      </c>
      <c r="H2840" s="147" t="s">
        <v>2243</v>
      </c>
      <c r="I2840" s="147" t="s">
        <v>11</v>
      </c>
      <c r="J2840" s="147" t="s">
        <v>12</v>
      </c>
    </row>
    <row r="2841" spans="1:11" hidden="1" x14ac:dyDescent="0.3">
      <c r="A2841" s="1005">
        <v>1</v>
      </c>
      <c r="B2841" s="2" t="s">
        <v>2584</v>
      </c>
      <c r="C2841" s="11" t="s">
        <v>219</v>
      </c>
      <c r="D2841" s="11" t="s">
        <v>2605</v>
      </c>
      <c r="E2841" s="11" t="s">
        <v>2175</v>
      </c>
      <c r="F2841" s="2907">
        <v>21600000</v>
      </c>
      <c r="G2841" s="11" t="s">
        <v>168</v>
      </c>
      <c r="H2841" s="11" t="s">
        <v>44</v>
      </c>
      <c r="I2841" s="11" t="s">
        <v>36</v>
      </c>
      <c r="J2841" s="11">
        <v>1</v>
      </c>
      <c r="K2841" t="s">
        <v>217</v>
      </c>
    </row>
    <row r="2842" spans="1:11" hidden="1" x14ac:dyDescent="0.3">
      <c r="A2842" s="1005">
        <v>2</v>
      </c>
      <c r="B2842" s="3414">
        <v>44598</v>
      </c>
      <c r="C2842" s="11" t="s">
        <v>138</v>
      </c>
      <c r="D2842" s="11" t="s">
        <v>2606</v>
      </c>
      <c r="E2842" s="11" t="s">
        <v>1838</v>
      </c>
      <c r="F2842" s="2907">
        <v>1350000</v>
      </c>
      <c r="G2842" s="11" t="s">
        <v>1319</v>
      </c>
      <c r="H2842" s="11" t="s">
        <v>44</v>
      </c>
      <c r="I2842" s="11" t="s">
        <v>271</v>
      </c>
      <c r="J2842" s="11">
        <v>1</v>
      </c>
      <c r="K2842" t="s">
        <v>2567</v>
      </c>
    </row>
    <row r="2843" spans="1:11" hidden="1" x14ac:dyDescent="0.3">
      <c r="A2843" s="1005">
        <v>3</v>
      </c>
      <c r="B2843" s="3414">
        <v>44598</v>
      </c>
      <c r="C2843" s="11" t="s">
        <v>138</v>
      </c>
      <c r="D2843" s="11" t="s">
        <v>2607</v>
      </c>
      <c r="E2843" s="11" t="s">
        <v>68</v>
      </c>
      <c r="F2843" s="2907">
        <v>1600000</v>
      </c>
      <c r="G2843" s="11" t="s">
        <v>2358</v>
      </c>
      <c r="H2843" s="11" t="s">
        <v>44</v>
      </c>
      <c r="I2843" s="11" t="s">
        <v>271</v>
      </c>
      <c r="J2843" s="11">
        <v>1</v>
      </c>
      <c r="K2843" t="s">
        <v>2512</v>
      </c>
    </row>
    <row r="2844" spans="1:11" hidden="1" x14ac:dyDescent="0.3">
      <c r="A2844" s="1005">
        <v>4</v>
      </c>
      <c r="B2844" s="3414">
        <v>44598</v>
      </c>
      <c r="C2844" s="11" t="s">
        <v>74</v>
      </c>
      <c r="D2844" s="11" t="s">
        <v>2608</v>
      </c>
      <c r="E2844" s="11" t="s">
        <v>68</v>
      </c>
      <c r="F2844" s="2907">
        <v>950000</v>
      </c>
      <c r="G2844" s="11" t="s">
        <v>168</v>
      </c>
      <c r="H2844" s="11" t="s">
        <v>44</v>
      </c>
      <c r="I2844" s="11" t="s">
        <v>271</v>
      </c>
      <c r="J2844" s="11">
        <v>1</v>
      </c>
      <c r="K2844" t="s">
        <v>2567</v>
      </c>
    </row>
    <row r="2845" spans="1:11" hidden="1" x14ac:dyDescent="0.3">
      <c r="A2845" s="1005">
        <v>5</v>
      </c>
      <c r="B2845" s="3414">
        <v>44657</v>
      </c>
      <c r="C2845" s="11" t="s">
        <v>138</v>
      </c>
      <c r="D2845" s="11" t="s">
        <v>2609</v>
      </c>
      <c r="E2845" s="11" t="s">
        <v>1870</v>
      </c>
      <c r="F2845" s="2907">
        <v>1700000</v>
      </c>
      <c r="G2845" s="11" t="s">
        <v>1942</v>
      </c>
      <c r="H2845" s="11" t="s">
        <v>44</v>
      </c>
      <c r="I2845" s="11" t="s">
        <v>271</v>
      </c>
      <c r="J2845" s="11">
        <v>1</v>
      </c>
      <c r="K2845" t="s">
        <v>2567</v>
      </c>
    </row>
    <row r="2846" spans="1:11" hidden="1" x14ac:dyDescent="0.3">
      <c r="A2846" s="1005">
        <v>6</v>
      </c>
      <c r="B2846" s="3414">
        <v>44748</v>
      </c>
      <c r="C2846" s="11" t="s">
        <v>138</v>
      </c>
      <c r="D2846" s="11" t="s">
        <v>2610</v>
      </c>
      <c r="E2846" s="11" t="s">
        <v>1870</v>
      </c>
      <c r="F2846" s="2907">
        <v>1450000</v>
      </c>
      <c r="G2846" s="11" t="s">
        <v>2070</v>
      </c>
      <c r="H2846" s="11" t="s">
        <v>44</v>
      </c>
      <c r="I2846" s="11" t="s">
        <v>271</v>
      </c>
      <c r="J2846" s="11">
        <v>1</v>
      </c>
      <c r="K2846" t="s">
        <v>217</v>
      </c>
    </row>
    <row r="2847" spans="1:11" hidden="1" x14ac:dyDescent="0.3">
      <c r="A2847" s="1005">
        <v>7</v>
      </c>
      <c r="B2847" s="3414">
        <v>44748</v>
      </c>
      <c r="C2847" s="11" t="s">
        <v>138</v>
      </c>
      <c r="D2847" s="11" t="s">
        <v>929</v>
      </c>
      <c r="E2847" s="11" t="s">
        <v>1838</v>
      </c>
      <c r="F2847" s="2907">
        <v>1600000</v>
      </c>
      <c r="G2847" s="11" t="s">
        <v>1942</v>
      </c>
      <c r="H2847" s="11" t="s">
        <v>44</v>
      </c>
      <c r="I2847" s="11" t="s">
        <v>271</v>
      </c>
      <c r="J2847" s="11">
        <v>1</v>
      </c>
      <c r="K2847" t="s">
        <v>2567</v>
      </c>
    </row>
    <row r="2848" spans="1:11" hidden="1" x14ac:dyDescent="0.3">
      <c r="A2848" s="1005">
        <v>8</v>
      </c>
      <c r="B2848" s="3414">
        <v>44748</v>
      </c>
      <c r="C2848" s="11" t="s">
        <v>138</v>
      </c>
      <c r="D2848" s="11" t="s">
        <v>2611</v>
      </c>
      <c r="E2848" s="11" t="s">
        <v>1838</v>
      </c>
      <c r="F2848" s="2907">
        <v>1350000</v>
      </c>
      <c r="G2848" s="11" t="s">
        <v>1838</v>
      </c>
      <c r="H2848" s="11" t="s">
        <v>44</v>
      </c>
      <c r="I2848" s="11" t="s">
        <v>271</v>
      </c>
      <c r="J2848" s="11">
        <v>1</v>
      </c>
      <c r="K2848" t="s">
        <v>217</v>
      </c>
    </row>
    <row r="2849" spans="1:11" hidden="1" x14ac:dyDescent="0.3">
      <c r="A2849" s="1005">
        <v>9</v>
      </c>
      <c r="B2849" s="3414">
        <v>44748</v>
      </c>
      <c r="C2849" s="11" t="s">
        <v>138</v>
      </c>
      <c r="D2849" s="11" t="s">
        <v>2612</v>
      </c>
      <c r="E2849" s="11" t="s">
        <v>68</v>
      </c>
      <c r="F2849" s="2907">
        <v>2100000</v>
      </c>
      <c r="G2849" s="11" t="s">
        <v>2358</v>
      </c>
      <c r="H2849" s="11" t="s">
        <v>44</v>
      </c>
      <c r="I2849" s="11" t="s">
        <v>271</v>
      </c>
      <c r="J2849" s="11">
        <v>1</v>
      </c>
      <c r="K2849" t="s">
        <v>2567</v>
      </c>
    </row>
    <row r="2850" spans="1:11" hidden="1" x14ac:dyDescent="0.3">
      <c r="A2850" s="1005">
        <v>10</v>
      </c>
      <c r="B2850" s="3414">
        <v>44779</v>
      </c>
      <c r="C2850" s="11" t="s">
        <v>219</v>
      </c>
      <c r="D2850" s="11" t="s">
        <v>2613</v>
      </c>
      <c r="E2850" s="11" t="s">
        <v>2614</v>
      </c>
      <c r="F2850" s="2907">
        <v>14000000</v>
      </c>
      <c r="G2850" s="11" t="s">
        <v>168</v>
      </c>
      <c r="H2850" s="11" t="s">
        <v>44</v>
      </c>
      <c r="I2850" s="11" t="s">
        <v>271</v>
      </c>
      <c r="J2850" s="11">
        <v>1</v>
      </c>
      <c r="K2850" t="s">
        <v>2567</v>
      </c>
    </row>
    <row r="2851" spans="1:11" hidden="1" x14ac:dyDescent="0.3">
      <c r="A2851" s="1005">
        <v>11</v>
      </c>
      <c r="B2851" s="3414">
        <v>44871</v>
      </c>
      <c r="C2851" s="11" t="s">
        <v>138</v>
      </c>
      <c r="D2851" s="11" t="s">
        <v>2615</v>
      </c>
      <c r="E2851" s="11" t="s">
        <v>2616</v>
      </c>
      <c r="F2851" s="2907">
        <v>750000</v>
      </c>
      <c r="G2851" s="11" t="s">
        <v>2539</v>
      </c>
      <c r="H2851" s="11" t="s">
        <v>271</v>
      </c>
      <c r="I2851" s="11" t="s">
        <v>271</v>
      </c>
      <c r="J2851" s="11">
        <v>1</v>
      </c>
      <c r="K2851" t="s">
        <v>217</v>
      </c>
    </row>
    <row r="2852" spans="1:11" hidden="1" x14ac:dyDescent="0.3">
      <c r="A2852" s="1005">
        <v>12</v>
      </c>
      <c r="B2852" s="2" t="s">
        <v>2617</v>
      </c>
      <c r="C2852" s="11" t="s">
        <v>138</v>
      </c>
      <c r="D2852" s="11" t="s">
        <v>2618</v>
      </c>
      <c r="E2852" s="11" t="s">
        <v>1838</v>
      </c>
      <c r="F2852" s="1549">
        <v>1250000</v>
      </c>
      <c r="G2852" s="11" t="s">
        <v>1319</v>
      </c>
      <c r="H2852" s="11" t="s">
        <v>271</v>
      </c>
      <c r="I2852" s="11" t="s">
        <v>271</v>
      </c>
      <c r="J2852" s="11">
        <v>1</v>
      </c>
      <c r="K2852" t="s">
        <v>217</v>
      </c>
    </row>
    <row r="2853" spans="1:11" hidden="1" x14ac:dyDescent="0.3">
      <c r="A2853" s="1005">
        <v>13</v>
      </c>
      <c r="B2853" s="2" t="s">
        <v>2617</v>
      </c>
      <c r="C2853" s="11" t="s">
        <v>138</v>
      </c>
      <c r="D2853" s="11" t="s">
        <v>2619</v>
      </c>
      <c r="E2853" s="11" t="s">
        <v>1838</v>
      </c>
      <c r="F2853" s="1549">
        <v>1300000</v>
      </c>
      <c r="G2853" s="11" t="s">
        <v>1319</v>
      </c>
      <c r="H2853" s="11" t="s">
        <v>44</v>
      </c>
      <c r="I2853" s="11" t="s">
        <v>271</v>
      </c>
      <c r="J2853" s="11">
        <v>1</v>
      </c>
      <c r="K2853" t="s">
        <v>217</v>
      </c>
    </row>
    <row r="2854" spans="1:11" hidden="1" x14ac:dyDescent="0.3">
      <c r="A2854" s="1005">
        <v>14</v>
      </c>
      <c r="B2854" s="2" t="s">
        <v>2620</v>
      </c>
      <c r="C2854" s="11" t="s">
        <v>138</v>
      </c>
      <c r="D2854" s="11" t="s">
        <v>2621</v>
      </c>
      <c r="E2854" s="11" t="s">
        <v>76</v>
      </c>
      <c r="F2854" s="11">
        <v>1300000</v>
      </c>
      <c r="G2854" s="11" t="s">
        <v>1998</v>
      </c>
      <c r="H2854" s="11" t="s">
        <v>44</v>
      </c>
      <c r="I2854" s="11" t="s">
        <v>271</v>
      </c>
      <c r="J2854" s="11">
        <v>1</v>
      </c>
      <c r="K2854" t="s">
        <v>2567</v>
      </c>
    </row>
    <row r="2855" spans="1:11" hidden="1" x14ac:dyDescent="0.3"/>
    <row r="2856" spans="1:11" ht="24.6" hidden="1" x14ac:dyDescent="0.4">
      <c r="A2856" s="3462" t="s">
        <v>2003</v>
      </c>
      <c r="B2856" s="3462"/>
      <c r="C2856" s="3462"/>
      <c r="D2856" s="3462"/>
      <c r="E2856" s="3462"/>
      <c r="F2856" s="3462"/>
      <c r="G2856" s="3462"/>
      <c r="H2856" s="3462"/>
      <c r="I2856" s="3462"/>
      <c r="J2856" s="3462"/>
    </row>
    <row r="2857" spans="1:11" hidden="1" x14ac:dyDescent="0.3">
      <c r="A2857" s="147" t="s">
        <v>3</v>
      </c>
      <c r="B2857" s="3397" t="s">
        <v>4</v>
      </c>
      <c r="C2857" s="147" t="s">
        <v>5</v>
      </c>
      <c r="D2857" s="147" t="s">
        <v>6</v>
      </c>
      <c r="E2857" s="147" t="s">
        <v>7</v>
      </c>
      <c r="F2857" s="147" t="s">
        <v>8</v>
      </c>
      <c r="G2857" s="147" t="s">
        <v>9</v>
      </c>
      <c r="H2857" s="147" t="s">
        <v>10</v>
      </c>
      <c r="I2857" s="147" t="s">
        <v>11</v>
      </c>
      <c r="J2857" s="147" t="s">
        <v>12</v>
      </c>
    </row>
    <row r="2858" spans="1:11" ht="15.6" hidden="1" x14ac:dyDescent="0.3">
      <c r="A2858" s="2">
        <v>1</v>
      </c>
      <c r="B2858" s="3414" t="s">
        <v>2525</v>
      </c>
      <c r="C2858" s="160" t="s">
        <v>37</v>
      </c>
      <c r="D2858" s="1426" t="s">
        <v>2279</v>
      </c>
      <c r="E2858" s="160" t="s">
        <v>1838</v>
      </c>
      <c r="F2858" s="2923">
        <v>210000000</v>
      </c>
      <c r="G2858" s="160" t="s">
        <v>168</v>
      </c>
      <c r="H2858" s="160" t="s">
        <v>44</v>
      </c>
      <c r="I2858" s="160" t="s">
        <v>36</v>
      </c>
      <c r="J2858" s="11">
        <v>1</v>
      </c>
    </row>
    <row r="2859" spans="1:11" hidden="1" x14ac:dyDescent="0.3">
      <c r="A2859" s="550">
        <v>2</v>
      </c>
      <c r="B2859" s="3414">
        <v>44657</v>
      </c>
      <c r="C2859" s="11" t="s">
        <v>138</v>
      </c>
      <c r="D2859" s="11" t="s">
        <v>2609</v>
      </c>
      <c r="E2859" s="11" t="s">
        <v>1870</v>
      </c>
      <c r="F2859" s="2907">
        <v>1700000</v>
      </c>
      <c r="G2859" s="11" t="s">
        <v>1942</v>
      </c>
      <c r="H2859" s="11" t="s">
        <v>44</v>
      </c>
      <c r="I2859" s="11" t="s">
        <v>271</v>
      </c>
      <c r="J2859" s="11">
        <v>1</v>
      </c>
    </row>
    <row r="2860" spans="1:11" hidden="1" x14ac:dyDescent="0.3">
      <c r="A2860" s="2">
        <v>3</v>
      </c>
      <c r="B2860" s="3414">
        <v>44718</v>
      </c>
      <c r="C2860" s="11" t="s">
        <v>138</v>
      </c>
      <c r="D2860" s="160" t="s">
        <v>2612</v>
      </c>
      <c r="E2860" s="160" t="s">
        <v>68</v>
      </c>
      <c r="F2860" s="2907">
        <v>368000000</v>
      </c>
      <c r="G2860" s="160" t="s">
        <v>2358</v>
      </c>
      <c r="H2860" s="160" t="s">
        <v>44</v>
      </c>
      <c r="I2860" s="160" t="s">
        <v>271</v>
      </c>
      <c r="J2860" s="11">
        <v>1</v>
      </c>
    </row>
    <row r="2861" spans="1:11" hidden="1" x14ac:dyDescent="0.3"/>
    <row r="2862" spans="1:11" ht="23.4" hidden="1" x14ac:dyDescent="0.3">
      <c r="A2862" s="3460" t="s">
        <v>2073</v>
      </c>
      <c r="B2862" s="3460"/>
      <c r="C2862" s="3460"/>
      <c r="D2862" s="3460"/>
      <c r="E2862" s="3460"/>
      <c r="F2862" s="3460"/>
      <c r="G2862" s="3460"/>
      <c r="H2862" s="3460"/>
      <c r="I2862" s="3460"/>
      <c r="J2862" s="3460"/>
    </row>
    <row r="2863" spans="1:11" ht="15.6" hidden="1" x14ac:dyDescent="0.3">
      <c r="A2863" s="3461" t="s">
        <v>2</v>
      </c>
      <c r="B2863" s="3461"/>
      <c r="C2863" s="3461"/>
      <c r="D2863" s="3461"/>
      <c r="E2863" s="3461"/>
      <c r="F2863" s="3461"/>
      <c r="G2863" s="3461"/>
      <c r="H2863" s="3461"/>
      <c r="I2863" s="3461"/>
      <c r="J2863" s="3461"/>
    </row>
    <row r="2864" spans="1:11" hidden="1" x14ac:dyDescent="0.3">
      <c r="A2864" s="137" t="s">
        <v>3</v>
      </c>
      <c r="B2864" s="3397" t="s">
        <v>4</v>
      </c>
      <c r="C2864" s="147" t="s">
        <v>5</v>
      </c>
      <c r="D2864" s="147" t="s">
        <v>6</v>
      </c>
      <c r="E2864" s="147" t="s">
        <v>7</v>
      </c>
      <c r="F2864" s="2893" t="s">
        <v>8</v>
      </c>
      <c r="G2864" s="147" t="s">
        <v>9</v>
      </c>
      <c r="H2864" s="147" t="s">
        <v>2243</v>
      </c>
      <c r="I2864" s="147" t="s">
        <v>11</v>
      </c>
      <c r="J2864" s="147" t="s">
        <v>12</v>
      </c>
    </row>
    <row r="2865" spans="1:11" hidden="1" x14ac:dyDescent="0.3">
      <c r="A2865" s="1005">
        <v>1</v>
      </c>
      <c r="B2865" s="2" t="s">
        <v>2622</v>
      </c>
      <c r="C2865" s="11" t="s">
        <v>37</v>
      </c>
      <c r="D2865" s="11" t="s">
        <v>2623</v>
      </c>
      <c r="E2865" s="11" t="s">
        <v>998</v>
      </c>
      <c r="F2865" s="1549">
        <v>1200000</v>
      </c>
      <c r="G2865" s="11" t="s">
        <v>2200</v>
      </c>
      <c r="H2865" s="11" t="s">
        <v>44</v>
      </c>
      <c r="I2865" s="11" t="s">
        <v>271</v>
      </c>
      <c r="J2865" s="11">
        <v>1</v>
      </c>
      <c r="K2865" t="s">
        <v>2567</v>
      </c>
    </row>
    <row r="2866" spans="1:11" hidden="1" x14ac:dyDescent="0.3">
      <c r="A2866" s="1005">
        <v>2</v>
      </c>
      <c r="B2866" s="2" t="s">
        <v>2584</v>
      </c>
      <c r="C2866" s="11" t="s">
        <v>37</v>
      </c>
      <c r="D2866" s="11" t="s">
        <v>2624</v>
      </c>
      <c r="E2866" s="11" t="s">
        <v>2625</v>
      </c>
      <c r="F2866" s="1549">
        <v>1200000</v>
      </c>
      <c r="G2866" s="11" t="s">
        <v>168</v>
      </c>
      <c r="H2866" s="11" t="s">
        <v>36</v>
      </c>
      <c r="I2866" s="11" t="s">
        <v>36</v>
      </c>
      <c r="J2866" s="11">
        <v>1</v>
      </c>
      <c r="K2866" t="s">
        <v>2512</v>
      </c>
    </row>
    <row r="2867" spans="1:11" hidden="1" x14ac:dyDescent="0.3">
      <c r="A2867" s="1005">
        <v>3</v>
      </c>
      <c r="B2867" s="3414">
        <v>44748</v>
      </c>
      <c r="C2867" s="160" t="s">
        <v>37</v>
      </c>
      <c r="D2867" s="11" t="s">
        <v>2626</v>
      </c>
      <c r="E2867" s="11" t="s">
        <v>1838</v>
      </c>
      <c r="F2867" s="1549">
        <v>1300000</v>
      </c>
      <c r="G2867" s="11" t="s">
        <v>2627</v>
      </c>
      <c r="H2867" s="11" t="s">
        <v>44</v>
      </c>
      <c r="I2867" s="11" t="s">
        <v>271</v>
      </c>
      <c r="J2867" s="11">
        <v>1</v>
      </c>
      <c r="K2867" t="s">
        <v>2567</v>
      </c>
    </row>
    <row r="2868" spans="1:11" hidden="1" x14ac:dyDescent="0.3">
      <c r="A2868" s="1005">
        <v>4</v>
      </c>
      <c r="B2868" s="3414">
        <v>44748</v>
      </c>
      <c r="C2868" s="160" t="s">
        <v>37</v>
      </c>
      <c r="D2868" s="11" t="s">
        <v>2628</v>
      </c>
      <c r="E2868" s="11" t="s">
        <v>1130</v>
      </c>
      <c r="F2868" s="1549">
        <v>1300000</v>
      </c>
      <c r="G2868" s="11" t="s">
        <v>2200</v>
      </c>
      <c r="H2868" s="11" t="s">
        <v>44</v>
      </c>
      <c r="I2868" s="11" t="s">
        <v>271</v>
      </c>
      <c r="J2868" s="11">
        <v>1</v>
      </c>
      <c r="K2868" t="s">
        <v>217</v>
      </c>
    </row>
    <row r="2869" spans="1:11" hidden="1" x14ac:dyDescent="0.3">
      <c r="A2869" s="1005">
        <v>5</v>
      </c>
      <c r="B2869" s="3414">
        <v>44748</v>
      </c>
      <c r="C2869" s="160" t="s">
        <v>37</v>
      </c>
      <c r="D2869" s="11" t="s">
        <v>2629</v>
      </c>
      <c r="E2869" s="11" t="s">
        <v>998</v>
      </c>
      <c r="F2869" s="1549">
        <v>1300000</v>
      </c>
      <c r="G2869" s="11" t="s">
        <v>2469</v>
      </c>
      <c r="H2869" s="11" t="s">
        <v>44</v>
      </c>
      <c r="I2869" s="11" t="s">
        <v>271</v>
      </c>
      <c r="J2869" s="11">
        <v>1</v>
      </c>
      <c r="K2869" t="s">
        <v>2567</v>
      </c>
    </row>
    <row r="2870" spans="1:11" hidden="1" x14ac:dyDescent="0.3">
      <c r="A2870" s="1005">
        <v>6</v>
      </c>
      <c r="B2870" s="3414">
        <v>44748</v>
      </c>
      <c r="C2870" s="160" t="s">
        <v>37</v>
      </c>
      <c r="D2870" s="11" t="s">
        <v>2630</v>
      </c>
      <c r="E2870" s="11" t="s">
        <v>998</v>
      </c>
      <c r="F2870" s="1549">
        <v>1300000</v>
      </c>
      <c r="G2870" s="11" t="s">
        <v>2469</v>
      </c>
      <c r="H2870" s="11" t="s">
        <v>44</v>
      </c>
      <c r="I2870" s="11" t="s">
        <v>271</v>
      </c>
      <c r="J2870" s="11">
        <v>1</v>
      </c>
      <c r="K2870" t="s">
        <v>217</v>
      </c>
    </row>
    <row r="2871" spans="1:11" hidden="1" x14ac:dyDescent="0.3">
      <c r="A2871" s="1005">
        <v>7</v>
      </c>
      <c r="B2871" s="2" t="s">
        <v>2617</v>
      </c>
      <c r="C2871" s="160" t="s">
        <v>37</v>
      </c>
      <c r="D2871" s="11" t="s">
        <v>2631</v>
      </c>
      <c r="E2871" s="11" t="s">
        <v>1838</v>
      </c>
      <c r="F2871" s="1549">
        <v>1650000</v>
      </c>
      <c r="G2871" s="11" t="s">
        <v>2632</v>
      </c>
      <c r="H2871" s="11" t="s">
        <v>44</v>
      </c>
      <c r="I2871" s="11" t="s">
        <v>271</v>
      </c>
      <c r="J2871" s="11">
        <v>1</v>
      </c>
      <c r="K2871" t="s">
        <v>2567</v>
      </c>
    </row>
    <row r="2872" spans="1:11" hidden="1" x14ac:dyDescent="0.3">
      <c r="A2872" s="1005">
        <v>8</v>
      </c>
      <c r="B2872" s="2" t="s">
        <v>2617</v>
      </c>
      <c r="C2872" s="160" t="s">
        <v>37</v>
      </c>
      <c r="D2872" s="11" t="s">
        <v>2633</v>
      </c>
      <c r="E2872" s="11" t="s">
        <v>1838</v>
      </c>
      <c r="F2872" s="1549">
        <v>1500000</v>
      </c>
      <c r="G2872" s="11" t="s">
        <v>1838</v>
      </c>
      <c r="H2872" s="11" t="s">
        <v>44</v>
      </c>
      <c r="I2872" s="11" t="s">
        <v>271</v>
      </c>
      <c r="J2872" s="11">
        <v>1</v>
      </c>
      <c r="K2872" t="s">
        <v>217</v>
      </c>
    </row>
    <row r="2873" spans="1:11" hidden="1" x14ac:dyDescent="0.3">
      <c r="A2873" s="1005">
        <v>9</v>
      </c>
      <c r="B2873" s="2" t="s">
        <v>2634</v>
      </c>
      <c r="C2873" s="160" t="s">
        <v>37</v>
      </c>
      <c r="D2873" s="11" t="s">
        <v>2635</v>
      </c>
      <c r="E2873" s="11" t="s">
        <v>1838</v>
      </c>
      <c r="F2873" s="2907">
        <v>1350000</v>
      </c>
      <c r="G2873" s="11" t="s">
        <v>1838</v>
      </c>
      <c r="H2873" s="11" t="s">
        <v>44</v>
      </c>
      <c r="I2873" s="11" t="s">
        <v>271</v>
      </c>
      <c r="J2873" s="11">
        <v>1</v>
      </c>
      <c r="K2873" t="s">
        <v>2567</v>
      </c>
    </row>
    <row r="2874" spans="1:11" hidden="1" x14ac:dyDescent="0.3">
      <c r="A2874" s="1005">
        <v>10</v>
      </c>
      <c r="B2874" s="2" t="s">
        <v>2634</v>
      </c>
      <c r="C2874" s="160" t="s">
        <v>37</v>
      </c>
      <c r="D2874" s="11" t="s">
        <v>2636</v>
      </c>
      <c r="E2874" s="11" t="s">
        <v>2637</v>
      </c>
      <c r="F2874" s="2907">
        <v>1200000</v>
      </c>
      <c r="G2874" s="11" t="s">
        <v>2637</v>
      </c>
      <c r="H2874" s="11" t="s">
        <v>44</v>
      </c>
      <c r="I2874" s="11" t="s">
        <v>271</v>
      </c>
      <c r="J2874" s="11">
        <v>1</v>
      </c>
      <c r="K2874" t="s">
        <v>217</v>
      </c>
    </row>
    <row r="2875" spans="1:11" hidden="1" x14ac:dyDescent="0.3">
      <c r="A2875" s="1005">
        <v>11</v>
      </c>
      <c r="B2875" s="2" t="s">
        <v>2595</v>
      </c>
      <c r="C2875" s="160" t="s">
        <v>37</v>
      </c>
      <c r="D2875" s="11" t="s">
        <v>2638</v>
      </c>
      <c r="E2875" s="11" t="s">
        <v>2639</v>
      </c>
      <c r="F2875" s="2907">
        <v>1900000</v>
      </c>
      <c r="G2875" s="11" t="s">
        <v>1838</v>
      </c>
      <c r="H2875" s="11" t="s">
        <v>44</v>
      </c>
      <c r="I2875" s="11" t="s">
        <v>271</v>
      </c>
      <c r="J2875" s="11">
        <v>1</v>
      </c>
      <c r="K2875" t="s">
        <v>2567</v>
      </c>
    </row>
    <row r="2876" spans="1:11" hidden="1" x14ac:dyDescent="0.3">
      <c r="A2876" s="1005">
        <v>12</v>
      </c>
      <c r="B2876" s="2" t="s">
        <v>2595</v>
      </c>
      <c r="C2876" s="160" t="s">
        <v>37</v>
      </c>
      <c r="D2876" s="11" t="s">
        <v>2640</v>
      </c>
      <c r="E2876" s="11" t="s">
        <v>168</v>
      </c>
      <c r="F2876" s="2907">
        <v>2100000</v>
      </c>
      <c r="G2876" s="11" t="s">
        <v>1105</v>
      </c>
      <c r="H2876" s="11" t="s">
        <v>44</v>
      </c>
      <c r="I2876" s="11" t="s">
        <v>271</v>
      </c>
      <c r="J2876" s="11">
        <v>1</v>
      </c>
      <c r="K2876" t="s">
        <v>217</v>
      </c>
    </row>
    <row r="2877" spans="1:11" hidden="1" x14ac:dyDescent="0.3">
      <c r="A2877" s="1005">
        <v>13</v>
      </c>
      <c r="B2877" s="2" t="s">
        <v>2641</v>
      </c>
      <c r="C2877" s="160" t="s">
        <v>37</v>
      </c>
      <c r="D2877" s="11" t="s">
        <v>2642</v>
      </c>
      <c r="E2877" s="11" t="s">
        <v>2358</v>
      </c>
      <c r="F2877" s="11">
        <v>1600000</v>
      </c>
      <c r="G2877" s="11" t="s">
        <v>68</v>
      </c>
      <c r="H2877" s="11" t="s">
        <v>44</v>
      </c>
      <c r="I2877" s="11" t="s">
        <v>271</v>
      </c>
      <c r="J2877" s="11">
        <v>1</v>
      </c>
      <c r="K2877" t="s">
        <v>2567</v>
      </c>
    </row>
    <row r="2878" spans="1:11" hidden="1" x14ac:dyDescent="0.3">
      <c r="A2878" s="1005">
        <v>14</v>
      </c>
      <c r="B2878" s="2" t="s">
        <v>2643</v>
      </c>
      <c r="C2878" s="160" t="s">
        <v>37</v>
      </c>
      <c r="D2878" s="11" t="s">
        <v>2644</v>
      </c>
      <c r="E2878" s="11" t="s">
        <v>2645</v>
      </c>
      <c r="F2878" s="11">
        <v>870000</v>
      </c>
      <c r="G2878" s="11" t="s">
        <v>1751</v>
      </c>
      <c r="H2878" s="11" t="s">
        <v>44</v>
      </c>
      <c r="I2878" s="11" t="s">
        <v>271</v>
      </c>
      <c r="J2878" s="11">
        <v>1</v>
      </c>
      <c r="K2878" t="s">
        <v>2567</v>
      </c>
    </row>
    <row r="2879" spans="1:11" hidden="1" x14ac:dyDescent="0.3"/>
    <row r="2880" spans="1:11" ht="24.6" hidden="1" x14ac:dyDescent="0.4">
      <c r="A2880" s="3462" t="s">
        <v>2003</v>
      </c>
      <c r="B2880" s="3462"/>
      <c r="C2880" s="3462"/>
      <c r="D2880" s="3462"/>
      <c r="E2880" s="3462"/>
      <c r="F2880" s="3462"/>
      <c r="G2880" s="3462"/>
      <c r="H2880" s="3462"/>
      <c r="I2880" s="3462"/>
      <c r="J2880" s="3462"/>
    </row>
    <row r="2881" spans="1:11" hidden="1" x14ac:dyDescent="0.3">
      <c r="A2881" s="147" t="s">
        <v>3</v>
      </c>
      <c r="B2881" s="3397" t="s">
        <v>4</v>
      </c>
      <c r="C2881" s="147" t="s">
        <v>5</v>
      </c>
      <c r="D2881" s="147" t="s">
        <v>6</v>
      </c>
      <c r="E2881" s="147" t="s">
        <v>7</v>
      </c>
      <c r="F2881" s="147" t="s">
        <v>8</v>
      </c>
      <c r="G2881" s="147" t="s">
        <v>9</v>
      </c>
      <c r="H2881" s="147" t="s">
        <v>10</v>
      </c>
      <c r="I2881" s="147" t="s">
        <v>11</v>
      </c>
      <c r="J2881" s="147" t="s">
        <v>12</v>
      </c>
    </row>
    <row r="2882" spans="1:11" ht="15.6" hidden="1" x14ac:dyDescent="0.3">
      <c r="A2882" s="2">
        <v>1</v>
      </c>
      <c r="B2882" s="3414" t="s">
        <v>2617</v>
      </c>
      <c r="C2882" s="160" t="s">
        <v>2646</v>
      </c>
      <c r="D2882" s="1426" t="s">
        <v>2647</v>
      </c>
      <c r="E2882" s="160" t="s">
        <v>2648</v>
      </c>
      <c r="F2882" s="160" t="s">
        <v>2649</v>
      </c>
      <c r="G2882" s="160" t="s">
        <v>168</v>
      </c>
      <c r="H2882" s="160" t="s">
        <v>44</v>
      </c>
      <c r="I2882" s="160" t="s">
        <v>271</v>
      </c>
      <c r="J2882" s="11">
        <v>1</v>
      </c>
    </row>
    <row r="2883" spans="1:11" ht="15.6" hidden="1" x14ac:dyDescent="0.3">
      <c r="A2883" s="2">
        <v>2</v>
      </c>
      <c r="B2883" s="3414" t="s">
        <v>2617</v>
      </c>
      <c r="C2883" s="160" t="s">
        <v>37</v>
      </c>
      <c r="D2883" s="1426" t="s">
        <v>2650</v>
      </c>
      <c r="E2883" s="160" t="s">
        <v>904</v>
      </c>
      <c r="F2883" s="160" t="s">
        <v>2337</v>
      </c>
      <c r="G2883" s="160" t="s">
        <v>168</v>
      </c>
      <c r="H2883" s="160" t="s">
        <v>44</v>
      </c>
      <c r="I2883" s="160" t="s">
        <v>271</v>
      </c>
      <c r="J2883" s="11">
        <v>1</v>
      </c>
    </row>
    <row r="2884" spans="1:11" ht="15.6" hidden="1" x14ac:dyDescent="0.3">
      <c r="A2884" s="2">
        <v>3</v>
      </c>
      <c r="B2884" s="3414" t="s">
        <v>2634</v>
      </c>
      <c r="C2884" s="160" t="s">
        <v>74</v>
      </c>
      <c r="D2884" s="1426" t="s">
        <v>2563</v>
      </c>
      <c r="E2884" s="160" t="s">
        <v>2651</v>
      </c>
      <c r="F2884" s="160" t="s">
        <v>2652</v>
      </c>
      <c r="G2884" s="160" t="s">
        <v>2070</v>
      </c>
      <c r="H2884" s="160" t="s">
        <v>44</v>
      </c>
      <c r="I2884" s="160" t="s">
        <v>271</v>
      </c>
      <c r="J2884" s="11">
        <v>1</v>
      </c>
    </row>
    <row r="2885" spans="1:11" ht="15.6" hidden="1" x14ac:dyDescent="0.3">
      <c r="A2885" s="1"/>
      <c r="B2885" s="3415"/>
      <c r="C2885" s="1082"/>
      <c r="D2885" s="2977"/>
      <c r="E2885" s="1082"/>
      <c r="F2885" s="1082"/>
      <c r="G2885" s="1082"/>
      <c r="H2885" s="1082"/>
      <c r="I2885" s="1082"/>
    </row>
    <row r="2886" spans="1:11" hidden="1" x14ac:dyDescent="0.3"/>
    <row r="2887" spans="1:11" ht="23.4" hidden="1" x14ac:dyDescent="0.3">
      <c r="A2887" s="3460" t="s">
        <v>2653</v>
      </c>
      <c r="B2887" s="3460"/>
      <c r="C2887" s="3460"/>
      <c r="D2887" s="3460"/>
      <c r="E2887" s="3460"/>
      <c r="F2887" s="3460"/>
      <c r="G2887" s="3460"/>
      <c r="H2887" s="3460"/>
      <c r="I2887" s="3460"/>
      <c r="J2887" s="3460"/>
    </row>
    <row r="2888" spans="1:11" ht="15.6" hidden="1" x14ac:dyDescent="0.3">
      <c r="A2888" s="3461" t="s">
        <v>2</v>
      </c>
      <c r="B2888" s="3461"/>
      <c r="C2888" s="3461"/>
      <c r="D2888" s="3461"/>
      <c r="E2888" s="3461"/>
      <c r="F2888" s="3461"/>
      <c r="G2888" s="3461"/>
      <c r="H2888" s="3461"/>
      <c r="I2888" s="3461"/>
      <c r="J2888" s="3461"/>
    </row>
    <row r="2889" spans="1:11" hidden="1" x14ac:dyDescent="0.3">
      <c r="A2889" s="147" t="s">
        <v>3</v>
      </c>
      <c r="B2889" s="3397" t="s">
        <v>4</v>
      </c>
      <c r="C2889" s="147" t="s">
        <v>5</v>
      </c>
      <c r="D2889" s="147" t="s">
        <v>6</v>
      </c>
      <c r="E2889" s="147" t="s">
        <v>7</v>
      </c>
      <c r="F2889" s="2893" t="s">
        <v>8</v>
      </c>
      <c r="G2889" s="147" t="s">
        <v>9</v>
      </c>
      <c r="H2889" s="147" t="s">
        <v>2243</v>
      </c>
      <c r="I2889" s="147" t="s">
        <v>11</v>
      </c>
      <c r="J2889" s="147" t="s">
        <v>12</v>
      </c>
    </row>
    <row r="2890" spans="1:11" hidden="1" x14ac:dyDescent="0.3">
      <c r="A2890" s="11">
        <v>1</v>
      </c>
      <c r="B2890" s="3414">
        <v>44840</v>
      </c>
      <c r="C2890" s="11" t="s">
        <v>138</v>
      </c>
      <c r="D2890" s="117" t="s">
        <v>2654</v>
      </c>
      <c r="E2890" s="11" t="s">
        <v>2484</v>
      </c>
      <c r="F2890" s="2919">
        <v>550000</v>
      </c>
      <c r="G2890" s="11" t="s">
        <v>168</v>
      </c>
      <c r="H2890" s="11" t="s">
        <v>36</v>
      </c>
      <c r="I2890" s="11" t="s">
        <v>271</v>
      </c>
      <c r="J2890" s="11">
        <v>1</v>
      </c>
      <c r="K2890" t="s">
        <v>2567</v>
      </c>
    </row>
    <row r="2891" spans="1:11" hidden="1" x14ac:dyDescent="0.3">
      <c r="A2891" s="11">
        <v>2</v>
      </c>
      <c r="B2891" s="3414">
        <v>44871</v>
      </c>
      <c r="C2891" s="11" t="s">
        <v>138</v>
      </c>
      <c r="D2891" s="117" t="s">
        <v>2655</v>
      </c>
      <c r="E2891" s="11" t="s">
        <v>904</v>
      </c>
      <c r="F2891" s="11">
        <v>1600000</v>
      </c>
      <c r="G2891" s="11" t="s">
        <v>168</v>
      </c>
      <c r="H2891" s="11" t="s">
        <v>44</v>
      </c>
      <c r="I2891" s="11" t="s">
        <v>271</v>
      </c>
      <c r="J2891" s="11">
        <v>1</v>
      </c>
      <c r="K2891" t="s">
        <v>2567</v>
      </c>
    </row>
    <row r="2892" spans="1:11" hidden="1" x14ac:dyDescent="0.3">
      <c r="A2892" s="11">
        <v>3</v>
      </c>
      <c r="B2892" s="2"/>
      <c r="C2892" s="11"/>
      <c r="D2892" s="117"/>
      <c r="E2892" s="11"/>
      <c r="F2892" s="11"/>
      <c r="G2892" s="11"/>
      <c r="H2892" s="11"/>
      <c r="I2892" s="11"/>
      <c r="J2892" s="11"/>
    </row>
    <row r="2893" spans="1:11" hidden="1" x14ac:dyDescent="0.3">
      <c r="A2893" s="11">
        <v>4</v>
      </c>
      <c r="B2893" s="2"/>
      <c r="C2893" s="11"/>
      <c r="D2893" s="117"/>
      <c r="E2893" s="11"/>
      <c r="F2893" s="11"/>
      <c r="G2893" s="11"/>
      <c r="H2893" s="11"/>
      <c r="I2893" s="11"/>
      <c r="J2893" s="11"/>
    </row>
    <row r="2894" spans="1:11" hidden="1" x14ac:dyDescent="0.3">
      <c r="A2894" s="11">
        <v>5</v>
      </c>
      <c r="B2894" s="2"/>
      <c r="C2894" s="11"/>
      <c r="D2894" s="117"/>
      <c r="E2894" s="11"/>
      <c r="F2894" s="11"/>
      <c r="G2894" s="11"/>
      <c r="H2894" s="11"/>
      <c r="I2894" s="11"/>
      <c r="J2894" s="11"/>
    </row>
    <row r="2895" spans="1:11" hidden="1" x14ac:dyDescent="0.3">
      <c r="A2895" s="11">
        <v>6</v>
      </c>
      <c r="B2895" s="2"/>
      <c r="C2895" s="11"/>
      <c r="D2895" s="117"/>
      <c r="E2895" s="11"/>
      <c r="F2895" s="11"/>
      <c r="G2895" s="11"/>
      <c r="H2895" s="11"/>
      <c r="I2895" s="11"/>
      <c r="J2895" s="11"/>
    </row>
    <row r="2896" spans="1:11" hidden="1" x14ac:dyDescent="0.3">
      <c r="A2896" s="11">
        <v>7</v>
      </c>
      <c r="B2896" s="2"/>
      <c r="C2896" s="11"/>
      <c r="D2896" s="117"/>
      <c r="E2896" s="11"/>
      <c r="F2896" s="11"/>
      <c r="G2896" s="11"/>
      <c r="H2896" s="11"/>
      <c r="I2896" s="11"/>
      <c r="J2896" s="11"/>
    </row>
    <row r="2897" spans="1:10" hidden="1" x14ac:dyDescent="0.3">
      <c r="A2897" s="11">
        <v>8</v>
      </c>
      <c r="B2897" s="2"/>
      <c r="C2897" s="11"/>
      <c r="D2897" s="117"/>
      <c r="E2897" s="11"/>
      <c r="F2897" s="11"/>
      <c r="G2897" s="11"/>
      <c r="H2897" s="11"/>
      <c r="I2897" s="11"/>
      <c r="J2897" s="11"/>
    </row>
    <row r="2898" spans="1:10" hidden="1" x14ac:dyDescent="0.3">
      <c r="A2898" s="11">
        <v>9</v>
      </c>
      <c r="B2898" s="2"/>
      <c r="C2898" s="11"/>
      <c r="D2898" s="117"/>
      <c r="E2898" s="11"/>
      <c r="F2898" s="11"/>
      <c r="G2898" s="11"/>
      <c r="H2898" s="11"/>
      <c r="I2898" s="11"/>
      <c r="J2898" s="11"/>
    </row>
    <row r="2899" spans="1:10" hidden="1" x14ac:dyDescent="0.3">
      <c r="A2899" s="11">
        <v>10</v>
      </c>
      <c r="B2899" s="2"/>
      <c r="C2899" s="11"/>
      <c r="D2899" s="117"/>
      <c r="E2899" s="11"/>
      <c r="F2899" s="11"/>
      <c r="G2899" s="11"/>
      <c r="H2899" s="11"/>
      <c r="I2899" s="11"/>
      <c r="J2899" s="11"/>
    </row>
    <row r="2900" spans="1:10" hidden="1" x14ac:dyDescent="0.3">
      <c r="A2900" s="11">
        <v>11</v>
      </c>
      <c r="B2900" s="2"/>
      <c r="C2900" s="11"/>
      <c r="D2900" s="117"/>
      <c r="E2900" s="11"/>
      <c r="F2900" s="11"/>
      <c r="G2900" s="11"/>
      <c r="H2900" s="11"/>
      <c r="I2900" s="11"/>
      <c r="J2900" s="11"/>
    </row>
    <row r="2901" spans="1:10" hidden="1" x14ac:dyDescent="0.3">
      <c r="A2901" s="2975">
        <v>12</v>
      </c>
      <c r="B2901" s="795"/>
      <c r="C2901" s="171"/>
      <c r="D2901" s="11"/>
      <c r="E2901" s="11"/>
      <c r="F2901" s="11"/>
      <c r="G2901" s="11"/>
      <c r="H2901" s="11"/>
      <c r="I2901" s="11"/>
      <c r="J2901" s="11"/>
    </row>
    <row r="2902" spans="1:10" hidden="1" x14ac:dyDescent="0.3">
      <c r="A2902" s="1005">
        <v>13</v>
      </c>
      <c r="B2902" s="2"/>
      <c r="C2902" s="11"/>
      <c r="D2902" s="11"/>
      <c r="E2902" s="11"/>
      <c r="F2902" s="11"/>
      <c r="G2902" s="11"/>
      <c r="H2902" s="11"/>
      <c r="I2902" s="11"/>
      <c r="J2902" s="11"/>
    </row>
    <row r="2903" spans="1:10" hidden="1" x14ac:dyDescent="0.3">
      <c r="A2903" s="1005">
        <v>14</v>
      </c>
      <c r="B2903" s="2"/>
      <c r="C2903" s="11"/>
      <c r="D2903" s="11"/>
      <c r="E2903" s="11"/>
      <c r="F2903" s="11"/>
      <c r="G2903" s="11"/>
      <c r="H2903" s="11"/>
      <c r="I2903" s="11"/>
      <c r="J2903" s="11"/>
    </row>
    <row r="2904" spans="1:10" hidden="1" x14ac:dyDescent="0.3"/>
    <row r="2905" spans="1:10" ht="24.6" hidden="1" x14ac:dyDescent="0.4">
      <c r="A2905" s="3462" t="s">
        <v>2003</v>
      </c>
      <c r="B2905" s="3462"/>
      <c r="C2905" s="3462"/>
      <c r="D2905" s="3462"/>
      <c r="E2905" s="3462"/>
      <c r="F2905" s="3462"/>
      <c r="G2905" s="3462"/>
      <c r="H2905" s="3462"/>
      <c r="I2905" s="3462"/>
      <c r="J2905" s="3462"/>
    </row>
    <row r="2906" spans="1:10" hidden="1" x14ac:dyDescent="0.3">
      <c r="A2906" s="147" t="s">
        <v>3</v>
      </c>
      <c r="B2906" s="3397" t="s">
        <v>4</v>
      </c>
      <c r="C2906" s="147" t="s">
        <v>5</v>
      </c>
      <c r="D2906" s="147" t="s">
        <v>6</v>
      </c>
      <c r="E2906" s="147" t="s">
        <v>7</v>
      </c>
      <c r="F2906" s="147" t="s">
        <v>8</v>
      </c>
      <c r="G2906" s="147" t="s">
        <v>9</v>
      </c>
      <c r="H2906" s="147" t="s">
        <v>10</v>
      </c>
      <c r="I2906" s="147" t="s">
        <v>11</v>
      </c>
      <c r="J2906" s="147" t="s">
        <v>12</v>
      </c>
    </row>
    <row r="2907" spans="1:10" ht="15.6" hidden="1" x14ac:dyDescent="0.3">
      <c r="A2907" s="2">
        <v>1</v>
      </c>
      <c r="B2907" s="3414"/>
      <c r="C2907" s="160"/>
      <c r="D2907" s="1426"/>
      <c r="E2907" s="160"/>
      <c r="F2907" s="160"/>
      <c r="G2907" s="160"/>
      <c r="H2907" s="160"/>
      <c r="I2907" s="160"/>
      <c r="J2907" s="11"/>
    </row>
    <row r="2908" spans="1:10" ht="15.6" hidden="1" x14ac:dyDescent="0.3">
      <c r="A2908" s="2">
        <v>2</v>
      </c>
      <c r="B2908" s="3414"/>
      <c r="C2908" s="160"/>
      <c r="D2908" s="1426"/>
      <c r="E2908" s="160"/>
      <c r="F2908" s="160"/>
      <c r="G2908" s="160"/>
      <c r="H2908" s="160"/>
      <c r="I2908" s="160"/>
      <c r="J2908" s="11"/>
    </row>
    <row r="2909" spans="1:10" hidden="1" x14ac:dyDescent="0.3">
      <c r="A2909" s="2">
        <v>3</v>
      </c>
      <c r="B2909" s="3414"/>
      <c r="C2909" s="160"/>
      <c r="D2909" s="160"/>
      <c r="E2909" s="160"/>
      <c r="F2909" s="160"/>
      <c r="G2909" s="160"/>
      <c r="H2909" s="160"/>
      <c r="I2909" s="160"/>
      <c r="J2909" s="11"/>
    </row>
    <row r="2910" spans="1:10" hidden="1" x14ac:dyDescent="0.3"/>
    <row r="2911" spans="1:10" ht="23.4" hidden="1" x14ac:dyDescent="0.3">
      <c r="A2911" s="3460" t="s">
        <v>2656</v>
      </c>
      <c r="B2911" s="3460"/>
      <c r="C2911" s="3460"/>
      <c r="D2911" s="3460"/>
      <c r="E2911" s="3460"/>
      <c r="F2911" s="3460"/>
      <c r="G2911" s="3460"/>
      <c r="H2911" s="3460"/>
      <c r="I2911" s="3460"/>
      <c r="J2911" s="3460"/>
    </row>
    <row r="2912" spans="1:10" ht="15.6" hidden="1" x14ac:dyDescent="0.3">
      <c r="A2912" s="3461" t="s">
        <v>2</v>
      </c>
      <c r="B2912" s="3461"/>
      <c r="C2912" s="3461"/>
      <c r="D2912" s="3461"/>
      <c r="E2912" s="3461"/>
      <c r="F2912" s="3461"/>
      <c r="G2912" s="3461"/>
      <c r="H2912" s="3461"/>
      <c r="I2912" s="3461"/>
      <c r="J2912" s="3461"/>
    </row>
    <row r="2913" spans="1:11" hidden="1" x14ac:dyDescent="0.3">
      <c r="A2913" s="137" t="s">
        <v>3</v>
      </c>
      <c r="B2913" s="3397" t="s">
        <v>4</v>
      </c>
      <c r="C2913" s="147" t="s">
        <v>5</v>
      </c>
      <c r="D2913" s="147" t="s">
        <v>6</v>
      </c>
      <c r="E2913" s="147" t="s">
        <v>7</v>
      </c>
      <c r="F2913" s="2893" t="s">
        <v>8</v>
      </c>
      <c r="G2913" s="147" t="s">
        <v>9</v>
      </c>
      <c r="H2913" s="147" t="s">
        <v>2243</v>
      </c>
      <c r="I2913" s="147" t="s">
        <v>11</v>
      </c>
      <c r="J2913" s="147" t="s">
        <v>12</v>
      </c>
    </row>
    <row r="2914" spans="1:11" hidden="1" x14ac:dyDescent="0.3">
      <c r="A2914" s="1005">
        <v>1</v>
      </c>
      <c r="B2914" s="3414">
        <v>44567</v>
      </c>
      <c r="C2914" s="11" t="s">
        <v>138</v>
      </c>
      <c r="D2914" s="11" t="s">
        <v>2657</v>
      </c>
      <c r="E2914" s="11" t="s">
        <v>1720</v>
      </c>
      <c r="F2914" s="2907">
        <v>950000</v>
      </c>
      <c r="G2914" s="11" t="s">
        <v>168</v>
      </c>
      <c r="H2914" s="11" t="s">
        <v>44</v>
      </c>
      <c r="I2914" s="11" t="s">
        <v>271</v>
      </c>
      <c r="J2914" s="11">
        <v>1</v>
      </c>
      <c r="K2914" t="s">
        <v>2567</v>
      </c>
    </row>
    <row r="2915" spans="1:11" hidden="1" x14ac:dyDescent="0.3">
      <c r="A2915" s="1005">
        <v>2</v>
      </c>
      <c r="B2915" s="2" t="s">
        <v>2658</v>
      </c>
      <c r="C2915" s="11" t="s">
        <v>138</v>
      </c>
      <c r="D2915" s="11" t="s">
        <v>2659</v>
      </c>
      <c r="E2915" s="11" t="s">
        <v>787</v>
      </c>
      <c r="F2915" s="2907">
        <v>1100000</v>
      </c>
      <c r="G2915" s="11" t="s">
        <v>2283</v>
      </c>
      <c r="H2915" s="11" t="s">
        <v>44</v>
      </c>
      <c r="I2915" s="11" t="s">
        <v>271</v>
      </c>
      <c r="J2915" s="11">
        <v>1</v>
      </c>
      <c r="K2915" t="s">
        <v>2567</v>
      </c>
    </row>
    <row r="2916" spans="1:11" hidden="1" x14ac:dyDescent="0.3">
      <c r="A2916" s="1005">
        <v>3</v>
      </c>
      <c r="B2916" s="2" t="s">
        <v>2660</v>
      </c>
      <c r="C2916" s="11" t="s">
        <v>138</v>
      </c>
      <c r="D2916" s="11" t="s">
        <v>2661</v>
      </c>
      <c r="E2916" s="11" t="s">
        <v>2437</v>
      </c>
      <c r="F2916" s="2907">
        <v>750000</v>
      </c>
      <c r="G2916" s="11" t="s">
        <v>168</v>
      </c>
      <c r="H2916" s="11" t="s">
        <v>44</v>
      </c>
      <c r="I2916" s="11" t="s">
        <v>271</v>
      </c>
      <c r="J2916" s="11">
        <v>1</v>
      </c>
      <c r="K2916" t="s">
        <v>2567</v>
      </c>
    </row>
    <row r="2917" spans="1:11" hidden="1" x14ac:dyDescent="0.3">
      <c r="A2917" s="1005">
        <v>4</v>
      </c>
      <c r="B2917" s="3414">
        <v>44840</v>
      </c>
      <c r="C2917" s="11" t="s">
        <v>138</v>
      </c>
      <c r="D2917" s="11" t="s">
        <v>2662</v>
      </c>
      <c r="E2917" s="11" t="s">
        <v>2663</v>
      </c>
      <c r="F2917" s="2907">
        <v>1200000</v>
      </c>
      <c r="G2917" s="11" t="s">
        <v>2664</v>
      </c>
      <c r="H2917" s="11" t="s">
        <v>44</v>
      </c>
      <c r="I2917" s="11" t="s">
        <v>271</v>
      </c>
      <c r="J2917" s="11">
        <v>1</v>
      </c>
      <c r="K2917" t="s">
        <v>217</v>
      </c>
    </row>
    <row r="2918" spans="1:11" hidden="1" x14ac:dyDescent="0.3">
      <c r="A2918" s="1005">
        <v>5</v>
      </c>
      <c r="B2918" s="2" t="s">
        <v>2617</v>
      </c>
      <c r="C2918" s="11" t="s">
        <v>138</v>
      </c>
      <c r="D2918" s="11" t="s">
        <v>2665</v>
      </c>
      <c r="E2918" s="11" t="s">
        <v>2663</v>
      </c>
      <c r="F2918" s="2907">
        <v>1350000</v>
      </c>
      <c r="G2918" s="11" t="s">
        <v>2664</v>
      </c>
      <c r="H2918" s="11" t="s">
        <v>36</v>
      </c>
      <c r="I2918" s="11" t="s">
        <v>271</v>
      </c>
      <c r="J2918" s="11">
        <v>1</v>
      </c>
      <c r="K2918" t="s">
        <v>2567</v>
      </c>
    </row>
    <row r="2919" spans="1:11" hidden="1" x14ac:dyDescent="0.3">
      <c r="A2919" s="1005">
        <v>6</v>
      </c>
      <c r="B2919" s="2" t="s">
        <v>2666</v>
      </c>
      <c r="C2919" s="11" t="s">
        <v>219</v>
      </c>
      <c r="D2919" s="11" t="s">
        <v>2667</v>
      </c>
      <c r="E2919" s="11" t="s">
        <v>2668</v>
      </c>
      <c r="F2919" s="2907">
        <v>1800000</v>
      </c>
      <c r="G2919" s="11" t="s">
        <v>168</v>
      </c>
      <c r="H2919" s="11" t="s">
        <v>44</v>
      </c>
      <c r="I2919" s="11" t="s">
        <v>271</v>
      </c>
      <c r="J2919" s="11">
        <v>1</v>
      </c>
      <c r="K2919" t="s">
        <v>217</v>
      </c>
    </row>
    <row r="2920" spans="1:11" hidden="1" x14ac:dyDescent="0.3">
      <c r="A2920" s="1005">
        <v>7</v>
      </c>
      <c r="B2920" s="2"/>
      <c r="C2920" s="11"/>
      <c r="D2920" s="11"/>
      <c r="E2920" s="11"/>
      <c r="F2920" s="2907"/>
      <c r="G2920" s="11"/>
      <c r="H2920" s="11"/>
      <c r="I2920" s="11"/>
      <c r="J2920" s="11"/>
    </row>
    <row r="2921" spans="1:11" hidden="1" x14ac:dyDescent="0.3">
      <c r="A2921" s="1005">
        <v>8</v>
      </c>
      <c r="B2921" s="2"/>
      <c r="C2921" s="11"/>
      <c r="D2921" s="11"/>
      <c r="E2921" s="11"/>
      <c r="F2921" s="2907"/>
      <c r="G2921" s="11"/>
      <c r="H2921" s="11"/>
      <c r="I2921" s="11"/>
      <c r="J2921" s="11"/>
    </row>
    <row r="2922" spans="1:11" hidden="1" x14ac:dyDescent="0.3">
      <c r="A2922" s="1005">
        <v>9</v>
      </c>
      <c r="B2922" s="2"/>
      <c r="C2922" s="11"/>
      <c r="D2922" s="11"/>
      <c r="E2922" s="11"/>
      <c r="F2922" s="2907"/>
      <c r="G2922" s="11"/>
      <c r="H2922" s="11"/>
      <c r="I2922" s="11"/>
      <c r="J2922" s="11"/>
    </row>
    <row r="2923" spans="1:11" hidden="1" x14ac:dyDescent="0.3">
      <c r="A2923" s="1005">
        <v>10</v>
      </c>
      <c r="B2923" s="2"/>
      <c r="C2923" s="11"/>
      <c r="D2923" s="11"/>
      <c r="E2923" s="11"/>
      <c r="F2923" s="2907"/>
      <c r="G2923" s="11"/>
      <c r="H2923" s="11"/>
      <c r="I2923" s="11"/>
      <c r="J2923" s="11"/>
    </row>
    <row r="2924" spans="1:11" hidden="1" x14ac:dyDescent="0.3">
      <c r="A2924" s="1005">
        <v>11</v>
      </c>
      <c r="B2924" s="2"/>
      <c r="C2924" s="11"/>
      <c r="D2924" s="11"/>
      <c r="E2924" s="11"/>
      <c r="F2924" s="2907"/>
      <c r="G2924" s="11"/>
      <c r="H2924" s="11"/>
      <c r="I2924" s="11"/>
      <c r="J2924" s="11"/>
    </row>
    <row r="2925" spans="1:11" hidden="1" x14ac:dyDescent="0.3">
      <c r="A2925" s="1005">
        <v>12</v>
      </c>
      <c r="B2925" s="2"/>
      <c r="C2925" s="11"/>
      <c r="D2925" s="11"/>
      <c r="E2925" s="11"/>
      <c r="F2925" s="2907"/>
      <c r="G2925" s="11"/>
      <c r="H2925" s="11"/>
      <c r="I2925" s="11"/>
      <c r="J2925" s="11"/>
    </row>
    <row r="2926" spans="1:11" hidden="1" x14ac:dyDescent="0.3">
      <c r="A2926" s="1005">
        <v>13</v>
      </c>
      <c r="B2926" s="2"/>
      <c r="C2926" s="11"/>
      <c r="D2926" s="11"/>
      <c r="E2926" s="11"/>
      <c r="F2926" s="11"/>
      <c r="G2926" s="11"/>
      <c r="H2926" s="11"/>
      <c r="I2926" s="11"/>
      <c r="J2926" s="11"/>
    </row>
    <row r="2927" spans="1:11" hidden="1" x14ac:dyDescent="0.3">
      <c r="A2927" s="1005">
        <v>14</v>
      </c>
      <c r="B2927" s="2"/>
      <c r="C2927" s="11"/>
      <c r="D2927" s="11"/>
      <c r="E2927" s="11"/>
      <c r="F2927" s="11"/>
      <c r="G2927" s="11"/>
      <c r="H2927" s="11"/>
      <c r="I2927" s="11"/>
      <c r="J2927" s="11"/>
    </row>
    <row r="2928" spans="1:11" hidden="1" x14ac:dyDescent="0.3"/>
    <row r="2929" spans="1:10" ht="24.6" hidden="1" x14ac:dyDescent="0.4">
      <c r="A2929" s="3462" t="s">
        <v>2003</v>
      </c>
      <c r="B2929" s="3462"/>
      <c r="C2929" s="3462"/>
      <c r="D2929" s="3462"/>
      <c r="E2929" s="3462"/>
      <c r="F2929" s="3462"/>
      <c r="G2929" s="3462"/>
      <c r="H2929" s="3462"/>
      <c r="I2929" s="3462"/>
      <c r="J2929" s="3462"/>
    </row>
    <row r="2930" spans="1:10" hidden="1" x14ac:dyDescent="0.3">
      <c r="A2930" s="147" t="s">
        <v>3</v>
      </c>
      <c r="B2930" s="3397" t="s">
        <v>4</v>
      </c>
      <c r="C2930" s="147" t="s">
        <v>5</v>
      </c>
      <c r="D2930" s="147" t="s">
        <v>6</v>
      </c>
      <c r="E2930" s="147" t="s">
        <v>7</v>
      </c>
      <c r="F2930" s="147" t="s">
        <v>8</v>
      </c>
      <c r="G2930" s="147" t="s">
        <v>9</v>
      </c>
      <c r="H2930" s="147" t="s">
        <v>10</v>
      </c>
      <c r="I2930" s="147" t="s">
        <v>11</v>
      </c>
      <c r="J2930" s="147" t="s">
        <v>12</v>
      </c>
    </row>
    <row r="2931" spans="1:10" ht="15.6" hidden="1" x14ac:dyDescent="0.3">
      <c r="A2931" s="2">
        <v>1</v>
      </c>
      <c r="B2931" s="3414" t="s">
        <v>2525</v>
      </c>
      <c r="C2931" s="160" t="s">
        <v>37</v>
      </c>
      <c r="D2931" s="1426" t="s">
        <v>2669</v>
      </c>
      <c r="E2931" s="160" t="s">
        <v>904</v>
      </c>
      <c r="F2931" s="2923">
        <v>332000000</v>
      </c>
      <c r="G2931" s="160" t="s">
        <v>2070</v>
      </c>
      <c r="H2931" s="160" t="s">
        <v>44</v>
      </c>
      <c r="I2931" s="160" t="s">
        <v>36</v>
      </c>
      <c r="J2931" s="11">
        <v>1</v>
      </c>
    </row>
    <row r="2932" spans="1:10" ht="15.6" hidden="1" x14ac:dyDescent="0.3">
      <c r="A2932" s="2">
        <v>2</v>
      </c>
      <c r="B2932" s="3414" t="s">
        <v>2582</v>
      </c>
      <c r="C2932" s="160" t="s">
        <v>37</v>
      </c>
      <c r="D2932" s="1426" t="s">
        <v>2670</v>
      </c>
      <c r="E2932" s="160" t="s">
        <v>787</v>
      </c>
      <c r="F2932" s="2923">
        <v>268000000</v>
      </c>
      <c r="G2932" s="160" t="s">
        <v>168</v>
      </c>
      <c r="H2932" s="160" t="s">
        <v>44</v>
      </c>
      <c r="I2932" s="160" t="s">
        <v>36</v>
      </c>
      <c r="J2932" s="11">
        <v>1</v>
      </c>
    </row>
    <row r="2933" spans="1:10" hidden="1" x14ac:dyDescent="0.3">
      <c r="A2933" s="2">
        <v>3</v>
      </c>
      <c r="B2933" s="3414" t="s">
        <v>2582</v>
      </c>
      <c r="C2933" s="160" t="s">
        <v>37</v>
      </c>
      <c r="D2933" s="11" t="s">
        <v>2671</v>
      </c>
      <c r="E2933" s="11" t="s">
        <v>840</v>
      </c>
      <c r="F2933" s="2923">
        <v>340000000</v>
      </c>
      <c r="G2933" s="11" t="s">
        <v>168</v>
      </c>
      <c r="H2933" s="11" t="s">
        <v>44</v>
      </c>
      <c r="I2933" s="11" t="s">
        <v>271</v>
      </c>
      <c r="J2933" s="11">
        <v>1</v>
      </c>
    </row>
    <row r="2934" spans="1:10" hidden="1" x14ac:dyDescent="0.3">
      <c r="A2934" s="2">
        <v>4</v>
      </c>
      <c r="B2934" s="3414">
        <v>44567</v>
      </c>
      <c r="C2934" s="160" t="s">
        <v>37</v>
      </c>
      <c r="D2934" s="11" t="s">
        <v>2657</v>
      </c>
      <c r="E2934" s="11" t="s">
        <v>1720</v>
      </c>
      <c r="F2934" s="2923">
        <v>950000</v>
      </c>
      <c r="G2934" s="11" t="s">
        <v>168</v>
      </c>
      <c r="H2934" s="11" t="s">
        <v>44</v>
      </c>
      <c r="I2934" s="11" t="s">
        <v>271</v>
      </c>
      <c r="J2934" s="11">
        <v>1</v>
      </c>
    </row>
    <row r="2935" spans="1:10" hidden="1" x14ac:dyDescent="0.3"/>
    <row r="2936" spans="1:10" ht="23.4" hidden="1" x14ac:dyDescent="0.3">
      <c r="A2936" s="3460" t="s">
        <v>118</v>
      </c>
      <c r="B2936" s="3460"/>
      <c r="C2936" s="3460"/>
      <c r="D2936" s="3460"/>
      <c r="E2936" s="3460"/>
      <c r="F2936" s="3460"/>
      <c r="G2936" s="3460"/>
      <c r="H2936" s="3460"/>
      <c r="I2936" s="3460"/>
      <c r="J2936" s="3460"/>
    </row>
    <row r="2937" spans="1:10" ht="15.6" hidden="1" x14ac:dyDescent="0.3">
      <c r="A2937" s="3461" t="s">
        <v>2</v>
      </c>
      <c r="B2937" s="3461"/>
      <c r="C2937" s="3461"/>
      <c r="D2937" s="3461"/>
      <c r="E2937" s="3461"/>
      <c r="F2937" s="3461"/>
      <c r="G2937" s="3461"/>
      <c r="H2937" s="3461"/>
      <c r="I2937" s="3461"/>
      <c r="J2937" s="3461"/>
    </row>
    <row r="2938" spans="1:10" hidden="1" x14ac:dyDescent="0.3">
      <c r="A2938" s="147" t="s">
        <v>3</v>
      </c>
      <c r="B2938" s="3397" t="s">
        <v>4</v>
      </c>
      <c r="C2938" s="147" t="s">
        <v>5</v>
      </c>
      <c r="D2938" s="147" t="s">
        <v>6</v>
      </c>
      <c r="E2938" s="147" t="s">
        <v>7</v>
      </c>
      <c r="F2938" s="2893" t="s">
        <v>8</v>
      </c>
      <c r="G2938" s="147" t="s">
        <v>9</v>
      </c>
      <c r="H2938" s="147" t="s">
        <v>2243</v>
      </c>
      <c r="I2938" s="147" t="s">
        <v>11</v>
      </c>
      <c r="J2938" s="147" t="s">
        <v>12</v>
      </c>
    </row>
    <row r="2939" spans="1:10" hidden="1" x14ac:dyDescent="0.3">
      <c r="A2939" s="51">
        <v>1</v>
      </c>
      <c r="B2939" s="3391" t="s">
        <v>2617</v>
      </c>
      <c r="C2939" s="34" t="s">
        <v>138</v>
      </c>
      <c r="D2939" s="34" t="s">
        <v>2672</v>
      </c>
      <c r="E2939" s="34" t="s">
        <v>1130</v>
      </c>
      <c r="F2939" s="2961">
        <v>1300000</v>
      </c>
      <c r="G2939" s="34" t="s">
        <v>168</v>
      </c>
      <c r="H2939" s="34" t="s">
        <v>44</v>
      </c>
      <c r="I2939" s="34" t="s">
        <v>271</v>
      </c>
      <c r="J2939" s="34">
        <v>1</v>
      </c>
    </row>
    <row r="2940" spans="1:10" hidden="1" x14ac:dyDescent="0.3">
      <c r="A2940" s="51">
        <v>2</v>
      </c>
      <c r="B2940" s="51"/>
      <c r="C2940" s="34"/>
      <c r="D2940" s="34"/>
      <c r="E2940" s="34"/>
      <c r="F2940" s="34"/>
      <c r="G2940" s="34"/>
      <c r="H2940" s="34"/>
      <c r="I2940" s="34"/>
      <c r="J2940" s="34"/>
    </row>
    <row r="2941" spans="1:10" hidden="1" x14ac:dyDescent="0.3">
      <c r="A2941" s="51">
        <v>3</v>
      </c>
      <c r="B2941" s="51"/>
      <c r="C2941" s="34"/>
      <c r="D2941" s="34"/>
      <c r="E2941" s="34"/>
      <c r="F2941" s="34"/>
      <c r="G2941" s="34"/>
      <c r="H2941" s="34"/>
      <c r="I2941" s="34"/>
      <c r="J2941" s="34"/>
    </row>
    <row r="2942" spans="1:10" hidden="1" x14ac:dyDescent="0.3"/>
    <row r="2943" spans="1:10" hidden="1" x14ac:dyDescent="0.3"/>
    <row r="2944" spans="1:10" x14ac:dyDescent="0.3">
      <c r="A2944" s="3463" t="s">
        <v>2673</v>
      </c>
      <c r="B2944" s="3464"/>
      <c r="C2944" s="3464"/>
      <c r="D2944" s="3464"/>
      <c r="E2944" s="3464"/>
      <c r="F2944" s="3464"/>
      <c r="G2944" s="3464"/>
      <c r="H2944" s="3464"/>
      <c r="I2944" s="3464"/>
      <c r="J2944" s="3464"/>
    </row>
    <row r="2945" spans="1:11" x14ac:dyDescent="0.3">
      <c r="A2945" s="3464"/>
      <c r="B2945" s="3464"/>
      <c r="C2945" s="3464"/>
      <c r="D2945" s="3464"/>
      <c r="E2945" s="3464"/>
      <c r="F2945" s="3464"/>
      <c r="G2945" s="3464"/>
      <c r="H2945" s="3464"/>
      <c r="I2945" s="3464"/>
      <c r="J2945" s="3464"/>
    </row>
    <row r="2947" spans="1:11" ht="23.4" x14ac:dyDescent="0.3">
      <c r="A2947" s="3460" t="s">
        <v>527</v>
      </c>
      <c r="B2947" s="3460"/>
      <c r="C2947" s="3460"/>
      <c r="D2947" s="3460"/>
      <c r="E2947" s="3460"/>
      <c r="F2947" s="3460"/>
      <c r="G2947" s="3460"/>
      <c r="H2947" s="3460"/>
      <c r="I2947" s="3460"/>
      <c r="J2947" s="3460"/>
    </row>
    <row r="2948" spans="1:11" ht="15.6" x14ac:dyDescent="0.3">
      <c r="A2948" s="3461" t="s">
        <v>2</v>
      </c>
      <c r="B2948" s="3461"/>
      <c r="C2948" s="3461"/>
      <c r="D2948" s="3461"/>
      <c r="E2948" s="3461"/>
      <c r="F2948" s="3461"/>
      <c r="G2948" s="3461"/>
      <c r="H2948" s="3461"/>
      <c r="I2948" s="3461"/>
      <c r="J2948" s="3461"/>
    </row>
    <row r="2949" spans="1:11" x14ac:dyDescent="0.3">
      <c r="A2949" s="137" t="s">
        <v>3</v>
      </c>
      <c r="B2949" s="3397" t="s">
        <v>4</v>
      </c>
      <c r="C2949" s="147" t="s">
        <v>5</v>
      </c>
      <c r="D2949" s="147" t="s">
        <v>6</v>
      </c>
      <c r="E2949" s="147" t="s">
        <v>7</v>
      </c>
      <c r="F2949" s="2893" t="s">
        <v>8</v>
      </c>
      <c r="G2949" s="147" t="s">
        <v>9</v>
      </c>
      <c r="H2949" s="147" t="s">
        <v>2243</v>
      </c>
      <c r="I2949" s="147" t="s">
        <v>11</v>
      </c>
      <c r="J2949" s="147" t="s">
        <v>12</v>
      </c>
    </row>
    <row r="2950" spans="1:11" x14ac:dyDescent="0.3">
      <c r="A2950" s="1005">
        <v>1</v>
      </c>
      <c r="B2950" s="51" t="s">
        <v>2674</v>
      </c>
      <c r="C2950" s="34" t="s">
        <v>74</v>
      </c>
      <c r="D2950" s="34" t="s">
        <v>2675</v>
      </c>
      <c r="E2950" s="34" t="s">
        <v>1066</v>
      </c>
      <c r="F2950" s="34">
        <v>1000000</v>
      </c>
      <c r="G2950" s="34" t="s">
        <v>168</v>
      </c>
      <c r="H2950" s="34" t="s">
        <v>44</v>
      </c>
      <c r="I2950" s="34" t="s">
        <v>271</v>
      </c>
      <c r="J2950" s="34">
        <v>1</v>
      </c>
      <c r="K2950" t="s">
        <v>2567</v>
      </c>
    </row>
    <row r="2951" spans="1:11" x14ac:dyDescent="0.3">
      <c r="A2951" s="1005">
        <v>2</v>
      </c>
      <c r="B2951" s="51" t="s">
        <v>2674</v>
      </c>
      <c r="C2951" s="34" t="s">
        <v>37</v>
      </c>
      <c r="D2951" s="34" t="s">
        <v>2676</v>
      </c>
      <c r="E2951" s="34" t="s">
        <v>1751</v>
      </c>
      <c r="F2951" s="34">
        <v>850000</v>
      </c>
      <c r="G2951" s="34" t="s">
        <v>2645</v>
      </c>
      <c r="H2951" s="34" t="s">
        <v>44</v>
      </c>
      <c r="I2951" s="34" t="s">
        <v>271</v>
      </c>
      <c r="J2951" s="34">
        <v>1</v>
      </c>
      <c r="K2951" t="s">
        <v>217</v>
      </c>
    </row>
    <row r="2952" spans="1:11" x14ac:dyDescent="0.3">
      <c r="A2952" s="1005">
        <v>3</v>
      </c>
      <c r="B2952" s="51" t="s">
        <v>2674</v>
      </c>
      <c r="C2952" s="34" t="s">
        <v>37</v>
      </c>
      <c r="D2952" s="34" t="s">
        <v>2429</v>
      </c>
      <c r="E2952" s="34" t="s">
        <v>784</v>
      </c>
      <c r="F2952" s="34">
        <v>1100000</v>
      </c>
      <c r="G2952" s="34" t="s">
        <v>2677</v>
      </c>
      <c r="H2952" s="34" t="s">
        <v>36</v>
      </c>
      <c r="I2952" s="34" t="s">
        <v>271</v>
      </c>
      <c r="J2952" s="34">
        <v>1</v>
      </c>
      <c r="K2952" t="s">
        <v>2567</v>
      </c>
    </row>
    <row r="2953" spans="1:11" x14ac:dyDescent="0.3">
      <c r="A2953" s="1005">
        <v>4</v>
      </c>
      <c r="B2953" s="51" t="s">
        <v>2674</v>
      </c>
      <c r="C2953" s="34" t="s">
        <v>37</v>
      </c>
      <c r="D2953" s="34" t="s">
        <v>2678</v>
      </c>
      <c r="E2953" s="34" t="s">
        <v>1066</v>
      </c>
      <c r="F2953" s="34">
        <v>1000000</v>
      </c>
      <c r="G2953" s="34" t="s">
        <v>168</v>
      </c>
      <c r="H2953" s="34" t="s">
        <v>44</v>
      </c>
      <c r="I2953" s="34" t="s">
        <v>44</v>
      </c>
      <c r="J2953" s="34">
        <v>1</v>
      </c>
      <c r="K2953" t="s">
        <v>217</v>
      </c>
    </row>
    <row r="2954" spans="1:11" x14ac:dyDescent="0.3">
      <c r="A2954" s="1005">
        <v>5</v>
      </c>
      <c r="B2954" s="51" t="s">
        <v>2679</v>
      </c>
      <c r="C2954" s="34" t="s">
        <v>1881</v>
      </c>
      <c r="D2954" s="34" t="s">
        <v>2680</v>
      </c>
      <c r="E2954" s="34" t="s">
        <v>1564</v>
      </c>
      <c r="F2954" s="34">
        <v>800000</v>
      </c>
      <c r="G2954" s="34" t="s">
        <v>168</v>
      </c>
      <c r="H2954" s="34" t="s">
        <v>44</v>
      </c>
      <c r="I2954" s="34" t="s">
        <v>271</v>
      </c>
      <c r="J2954" s="34">
        <v>1</v>
      </c>
      <c r="K2954" t="s">
        <v>2567</v>
      </c>
    </row>
    <row r="2955" spans="1:11" x14ac:dyDescent="0.3">
      <c r="A2955" s="1005">
        <v>6</v>
      </c>
      <c r="B2955" s="3391">
        <v>44688</v>
      </c>
      <c r="C2955" s="34" t="s">
        <v>138</v>
      </c>
      <c r="D2955" s="34" t="s">
        <v>2556</v>
      </c>
      <c r="E2955" s="34" t="s">
        <v>76</v>
      </c>
      <c r="F2955" s="34">
        <v>1500000</v>
      </c>
      <c r="G2955" s="34" t="s">
        <v>1223</v>
      </c>
      <c r="H2955" s="34" t="s">
        <v>44</v>
      </c>
      <c r="I2955" s="34" t="s">
        <v>271</v>
      </c>
      <c r="J2955" s="34">
        <v>1</v>
      </c>
      <c r="K2955" t="s">
        <v>217</v>
      </c>
    </row>
    <row r="2956" spans="1:11" x14ac:dyDescent="0.3">
      <c r="A2956" s="1005">
        <v>7</v>
      </c>
      <c r="B2956" s="3391">
        <v>44719</v>
      </c>
      <c r="C2956" s="34" t="s">
        <v>138</v>
      </c>
      <c r="D2956" s="34" t="s">
        <v>2681</v>
      </c>
      <c r="E2956" s="34" t="s">
        <v>1130</v>
      </c>
      <c r="F2956" s="34">
        <v>1150000</v>
      </c>
      <c r="G2956" s="34" t="s">
        <v>2410</v>
      </c>
      <c r="H2956" s="34" t="s">
        <v>36</v>
      </c>
      <c r="I2956" s="34" t="s">
        <v>271</v>
      </c>
      <c r="J2956" s="34">
        <v>1</v>
      </c>
      <c r="K2956" t="s">
        <v>217</v>
      </c>
    </row>
    <row r="2957" spans="1:11" x14ac:dyDescent="0.3">
      <c r="A2957" s="1005">
        <v>8</v>
      </c>
      <c r="B2957" s="3391">
        <v>44780</v>
      </c>
      <c r="C2957" s="34" t="s">
        <v>138</v>
      </c>
      <c r="D2957" s="34" t="s">
        <v>2682</v>
      </c>
      <c r="E2957" s="34" t="s">
        <v>1130</v>
      </c>
      <c r="F2957" s="34">
        <v>1300000</v>
      </c>
      <c r="G2957" s="34" t="s">
        <v>2410</v>
      </c>
      <c r="H2957" s="34" t="s">
        <v>36</v>
      </c>
      <c r="I2957" s="34" t="s">
        <v>271</v>
      </c>
      <c r="J2957" s="34">
        <v>1</v>
      </c>
      <c r="K2957" t="s">
        <v>217</v>
      </c>
    </row>
    <row r="2958" spans="1:11" x14ac:dyDescent="0.3">
      <c r="A2958" s="1005">
        <v>9</v>
      </c>
      <c r="B2958" s="3391">
        <v>44902</v>
      </c>
      <c r="C2958" s="34" t="s">
        <v>138</v>
      </c>
      <c r="D2958" s="34" t="s">
        <v>2683</v>
      </c>
      <c r="E2958" s="34" t="s">
        <v>76</v>
      </c>
      <c r="F2958" s="34">
        <v>1150000</v>
      </c>
      <c r="G2958" s="34" t="s">
        <v>1632</v>
      </c>
      <c r="H2958" s="34" t="s">
        <v>44</v>
      </c>
      <c r="I2958" s="34" t="s">
        <v>271</v>
      </c>
      <c r="J2958" s="34">
        <v>1</v>
      </c>
      <c r="K2958" t="s">
        <v>217</v>
      </c>
    </row>
    <row r="2959" spans="1:11" x14ac:dyDescent="0.3">
      <c r="A2959" s="1005">
        <v>10</v>
      </c>
      <c r="B2959" s="51" t="s">
        <v>2684</v>
      </c>
      <c r="C2959" s="34" t="s">
        <v>138</v>
      </c>
      <c r="D2959" s="34" t="s">
        <v>2685</v>
      </c>
      <c r="E2959" s="34" t="s">
        <v>787</v>
      </c>
      <c r="F2959" s="34">
        <v>1300000</v>
      </c>
      <c r="G2959" s="34" t="s">
        <v>703</v>
      </c>
      <c r="H2959" s="34" t="s">
        <v>44</v>
      </c>
      <c r="I2959" s="34" t="s">
        <v>271</v>
      </c>
      <c r="J2959" s="34">
        <v>1</v>
      </c>
      <c r="K2959" t="s">
        <v>217</v>
      </c>
    </row>
    <row r="2960" spans="1:11" x14ac:dyDescent="0.3">
      <c r="A2960" s="1005">
        <v>11</v>
      </c>
      <c r="B2960" s="51" t="s">
        <v>2686</v>
      </c>
      <c r="C2960" s="34" t="s">
        <v>138</v>
      </c>
      <c r="D2960" s="34" t="s">
        <v>2687</v>
      </c>
      <c r="E2960" s="34" t="s">
        <v>840</v>
      </c>
      <c r="F2960" s="34">
        <v>850000</v>
      </c>
      <c r="G2960" s="34" t="s">
        <v>2688</v>
      </c>
      <c r="H2960" s="34" t="s">
        <v>36</v>
      </c>
      <c r="I2960" s="34" t="s">
        <v>271</v>
      </c>
      <c r="J2960" s="34">
        <v>1</v>
      </c>
      <c r="K2960" t="s">
        <v>217</v>
      </c>
    </row>
    <row r="2961" spans="1:11" x14ac:dyDescent="0.3">
      <c r="A2961" s="1005">
        <v>12</v>
      </c>
      <c r="B2961" s="51" t="s">
        <v>2689</v>
      </c>
      <c r="C2961" s="34" t="s">
        <v>1971</v>
      </c>
      <c r="D2961" s="34" t="s">
        <v>538</v>
      </c>
      <c r="E2961" s="34" t="s">
        <v>76</v>
      </c>
      <c r="F2961" s="34">
        <v>1150000</v>
      </c>
      <c r="G2961" s="34" t="s">
        <v>1223</v>
      </c>
      <c r="H2961" s="34" t="s">
        <v>36</v>
      </c>
      <c r="I2961" s="34" t="s">
        <v>2690</v>
      </c>
      <c r="J2961" s="34">
        <v>1</v>
      </c>
    </row>
    <row r="2962" spans="1:11" x14ac:dyDescent="0.3">
      <c r="A2962" s="1005">
        <v>13</v>
      </c>
      <c r="B2962" s="51" t="s">
        <v>2689</v>
      </c>
      <c r="C2962" s="34" t="s">
        <v>138</v>
      </c>
      <c r="D2962" s="34" t="s">
        <v>2691</v>
      </c>
      <c r="E2962" s="34" t="s">
        <v>76</v>
      </c>
      <c r="F2962" s="34"/>
      <c r="G2962" s="34"/>
      <c r="H2962" s="34"/>
      <c r="I2962" s="34"/>
      <c r="J2962" s="34">
        <v>1</v>
      </c>
    </row>
    <row r="2963" spans="1:11" x14ac:dyDescent="0.3">
      <c r="A2963" s="1005">
        <v>14</v>
      </c>
      <c r="B2963" s="51" t="s">
        <v>2692</v>
      </c>
      <c r="C2963" s="34" t="s">
        <v>138</v>
      </c>
      <c r="D2963" s="34" t="s">
        <v>2693</v>
      </c>
      <c r="E2963" s="34" t="s">
        <v>1838</v>
      </c>
      <c r="F2963" s="34">
        <v>1200000</v>
      </c>
      <c r="G2963" s="34" t="s">
        <v>2694</v>
      </c>
      <c r="H2963" s="34" t="s">
        <v>44</v>
      </c>
      <c r="I2963" s="34" t="s">
        <v>271</v>
      </c>
      <c r="J2963" s="34">
        <v>1</v>
      </c>
    </row>
    <row r="2964" spans="1:11" x14ac:dyDescent="0.3">
      <c r="B2964" s="3167"/>
      <c r="C2964" s="511"/>
      <c r="D2964" s="511"/>
      <c r="E2964" s="511"/>
      <c r="F2964" s="511"/>
      <c r="G2964" s="511"/>
      <c r="H2964" s="511"/>
      <c r="I2964" s="511"/>
      <c r="J2964" s="511"/>
    </row>
    <row r="2965" spans="1:11" x14ac:dyDescent="0.3">
      <c r="J2965">
        <f>SUM(J2950:J2964)</f>
        <v>14</v>
      </c>
    </row>
    <row r="2966" spans="1:11" ht="24.6" x14ac:dyDescent="0.4">
      <c r="A2966" s="3462" t="s">
        <v>2003</v>
      </c>
      <c r="B2966" s="3462"/>
      <c r="C2966" s="3462"/>
      <c r="D2966" s="3462"/>
      <c r="E2966" s="3462"/>
      <c r="F2966" s="3462"/>
      <c r="G2966" s="3462"/>
      <c r="H2966" s="3462"/>
      <c r="I2966" s="3462"/>
      <c r="J2966" s="3462"/>
    </row>
    <row r="2967" spans="1:11" x14ac:dyDescent="0.3">
      <c r="A2967" s="3057" t="s">
        <v>3</v>
      </c>
      <c r="B2967" s="3416" t="s">
        <v>4</v>
      </c>
      <c r="C2967" s="3057" t="s">
        <v>5</v>
      </c>
      <c r="D2967" s="3057" t="s">
        <v>6</v>
      </c>
      <c r="E2967" s="3057" t="s">
        <v>7</v>
      </c>
      <c r="F2967" s="3057" t="s">
        <v>8</v>
      </c>
      <c r="G2967" s="3057" t="s">
        <v>9</v>
      </c>
      <c r="H2967" s="3057" t="s">
        <v>10</v>
      </c>
      <c r="I2967" s="3057" t="s">
        <v>11</v>
      </c>
      <c r="J2967" s="3057" t="s">
        <v>12</v>
      </c>
    </row>
    <row r="2968" spans="1:11" ht="15.6" x14ac:dyDescent="0.3">
      <c r="A2968" s="3058">
        <v>1</v>
      </c>
      <c r="B2968" s="3417" t="s">
        <v>2684</v>
      </c>
      <c r="C2968" s="3008" t="s">
        <v>37</v>
      </c>
      <c r="D2968" s="3009" t="s">
        <v>2691</v>
      </c>
      <c r="E2968" s="3008" t="s">
        <v>76</v>
      </c>
      <c r="F2968" s="3012">
        <v>240000000</v>
      </c>
      <c r="G2968" s="3008" t="s">
        <v>1004</v>
      </c>
      <c r="H2968" s="3008" t="s">
        <v>44</v>
      </c>
      <c r="I2968" s="3008" t="s">
        <v>271</v>
      </c>
      <c r="J2968" s="2983">
        <v>1</v>
      </c>
    </row>
    <row r="2969" spans="1:11" ht="15.6" x14ac:dyDescent="0.3">
      <c r="A2969" s="3058">
        <v>2</v>
      </c>
      <c r="B2969" s="3417" t="s">
        <v>2684</v>
      </c>
      <c r="C2969" s="3008" t="s">
        <v>37</v>
      </c>
      <c r="D2969" s="3009" t="s">
        <v>2683</v>
      </c>
      <c r="E2969" s="3008" t="s">
        <v>76</v>
      </c>
      <c r="F2969" s="3012">
        <v>190000000</v>
      </c>
      <c r="G2969" s="3008" t="s">
        <v>1632</v>
      </c>
      <c r="H2969" s="3008" t="s">
        <v>44</v>
      </c>
      <c r="I2969" s="3008" t="s">
        <v>271</v>
      </c>
      <c r="J2969" s="2983">
        <v>1</v>
      </c>
    </row>
    <row r="2970" spans="1:11" x14ac:dyDescent="0.3">
      <c r="A2970" s="3058">
        <v>3</v>
      </c>
      <c r="B2970" s="3417" t="s">
        <v>2686</v>
      </c>
      <c r="C2970" s="3008" t="s">
        <v>37</v>
      </c>
      <c r="D2970" s="3008" t="s">
        <v>2695</v>
      </c>
      <c r="E2970" s="3008" t="s">
        <v>1066</v>
      </c>
      <c r="F2970" s="3012">
        <v>110000000</v>
      </c>
      <c r="G2970" s="3008" t="s">
        <v>2410</v>
      </c>
      <c r="H2970" s="3008" t="s">
        <v>44</v>
      </c>
      <c r="I2970" s="3008" t="s">
        <v>271</v>
      </c>
      <c r="J2970" s="2983">
        <v>1</v>
      </c>
    </row>
    <row r="2972" spans="1:11" ht="23.4" x14ac:dyDescent="0.3">
      <c r="A2972" s="3460" t="s">
        <v>2073</v>
      </c>
      <c r="B2972" s="3460"/>
      <c r="C2972" s="3460"/>
      <c r="D2972" s="3460"/>
      <c r="E2972" s="3460"/>
      <c r="F2972" s="3460"/>
      <c r="G2972" s="3460"/>
      <c r="H2972" s="3460"/>
      <c r="I2972" s="3460"/>
      <c r="J2972" s="3460"/>
    </row>
    <row r="2973" spans="1:11" ht="15.6" x14ac:dyDescent="0.3">
      <c r="A2973" s="3461" t="s">
        <v>2</v>
      </c>
      <c r="B2973" s="3461"/>
      <c r="C2973" s="3461"/>
      <c r="D2973" s="3461"/>
      <c r="E2973" s="3461"/>
      <c r="F2973" s="3461"/>
      <c r="G2973" s="3461"/>
      <c r="H2973" s="3461"/>
      <c r="I2973" s="3461"/>
      <c r="J2973" s="3461"/>
    </row>
    <row r="2974" spans="1:11" x14ac:dyDescent="0.3">
      <c r="A2974" s="137" t="s">
        <v>3</v>
      </c>
      <c r="B2974" s="3397" t="s">
        <v>4</v>
      </c>
      <c r="C2974" s="147" t="s">
        <v>5</v>
      </c>
      <c r="D2974" s="147" t="s">
        <v>6</v>
      </c>
      <c r="E2974" s="147" t="s">
        <v>7</v>
      </c>
      <c r="F2974" s="2893" t="s">
        <v>8</v>
      </c>
      <c r="G2974" s="147" t="s">
        <v>9</v>
      </c>
      <c r="H2974" s="147" t="s">
        <v>2243</v>
      </c>
      <c r="I2974" s="147" t="s">
        <v>11</v>
      </c>
      <c r="J2974" s="147" t="s">
        <v>12</v>
      </c>
    </row>
    <row r="2975" spans="1:11" x14ac:dyDescent="0.3">
      <c r="A2975" s="1005">
        <v>7</v>
      </c>
      <c r="B2975" s="3414">
        <v>44719</v>
      </c>
      <c r="C2975" s="11" t="s">
        <v>37</v>
      </c>
      <c r="D2975" s="11" t="s">
        <v>2696</v>
      </c>
      <c r="E2975" s="11" t="s">
        <v>76</v>
      </c>
      <c r="F2975" s="2907">
        <v>1400000</v>
      </c>
      <c r="G2975" s="11" t="s">
        <v>2539</v>
      </c>
      <c r="H2975" s="11" t="s">
        <v>36</v>
      </c>
      <c r="I2975" s="11" t="s">
        <v>271</v>
      </c>
      <c r="J2975" s="11">
        <v>1</v>
      </c>
      <c r="K2975" t="s">
        <v>2567</v>
      </c>
    </row>
    <row r="2976" spans="1:11" x14ac:dyDescent="0.3">
      <c r="A2976" s="1005">
        <v>2</v>
      </c>
      <c r="B2976" s="3414">
        <v>44719</v>
      </c>
      <c r="C2976" s="11" t="s">
        <v>37</v>
      </c>
      <c r="D2976" s="11" t="s">
        <v>2697</v>
      </c>
      <c r="E2976" s="11" t="s">
        <v>1967</v>
      </c>
      <c r="F2976" s="2907">
        <v>1100000</v>
      </c>
      <c r="G2976" s="11" t="s">
        <v>168</v>
      </c>
      <c r="H2976" s="11" t="s">
        <v>44</v>
      </c>
      <c r="I2976" s="11" t="s">
        <v>271</v>
      </c>
      <c r="J2976" s="11">
        <v>1</v>
      </c>
      <c r="K2976" t="s">
        <v>217</v>
      </c>
    </row>
    <row r="2977" spans="1:11" x14ac:dyDescent="0.3">
      <c r="A2977" s="1005">
        <v>3</v>
      </c>
      <c r="B2977" s="3414">
        <v>44780</v>
      </c>
      <c r="C2977" s="11" t="s">
        <v>37</v>
      </c>
      <c r="D2977" s="11" t="s">
        <v>2698</v>
      </c>
      <c r="E2977" s="11" t="s">
        <v>2699</v>
      </c>
      <c r="F2977" s="2907">
        <v>1250000</v>
      </c>
      <c r="G2977" s="11" t="s">
        <v>2200</v>
      </c>
      <c r="H2977" s="11" t="s">
        <v>44</v>
      </c>
      <c r="I2977" s="11" t="s">
        <v>271</v>
      </c>
      <c r="J2977" s="11">
        <v>1</v>
      </c>
      <c r="K2977" t="s">
        <v>217</v>
      </c>
    </row>
    <row r="2978" spans="1:11" x14ac:dyDescent="0.3">
      <c r="A2978" s="1005">
        <v>4</v>
      </c>
      <c r="B2978" s="3414">
        <v>44780</v>
      </c>
      <c r="C2978" s="11" t="s">
        <v>37</v>
      </c>
      <c r="D2978" s="11" t="s">
        <v>849</v>
      </c>
      <c r="E2978" s="11" t="s">
        <v>962</v>
      </c>
      <c r="F2978" s="2907">
        <v>1400000</v>
      </c>
      <c r="G2978" s="11" t="s">
        <v>2700</v>
      </c>
      <c r="H2978" s="11" t="s">
        <v>44</v>
      </c>
      <c r="I2978" s="11" t="s">
        <v>271</v>
      </c>
      <c r="J2978" s="11">
        <v>1</v>
      </c>
      <c r="K2978" t="s">
        <v>2567</v>
      </c>
    </row>
    <row r="2979" spans="1:11" x14ac:dyDescent="0.3">
      <c r="A2979" s="1005">
        <v>5</v>
      </c>
      <c r="B2979" s="3414" t="s">
        <v>2684</v>
      </c>
      <c r="C2979" s="11" t="s">
        <v>37</v>
      </c>
      <c r="D2979" s="11" t="s">
        <v>2701</v>
      </c>
      <c r="E2979" s="11" t="s">
        <v>1130</v>
      </c>
      <c r="F2979" s="2907">
        <v>1300000</v>
      </c>
      <c r="G2979" s="11" t="s">
        <v>2702</v>
      </c>
      <c r="H2979" s="11" t="s">
        <v>44</v>
      </c>
      <c r="I2979" s="11" t="s">
        <v>271</v>
      </c>
      <c r="J2979" s="11">
        <v>1</v>
      </c>
      <c r="K2979" t="s">
        <v>217</v>
      </c>
    </row>
    <row r="2980" spans="1:11" x14ac:dyDescent="0.3">
      <c r="A2980" s="1005">
        <v>6</v>
      </c>
      <c r="B2980" s="3414" t="s">
        <v>2684</v>
      </c>
      <c r="C2980" s="11" t="s">
        <v>37</v>
      </c>
      <c r="D2980" s="11" t="s">
        <v>2703</v>
      </c>
      <c r="E2980" s="11" t="s">
        <v>1130</v>
      </c>
      <c r="F2980" s="2907">
        <v>1300000</v>
      </c>
      <c r="G2980" s="11" t="s">
        <v>2347</v>
      </c>
      <c r="H2980" s="11" t="s">
        <v>44</v>
      </c>
      <c r="I2980" s="11" t="s">
        <v>271</v>
      </c>
      <c r="J2980" s="11">
        <v>1</v>
      </c>
      <c r="K2980" t="s">
        <v>217</v>
      </c>
    </row>
    <row r="2981" spans="1:11" x14ac:dyDescent="0.3">
      <c r="A2981" s="1005">
        <v>7</v>
      </c>
      <c r="B2981" s="3414" t="s">
        <v>2704</v>
      </c>
      <c r="C2981" s="11" t="s">
        <v>37</v>
      </c>
      <c r="D2981" s="11" t="s">
        <v>2705</v>
      </c>
      <c r="E2981" s="11" t="s">
        <v>180</v>
      </c>
      <c r="F2981" s="2907">
        <v>1600000</v>
      </c>
      <c r="G2981" s="11"/>
      <c r="H2981" s="11" t="s">
        <v>44</v>
      </c>
      <c r="I2981" s="11" t="s">
        <v>271</v>
      </c>
      <c r="J2981" s="11">
        <v>1</v>
      </c>
      <c r="K2981" t="s">
        <v>217</v>
      </c>
    </row>
    <row r="2982" spans="1:11" x14ac:dyDescent="0.3">
      <c r="A2982" s="1005">
        <v>8</v>
      </c>
      <c r="B2982" s="3414" t="s">
        <v>2704</v>
      </c>
      <c r="C2982" s="11" t="s">
        <v>37</v>
      </c>
      <c r="D2982" s="11" t="s">
        <v>2650</v>
      </c>
      <c r="E2982" s="11" t="s">
        <v>904</v>
      </c>
      <c r="F2982" s="2907">
        <v>1600000</v>
      </c>
      <c r="G2982" s="11" t="s">
        <v>2706</v>
      </c>
      <c r="H2982" s="11" t="s">
        <v>44</v>
      </c>
      <c r="I2982" s="11" t="s">
        <v>271</v>
      </c>
      <c r="J2982" s="11">
        <v>1</v>
      </c>
      <c r="K2982" t="s">
        <v>1282</v>
      </c>
    </row>
    <row r="2983" spans="1:11" x14ac:dyDescent="0.3">
      <c r="A2983" s="1005">
        <v>9</v>
      </c>
      <c r="B2983" s="3414" t="s">
        <v>2707</v>
      </c>
      <c r="C2983" s="11" t="s">
        <v>37</v>
      </c>
      <c r="D2983" s="11" t="s">
        <v>2708</v>
      </c>
      <c r="E2983" s="11" t="s">
        <v>2699</v>
      </c>
      <c r="F2983" s="2907">
        <v>1300000</v>
      </c>
      <c r="G2983" s="11" t="s">
        <v>2709</v>
      </c>
      <c r="H2983" s="11" t="s">
        <v>44</v>
      </c>
      <c r="I2983" s="11" t="s">
        <v>271</v>
      </c>
      <c r="J2983" s="11">
        <v>1</v>
      </c>
      <c r="K2983" t="s">
        <v>1282</v>
      </c>
    </row>
    <row r="2984" spans="1:11" x14ac:dyDescent="0.3">
      <c r="A2984" s="1005">
        <v>10</v>
      </c>
      <c r="B2984" s="3414" t="s">
        <v>2707</v>
      </c>
      <c r="C2984" s="11" t="s">
        <v>37</v>
      </c>
      <c r="D2984" s="11" t="s">
        <v>2710</v>
      </c>
      <c r="E2984" s="11" t="s">
        <v>180</v>
      </c>
      <c r="F2984" s="2907">
        <v>1400000</v>
      </c>
      <c r="G2984" s="11" t="s">
        <v>2358</v>
      </c>
      <c r="H2984" s="11" t="s">
        <v>44</v>
      </c>
      <c r="I2984" s="11" t="s">
        <v>271</v>
      </c>
      <c r="J2984" s="11">
        <v>1</v>
      </c>
      <c r="K2984" t="s">
        <v>217</v>
      </c>
    </row>
    <row r="2985" spans="1:11" x14ac:dyDescent="0.3">
      <c r="A2985" s="1005">
        <v>11</v>
      </c>
      <c r="B2985" s="3414" t="s">
        <v>2707</v>
      </c>
      <c r="C2985" s="11" t="s">
        <v>37</v>
      </c>
      <c r="D2985" s="11" t="s">
        <v>2711</v>
      </c>
      <c r="E2985" s="11" t="s">
        <v>904</v>
      </c>
      <c r="F2985" s="2907">
        <v>1400000</v>
      </c>
      <c r="G2985" s="11" t="s">
        <v>168</v>
      </c>
      <c r="H2985" s="11" t="s">
        <v>44</v>
      </c>
      <c r="I2985" s="11" t="s">
        <v>271</v>
      </c>
      <c r="J2985" s="11">
        <v>1</v>
      </c>
      <c r="K2985" t="s">
        <v>217</v>
      </c>
    </row>
    <row r="2986" spans="1:11" x14ac:dyDescent="0.3">
      <c r="A2986" s="1005">
        <v>12</v>
      </c>
      <c r="B2986" s="3414" t="s">
        <v>2707</v>
      </c>
      <c r="C2986" s="11" t="s">
        <v>37</v>
      </c>
      <c r="D2986" s="11" t="s">
        <v>2712</v>
      </c>
      <c r="E2986" s="11" t="s">
        <v>858</v>
      </c>
      <c r="F2986" s="2907">
        <v>1800000</v>
      </c>
      <c r="G2986" s="11" t="s">
        <v>2713</v>
      </c>
      <c r="H2986" s="11" t="s">
        <v>36</v>
      </c>
      <c r="I2986" s="11" t="s">
        <v>271</v>
      </c>
      <c r="J2986" s="11">
        <v>1</v>
      </c>
      <c r="K2986" t="s">
        <v>1282</v>
      </c>
    </row>
    <row r="2987" spans="1:11" x14ac:dyDescent="0.3">
      <c r="A2987" s="1005">
        <v>13</v>
      </c>
      <c r="B2987" s="2" t="s">
        <v>2714</v>
      </c>
      <c r="C2987" s="11" t="s">
        <v>37</v>
      </c>
      <c r="D2987" s="11" t="s">
        <v>2715</v>
      </c>
      <c r="E2987" s="11" t="s">
        <v>1838</v>
      </c>
      <c r="F2987" s="2907">
        <v>1350000</v>
      </c>
      <c r="G2987" s="11" t="s">
        <v>2200</v>
      </c>
      <c r="H2987" s="11" t="s">
        <v>44</v>
      </c>
      <c r="I2987" s="11" t="s">
        <v>271</v>
      </c>
      <c r="J2987" s="11">
        <v>1</v>
      </c>
      <c r="K2987" t="s">
        <v>1282</v>
      </c>
    </row>
    <row r="2988" spans="1:11" x14ac:dyDescent="0.3">
      <c r="A2988" s="3061">
        <v>14</v>
      </c>
      <c r="B2988" s="268" t="s">
        <v>2714</v>
      </c>
      <c r="C2988" s="1553" t="s">
        <v>37</v>
      </c>
      <c r="D2988" s="1553" t="s">
        <v>2716</v>
      </c>
      <c r="E2988" s="1553" t="s">
        <v>2699</v>
      </c>
      <c r="F2988" s="3062">
        <v>1300000</v>
      </c>
      <c r="G2988" s="1553" t="s">
        <v>2709</v>
      </c>
      <c r="H2988" s="1553" t="s">
        <v>44</v>
      </c>
      <c r="I2988" s="1553" t="s">
        <v>271</v>
      </c>
      <c r="J2988" s="1553">
        <v>1</v>
      </c>
    </row>
    <row r="2989" spans="1:11" x14ac:dyDescent="0.3">
      <c r="A2989" s="11">
        <v>15</v>
      </c>
      <c r="B2989" s="268" t="s">
        <v>2717</v>
      </c>
      <c r="C2989" s="1553" t="s">
        <v>37</v>
      </c>
      <c r="D2989" s="1553" t="s">
        <v>2718</v>
      </c>
      <c r="E2989" s="1553" t="s">
        <v>180</v>
      </c>
      <c r="F2989" s="3062">
        <v>1800000</v>
      </c>
      <c r="G2989" s="1553" t="s">
        <v>2200</v>
      </c>
      <c r="H2989" s="1553" t="s">
        <v>44</v>
      </c>
      <c r="I2989" s="1553" t="s">
        <v>271</v>
      </c>
      <c r="J2989" s="1553">
        <v>1</v>
      </c>
      <c r="K2989" t="s">
        <v>217</v>
      </c>
    </row>
    <row r="2990" spans="1:11" x14ac:dyDescent="0.3">
      <c r="A2990" s="10">
        <v>16</v>
      </c>
      <c r="B2990" s="2" t="s">
        <v>2717</v>
      </c>
      <c r="C2990" s="11" t="s">
        <v>37</v>
      </c>
      <c r="D2990" s="11" t="s">
        <v>2719</v>
      </c>
      <c r="E2990" s="11" t="s">
        <v>1838</v>
      </c>
      <c r="F2990" s="2907">
        <v>1300000</v>
      </c>
      <c r="G2990" s="11" t="s">
        <v>2200</v>
      </c>
      <c r="H2990" s="11" t="s">
        <v>44</v>
      </c>
      <c r="I2990" s="11" t="s">
        <v>271</v>
      </c>
      <c r="J2990" s="11">
        <v>1</v>
      </c>
      <c r="K2990" t="s">
        <v>1282</v>
      </c>
    </row>
    <row r="2991" spans="1:11" x14ac:dyDescent="0.3">
      <c r="J2991">
        <f>SUM(J2975:J2990)</f>
        <v>16</v>
      </c>
    </row>
    <row r="2992" spans="1:11" ht="24.6" x14ac:dyDescent="0.4">
      <c r="A2992" s="3462" t="s">
        <v>2003</v>
      </c>
      <c r="B2992" s="3462"/>
      <c r="C2992" s="3462"/>
      <c r="D2992" s="3462"/>
      <c r="E2992" s="3462"/>
      <c r="F2992" s="3462"/>
      <c r="G2992" s="3462"/>
      <c r="H2992" s="3462"/>
      <c r="I2992" s="3462"/>
      <c r="J2992" s="3462"/>
    </row>
    <row r="2993" spans="1:11" x14ac:dyDescent="0.3">
      <c r="A2993" s="3057" t="s">
        <v>3</v>
      </c>
      <c r="B2993" s="3416" t="s">
        <v>4</v>
      </c>
      <c r="C2993" s="3057" t="s">
        <v>5</v>
      </c>
      <c r="D2993" s="3057" t="s">
        <v>6</v>
      </c>
      <c r="E2993" s="3057" t="s">
        <v>7</v>
      </c>
      <c r="F2993" s="3057" t="s">
        <v>8</v>
      </c>
      <c r="G2993" s="3057" t="s">
        <v>9</v>
      </c>
      <c r="H2993" s="3057" t="s">
        <v>10</v>
      </c>
      <c r="I2993" s="3057" t="s">
        <v>11</v>
      </c>
      <c r="J2993" s="3057" t="s">
        <v>12</v>
      </c>
    </row>
    <row r="2994" spans="1:11" ht="15.6" x14ac:dyDescent="0.3">
      <c r="A2994" s="3058">
        <v>1</v>
      </c>
      <c r="B2994" s="3417" t="s">
        <v>2720</v>
      </c>
      <c r="C2994" s="3008" t="s">
        <v>138</v>
      </c>
      <c r="D2994" s="3009" t="s">
        <v>2721</v>
      </c>
      <c r="E2994" s="3008" t="s">
        <v>2699</v>
      </c>
      <c r="F2994" s="3012">
        <v>180000000</v>
      </c>
      <c r="G2994" s="3008" t="s">
        <v>2200</v>
      </c>
      <c r="H2994" s="3008" t="s">
        <v>44</v>
      </c>
      <c r="I2994" s="3008" t="s">
        <v>271</v>
      </c>
      <c r="J2994" s="2983">
        <v>1</v>
      </c>
    </row>
    <row r="2995" spans="1:11" ht="15.6" x14ac:dyDescent="0.3">
      <c r="A2995" s="3058">
        <v>2</v>
      </c>
      <c r="B2995" s="3417" t="s">
        <v>2717</v>
      </c>
      <c r="C2995" s="3008" t="s">
        <v>138</v>
      </c>
      <c r="D2995" s="3009" t="s">
        <v>2722</v>
      </c>
      <c r="E2995" s="3008" t="s">
        <v>858</v>
      </c>
      <c r="F2995" s="3012">
        <v>650000000</v>
      </c>
      <c r="G2995" s="3008" t="s">
        <v>2200</v>
      </c>
      <c r="H2995" s="3008" t="s">
        <v>44</v>
      </c>
      <c r="I2995" s="3008" t="s">
        <v>271</v>
      </c>
      <c r="J2995" s="2983">
        <v>1</v>
      </c>
    </row>
    <row r="2996" spans="1:11" x14ac:dyDescent="0.3">
      <c r="A2996" s="3058">
        <v>3</v>
      </c>
      <c r="B2996" s="3417"/>
      <c r="C2996" s="3008"/>
      <c r="D2996" s="3008"/>
      <c r="E2996" s="3008"/>
      <c r="F2996" s="3063"/>
      <c r="G2996" s="3008"/>
      <c r="H2996" s="3008"/>
      <c r="I2996" s="3008"/>
      <c r="J2996" s="2983"/>
    </row>
    <row r="2998" spans="1:11" ht="23.4" x14ac:dyDescent="0.3">
      <c r="A2998" s="3460" t="s">
        <v>1138</v>
      </c>
      <c r="B2998" s="3460"/>
      <c r="C2998" s="3460"/>
      <c r="D2998" s="3460"/>
      <c r="E2998" s="3460"/>
      <c r="F2998" s="3460"/>
      <c r="G2998" s="3460"/>
      <c r="H2998" s="3460"/>
      <c r="I2998" s="3460"/>
      <c r="J2998" s="3460"/>
    </row>
    <row r="2999" spans="1:11" ht="15.6" x14ac:dyDescent="0.3">
      <c r="A2999" s="3461" t="s">
        <v>2</v>
      </c>
      <c r="B2999" s="3461"/>
      <c r="C2999" s="3461"/>
      <c r="D2999" s="3461"/>
      <c r="E2999" s="3461"/>
      <c r="F2999" s="3461"/>
      <c r="G2999" s="3461"/>
      <c r="H2999" s="3461"/>
      <c r="I2999" s="3461"/>
      <c r="J2999" s="3461"/>
    </row>
    <row r="3000" spans="1:11" x14ac:dyDescent="0.3">
      <c r="A3000" s="137" t="s">
        <v>3</v>
      </c>
      <c r="B3000" s="3397" t="s">
        <v>4</v>
      </c>
      <c r="C3000" s="147" t="s">
        <v>5</v>
      </c>
      <c r="D3000" s="147" t="s">
        <v>6</v>
      </c>
      <c r="E3000" s="147" t="s">
        <v>7</v>
      </c>
      <c r="F3000" s="2893" t="s">
        <v>8</v>
      </c>
      <c r="G3000" s="147" t="s">
        <v>9</v>
      </c>
      <c r="H3000" s="147" t="s">
        <v>2243</v>
      </c>
      <c r="I3000" s="147" t="s">
        <v>11</v>
      </c>
      <c r="J3000" s="147" t="s">
        <v>12</v>
      </c>
    </row>
    <row r="3001" spans="1:11" x14ac:dyDescent="0.3">
      <c r="A3001" s="1005">
        <v>1</v>
      </c>
      <c r="B3001" s="3414">
        <v>44688</v>
      </c>
      <c r="C3001" s="11" t="s">
        <v>37</v>
      </c>
      <c r="D3001" s="11" t="s">
        <v>2723</v>
      </c>
      <c r="E3001" s="11" t="s">
        <v>1838</v>
      </c>
      <c r="F3001" s="2907">
        <v>1200000</v>
      </c>
      <c r="G3001" s="11" t="s">
        <v>1319</v>
      </c>
      <c r="H3001" s="11" t="s">
        <v>44</v>
      </c>
      <c r="I3001" s="11" t="s">
        <v>36</v>
      </c>
      <c r="J3001" s="11">
        <v>1</v>
      </c>
      <c r="K3001" t="s">
        <v>2567</v>
      </c>
    </row>
    <row r="3002" spans="1:11" x14ac:dyDescent="0.3">
      <c r="A3002" s="1005">
        <v>2</v>
      </c>
      <c r="B3002" s="3414">
        <v>44749</v>
      </c>
      <c r="C3002" s="11" t="s">
        <v>74</v>
      </c>
      <c r="D3002" s="11" t="s">
        <v>2724</v>
      </c>
      <c r="E3002" s="11" t="s">
        <v>904</v>
      </c>
      <c r="F3002" s="2907">
        <v>1300000</v>
      </c>
      <c r="G3002" s="11" t="s">
        <v>168</v>
      </c>
      <c r="H3002" s="11" t="s">
        <v>36</v>
      </c>
      <c r="I3002" s="11" t="s">
        <v>36</v>
      </c>
      <c r="J3002" s="11">
        <v>1</v>
      </c>
      <c r="K3002" t="s">
        <v>217</v>
      </c>
    </row>
    <row r="3003" spans="1:11" x14ac:dyDescent="0.3">
      <c r="A3003" s="1005">
        <v>3</v>
      </c>
      <c r="B3003" s="3414" t="s">
        <v>2692</v>
      </c>
      <c r="C3003" s="11" t="s">
        <v>138</v>
      </c>
      <c r="D3003" s="11" t="s">
        <v>2725</v>
      </c>
      <c r="E3003" s="11" t="s">
        <v>840</v>
      </c>
      <c r="F3003" s="2907">
        <v>1100000</v>
      </c>
      <c r="G3003" s="11" t="s">
        <v>2726</v>
      </c>
      <c r="H3003" s="11" t="s">
        <v>36</v>
      </c>
      <c r="I3003" s="11" t="s">
        <v>271</v>
      </c>
      <c r="J3003" s="11">
        <v>1</v>
      </c>
      <c r="K3003" t="s">
        <v>217</v>
      </c>
    </row>
    <row r="3004" spans="1:11" x14ac:dyDescent="0.3">
      <c r="A3004" s="1005">
        <v>4</v>
      </c>
      <c r="B3004" s="3414" t="s">
        <v>2684</v>
      </c>
      <c r="C3004" s="11" t="s">
        <v>138</v>
      </c>
      <c r="D3004" s="11" t="s">
        <v>2727</v>
      </c>
      <c r="E3004" s="11" t="s">
        <v>840</v>
      </c>
      <c r="F3004" s="2907">
        <v>1000000</v>
      </c>
      <c r="G3004" s="11" t="s">
        <v>2726</v>
      </c>
      <c r="H3004" s="11" t="s">
        <v>36</v>
      </c>
      <c r="I3004" s="11" t="s">
        <v>271</v>
      </c>
      <c r="J3004" s="11">
        <v>1</v>
      </c>
      <c r="K3004" t="s">
        <v>217</v>
      </c>
    </row>
    <row r="3005" spans="1:11" x14ac:dyDescent="0.3">
      <c r="A3005" s="1005">
        <v>5</v>
      </c>
      <c r="B3005" s="3414" t="s">
        <v>2686</v>
      </c>
      <c r="C3005" s="11" t="s">
        <v>138</v>
      </c>
      <c r="D3005" s="11" t="s">
        <v>2728</v>
      </c>
      <c r="E3005" s="11" t="s">
        <v>180</v>
      </c>
      <c r="F3005" s="2907">
        <v>1500000</v>
      </c>
      <c r="G3005" s="11" t="s">
        <v>168</v>
      </c>
      <c r="H3005" s="11" t="s">
        <v>44</v>
      </c>
      <c r="I3005" s="11" t="s">
        <v>271</v>
      </c>
      <c r="J3005" s="11">
        <v>1</v>
      </c>
      <c r="K3005" t="s">
        <v>217</v>
      </c>
    </row>
    <row r="3006" spans="1:11" x14ac:dyDescent="0.3">
      <c r="A3006" s="1005">
        <v>6</v>
      </c>
      <c r="B3006" s="3414"/>
      <c r="C3006" s="11"/>
      <c r="D3006" s="11"/>
      <c r="E3006" s="11"/>
      <c r="F3006" s="2907"/>
      <c r="G3006" s="11"/>
      <c r="H3006" s="11"/>
      <c r="I3006" s="11"/>
      <c r="J3006" s="11"/>
    </row>
    <row r="3007" spans="1:11" x14ac:dyDescent="0.3">
      <c r="A3007" s="1005">
        <v>7</v>
      </c>
      <c r="B3007" s="3414"/>
      <c r="C3007" s="11"/>
      <c r="D3007" s="11"/>
      <c r="E3007" s="11"/>
      <c r="F3007" s="2907"/>
      <c r="G3007" s="11"/>
      <c r="H3007" s="11"/>
      <c r="I3007" s="11"/>
      <c r="J3007" s="11"/>
    </row>
    <row r="3008" spans="1:11" x14ac:dyDescent="0.3">
      <c r="A3008" s="1005">
        <v>8</v>
      </c>
      <c r="B3008" s="3414"/>
      <c r="C3008" s="11"/>
      <c r="D3008" s="11"/>
      <c r="E3008" s="11"/>
      <c r="F3008" s="2907"/>
      <c r="G3008" s="11"/>
      <c r="H3008" s="11"/>
      <c r="I3008" s="11"/>
      <c r="J3008" s="11"/>
    </row>
    <row r="3009" spans="1:10" x14ac:dyDescent="0.3">
      <c r="A3009" s="1005">
        <v>9</v>
      </c>
      <c r="B3009" s="2"/>
      <c r="C3009" s="11"/>
      <c r="D3009" s="11"/>
      <c r="E3009" s="11"/>
      <c r="F3009" s="2907"/>
      <c r="G3009" s="11"/>
      <c r="H3009" s="11"/>
      <c r="I3009" s="11"/>
      <c r="J3009" s="11"/>
    </row>
    <row r="3010" spans="1:10" x14ac:dyDescent="0.3">
      <c r="A3010" s="1005">
        <v>10</v>
      </c>
      <c r="B3010" s="2"/>
      <c r="C3010" s="11"/>
      <c r="D3010" s="11"/>
      <c r="E3010" s="11"/>
      <c r="F3010" s="2907"/>
      <c r="G3010" s="11"/>
      <c r="H3010" s="11"/>
      <c r="I3010" s="11"/>
      <c r="J3010" s="11"/>
    </row>
    <row r="3011" spans="1:10" x14ac:dyDescent="0.3">
      <c r="A3011" s="1005">
        <v>11</v>
      </c>
      <c r="B3011" s="2"/>
      <c r="C3011" s="11"/>
      <c r="D3011" s="11"/>
      <c r="E3011" s="11"/>
      <c r="F3011" s="2907"/>
      <c r="G3011" s="11"/>
      <c r="H3011" s="11"/>
      <c r="I3011" s="11"/>
      <c r="J3011" s="11"/>
    </row>
    <row r="3012" spans="1:10" x14ac:dyDescent="0.3">
      <c r="A3012" s="1005">
        <v>12</v>
      </c>
      <c r="B3012" s="2"/>
      <c r="C3012" s="11"/>
      <c r="D3012" s="11"/>
      <c r="E3012" s="11"/>
      <c r="F3012" s="2907"/>
      <c r="G3012" s="11"/>
      <c r="H3012" s="11"/>
      <c r="I3012" s="11"/>
      <c r="J3012" s="11"/>
    </row>
    <row r="3013" spans="1:10" x14ac:dyDescent="0.3">
      <c r="A3013" s="1005">
        <v>13</v>
      </c>
      <c r="B3013" s="2"/>
      <c r="C3013" s="11"/>
      <c r="D3013" s="11"/>
      <c r="E3013" s="11"/>
      <c r="F3013" s="2907"/>
      <c r="G3013" s="11"/>
      <c r="H3013" s="11"/>
      <c r="I3013" s="11"/>
      <c r="J3013" s="11"/>
    </row>
    <row r="3014" spans="1:10" x14ac:dyDescent="0.3">
      <c r="A3014" s="1005">
        <v>14</v>
      </c>
      <c r="B3014" s="2"/>
      <c r="C3014" s="11"/>
      <c r="D3014" s="11"/>
      <c r="E3014" s="11"/>
      <c r="F3014" s="2907"/>
      <c r="G3014" s="11"/>
      <c r="H3014" s="11"/>
      <c r="I3014" s="11"/>
      <c r="J3014" s="11">
        <f>SUM(J3001:J3013)</f>
        <v>5</v>
      </c>
    </row>
    <row r="3016" spans="1:10" ht="24.6" x14ac:dyDescent="0.4">
      <c r="A3016" s="3462" t="s">
        <v>2003</v>
      </c>
      <c r="B3016" s="3462"/>
      <c r="C3016" s="3462"/>
      <c r="D3016" s="3462"/>
      <c r="E3016" s="3462"/>
      <c r="F3016" s="3462"/>
      <c r="G3016" s="3462"/>
      <c r="H3016" s="3462"/>
      <c r="I3016" s="3462"/>
      <c r="J3016" s="3462"/>
    </row>
    <row r="3017" spans="1:10" x14ac:dyDescent="0.3">
      <c r="A3017" s="147" t="s">
        <v>3</v>
      </c>
      <c r="B3017" s="3397" t="s">
        <v>4</v>
      </c>
      <c r="C3017" s="147" t="s">
        <v>5</v>
      </c>
      <c r="D3017" s="147" t="s">
        <v>6</v>
      </c>
      <c r="E3017" s="147" t="s">
        <v>7</v>
      </c>
      <c r="F3017" s="147" t="s">
        <v>8</v>
      </c>
      <c r="G3017" s="147" t="s">
        <v>9</v>
      </c>
      <c r="H3017" s="147" t="s">
        <v>10</v>
      </c>
      <c r="I3017" s="147" t="s">
        <v>11</v>
      </c>
      <c r="J3017" s="147" t="s">
        <v>12</v>
      </c>
    </row>
    <row r="3018" spans="1:10" ht="15.6" x14ac:dyDescent="0.3">
      <c r="A3018" s="2">
        <v>1</v>
      </c>
      <c r="B3018" s="3417">
        <v>44568</v>
      </c>
      <c r="C3018" s="3008" t="s">
        <v>37</v>
      </c>
      <c r="D3018" s="3009" t="s">
        <v>2729</v>
      </c>
      <c r="E3018" s="3008" t="s">
        <v>1838</v>
      </c>
      <c r="F3018" s="3010">
        <v>290000000</v>
      </c>
      <c r="G3018" s="3008" t="s">
        <v>168</v>
      </c>
      <c r="H3018" s="3008" t="s">
        <v>44</v>
      </c>
      <c r="I3018" s="3008" t="s">
        <v>36</v>
      </c>
      <c r="J3018" s="2983">
        <v>1</v>
      </c>
    </row>
    <row r="3019" spans="1:10" ht="15.6" x14ac:dyDescent="0.3">
      <c r="A3019" s="2">
        <v>2</v>
      </c>
      <c r="B3019" s="3417">
        <v>44568</v>
      </c>
      <c r="C3019" s="3008" t="s">
        <v>37</v>
      </c>
      <c r="D3019" s="3009" t="s">
        <v>2730</v>
      </c>
      <c r="E3019" s="3008" t="s">
        <v>904</v>
      </c>
      <c r="F3019" s="3010">
        <v>390000000</v>
      </c>
      <c r="G3019" s="3008" t="s">
        <v>168</v>
      </c>
      <c r="H3019" s="3008" t="s">
        <v>44</v>
      </c>
      <c r="I3019" s="3008" t="s">
        <v>36</v>
      </c>
      <c r="J3019" s="2983">
        <v>1</v>
      </c>
    </row>
    <row r="3020" spans="1:10" x14ac:dyDescent="0.3">
      <c r="A3020" s="2">
        <v>3</v>
      </c>
      <c r="B3020" s="3417">
        <v>44749</v>
      </c>
      <c r="C3020" s="3008" t="s">
        <v>74</v>
      </c>
      <c r="D3020" s="3008" t="s">
        <v>2731</v>
      </c>
      <c r="E3020" s="3008" t="s">
        <v>2732</v>
      </c>
      <c r="F3020" s="3011">
        <v>545000000</v>
      </c>
      <c r="G3020" s="3008" t="s">
        <v>2261</v>
      </c>
      <c r="H3020" s="3008" t="s">
        <v>36</v>
      </c>
      <c r="I3020" s="3008" t="s">
        <v>2690</v>
      </c>
      <c r="J3020" s="2983">
        <v>1</v>
      </c>
    </row>
    <row r="3022" spans="1:10" ht="23.4" x14ac:dyDescent="0.3">
      <c r="A3022" s="3460" t="s">
        <v>2656</v>
      </c>
      <c r="B3022" s="3460"/>
      <c r="C3022" s="3460"/>
      <c r="D3022" s="3460"/>
      <c r="E3022" s="3460"/>
      <c r="F3022" s="3460"/>
      <c r="G3022" s="3460"/>
      <c r="H3022" s="3460"/>
      <c r="I3022" s="3460"/>
      <c r="J3022" s="3460"/>
    </row>
    <row r="3023" spans="1:10" ht="15.6" x14ac:dyDescent="0.3">
      <c r="A3023" s="3461" t="s">
        <v>2</v>
      </c>
      <c r="B3023" s="3461"/>
      <c r="C3023" s="3461"/>
      <c r="D3023" s="3461"/>
      <c r="E3023" s="3461"/>
      <c r="F3023" s="3461"/>
      <c r="G3023" s="3461"/>
      <c r="H3023" s="3461"/>
      <c r="I3023" s="3461"/>
      <c r="J3023" s="3461"/>
    </row>
    <row r="3024" spans="1:10" x14ac:dyDescent="0.3">
      <c r="A3024" s="137" t="s">
        <v>3</v>
      </c>
      <c r="B3024" s="3397" t="s">
        <v>4</v>
      </c>
      <c r="C3024" s="147" t="s">
        <v>5</v>
      </c>
      <c r="D3024" s="147" t="s">
        <v>6</v>
      </c>
      <c r="E3024" s="147" t="s">
        <v>7</v>
      </c>
      <c r="F3024" s="2893" t="s">
        <v>8</v>
      </c>
      <c r="G3024" s="147" t="s">
        <v>9</v>
      </c>
      <c r="H3024" s="147" t="s">
        <v>2243</v>
      </c>
      <c r="I3024" s="147" t="s">
        <v>11</v>
      </c>
      <c r="J3024" s="147" t="s">
        <v>12</v>
      </c>
    </row>
    <row r="3025" spans="1:11" x14ac:dyDescent="0.3">
      <c r="A3025" s="1005">
        <v>1</v>
      </c>
      <c r="B3025" s="3414">
        <v>44719</v>
      </c>
      <c r="C3025" s="11" t="s">
        <v>37</v>
      </c>
      <c r="D3025" s="11" t="s">
        <v>2733</v>
      </c>
      <c r="E3025" s="11" t="s">
        <v>784</v>
      </c>
      <c r="F3025" s="2907">
        <v>800000</v>
      </c>
      <c r="G3025" s="11" t="s">
        <v>168</v>
      </c>
      <c r="H3025" s="11" t="s">
        <v>36</v>
      </c>
      <c r="I3025" s="11" t="s">
        <v>44</v>
      </c>
      <c r="J3025" s="11">
        <v>1</v>
      </c>
      <c r="K3025" t="s">
        <v>2567</v>
      </c>
    </row>
    <row r="3026" spans="1:11" x14ac:dyDescent="0.3">
      <c r="A3026" s="1005">
        <v>2</v>
      </c>
      <c r="B3026" s="3414">
        <v>44719</v>
      </c>
      <c r="C3026" s="11" t="s">
        <v>37</v>
      </c>
      <c r="D3026" s="11" t="s">
        <v>2734</v>
      </c>
      <c r="E3026" s="11" t="s">
        <v>1838</v>
      </c>
      <c r="F3026" s="2907">
        <v>1400000</v>
      </c>
      <c r="G3026" s="11" t="s">
        <v>1319</v>
      </c>
      <c r="H3026" s="11" t="s">
        <v>36</v>
      </c>
      <c r="I3026" s="11" t="s">
        <v>36</v>
      </c>
      <c r="J3026" s="11">
        <v>1</v>
      </c>
      <c r="K3026" t="s">
        <v>2567</v>
      </c>
    </row>
    <row r="3027" spans="1:11" x14ac:dyDescent="0.3">
      <c r="A3027" s="1005">
        <v>3</v>
      </c>
      <c r="B3027" s="3414">
        <v>44872</v>
      </c>
      <c r="C3027" s="11" t="s">
        <v>37</v>
      </c>
      <c r="D3027" s="11" t="s">
        <v>2735</v>
      </c>
      <c r="E3027" s="11" t="s">
        <v>390</v>
      </c>
      <c r="F3027" s="2907">
        <v>1100000</v>
      </c>
      <c r="G3027" s="11" t="s">
        <v>168</v>
      </c>
      <c r="H3027" s="11" t="s">
        <v>36</v>
      </c>
      <c r="I3027" s="11" t="s">
        <v>36</v>
      </c>
      <c r="J3027" s="11">
        <v>1</v>
      </c>
      <c r="K3027" t="s">
        <v>217</v>
      </c>
    </row>
    <row r="3028" spans="1:11" x14ac:dyDescent="0.3">
      <c r="A3028" s="1005">
        <v>4</v>
      </c>
      <c r="B3028" s="3414" t="s">
        <v>2692</v>
      </c>
      <c r="C3028" s="11" t="s">
        <v>37</v>
      </c>
      <c r="D3028" s="11" t="s">
        <v>2670</v>
      </c>
      <c r="E3028" s="11" t="s">
        <v>390</v>
      </c>
      <c r="F3028" s="2907">
        <v>1300000</v>
      </c>
      <c r="G3028" s="11" t="s">
        <v>2736</v>
      </c>
      <c r="H3028" s="11" t="s">
        <v>36</v>
      </c>
      <c r="I3028" s="11" t="s">
        <v>271</v>
      </c>
      <c r="J3028" s="11">
        <v>1</v>
      </c>
      <c r="K3028" t="s">
        <v>1282</v>
      </c>
    </row>
    <row r="3029" spans="1:11" x14ac:dyDescent="0.3">
      <c r="A3029" s="1005">
        <v>5</v>
      </c>
      <c r="B3029" s="3414" t="s">
        <v>2737</v>
      </c>
      <c r="C3029" s="11" t="s">
        <v>37</v>
      </c>
      <c r="D3029" s="11" t="s">
        <v>2738</v>
      </c>
      <c r="E3029" s="11" t="s">
        <v>2739</v>
      </c>
      <c r="F3029" s="2907">
        <v>600000</v>
      </c>
      <c r="G3029" s="11" t="s">
        <v>2656</v>
      </c>
      <c r="H3029" s="11" t="s">
        <v>44</v>
      </c>
      <c r="I3029" s="11" t="s">
        <v>271</v>
      </c>
      <c r="J3029" s="11">
        <v>1</v>
      </c>
      <c r="K3029" t="s">
        <v>217</v>
      </c>
    </row>
    <row r="3030" spans="1:11" x14ac:dyDescent="0.3">
      <c r="A3030" s="1005">
        <v>6</v>
      </c>
      <c r="B3030" s="3414"/>
      <c r="C3030" s="11"/>
      <c r="D3030" s="11"/>
      <c r="E3030" s="11"/>
      <c r="F3030" s="2907"/>
      <c r="G3030" s="11"/>
      <c r="H3030" s="11"/>
      <c r="I3030" s="11"/>
      <c r="J3030" s="11"/>
    </row>
    <row r="3031" spans="1:11" x14ac:dyDescent="0.3">
      <c r="A3031" s="1005">
        <v>7</v>
      </c>
      <c r="B3031" s="3414"/>
      <c r="C3031" s="11"/>
      <c r="D3031" s="11"/>
      <c r="E3031" s="11"/>
      <c r="F3031" s="2907"/>
      <c r="G3031" s="11"/>
      <c r="H3031" s="11"/>
      <c r="I3031" s="11"/>
      <c r="J3031" s="11"/>
    </row>
    <row r="3032" spans="1:11" x14ac:dyDescent="0.3">
      <c r="A3032" s="1005">
        <v>8</v>
      </c>
      <c r="B3032" s="3414"/>
      <c r="C3032" s="11"/>
      <c r="D3032" s="11"/>
      <c r="E3032" s="11"/>
      <c r="F3032" s="2907"/>
      <c r="G3032" s="11"/>
      <c r="H3032" s="11"/>
      <c r="I3032" s="11"/>
      <c r="J3032" s="11"/>
    </row>
    <row r="3033" spans="1:11" x14ac:dyDescent="0.3">
      <c r="A3033" s="1005">
        <v>9</v>
      </c>
      <c r="B3033" s="2"/>
      <c r="C3033" s="11"/>
      <c r="D3033" s="11"/>
      <c r="E3033" s="11"/>
      <c r="F3033" s="2907"/>
      <c r="G3033" s="11"/>
      <c r="H3033" s="11"/>
      <c r="I3033" s="11"/>
      <c r="J3033" s="11"/>
    </row>
    <row r="3034" spans="1:11" x14ac:dyDescent="0.3">
      <c r="A3034" s="1005">
        <v>10</v>
      </c>
      <c r="B3034" s="2"/>
      <c r="C3034" s="11"/>
      <c r="D3034" s="11"/>
      <c r="E3034" s="11"/>
      <c r="F3034" s="2907"/>
      <c r="G3034" s="11"/>
      <c r="H3034" s="11"/>
      <c r="I3034" s="11"/>
      <c r="J3034" s="11"/>
    </row>
    <row r="3035" spans="1:11" x14ac:dyDescent="0.3">
      <c r="A3035" s="1005">
        <v>11</v>
      </c>
      <c r="B3035" s="2"/>
      <c r="C3035" s="11"/>
      <c r="D3035" s="11"/>
      <c r="E3035" s="11"/>
      <c r="F3035" s="2907"/>
      <c r="G3035" s="11"/>
      <c r="H3035" s="11"/>
      <c r="I3035" s="11"/>
      <c r="J3035" s="11"/>
    </row>
    <row r="3036" spans="1:11" x14ac:dyDescent="0.3">
      <c r="A3036" s="1005">
        <v>12</v>
      </c>
      <c r="B3036" s="2"/>
      <c r="C3036" s="11"/>
      <c r="D3036" s="11"/>
      <c r="E3036" s="11"/>
      <c r="F3036" s="2907"/>
      <c r="G3036" s="11"/>
      <c r="H3036" s="11"/>
      <c r="I3036" s="11"/>
      <c r="J3036" s="11"/>
    </row>
    <row r="3037" spans="1:11" x14ac:dyDescent="0.3">
      <c r="A3037" s="1005">
        <v>13</v>
      </c>
      <c r="B3037" s="2"/>
      <c r="C3037" s="11"/>
      <c r="D3037" s="11"/>
      <c r="E3037" s="11"/>
      <c r="F3037" s="2907"/>
      <c r="G3037" s="11"/>
      <c r="H3037" s="11"/>
      <c r="I3037" s="11"/>
      <c r="J3037" s="11"/>
    </row>
    <row r="3038" spans="1:11" x14ac:dyDescent="0.3">
      <c r="A3038" s="1005">
        <v>14</v>
      </c>
      <c r="B3038" s="2"/>
      <c r="C3038" s="11"/>
      <c r="D3038" s="11"/>
      <c r="E3038" s="11"/>
      <c r="F3038" s="2907"/>
      <c r="G3038" s="11"/>
      <c r="H3038" s="11"/>
      <c r="I3038" s="11"/>
      <c r="J3038" s="11">
        <f>SUM(J3025:J3037)</f>
        <v>5</v>
      </c>
    </row>
    <row r="3040" spans="1:11" ht="24.6" x14ac:dyDescent="0.4">
      <c r="A3040" s="3462" t="s">
        <v>2003</v>
      </c>
      <c r="B3040" s="3462"/>
      <c r="C3040" s="3462"/>
      <c r="D3040" s="3462"/>
      <c r="E3040" s="3462"/>
      <c r="F3040" s="3462"/>
      <c r="G3040" s="3462"/>
      <c r="H3040" s="3462"/>
      <c r="I3040" s="3462"/>
      <c r="J3040" s="3462"/>
    </row>
    <row r="3041" spans="1:10" x14ac:dyDescent="0.3">
      <c r="A3041" s="147" t="s">
        <v>3</v>
      </c>
      <c r="B3041" s="3397" t="s">
        <v>4</v>
      </c>
      <c r="C3041" s="147" t="s">
        <v>5</v>
      </c>
      <c r="D3041" s="147" t="s">
        <v>6</v>
      </c>
      <c r="E3041" s="147" t="s">
        <v>7</v>
      </c>
      <c r="F3041" s="147" t="s">
        <v>8</v>
      </c>
      <c r="G3041" s="147" t="s">
        <v>9</v>
      </c>
      <c r="H3041" s="147" t="s">
        <v>10</v>
      </c>
      <c r="I3041" s="147" t="s">
        <v>11</v>
      </c>
      <c r="J3041" s="147" t="s">
        <v>12</v>
      </c>
    </row>
    <row r="3042" spans="1:10" ht="15.6" x14ac:dyDescent="0.3">
      <c r="A3042" s="2">
        <v>1</v>
      </c>
      <c r="B3042" s="3417">
        <v>44568</v>
      </c>
      <c r="C3042" s="3008" t="s">
        <v>37</v>
      </c>
      <c r="D3042" s="3009" t="s">
        <v>2665</v>
      </c>
      <c r="E3042" s="3008" t="s">
        <v>1720</v>
      </c>
      <c r="F3042" s="3012">
        <v>270000000</v>
      </c>
      <c r="G3042" s="3008" t="s">
        <v>2664</v>
      </c>
      <c r="H3042" s="3008" t="s">
        <v>36</v>
      </c>
      <c r="I3042" s="3008" t="s">
        <v>36</v>
      </c>
      <c r="J3042" s="2983">
        <v>1</v>
      </c>
    </row>
    <row r="3043" spans="1:10" ht="15.6" x14ac:dyDescent="0.3">
      <c r="A3043" s="2">
        <v>2</v>
      </c>
      <c r="B3043" s="3417" t="s">
        <v>2737</v>
      </c>
      <c r="C3043" s="3008" t="s">
        <v>37</v>
      </c>
      <c r="D3043" s="3009" t="s">
        <v>2740</v>
      </c>
      <c r="E3043" s="3008" t="s">
        <v>2741</v>
      </c>
      <c r="F3043" s="3010">
        <v>250000000</v>
      </c>
      <c r="G3043" s="3008" t="s">
        <v>168</v>
      </c>
      <c r="H3043" s="3008" t="s">
        <v>44</v>
      </c>
      <c r="I3043" s="3008" t="s">
        <v>271</v>
      </c>
      <c r="J3043" s="2983">
        <v>1</v>
      </c>
    </row>
    <row r="3044" spans="1:10" x14ac:dyDescent="0.3">
      <c r="A3044" s="2">
        <v>3</v>
      </c>
      <c r="B3044" s="3417" t="s">
        <v>2737</v>
      </c>
      <c r="C3044" s="3008" t="s">
        <v>37</v>
      </c>
      <c r="D3044" s="3008" t="s">
        <v>2742</v>
      </c>
      <c r="E3044" s="3008" t="s">
        <v>390</v>
      </c>
      <c r="F3044" s="3010">
        <v>195000000</v>
      </c>
      <c r="G3044" s="3008" t="s">
        <v>168</v>
      </c>
      <c r="H3044" s="3008" t="s">
        <v>44</v>
      </c>
      <c r="I3044" s="3008" t="s">
        <v>271</v>
      </c>
      <c r="J3044" s="2983">
        <v>1</v>
      </c>
    </row>
    <row r="3047" spans="1:10" ht="23.4" x14ac:dyDescent="0.3">
      <c r="A3047" s="3460" t="s">
        <v>118</v>
      </c>
      <c r="B3047" s="3460"/>
      <c r="C3047" s="3460"/>
      <c r="D3047" s="3460"/>
      <c r="E3047" s="3460"/>
      <c r="F3047" s="3460"/>
      <c r="G3047" s="3460"/>
      <c r="H3047" s="3460"/>
      <c r="I3047" s="3460"/>
      <c r="J3047" s="3460"/>
    </row>
    <row r="3048" spans="1:10" ht="15.6" x14ac:dyDescent="0.3">
      <c r="A3048" s="3461" t="s">
        <v>2</v>
      </c>
      <c r="B3048" s="3461"/>
      <c r="C3048" s="3461"/>
      <c r="D3048" s="3461"/>
      <c r="E3048" s="3461"/>
      <c r="F3048" s="3461"/>
      <c r="G3048" s="3461"/>
      <c r="H3048" s="3461"/>
      <c r="I3048" s="3461"/>
      <c r="J3048" s="3461"/>
    </row>
    <row r="3049" spans="1:10" x14ac:dyDescent="0.3">
      <c r="A3049" s="137" t="s">
        <v>3</v>
      </c>
      <c r="B3049" s="3397" t="s">
        <v>4</v>
      </c>
      <c r="C3049" s="147" t="s">
        <v>5</v>
      </c>
      <c r="D3049" s="147" t="s">
        <v>6</v>
      </c>
      <c r="E3049" s="147" t="s">
        <v>7</v>
      </c>
      <c r="F3049" s="2893" t="s">
        <v>8</v>
      </c>
      <c r="G3049" s="147" t="s">
        <v>9</v>
      </c>
      <c r="H3049" s="147" t="s">
        <v>2243</v>
      </c>
      <c r="I3049" s="147" t="s">
        <v>11</v>
      </c>
      <c r="J3049" s="147" t="s">
        <v>12</v>
      </c>
    </row>
    <row r="3050" spans="1:10" x14ac:dyDescent="0.3">
      <c r="A3050" s="1005">
        <v>1</v>
      </c>
      <c r="B3050" s="3414">
        <v>44902</v>
      </c>
      <c r="C3050" s="11" t="s">
        <v>37</v>
      </c>
      <c r="D3050" s="11" t="s">
        <v>2743</v>
      </c>
      <c r="E3050" s="11" t="s">
        <v>1838</v>
      </c>
      <c r="F3050" s="2907">
        <v>1400000</v>
      </c>
      <c r="G3050" s="11" t="s">
        <v>2744</v>
      </c>
      <c r="H3050" s="11" t="s">
        <v>44</v>
      </c>
      <c r="I3050" s="11" t="s">
        <v>36</v>
      </c>
      <c r="J3050" s="11">
        <v>1</v>
      </c>
    </row>
    <row r="3051" spans="1:10" x14ac:dyDescent="0.3">
      <c r="A3051" s="1005">
        <v>2</v>
      </c>
      <c r="B3051" s="3414">
        <v>44902</v>
      </c>
      <c r="C3051" s="11" t="s">
        <v>37</v>
      </c>
      <c r="D3051" s="11" t="s">
        <v>2745</v>
      </c>
      <c r="E3051" s="11" t="s">
        <v>896</v>
      </c>
      <c r="F3051" s="2907">
        <v>1000000</v>
      </c>
      <c r="G3051" s="11" t="s">
        <v>2746</v>
      </c>
      <c r="H3051" s="11" t="s">
        <v>44</v>
      </c>
      <c r="I3051" s="11" t="s">
        <v>36</v>
      </c>
      <c r="J3051" s="11">
        <v>1</v>
      </c>
    </row>
    <row r="3052" spans="1:10" x14ac:dyDescent="0.3">
      <c r="A3052" s="1005">
        <v>3</v>
      </c>
      <c r="B3052" s="3414" t="s">
        <v>2684</v>
      </c>
      <c r="C3052" s="11" t="s">
        <v>37</v>
      </c>
      <c r="D3052" s="11" t="s">
        <v>2747</v>
      </c>
      <c r="E3052" s="11" t="s">
        <v>858</v>
      </c>
      <c r="F3052" s="2907">
        <v>2000000</v>
      </c>
      <c r="G3052" s="11" t="s">
        <v>2748</v>
      </c>
      <c r="H3052" s="11" t="s">
        <v>44</v>
      </c>
      <c r="I3052" s="11" t="s">
        <v>36</v>
      </c>
      <c r="J3052" s="11">
        <v>1</v>
      </c>
    </row>
    <row r="3053" spans="1:10" x14ac:dyDescent="0.3">
      <c r="A3053" s="1005">
        <v>4</v>
      </c>
      <c r="B3053" s="3414" t="s">
        <v>2684</v>
      </c>
      <c r="C3053" s="11" t="s">
        <v>37</v>
      </c>
      <c r="D3053" s="11" t="s">
        <v>2749</v>
      </c>
      <c r="E3053" s="11" t="s">
        <v>858</v>
      </c>
      <c r="F3053" s="2907">
        <v>2100000</v>
      </c>
      <c r="G3053" s="11" t="s">
        <v>2748</v>
      </c>
      <c r="H3053" s="11" t="s">
        <v>36</v>
      </c>
      <c r="I3053" s="11" t="s">
        <v>36</v>
      </c>
      <c r="J3053" s="11">
        <v>1</v>
      </c>
    </row>
    <row r="3054" spans="1:10" x14ac:dyDescent="0.3">
      <c r="A3054" s="1005">
        <v>5</v>
      </c>
      <c r="B3054" s="3414" t="s">
        <v>2714</v>
      </c>
      <c r="C3054" s="11" t="s">
        <v>37</v>
      </c>
      <c r="D3054" s="11" t="s">
        <v>2750</v>
      </c>
      <c r="E3054" s="11" t="s">
        <v>180</v>
      </c>
      <c r="F3054" s="2907">
        <v>1800000</v>
      </c>
      <c r="G3054" s="11" t="s">
        <v>2358</v>
      </c>
      <c r="H3054" s="11" t="s">
        <v>44</v>
      </c>
      <c r="I3054" s="11" t="s">
        <v>271</v>
      </c>
      <c r="J3054" s="11">
        <v>1</v>
      </c>
    </row>
    <row r="3055" spans="1:10" x14ac:dyDescent="0.3">
      <c r="A3055" s="1005">
        <v>6</v>
      </c>
      <c r="B3055" s="3414"/>
      <c r="C3055" s="11"/>
      <c r="D3055" s="11"/>
      <c r="E3055" s="11"/>
      <c r="F3055" s="2907"/>
      <c r="G3055" s="11"/>
      <c r="H3055" s="11"/>
      <c r="I3055" s="11"/>
      <c r="J3055" s="11"/>
    </row>
    <row r="3056" spans="1:10" x14ac:dyDescent="0.3">
      <c r="A3056" s="1005">
        <v>7</v>
      </c>
      <c r="B3056" s="3414"/>
      <c r="C3056" s="11"/>
      <c r="D3056" s="11"/>
      <c r="E3056" s="11"/>
      <c r="F3056" s="2907"/>
      <c r="G3056" s="11"/>
      <c r="H3056" s="11"/>
      <c r="I3056" s="11"/>
      <c r="J3056" s="11"/>
    </row>
    <row r="3057" spans="1:10" x14ac:dyDescent="0.3">
      <c r="A3057" s="1005">
        <v>8</v>
      </c>
      <c r="B3057" s="3414"/>
      <c r="C3057" s="11"/>
      <c r="D3057" s="11"/>
      <c r="E3057" s="11"/>
      <c r="F3057" s="2907"/>
      <c r="G3057" s="11"/>
      <c r="H3057" s="11"/>
      <c r="I3057" s="11"/>
      <c r="J3057" s="11"/>
    </row>
    <row r="3058" spans="1:10" x14ac:dyDescent="0.3">
      <c r="A3058" s="1005">
        <v>9</v>
      </c>
      <c r="B3058" s="2"/>
      <c r="C3058" s="11"/>
      <c r="D3058" s="11"/>
      <c r="E3058" s="11"/>
      <c r="F3058" s="2907"/>
      <c r="G3058" s="11"/>
      <c r="H3058" s="11"/>
      <c r="I3058" s="11"/>
      <c r="J3058" s="11"/>
    </row>
    <row r="3059" spans="1:10" x14ac:dyDescent="0.3">
      <c r="A3059" s="1005">
        <v>10</v>
      </c>
      <c r="B3059" s="2"/>
      <c r="C3059" s="11"/>
      <c r="D3059" s="11"/>
      <c r="E3059" s="11"/>
      <c r="F3059" s="2907"/>
      <c r="G3059" s="11"/>
      <c r="H3059" s="11"/>
      <c r="I3059" s="11"/>
      <c r="J3059" s="11"/>
    </row>
    <row r="3060" spans="1:10" x14ac:dyDescent="0.3">
      <c r="A3060" s="1005">
        <v>11</v>
      </c>
      <c r="B3060" s="2"/>
      <c r="C3060" s="11"/>
      <c r="D3060" s="11"/>
      <c r="E3060" s="11"/>
      <c r="F3060" s="2907"/>
      <c r="G3060" s="11"/>
      <c r="H3060" s="11"/>
      <c r="I3060" s="11"/>
      <c r="J3060" s="11"/>
    </row>
    <row r="3061" spans="1:10" x14ac:dyDescent="0.3">
      <c r="A3061" s="1005">
        <v>12</v>
      </c>
      <c r="B3061" s="2"/>
      <c r="C3061" s="11"/>
      <c r="D3061" s="11"/>
      <c r="E3061" s="11"/>
      <c r="F3061" s="2907"/>
      <c r="G3061" s="11"/>
      <c r="H3061" s="11"/>
      <c r="I3061" s="11"/>
      <c r="J3061" s="11"/>
    </row>
    <row r="3062" spans="1:10" x14ac:dyDescent="0.3">
      <c r="A3062" s="1005">
        <v>13</v>
      </c>
      <c r="B3062" s="2"/>
      <c r="C3062" s="11"/>
      <c r="D3062" s="11"/>
      <c r="E3062" s="11"/>
      <c r="F3062" s="2907"/>
      <c r="G3062" s="11"/>
      <c r="H3062" s="11"/>
      <c r="I3062" s="11"/>
      <c r="J3062" s="11"/>
    </row>
    <row r="3063" spans="1:10" x14ac:dyDescent="0.3">
      <c r="A3063" s="1005">
        <v>14</v>
      </c>
      <c r="B3063" s="2"/>
      <c r="C3063" s="11"/>
      <c r="D3063" s="11"/>
      <c r="E3063" s="11"/>
      <c r="F3063" s="2907"/>
      <c r="G3063" s="11"/>
      <c r="H3063" s="11"/>
      <c r="I3063" s="11"/>
      <c r="J3063" s="11">
        <f>SUM(J3050:J3062)</f>
        <v>5</v>
      </c>
    </row>
    <row r="3065" spans="1:10" ht="24.6" x14ac:dyDescent="0.4">
      <c r="A3065" s="3462" t="s">
        <v>2003</v>
      </c>
      <c r="B3065" s="3462"/>
      <c r="C3065" s="3462"/>
      <c r="D3065" s="3462"/>
      <c r="E3065" s="3462"/>
      <c r="F3065" s="3462"/>
      <c r="G3065" s="3462"/>
      <c r="H3065" s="3462"/>
      <c r="I3065" s="3462"/>
      <c r="J3065" s="3462"/>
    </row>
    <row r="3066" spans="1:10" x14ac:dyDescent="0.3">
      <c r="A3066" s="147" t="s">
        <v>3</v>
      </c>
      <c r="B3066" s="3397" t="s">
        <v>4</v>
      </c>
      <c r="C3066" s="147" t="s">
        <v>5</v>
      </c>
      <c r="D3066" s="147" t="s">
        <v>6</v>
      </c>
      <c r="E3066" s="147" t="s">
        <v>7</v>
      </c>
      <c r="F3066" s="147" t="s">
        <v>8</v>
      </c>
      <c r="G3066" s="147" t="s">
        <v>9</v>
      </c>
      <c r="H3066" s="147" t="s">
        <v>10</v>
      </c>
      <c r="I3066" s="147" t="s">
        <v>11</v>
      </c>
      <c r="J3066" s="147" t="s">
        <v>12</v>
      </c>
    </row>
    <row r="3067" spans="1:10" ht="15.6" x14ac:dyDescent="0.3">
      <c r="A3067" s="2">
        <v>1</v>
      </c>
      <c r="B3067" s="3414"/>
      <c r="C3067" s="160"/>
      <c r="D3067" s="1426"/>
      <c r="E3067" s="160"/>
      <c r="F3067" s="2923"/>
      <c r="G3067" s="160"/>
      <c r="H3067" s="160"/>
      <c r="I3067" s="160"/>
      <c r="J3067" s="11"/>
    </row>
    <row r="3068" spans="1:10" ht="15.6" x14ac:dyDescent="0.3">
      <c r="A3068" s="2">
        <v>2</v>
      </c>
      <c r="B3068" s="3414"/>
      <c r="C3068" s="160"/>
      <c r="D3068" s="1426"/>
      <c r="E3068" s="160"/>
      <c r="F3068" s="2923"/>
      <c r="G3068" s="160"/>
      <c r="H3068" s="160"/>
      <c r="I3068" s="160"/>
      <c r="J3068" s="11"/>
    </row>
    <row r="3069" spans="1:10" x14ac:dyDescent="0.3">
      <c r="A3069" s="2">
        <v>3</v>
      </c>
      <c r="B3069" s="3414"/>
      <c r="C3069" s="160"/>
      <c r="D3069" s="160"/>
      <c r="E3069" s="160"/>
      <c r="F3069" s="2925"/>
      <c r="G3069" s="160"/>
      <c r="H3069" s="160"/>
      <c r="I3069" s="160"/>
      <c r="J3069" s="11"/>
    </row>
    <row r="3071" spans="1:10" x14ac:dyDescent="0.3">
      <c r="A3071" s="3463" t="s">
        <v>2751</v>
      </c>
      <c r="B3071" s="3464"/>
      <c r="C3071" s="3464"/>
      <c r="D3071" s="3464"/>
      <c r="E3071" s="3464"/>
      <c r="F3071" s="3464"/>
      <c r="G3071" s="3464"/>
      <c r="H3071" s="3464"/>
      <c r="I3071" s="3464"/>
      <c r="J3071" s="3464"/>
    </row>
    <row r="3072" spans="1:10" x14ac:dyDescent="0.3">
      <c r="A3072" s="3464"/>
      <c r="B3072" s="3464"/>
      <c r="C3072" s="3464"/>
      <c r="D3072" s="3464"/>
      <c r="E3072" s="3464"/>
      <c r="F3072" s="3464"/>
      <c r="G3072" s="3464"/>
      <c r="H3072" s="3464"/>
      <c r="I3072" s="3464"/>
      <c r="J3072" s="3464"/>
    </row>
    <row r="3074" spans="1:11" ht="23.4" x14ac:dyDescent="0.3">
      <c r="A3074" s="3460" t="s">
        <v>527</v>
      </c>
      <c r="B3074" s="3460"/>
      <c r="C3074" s="3460"/>
      <c r="D3074" s="3460"/>
      <c r="E3074" s="3460"/>
      <c r="F3074" s="3460"/>
      <c r="G3074" s="3460"/>
      <c r="H3074" s="3460"/>
      <c r="I3074" s="3460"/>
      <c r="J3074" s="3460"/>
    </row>
    <row r="3075" spans="1:11" ht="15.6" x14ac:dyDescent="0.3">
      <c r="A3075" s="3461" t="s">
        <v>2</v>
      </c>
      <c r="B3075" s="3461"/>
      <c r="C3075" s="3461"/>
      <c r="D3075" s="3461"/>
      <c r="E3075" s="3461"/>
      <c r="F3075" s="3461"/>
      <c r="G3075" s="3461"/>
      <c r="H3075" s="3461"/>
      <c r="I3075" s="3461"/>
      <c r="J3075" s="3461"/>
    </row>
    <row r="3076" spans="1:11" x14ac:dyDescent="0.3">
      <c r="A3076" s="147" t="s">
        <v>3</v>
      </c>
      <c r="B3076" s="3397" t="s">
        <v>4</v>
      </c>
      <c r="C3076" s="147" t="s">
        <v>5</v>
      </c>
      <c r="D3076" s="147" t="s">
        <v>6</v>
      </c>
      <c r="E3076" s="147" t="s">
        <v>7</v>
      </c>
      <c r="F3076" s="2893" t="s">
        <v>8</v>
      </c>
      <c r="G3076" s="147" t="s">
        <v>9</v>
      </c>
      <c r="H3076" s="147" t="s">
        <v>2243</v>
      </c>
      <c r="I3076" s="147" t="s">
        <v>11</v>
      </c>
      <c r="J3076" s="147" t="s">
        <v>12</v>
      </c>
    </row>
    <row r="3077" spans="1:11" x14ac:dyDescent="0.3">
      <c r="A3077" s="11">
        <v>1</v>
      </c>
      <c r="B3077" s="51" t="s">
        <v>2752</v>
      </c>
      <c r="C3077" s="34" t="s">
        <v>37</v>
      </c>
      <c r="D3077" s="34" t="s">
        <v>2753</v>
      </c>
      <c r="E3077" s="34" t="s">
        <v>784</v>
      </c>
      <c r="F3077" s="3065">
        <v>1050000</v>
      </c>
      <c r="G3077" s="34" t="s">
        <v>1561</v>
      </c>
      <c r="H3077" s="34" t="s">
        <v>44</v>
      </c>
      <c r="I3077" s="34" t="s">
        <v>271</v>
      </c>
      <c r="J3077" s="34">
        <v>1</v>
      </c>
      <c r="K3077" t="s">
        <v>217</v>
      </c>
    </row>
    <row r="3078" spans="1:11" x14ac:dyDescent="0.3">
      <c r="A3078" s="11">
        <v>2</v>
      </c>
      <c r="B3078" s="51" t="s">
        <v>2752</v>
      </c>
      <c r="C3078" s="34" t="s">
        <v>37</v>
      </c>
      <c r="D3078" s="11" t="s">
        <v>2754</v>
      </c>
      <c r="E3078" s="11" t="s">
        <v>390</v>
      </c>
      <c r="F3078" s="1549">
        <v>1000000</v>
      </c>
      <c r="G3078" s="11" t="s">
        <v>115</v>
      </c>
      <c r="H3078" s="11" t="s">
        <v>44</v>
      </c>
      <c r="I3078" s="11" t="s">
        <v>271</v>
      </c>
      <c r="J3078" s="11">
        <v>1</v>
      </c>
      <c r="K3078" t="s">
        <v>1282</v>
      </c>
    </row>
    <row r="3079" spans="1:11" x14ac:dyDescent="0.3">
      <c r="A3079" s="11">
        <v>3</v>
      </c>
      <c r="B3079" s="51" t="s">
        <v>2752</v>
      </c>
      <c r="C3079" s="34" t="s">
        <v>37</v>
      </c>
      <c r="D3079" s="11" t="s">
        <v>2755</v>
      </c>
      <c r="E3079" s="11" t="s">
        <v>76</v>
      </c>
      <c r="F3079" s="1549">
        <v>1200000</v>
      </c>
      <c r="G3079" s="11" t="s">
        <v>2756</v>
      </c>
      <c r="H3079" s="11" t="s">
        <v>44</v>
      </c>
      <c r="I3079" s="11" t="s">
        <v>271</v>
      </c>
      <c r="J3079" s="11">
        <v>1</v>
      </c>
      <c r="K3079" t="s">
        <v>217</v>
      </c>
    </row>
    <row r="3080" spans="1:11" x14ac:dyDescent="0.3">
      <c r="A3080" s="11">
        <v>4</v>
      </c>
      <c r="B3080" s="2" t="s">
        <v>2757</v>
      </c>
      <c r="C3080" s="34" t="s">
        <v>37</v>
      </c>
      <c r="D3080" s="11" t="s">
        <v>2758</v>
      </c>
      <c r="E3080" s="11" t="s">
        <v>76</v>
      </c>
      <c r="F3080" s="1549">
        <v>1350000</v>
      </c>
      <c r="G3080" s="11" t="s">
        <v>2759</v>
      </c>
      <c r="H3080" s="11" t="s">
        <v>36</v>
      </c>
      <c r="I3080" s="11" t="s">
        <v>271</v>
      </c>
      <c r="J3080" s="11">
        <v>1</v>
      </c>
      <c r="K3080" t="s">
        <v>1282</v>
      </c>
    </row>
    <row r="3081" spans="1:11" x14ac:dyDescent="0.3">
      <c r="A3081" s="11">
        <v>5</v>
      </c>
      <c r="B3081" s="2" t="s">
        <v>2760</v>
      </c>
      <c r="C3081" s="34" t="s">
        <v>37</v>
      </c>
      <c r="D3081" s="11" t="s">
        <v>2761</v>
      </c>
      <c r="E3081" s="11" t="s">
        <v>390</v>
      </c>
      <c r="F3081" s="1549">
        <v>920000</v>
      </c>
      <c r="G3081" s="11" t="s">
        <v>703</v>
      </c>
      <c r="H3081" s="11" t="s">
        <v>36</v>
      </c>
      <c r="I3081" s="11" t="s">
        <v>271</v>
      </c>
      <c r="J3081" s="11">
        <v>1</v>
      </c>
    </row>
    <row r="3082" spans="1:11" x14ac:dyDescent="0.3">
      <c r="A3082" s="11">
        <v>6</v>
      </c>
      <c r="B3082" s="3414">
        <v>44781</v>
      </c>
      <c r="C3082" s="34" t="s">
        <v>37</v>
      </c>
      <c r="D3082" s="11" t="s">
        <v>2762</v>
      </c>
      <c r="E3082" s="11" t="s">
        <v>2602</v>
      </c>
      <c r="F3082" s="1549">
        <v>1250000</v>
      </c>
      <c r="G3082" s="11" t="s">
        <v>43</v>
      </c>
      <c r="H3082" s="11" t="s">
        <v>1468</v>
      </c>
      <c r="I3082" s="11" t="s">
        <v>44</v>
      </c>
      <c r="J3082" s="11">
        <v>1</v>
      </c>
      <c r="K3082" t="s">
        <v>1282</v>
      </c>
    </row>
    <row r="3083" spans="1:11" x14ac:dyDescent="0.3">
      <c r="A3083" s="11">
        <v>7</v>
      </c>
      <c r="B3083" s="3414">
        <v>44600</v>
      </c>
      <c r="C3083" s="11" t="s">
        <v>138</v>
      </c>
      <c r="D3083" s="11" t="s">
        <v>2763</v>
      </c>
      <c r="E3083" s="11" t="s">
        <v>962</v>
      </c>
      <c r="F3083" s="1549">
        <v>1250000</v>
      </c>
      <c r="G3083" s="11" t="s">
        <v>2764</v>
      </c>
      <c r="H3083" s="11" t="s">
        <v>1468</v>
      </c>
      <c r="I3083" s="11" t="s">
        <v>271</v>
      </c>
      <c r="J3083" s="11">
        <v>1</v>
      </c>
      <c r="K3083" t="s">
        <v>1282</v>
      </c>
    </row>
    <row r="3084" spans="1:11" x14ac:dyDescent="0.3">
      <c r="A3084" s="11">
        <v>8</v>
      </c>
      <c r="B3084" s="3414">
        <v>44628</v>
      </c>
      <c r="C3084" s="11" t="s">
        <v>138</v>
      </c>
      <c r="D3084" s="34" t="s">
        <v>2765</v>
      </c>
      <c r="E3084" s="11" t="s">
        <v>784</v>
      </c>
      <c r="F3084" s="1549">
        <v>1100000</v>
      </c>
      <c r="G3084" s="11" t="s">
        <v>1561</v>
      </c>
      <c r="H3084" s="11" t="s">
        <v>36</v>
      </c>
      <c r="I3084" s="11" t="s">
        <v>44</v>
      </c>
      <c r="J3084" s="11">
        <v>1</v>
      </c>
      <c r="K3084" t="s">
        <v>217</v>
      </c>
    </row>
    <row r="3085" spans="1:11" x14ac:dyDescent="0.3">
      <c r="A3085" s="11">
        <v>9</v>
      </c>
      <c r="B3085" s="3414">
        <v>44689</v>
      </c>
      <c r="C3085" s="11" t="s">
        <v>138</v>
      </c>
      <c r="D3085" s="34" t="s">
        <v>2766</v>
      </c>
      <c r="E3085" s="11" t="s">
        <v>1838</v>
      </c>
      <c r="F3085" s="1549">
        <v>1500000</v>
      </c>
      <c r="G3085" s="11" t="s">
        <v>2767</v>
      </c>
      <c r="H3085" s="11" t="s">
        <v>1468</v>
      </c>
      <c r="I3085" s="11" t="s">
        <v>271</v>
      </c>
      <c r="J3085" s="11">
        <v>1</v>
      </c>
      <c r="K3085" t="s">
        <v>217</v>
      </c>
    </row>
    <row r="3086" spans="1:11" x14ac:dyDescent="0.3">
      <c r="A3086" s="11">
        <v>10</v>
      </c>
      <c r="B3086" s="3414">
        <v>44720</v>
      </c>
      <c r="C3086" s="11" t="s">
        <v>138</v>
      </c>
      <c r="D3086" s="34" t="s">
        <v>2768</v>
      </c>
      <c r="E3086" s="11" t="s">
        <v>76</v>
      </c>
      <c r="F3086" s="1549">
        <v>1500000</v>
      </c>
      <c r="G3086" s="11" t="s">
        <v>2769</v>
      </c>
      <c r="H3086" s="11" t="s">
        <v>1468</v>
      </c>
      <c r="I3086" s="11" t="s">
        <v>271</v>
      </c>
      <c r="J3086" s="11">
        <v>1</v>
      </c>
      <c r="K3086" t="s">
        <v>1282</v>
      </c>
    </row>
    <row r="3087" spans="1:11" x14ac:dyDescent="0.3">
      <c r="A3087" s="11">
        <v>11</v>
      </c>
      <c r="B3087" s="3414">
        <v>44812</v>
      </c>
      <c r="C3087" s="11" t="s">
        <v>138</v>
      </c>
      <c r="D3087" s="34" t="s">
        <v>2770</v>
      </c>
      <c r="E3087" s="11" t="s">
        <v>1838</v>
      </c>
      <c r="F3087" s="1549">
        <v>1650000</v>
      </c>
      <c r="G3087" s="11" t="s">
        <v>2767</v>
      </c>
      <c r="H3087" s="11" t="s">
        <v>1468</v>
      </c>
      <c r="I3087" s="11" t="s">
        <v>271</v>
      </c>
      <c r="J3087" s="11">
        <v>1</v>
      </c>
    </row>
    <row r="3088" spans="1:11" x14ac:dyDescent="0.3">
      <c r="A3088" s="11">
        <v>12</v>
      </c>
      <c r="B3088" s="2" t="s">
        <v>2771</v>
      </c>
      <c r="C3088" s="11" t="s">
        <v>138</v>
      </c>
      <c r="D3088" s="34" t="s">
        <v>2772</v>
      </c>
      <c r="E3088" s="11" t="s">
        <v>78</v>
      </c>
      <c r="F3088" s="1549">
        <v>1200000</v>
      </c>
      <c r="G3088" s="11" t="s">
        <v>2773</v>
      </c>
      <c r="H3088" s="11" t="s">
        <v>1468</v>
      </c>
      <c r="I3088" s="11" t="s">
        <v>271</v>
      </c>
      <c r="J3088" s="11">
        <v>1</v>
      </c>
      <c r="K3088" t="s">
        <v>1282</v>
      </c>
    </row>
    <row r="3089" spans="1:11" x14ac:dyDescent="0.3">
      <c r="A3089" s="11">
        <v>13</v>
      </c>
      <c r="B3089" s="2" t="s">
        <v>2771</v>
      </c>
      <c r="C3089" s="11" t="s">
        <v>138</v>
      </c>
      <c r="D3089" s="34" t="s">
        <v>2774</v>
      </c>
      <c r="E3089" s="11" t="s">
        <v>78</v>
      </c>
      <c r="F3089" s="1549">
        <v>1100000</v>
      </c>
      <c r="G3089" s="11" t="s">
        <v>2694</v>
      </c>
      <c r="H3089" s="11" t="s">
        <v>36</v>
      </c>
      <c r="I3089" s="11" t="s">
        <v>271</v>
      </c>
      <c r="J3089" s="11">
        <v>1</v>
      </c>
      <c r="K3089" t="s">
        <v>1282</v>
      </c>
    </row>
    <row r="3090" spans="1:11" x14ac:dyDescent="0.3">
      <c r="A3090" s="11">
        <v>14</v>
      </c>
      <c r="B3090" s="2" t="s">
        <v>2775</v>
      </c>
      <c r="C3090" s="11" t="s">
        <v>138</v>
      </c>
      <c r="D3090" s="11" t="s">
        <v>2776</v>
      </c>
      <c r="E3090" s="11" t="s">
        <v>78</v>
      </c>
      <c r="F3090" s="1549">
        <v>1200000</v>
      </c>
      <c r="G3090" s="11" t="s">
        <v>2117</v>
      </c>
      <c r="H3090" s="11" t="s">
        <v>1468</v>
      </c>
      <c r="I3090" s="11" t="s">
        <v>271</v>
      </c>
      <c r="J3090" s="11">
        <v>1</v>
      </c>
      <c r="K3090" t="s">
        <v>1282</v>
      </c>
    </row>
    <row r="3091" spans="1:11" x14ac:dyDescent="0.3">
      <c r="J3091">
        <f>SUM(J3077:J3090)</f>
        <v>14</v>
      </c>
    </row>
    <row r="3092" spans="1:11" ht="24.6" x14ac:dyDescent="0.4">
      <c r="A3092" s="3462" t="s">
        <v>2003</v>
      </c>
      <c r="B3092" s="3462"/>
      <c r="C3092" s="3462"/>
      <c r="D3092" s="3462"/>
      <c r="E3092" s="3462"/>
      <c r="F3092" s="3462"/>
      <c r="G3092" s="3462"/>
      <c r="H3092" s="3462"/>
      <c r="I3092" s="3462"/>
      <c r="J3092" s="3462"/>
    </row>
    <row r="3093" spans="1:11" x14ac:dyDescent="0.3">
      <c r="A3093" s="3057" t="s">
        <v>3</v>
      </c>
      <c r="B3093" s="3416" t="s">
        <v>4</v>
      </c>
      <c r="C3093" s="3057" t="s">
        <v>5</v>
      </c>
      <c r="D3093" s="3057" t="s">
        <v>6</v>
      </c>
      <c r="E3093" s="3057" t="s">
        <v>7</v>
      </c>
      <c r="F3093" s="3057" t="s">
        <v>8</v>
      </c>
      <c r="G3093" s="3057" t="s">
        <v>9</v>
      </c>
      <c r="H3093" s="3057" t="s">
        <v>10</v>
      </c>
      <c r="I3093" s="3057" t="s">
        <v>11</v>
      </c>
      <c r="J3093" s="3057" t="s">
        <v>12</v>
      </c>
    </row>
    <row r="3094" spans="1:11" x14ac:dyDescent="0.3">
      <c r="A3094" s="3058">
        <v>1</v>
      </c>
      <c r="B3094" s="3417" t="s">
        <v>2777</v>
      </c>
      <c r="C3094" s="3008" t="s">
        <v>37</v>
      </c>
      <c r="D3094" s="3007" t="s">
        <v>2778</v>
      </c>
      <c r="E3094" s="3008" t="s">
        <v>76</v>
      </c>
      <c r="F3094" s="3012">
        <v>275000000</v>
      </c>
      <c r="G3094" s="3008" t="s">
        <v>2779</v>
      </c>
      <c r="H3094" s="3008" t="s">
        <v>1468</v>
      </c>
      <c r="I3094" s="3008" t="s">
        <v>271</v>
      </c>
      <c r="J3094" s="2983">
        <v>1</v>
      </c>
    </row>
    <row r="3095" spans="1:11" ht="15.6" x14ac:dyDescent="0.3">
      <c r="A3095" s="3177">
        <v>2</v>
      </c>
      <c r="B3095" s="3418">
        <v>44569</v>
      </c>
      <c r="C3095" s="3178" t="s">
        <v>138</v>
      </c>
      <c r="D3095" s="3179" t="s">
        <v>2780</v>
      </c>
      <c r="E3095" s="3178" t="s">
        <v>840</v>
      </c>
      <c r="F3095" s="3180">
        <v>140000000</v>
      </c>
      <c r="G3095" s="3178" t="s">
        <v>2688</v>
      </c>
      <c r="H3095" s="3178" t="s">
        <v>36</v>
      </c>
      <c r="I3095" s="3178" t="s">
        <v>271</v>
      </c>
      <c r="J3095" s="3181">
        <v>1</v>
      </c>
    </row>
    <row r="3096" spans="1:11" x14ac:dyDescent="0.3">
      <c r="A3096" s="3058">
        <v>3</v>
      </c>
      <c r="B3096" s="3417">
        <v>44569</v>
      </c>
      <c r="C3096" s="3008" t="s">
        <v>138</v>
      </c>
      <c r="D3096" s="3008" t="s">
        <v>2781</v>
      </c>
      <c r="E3096" s="3008" t="s">
        <v>1838</v>
      </c>
      <c r="F3096" s="3012">
        <v>220000000</v>
      </c>
      <c r="G3096" s="3008" t="s">
        <v>43</v>
      </c>
      <c r="H3096" s="3008" t="s">
        <v>1468</v>
      </c>
      <c r="I3096" s="3008" t="s">
        <v>271</v>
      </c>
      <c r="J3096" s="2983">
        <v>1</v>
      </c>
    </row>
    <row r="3097" spans="1:11" x14ac:dyDescent="0.3">
      <c r="A3097" s="3058">
        <v>4</v>
      </c>
      <c r="B3097" s="3417">
        <v>44781</v>
      </c>
      <c r="C3097" s="3008" t="s">
        <v>138</v>
      </c>
      <c r="D3097" s="3008" t="s">
        <v>2782</v>
      </c>
      <c r="E3097" s="3008" t="s">
        <v>942</v>
      </c>
      <c r="F3097" s="3012">
        <v>170000000</v>
      </c>
      <c r="G3097" s="3008" t="s">
        <v>43</v>
      </c>
      <c r="H3097" s="3008" t="s">
        <v>1468</v>
      </c>
      <c r="I3097" s="3008" t="s">
        <v>271</v>
      </c>
      <c r="J3097" s="2983">
        <v>1</v>
      </c>
    </row>
    <row r="3099" spans="1:11" ht="23.4" x14ac:dyDescent="0.3">
      <c r="A3099" s="3460" t="s">
        <v>2073</v>
      </c>
      <c r="B3099" s="3460"/>
      <c r="C3099" s="3460"/>
      <c r="D3099" s="3460"/>
      <c r="E3099" s="3460"/>
      <c r="F3099" s="3460"/>
      <c r="G3099" s="3460"/>
      <c r="H3099" s="3460"/>
      <c r="I3099" s="3460"/>
      <c r="J3099" s="3460"/>
    </row>
    <row r="3100" spans="1:11" ht="15.6" x14ac:dyDescent="0.3">
      <c r="A3100" s="3461" t="s">
        <v>2</v>
      </c>
      <c r="B3100" s="3461"/>
      <c r="C3100" s="3461"/>
      <c r="D3100" s="3461"/>
      <c r="E3100" s="3461"/>
      <c r="F3100" s="3461"/>
      <c r="G3100" s="3461"/>
      <c r="H3100" s="3461"/>
      <c r="I3100" s="3461"/>
      <c r="J3100" s="3461"/>
    </row>
    <row r="3101" spans="1:11" x14ac:dyDescent="0.3">
      <c r="A3101" s="147" t="s">
        <v>3</v>
      </c>
      <c r="B3101" s="3397" t="s">
        <v>4</v>
      </c>
      <c r="C3101" s="147" t="s">
        <v>5</v>
      </c>
      <c r="D3101" s="147" t="s">
        <v>6</v>
      </c>
      <c r="E3101" s="147" t="s">
        <v>7</v>
      </c>
      <c r="F3101" s="2893" t="s">
        <v>8</v>
      </c>
      <c r="G3101" s="147" t="s">
        <v>9</v>
      </c>
      <c r="H3101" s="147" t="s">
        <v>2243</v>
      </c>
      <c r="I3101" s="147" t="s">
        <v>11</v>
      </c>
      <c r="J3101" s="147" t="s">
        <v>12</v>
      </c>
    </row>
    <row r="3102" spans="1:11" x14ac:dyDescent="0.3">
      <c r="A3102" s="11">
        <v>1</v>
      </c>
      <c r="B3102" s="51" t="s">
        <v>2752</v>
      </c>
      <c r="C3102" s="34" t="s">
        <v>37</v>
      </c>
      <c r="D3102" s="34" t="s">
        <v>2783</v>
      </c>
      <c r="E3102" s="34" t="s">
        <v>1838</v>
      </c>
      <c r="F3102" s="1332">
        <v>1350000</v>
      </c>
      <c r="G3102" s="34" t="s">
        <v>2118</v>
      </c>
      <c r="H3102" s="34" t="s">
        <v>1468</v>
      </c>
      <c r="I3102" s="34" t="s">
        <v>271</v>
      </c>
      <c r="J3102" s="34">
        <v>1</v>
      </c>
      <c r="K3102" t="s">
        <v>1282</v>
      </c>
    </row>
    <row r="3103" spans="1:11" x14ac:dyDescent="0.3">
      <c r="A3103" s="11">
        <v>2</v>
      </c>
      <c r="B3103" s="2" t="s">
        <v>2757</v>
      </c>
      <c r="C3103" s="34" t="s">
        <v>37</v>
      </c>
      <c r="D3103" s="11" t="s">
        <v>2784</v>
      </c>
      <c r="E3103" s="11" t="s">
        <v>904</v>
      </c>
      <c r="F3103" s="1549">
        <v>1000000</v>
      </c>
      <c r="G3103" s="11" t="s">
        <v>43</v>
      </c>
      <c r="H3103" s="11" t="s">
        <v>1468</v>
      </c>
      <c r="I3103" s="11" t="s">
        <v>271</v>
      </c>
      <c r="J3103" s="11">
        <v>1</v>
      </c>
      <c r="K3103" t="s">
        <v>1282</v>
      </c>
    </row>
    <row r="3104" spans="1:11" x14ac:dyDescent="0.3">
      <c r="A3104" s="11">
        <v>3</v>
      </c>
      <c r="B3104" s="2" t="s">
        <v>2757</v>
      </c>
      <c r="C3104" s="34" t="s">
        <v>37</v>
      </c>
      <c r="D3104" s="11" t="s">
        <v>2785</v>
      </c>
      <c r="E3104" s="11" t="s">
        <v>904</v>
      </c>
      <c r="F3104" s="1549">
        <v>1000000</v>
      </c>
      <c r="G3104" s="11" t="s">
        <v>43</v>
      </c>
      <c r="H3104" s="11" t="s">
        <v>1468</v>
      </c>
      <c r="I3104" s="11" t="s">
        <v>271</v>
      </c>
      <c r="J3104" s="11">
        <v>1</v>
      </c>
      <c r="K3104" t="s">
        <v>217</v>
      </c>
    </row>
    <row r="3105" spans="1:11" x14ac:dyDescent="0.3">
      <c r="A3105" s="11">
        <v>4</v>
      </c>
      <c r="B3105" s="2" t="s">
        <v>2757</v>
      </c>
      <c r="C3105" s="34" t="s">
        <v>37</v>
      </c>
      <c r="D3105" s="11" t="s">
        <v>2786</v>
      </c>
      <c r="E3105" s="11" t="s">
        <v>904</v>
      </c>
      <c r="F3105" s="1549">
        <v>1000000</v>
      </c>
      <c r="G3105" s="11" t="s">
        <v>43</v>
      </c>
      <c r="H3105" s="11" t="s">
        <v>1468</v>
      </c>
      <c r="I3105" s="11" t="s">
        <v>271</v>
      </c>
      <c r="J3105" s="11">
        <v>1</v>
      </c>
      <c r="K3105" t="s">
        <v>1282</v>
      </c>
    </row>
    <row r="3106" spans="1:11" x14ac:dyDescent="0.3">
      <c r="A3106" s="11">
        <v>5</v>
      </c>
      <c r="B3106" s="2" t="s">
        <v>2757</v>
      </c>
      <c r="C3106" s="34" t="s">
        <v>219</v>
      </c>
      <c r="D3106" s="11" t="s">
        <v>2787</v>
      </c>
      <c r="E3106" s="11" t="s">
        <v>904</v>
      </c>
      <c r="F3106" s="1549">
        <v>2500000</v>
      </c>
      <c r="G3106" s="11" t="s">
        <v>43</v>
      </c>
      <c r="H3106" s="11" t="s">
        <v>1468</v>
      </c>
      <c r="I3106" s="11" t="s">
        <v>271</v>
      </c>
      <c r="J3106" s="11">
        <v>1</v>
      </c>
      <c r="K3106" t="s">
        <v>217</v>
      </c>
    </row>
    <row r="3107" spans="1:11" x14ac:dyDescent="0.3">
      <c r="A3107" s="11">
        <v>6</v>
      </c>
      <c r="B3107" s="3414">
        <v>44570</v>
      </c>
      <c r="C3107" s="11" t="s">
        <v>138</v>
      </c>
      <c r="D3107" s="11" t="s">
        <v>2788</v>
      </c>
      <c r="E3107" s="11" t="s">
        <v>998</v>
      </c>
      <c r="F3107" s="1549">
        <v>1380000</v>
      </c>
      <c r="G3107" s="11" t="s">
        <v>2789</v>
      </c>
      <c r="H3107" s="11" t="s">
        <v>1468</v>
      </c>
      <c r="I3107" s="11" t="s">
        <v>271</v>
      </c>
      <c r="J3107" s="11">
        <v>1</v>
      </c>
      <c r="K3107" t="s">
        <v>217</v>
      </c>
    </row>
    <row r="3108" spans="1:11" x14ac:dyDescent="0.3">
      <c r="A3108" s="11">
        <v>7</v>
      </c>
      <c r="B3108" s="3414">
        <v>44628</v>
      </c>
      <c r="C3108" s="11" t="s">
        <v>138</v>
      </c>
      <c r="D3108" s="11" t="s">
        <v>2790</v>
      </c>
      <c r="E3108" s="11" t="s">
        <v>2791</v>
      </c>
      <c r="F3108" s="1549">
        <v>3000000</v>
      </c>
      <c r="G3108" s="11" t="s">
        <v>43</v>
      </c>
      <c r="H3108" s="11" t="s">
        <v>1468</v>
      </c>
      <c r="I3108" s="11" t="s">
        <v>271</v>
      </c>
      <c r="J3108" s="11">
        <v>1</v>
      </c>
      <c r="K3108" t="s">
        <v>1282</v>
      </c>
    </row>
    <row r="3109" spans="1:11" x14ac:dyDescent="0.3">
      <c r="A3109" s="11">
        <v>8</v>
      </c>
      <c r="B3109" s="3414">
        <v>44873</v>
      </c>
      <c r="C3109" s="11" t="s">
        <v>138</v>
      </c>
      <c r="D3109" s="11" t="s">
        <v>2792</v>
      </c>
      <c r="E3109" s="11" t="s">
        <v>1066</v>
      </c>
      <c r="F3109" s="1549">
        <v>1350000</v>
      </c>
      <c r="G3109" s="11" t="s">
        <v>2200</v>
      </c>
      <c r="H3109" s="11" t="s">
        <v>1468</v>
      </c>
      <c r="I3109" s="11" t="s">
        <v>271</v>
      </c>
      <c r="J3109" s="11">
        <v>1</v>
      </c>
      <c r="K3109" t="s">
        <v>217</v>
      </c>
    </row>
    <row r="3110" spans="1:11" x14ac:dyDescent="0.3">
      <c r="A3110" s="11">
        <v>9</v>
      </c>
      <c r="B3110" s="2" t="s">
        <v>2793</v>
      </c>
      <c r="C3110" s="11" t="s">
        <v>138</v>
      </c>
      <c r="D3110" s="11" t="s">
        <v>2794</v>
      </c>
      <c r="E3110" s="11" t="s">
        <v>858</v>
      </c>
      <c r="F3110" s="1549">
        <v>1650000</v>
      </c>
      <c r="G3110" s="11" t="s">
        <v>2795</v>
      </c>
      <c r="H3110" s="11" t="s">
        <v>1468</v>
      </c>
      <c r="I3110" s="11" t="s">
        <v>271</v>
      </c>
      <c r="J3110" s="11">
        <v>1</v>
      </c>
      <c r="K3110" t="s">
        <v>1282</v>
      </c>
    </row>
    <row r="3111" spans="1:11" x14ac:dyDescent="0.3">
      <c r="A3111" s="11">
        <v>10</v>
      </c>
      <c r="B3111" s="2" t="s">
        <v>2796</v>
      </c>
      <c r="C3111" s="11" t="s">
        <v>138</v>
      </c>
      <c r="D3111" s="11" t="s">
        <v>2156</v>
      </c>
      <c r="E3111" s="11" t="s">
        <v>1838</v>
      </c>
      <c r="F3111" s="1549">
        <v>1400000</v>
      </c>
      <c r="G3111" s="11" t="s">
        <v>1906</v>
      </c>
      <c r="H3111" s="11" t="s">
        <v>1468</v>
      </c>
      <c r="I3111" s="11" t="s">
        <v>271</v>
      </c>
      <c r="J3111" s="11">
        <v>1</v>
      </c>
      <c r="K3111" t="s">
        <v>1282</v>
      </c>
    </row>
    <row r="3112" spans="1:11" x14ac:dyDescent="0.3">
      <c r="A3112" s="11">
        <v>11</v>
      </c>
      <c r="B3112" s="2" t="s">
        <v>2796</v>
      </c>
      <c r="C3112" s="11" t="s">
        <v>138</v>
      </c>
      <c r="D3112" s="11" t="s">
        <v>2797</v>
      </c>
      <c r="E3112" s="11" t="s">
        <v>998</v>
      </c>
      <c r="F3112" s="1549">
        <v>1200000</v>
      </c>
      <c r="G3112" s="11" t="s">
        <v>2798</v>
      </c>
      <c r="H3112" s="11" t="s">
        <v>1468</v>
      </c>
      <c r="I3112" s="11" t="s">
        <v>271</v>
      </c>
      <c r="J3112" s="11">
        <v>1</v>
      </c>
      <c r="K3112" t="s">
        <v>1282</v>
      </c>
    </row>
    <row r="3113" spans="1:11" x14ac:dyDescent="0.3">
      <c r="A3113" s="11">
        <v>12</v>
      </c>
      <c r="B3113" s="2" t="s">
        <v>2796</v>
      </c>
      <c r="C3113" s="11" t="s">
        <v>219</v>
      </c>
      <c r="D3113" s="11" t="s">
        <v>2799</v>
      </c>
      <c r="E3113" s="11" t="s">
        <v>1870</v>
      </c>
      <c r="F3113" s="1549">
        <v>3600000</v>
      </c>
      <c r="G3113" s="11" t="s">
        <v>43</v>
      </c>
      <c r="H3113" s="11" t="s">
        <v>1468</v>
      </c>
      <c r="I3113" s="11" t="s">
        <v>271</v>
      </c>
      <c r="J3113" s="11">
        <v>1</v>
      </c>
      <c r="K3113" t="s">
        <v>1282</v>
      </c>
    </row>
    <row r="3114" spans="1:11" x14ac:dyDescent="0.3">
      <c r="A3114" s="11">
        <v>13</v>
      </c>
      <c r="B3114" s="2" t="s">
        <v>2800</v>
      </c>
      <c r="C3114" s="11" t="s">
        <v>138</v>
      </c>
      <c r="D3114" s="11" t="s">
        <v>2801</v>
      </c>
      <c r="E3114" s="11" t="s">
        <v>896</v>
      </c>
      <c r="F3114" s="1549">
        <v>800000</v>
      </c>
      <c r="G3114" s="11" t="s">
        <v>43</v>
      </c>
      <c r="H3114" s="11" t="s">
        <v>1468</v>
      </c>
      <c r="I3114" s="11" t="s">
        <v>271</v>
      </c>
      <c r="J3114" s="11">
        <v>1</v>
      </c>
    </row>
    <row r="3115" spans="1:11" x14ac:dyDescent="0.3">
      <c r="A3115" s="11">
        <v>14</v>
      </c>
      <c r="B3115" s="2" t="s">
        <v>2802</v>
      </c>
      <c r="C3115" s="11" t="s">
        <v>138</v>
      </c>
      <c r="D3115" s="11" t="s">
        <v>2803</v>
      </c>
      <c r="E3115" s="11" t="s">
        <v>2437</v>
      </c>
      <c r="F3115" s="1549">
        <v>1400000</v>
      </c>
      <c r="G3115" s="11" t="s">
        <v>43</v>
      </c>
      <c r="H3115" s="11" t="s">
        <v>1468</v>
      </c>
      <c r="I3115" s="11" t="s">
        <v>271</v>
      </c>
      <c r="J3115" s="11">
        <v>1</v>
      </c>
    </row>
    <row r="3116" spans="1:11" x14ac:dyDescent="0.3">
      <c r="J3116">
        <f>SUM(J3102:J3115)</f>
        <v>14</v>
      </c>
    </row>
    <row r="3117" spans="1:11" ht="24.6" x14ac:dyDescent="0.4">
      <c r="A3117" s="3462" t="s">
        <v>2003</v>
      </c>
      <c r="B3117" s="3462"/>
      <c r="C3117" s="3462"/>
      <c r="D3117" s="3462"/>
      <c r="E3117" s="3462"/>
      <c r="F3117" s="3462"/>
      <c r="G3117" s="3462"/>
      <c r="H3117" s="3462"/>
      <c r="I3117" s="3462"/>
      <c r="J3117" s="3462"/>
    </row>
    <row r="3118" spans="1:11" x14ac:dyDescent="0.3">
      <c r="A3118" s="3057" t="s">
        <v>3</v>
      </c>
      <c r="B3118" s="3416" t="s">
        <v>4</v>
      </c>
      <c r="C3118" s="3057" t="s">
        <v>5</v>
      </c>
      <c r="D3118" s="3057" t="s">
        <v>6</v>
      </c>
      <c r="E3118" s="3057" t="s">
        <v>7</v>
      </c>
      <c r="F3118" s="3057" t="s">
        <v>8</v>
      </c>
      <c r="G3118" s="3057" t="s">
        <v>9</v>
      </c>
      <c r="H3118" s="3057" t="s">
        <v>10</v>
      </c>
      <c r="I3118" s="3057" t="s">
        <v>11</v>
      </c>
      <c r="J3118" s="3057" t="s">
        <v>12</v>
      </c>
    </row>
    <row r="3119" spans="1:11" ht="15.6" x14ac:dyDescent="0.3">
      <c r="A3119" s="3058">
        <v>1</v>
      </c>
      <c r="B3119" s="3417">
        <v>44570</v>
      </c>
      <c r="C3119" s="3008" t="s">
        <v>37</v>
      </c>
      <c r="D3119" s="3009" t="s">
        <v>2804</v>
      </c>
      <c r="E3119" s="3008" t="s">
        <v>998</v>
      </c>
      <c r="F3119" s="3012">
        <v>210000000</v>
      </c>
      <c r="G3119" s="3008" t="s">
        <v>2789</v>
      </c>
      <c r="H3119" s="3008" t="s">
        <v>1468</v>
      </c>
      <c r="I3119" s="3008" t="s">
        <v>271</v>
      </c>
      <c r="J3119" s="2983">
        <v>1</v>
      </c>
    </row>
    <row r="3120" spans="1:11" ht="15.6" x14ac:dyDescent="0.3">
      <c r="A3120" s="3058">
        <v>2</v>
      </c>
      <c r="B3120" s="3417">
        <v>44570</v>
      </c>
      <c r="C3120" s="3008" t="s">
        <v>37</v>
      </c>
      <c r="D3120" s="3009" t="s">
        <v>2788</v>
      </c>
      <c r="E3120" s="3008" t="s">
        <v>998</v>
      </c>
      <c r="F3120" s="3012">
        <v>205000000</v>
      </c>
      <c r="G3120" s="3008" t="s">
        <v>2805</v>
      </c>
      <c r="H3120" s="3008" t="s">
        <v>1468</v>
      </c>
      <c r="I3120" s="3008" t="s">
        <v>271</v>
      </c>
      <c r="J3120" s="2983">
        <v>1</v>
      </c>
    </row>
    <row r="3121" spans="1:11" x14ac:dyDescent="0.3">
      <c r="A3121" s="3058">
        <v>3</v>
      </c>
      <c r="B3121" s="3417">
        <v>44781</v>
      </c>
      <c r="C3121" s="3008" t="s">
        <v>37</v>
      </c>
      <c r="D3121" s="3008" t="s">
        <v>392</v>
      </c>
      <c r="E3121" s="3008" t="s">
        <v>68</v>
      </c>
      <c r="F3121" s="3012">
        <v>290000000</v>
      </c>
      <c r="G3121" s="3008" t="s">
        <v>2358</v>
      </c>
      <c r="H3121" s="3008" t="s">
        <v>1468</v>
      </c>
      <c r="I3121" s="3008" t="s">
        <v>271</v>
      </c>
      <c r="J3121" s="2983">
        <v>1</v>
      </c>
    </row>
    <row r="3123" spans="1:11" ht="23.4" x14ac:dyDescent="0.3">
      <c r="A3123" s="3460" t="s">
        <v>1138</v>
      </c>
      <c r="B3123" s="3460"/>
      <c r="C3123" s="3460"/>
      <c r="D3123" s="3460"/>
      <c r="E3123" s="3460"/>
      <c r="F3123" s="3460"/>
      <c r="G3123" s="3460"/>
      <c r="H3123" s="3460"/>
      <c r="I3123" s="3460"/>
      <c r="J3123" s="3460"/>
    </row>
    <row r="3124" spans="1:11" ht="15.6" x14ac:dyDescent="0.3">
      <c r="A3124" s="3461" t="s">
        <v>2</v>
      </c>
      <c r="B3124" s="3461"/>
      <c r="C3124" s="3461"/>
      <c r="D3124" s="3461"/>
      <c r="E3124" s="3461"/>
      <c r="F3124" s="3461"/>
      <c r="G3124" s="3461"/>
      <c r="H3124" s="3461"/>
      <c r="I3124" s="3461"/>
      <c r="J3124" s="3461"/>
    </row>
    <row r="3125" spans="1:11" x14ac:dyDescent="0.3">
      <c r="A3125" s="147" t="s">
        <v>3</v>
      </c>
      <c r="B3125" s="3397" t="s">
        <v>4</v>
      </c>
      <c r="C3125" s="147" t="s">
        <v>5</v>
      </c>
      <c r="D3125" s="11" t="s">
        <v>6</v>
      </c>
      <c r="E3125" s="147" t="s">
        <v>7</v>
      </c>
      <c r="F3125" s="2893" t="s">
        <v>8</v>
      </c>
      <c r="G3125" s="147" t="s">
        <v>9</v>
      </c>
      <c r="H3125" s="147" t="s">
        <v>2243</v>
      </c>
      <c r="I3125" s="147" t="s">
        <v>11</v>
      </c>
      <c r="J3125" s="147" t="s">
        <v>12</v>
      </c>
    </row>
    <row r="3126" spans="1:11" x14ac:dyDescent="0.3">
      <c r="A3126" s="11">
        <v>1</v>
      </c>
      <c r="B3126" s="51" t="s">
        <v>2777</v>
      </c>
      <c r="C3126" s="34" t="s">
        <v>37</v>
      </c>
      <c r="D3126" s="11" t="s">
        <v>2806</v>
      </c>
      <c r="E3126" s="34" t="s">
        <v>998</v>
      </c>
      <c r="F3126" s="1332">
        <v>1250000</v>
      </c>
      <c r="G3126" s="34" t="s">
        <v>2145</v>
      </c>
      <c r="H3126" s="34" t="s">
        <v>1468</v>
      </c>
      <c r="I3126" s="34" t="s">
        <v>271</v>
      </c>
      <c r="J3126" s="34">
        <v>1</v>
      </c>
    </row>
    <row r="3127" spans="1:11" x14ac:dyDescent="0.3">
      <c r="A3127" s="11">
        <v>2</v>
      </c>
      <c r="B3127" s="2" t="s">
        <v>2757</v>
      </c>
      <c r="C3127" s="34" t="s">
        <v>37</v>
      </c>
      <c r="D3127" s="11" t="s">
        <v>958</v>
      </c>
      <c r="E3127" s="11" t="s">
        <v>1838</v>
      </c>
      <c r="F3127" s="1332">
        <v>1250000</v>
      </c>
      <c r="G3127" s="11" t="s">
        <v>2807</v>
      </c>
      <c r="H3127" s="11" t="s">
        <v>1468</v>
      </c>
      <c r="I3127" s="11" t="s">
        <v>271</v>
      </c>
      <c r="J3127" s="11">
        <v>1</v>
      </c>
      <c r="K3127" t="s">
        <v>217</v>
      </c>
    </row>
    <row r="3128" spans="1:11" x14ac:dyDescent="0.3">
      <c r="A3128" s="11">
        <v>3</v>
      </c>
      <c r="B3128" s="3414">
        <v>44720</v>
      </c>
      <c r="C3128" s="34" t="s">
        <v>37</v>
      </c>
      <c r="D3128" s="11" t="s">
        <v>2808</v>
      </c>
      <c r="E3128" s="11" t="s">
        <v>1838</v>
      </c>
      <c r="F3128" s="1332">
        <v>1400000</v>
      </c>
      <c r="G3128" s="11" t="s">
        <v>2807</v>
      </c>
      <c r="H3128" s="11" t="s">
        <v>44</v>
      </c>
      <c r="I3128" s="11" t="s">
        <v>271</v>
      </c>
      <c r="J3128" s="11">
        <v>1</v>
      </c>
    </row>
    <row r="3129" spans="1:11" x14ac:dyDescent="0.3">
      <c r="A3129" s="11">
        <v>4</v>
      </c>
      <c r="B3129" s="3414">
        <v>44781</v>
      </c>
      <c r="C3129" s="34" t="s">
        <v>37</v>
      </c>
      <c r="D3129" s="11" t="s">
        <v>2809</v>
      </c>
      <c r="E3129" s="11" t="s">
        <v>998</v>
      </c>
      <c r="F3129" s="1549">
        <v>950000</v>
      </c>
      <c r="G3129" s="11" t="s">
        <v>168</v>
      </c>
      <c r="H3129" s="11" t="s">
        <v>1468</v>
      </c>
      <c r="I3129" s="11" t="s">
        <v>271</v>
      </c>
      <c r="J3129" s="11">
        <v>1</v>
      </c>
      <c r="K3129" t="s">
        <v>217</v>
      </c>
    </row>
    <row r="3130" spans="1:11" x14ac:dyDescent="0.3">
      <c r="A3130" s="11">
        <v>5</v>
      </c>
      <c r="B3130" s="3414">
        <v>44873</v>
      </c>
      <c r="C3130" s="34" t="s">
        <v>37</v>
      </c>
      <c r="D3130" s="11" t="s">
        <v>2810</v>
      </c>
      <c r="E3130" s="11" t="s">
        <v>1365</v>
      </c>
      <c r="F3130" s="1549">
        <v>2400000</v>
      </c>
      <c r="G3130" s="11" t="s">
        <v>2748</v>
      </c>
      <c r="H3130" s="11" t="s">
        <v>1468</v>
      </c>
      <c r="I3130" s="11" t="s">
        <v>271</v>
      </c>
      <c r="J3130" s="11">
        <v>1</v>
      </c>
      <c r="K3130" t="s">
        <v>1282</v>
      </c>
    </row>
    <row r="3131" spans="1:11" x14ac:dyDescent="0.3">
      <c r="A3131" s="11">
        <v>6</v>
      </c>
      <c r="B3131" s="3414">
        <v>44903</v>
      </c>
      <c r="C3131" s="34" t="s">
        <v>37</v>
      </c>
      <c r="D3131" s="11" t="s">
        <v>2811</v>
      </c>
      <c r="E3131" s="11" t="s">
        <v>1838</v>
      </c>
      <c r="F3131" s="1549">
        <v>1300000</v>
      </c>
      <c r="G3131" s="11" t="s">
        <v>2812</v>
      </c>
      <c r="H3131" s="11" t="s">
        <v>1468</v>
      </c>
      <c r="I3131" s="11" t="s">
        <v>271</v>
      </c>
      <c r="J3131" s="11">
        <v>1</v>
      </c>
      <c r="K3131" t="s">
        <v>1282</v>
      </c>
    </row>
    <row r="3132" spans="1:11" x14ac:dyDescent="0.3">
      <c r="A3132" s="11">
        <v>7</v>
      </c>
      <c r="B3132" s="3414">
        <v>44903</v>
      </c>
      <c r="C3132" s="34" t="s">
        <v>37</v>
      </c>
      <c r="D3132" s="11" t="s">
        <v>2729</v>
      </c>
      <c r="E3132" s="11" t="s">
        <v>1838</v>
      </c>
      <c r="F3132" s="1549">
        <v>1400000</v>
      </c>
      <c r="G3132" s="11" t="s">
        <v>140</v>
      </c>
      <c r="H3132" s="11" t="s">
        <v>1468</v>
      </c>
      <c r="I3132" s="11" t="s">
        <v>271</v>
      </c>
      <c r="J3132" s="11">
        <v>1</v>
      </c>
      <c r="K3132" t="s">
        <v>1282</v>
      </c>
    </row>
    <row r="3133" spans="1:11" x14ac:dyDescent="0.3">
      <c r="A3133" s="11">
        <v>8</v>
      </c>
      <c r="B3133" s="2" t="s">
        <v>2813</v>
      </c>
      <c r="C3133" s="34" t="s">
        <v>37</v>
      </c>
      <c r="D3133" s="11" t="s">
        <v>2814</v>
      </c>
      <c r="E3133" s="11" t="s">
        <v>68</v>
      </c>
      <c r="F3133" s="1549">
        <v>1500000</v>
      </c>
      <c r="G3133" s="11" t="s">
        <v>2812</v>
      </c>
      <c r="H3133" s="11" t="s">
        <v>1468</v>
      </c>
      <c r="I3133" s="11" t="s">
        <v>271</v>
      </c>
      <c r="J3133" s="11">
        <v>1</v>
      </c>
    </row>
    <row r="3134" spans="1:11" x14ac:dyDescent="0.3">
      <c r="A3134" s="11">
        <v>9</v>
      </c>
      <c r="B3134" s="2" t="s">
        <v>2793</v>
      </c>
      <c r="C3134" s="34" t="s">
        <v>37</v>
      </c>
      <c r="D3134" s="11" t="s">
        <v>2815</v>
      </c>
      <c r="E3134" s="11" t="s">
        <v>1838</v>
      </c>
      <c r="F3134" s="1549">
        <v>1650000</v>
      </c>
      <c r="G3134" s="11" t="s">
        <v>140</v>
      </c>
      <c r="H3134" s="11" t="s">
        <v>1468</v>
      </c>
      <c r="I3134" s="11" t="s">
        <v>271</v>
      </c>
      <c r="J3134" s="11">
        <v>1</v>
      </c>
    </row>
    <row r="3135" spans="1:11" x14ac:dyDescent="0.3">
      <c r="A3135" s="11">
        <v>10</v>
      </c>
      <c r="B3135" s="2" t="s">
        <v>2796</v>
      </c>
      <c r="C3135" s="34" t="s">
        <v>37</v>
      </c>
      <c r="D3135" s="11" t="s">
        <v>2816</v>
      </c>
      <c r="E3135" s="11" t="s">
        <v>2817</v>
      </c>
      <c r="F3135" s="3207">
        <v>850000</v>
      </c>
      <c r="G3135" s="11" t="s">
        <v>43</v>
      </c>
      <c r="H3135" s="11" t="s">
        <v>1468</v>
      </c>
      <c r="I3135" s="11" t="s">
        <v>271</v>
      </c>
      <c r="J3135" s="11">
        <v>1</v>
      </c>
    </row>
    <row r="3136" spans="1:11" x14ac:dyDescent="0.3">
      <c r="A3136" s="11">
        <v>11</v>
      </c>
      <c r="B3136" s="2" t="s">
        <v>2818</v>
      </c>
      <c r="C3136" s="34" t="s">
        <v>37</v>
      </c>
      <c r="D3136" s="160" t="s">
        <v>2819</v>
      </c>
      <c r="E3136" t="s">
        <v>1130</v>
      </c>
      <c r="F3136" s="1549">
        <v>1250000</v>
      </c>
      <c r="G3136" t="s">
        <v>2702</v>
      </c>
      <c r="H3136" s="11" t="s">
        <v>1468</v>
      </c>
      <c r="I3136" s="11" t="s">
        <v>271</v>
      </c>
      <c r="J3136" s="11">
        <v>1</v>
      </c>
    </row>
    <row r="3137" spans="1:11" x14ac:dyDescent="0.3">
      <c r="A3137" s="11">
        <v>12</v>
      </c>
      <c r="B3137" s="2" t="s">
        <v>2818</v>
      </c>
      <c r="C3137" s="34" t="s">
        <v>37</v>
      </c>
      <c r="D3137" s="11" t="s">
        <v>2820</v>
      </c>
      <c r="E3137" s="11" t="s">
        <v>68</v>
      </c>
      <c r="F3137" s="1549">
        <v>1550000</v>
      </c>
      <c r="G3137" t="s">
        <v>2358</v>
      </c>
      <c r="H3137" s="11" t="s">
        <v>1468</v>
      </c>
      <c r="I3137" s="11" t="s">
        <v>271</v>
      </c>
      <c r="J3137" s="11">
        <v>1</v>
      </c>
    </row>
    <row r="3138" spans="1:11" x14ac:dyDescent="0.3">
      <c r="A3138" s="11">
        <v>13</v>
      </c>
      <c r="B3138" s="2" t="s">
        <v>2821</v>
      </c>
      <c r="C3138" s="34" t="s">
        <v>37</v>
      </c>
      <c r="D3138" s="11" t="s">
        <v>2822</v>
      </c>
      <c r="E3138" s="11" t="s">
        <v>840</v>
      </c>
      <c r="F3138" s="1549">
        <v>1300000</v>
      </c>
      <c r="G3138" s="11" t="s">
        <v>2823</v>
      </c>
      <c r="H3138" s="11" t="s">
        <v>1468</v>
      </c>
      <c r="I3138" s="11" t="s">
        <v>271</v>
      </c>
      <c r="J3138" s="11">
        <v>1</v>
      </c>
    </row>
    <row r="3139" spans="1:11" x14ac:dyDescent="0.3">
      <c r="A3139" s="11">
        <v>14</v>
      </c>
      <c r="B3139" s="2" t="s">
        <v>2821</v>
      </c>
      <c r="C3139" s="34" t="s">
        <v>37</v>
      </c>
      <c r="D3139" s="11" t="s">
        <v>2824</v>
      </c>
      <c r="E3139" s="11" t="s">
        <v>840</v>
      </c>
      <c r="F3139" s="1549">
        <v>1050000</v>
      </c>
      <c r="G3139" s="11" t="s">
        <v>2823</v>
      </c>
      <c r="H3139" s="11" t="s">
        <v>1468</v>
      </c>
      <c r="I3139" s="11" t="s">
        <v>271</v>
      </c>
      <c r="J3139" s="11">
        <v>1</v>
      </c>
    </row>
    <row r="3141" spans="1:11" ht="24.6" x14ac:dyDescent="0.4">
      <c r="A3141" s="3462" t="s">
        <v>2003</v>
      </c>
      <c r="B3141" s="3462"/>
      <c r="C3141" s="3462"/>
      <c r="D3141" s="3462"/>
      <c r="E3141" s="3462"/>
      <c r="F3141" s="3462"/>
      <c r="G3141" s="3462"/>
      <c r="H3141" s="3462"/>
      <c r="I3141" s="3462"/>
      <c r="J3141" s="3462"/>
    </row>
    <row r="3142" spans="1:11" x14ac:dyDescent="0.3">
      <c r="A3142" s="3057" t="s">
        <v>3</v>
      </c>
      <c r="B3142" s="3416" t="s">
        <v>4</v>
      </c>
      <c r="C3142" s="3057" t="s">
        <v>5</v>
      </c>
      <c r="D3142" s="3057" t="s">
        <v>6</v>
      </c>
      <c r="E3142" s="3057" t="s">
        <v>7</v>
      </c>
      <c r="F3142" s="3057" t="s">
        <v>8</v>
      </c>
      <c r="G3142" s="3057" t="s">
        <v>9</v>
      </c>
      <c r="H3142" s="3057" t="s">
        <v>10</v>
      </c>
      <c r="I3142" s="3057" t="s">
        <v>11</v>
      </c>
      <c r="J3142" s="3057" t="s">
        <v>12</v>
      </c>
    </row>
    <row r="3143" spans="1:11" ht="15.6" x14ac:dyDescent="0.3">
      <c r="A3143" s="3058">
        <v>1</v>
      </c>
      <c r="B3143" s="3417">
        <v>44689</v>
      </c>
      <c r="C3143" s="3008" t="s">
        <v>37</v>
      </c>
      <c r="D3143" s="3009" t="s">
        <v>2825</v>
      </c>
      <c r="E3143" s="3008" t="s">
        <v>858</v>
      </c>
      <c r="F3143" s="3012">
        <v>490000000</v>
      </c>
      <c r="G3143" s="3008" t="s">
        <v>2748</v>
      </c>
      <c r="H3143" s="3008" t="s">
        <v>1468</v>
      </c>
      <c r="I3143" s="3008" t="s">
        <v>271</v>
      </c>
      <c r="J3143" s="2983">
        <v>1</v>
      </c>
    </row>
    <row r="3144" spans="1:11" ht="15.6" x14ac:dyDescent="0.3">
      <c r="A3144" s="3058">
        <v>2</v>
      </c>
      <c r="B3144" s="3417">
        <v>44781</v>
      </c>
      <c r="C3144" s="3008" t="s">
        <v>37</v>
      </c>
      <c r="D3144" s="3009" t="s">
        <v>2826</v>
      </c>
      <c r="E3144" s="3008" t="s">
        <v>76</v>
      </c>
      <c r="F3144" s="3012">
        <v>170000000</v>
      </c>
      <c r="G3144" s="3008" t="s">
        <v>2827</v>
      </c>
      <c r="H3144" s="3008" t="s">
        <v>1468</v>
      </c>
      <c r="I3144" s="3008" t="s">
        <v>271</v>
      </c>
      <c r="J3144" s="2983">
        <v>1</v>
      </c>
    </row>
    <row r="3145" spans="1:11" x14ac:dyDescent="0.3">
      <c r="A3145" s="3058">
        <v>3</v>
      </c>
      <c r="B3145" s="3417">
        <v>44781</v>
      </c>
      <c r="C3145" s="3008" t="s">
        <v>37</v>
      </c>
      <c r="D3145" s="3008" t="s">
        <v>1691</v>
      </c>
      <c r="E3145" s="3008" t="s">
        <v>1838</v>
      </c>
      <c r="F3145" s="3012">
        <v>3000000000</v>
      </c>
      <c r="G3145" s="3008" t="s">
        <v>43</v>
      </c>
      <c r="H3145" s="3008" t="s">
        <v>1468</v>
      </c>
      <c r="I3145" s="3008" t="s">
        <v>271</v>
      </c>
      <c r="J3145" s="2983">
        <v>1</v>
      </c>
    </row>
    <row r="3147" spans="1:11" ht="23.4" x14ac:dyDescent="0.3">
      <c r="A3147" s="3460" t="s">
        <v>2828</v>
      </c>
      <c r="B3147" s="3460"/>
      <c r="C3147" s="3460"/>
      <c r="D3147" s="3460"/>
      <c r="E3147" s="3460"/>
      <c r="F3147" s="3460"/>
      <c r="G3147" s="3460"/>
      <c r="H3147" s="3460"/>
      <c r="I3147" s="3460"/>
      <c r="J3147" s="3460"/>
    </row>
    <row r="3148" spans="1:11" ht="15.6" x14ac:dyDescent="0.3">
      <c r="A3148" s="3461" t="s">
        <v>2</v>
      </c>
      <c r="B3148" s="3461"/>
      <c r="C3148" s="3461"/>
      <c r="D3148" s="3461"/>
      <c r="E3148" s="3461"/>
      <c r="F3148" s="3461"/>
      <c r="G3148" s="3461"/>
      <c r="H3148" s="3461"/>
      <c r="I3148" s="3461"/>
      <c r="J3148" s="3461"/>
    </row>
    <row r="3149" spans="1:11" x14ac:dyDescent="0.3">
      <c r="A3149" s="147" t="s">
        <v>3</v>
      </c>
      <c r="B3149" s="3397" t="s">
        <v>4</v>
      </c>
      <c r="C3149" s="147" t="s">
        <v>5</v>
      </c>
      <c r="D3149" s="147" t="s">
        <v>6</v>
      </c>
      <c r="E3149" s="147" t="s">
        <v>7</v>
      </c>
      <c r="F3149" s="2893" t="s">
        <v>8</v>
      </c>
      <c r="G3149" s="147" t="s">
        <v>9</v>
      </c>
      <c r="H3149" s="147" t="s">
        <v>2243</v>
      </c>
      <c r="I3149" s="147" t="s">
        <v>11</v>
      </c>
      <c r="J3149" s="147" t="s">
        <v>12</v>
      </c>
    </row>
    <row r="3150" spans="1:11" x14ac:dyDescent="0.3">
      <c r="A3150" s="11">
        <v>1</v>
      </c>
      <c r="B3150" s="3391">
        <v>44659</v>
      </c>
      <c r="C3150" s="34" t="s">
        <v>37</v>
      </c>
      <c r="D3150" s="34" t="s">
        <v>2829</v>
      </c>
      <c r="E3150" s="34" t="s">
        <v>858</v>
      </c>
      <c r="F3150" s="1332">
        <v>2300000</v>
      </c>
      <c r="G3150" s="34" t="s">
        <v>2748</v>
      </c>
      <c r="H3150" s="34" t="s">
        <v>44</v>
      </c>
      <c r="I3150" s="34" t="s">
        <v>36</v>
      </c>
      <c r="J3150" s="34">
        <v>1</v>
      </c>
      <c r="K3150" t="s">
        <v>217</v>
      </c>
    </row>
    <row r="3151" spans="1:11" x14ac:dyDescent="0.3">
      <c r="A3151" s="11">
        <v>2</v>
      </c>
      <c r="B3151" s="3414">
        <v>44689</v>
      </c>
      <c r="C3151" s="34" t="s">
        <v>37</v>
      </c>
      <c r="D3151" s="11" t="s">
        <v>2830</v>
      </c>
      <c r="E3151" s="11" t="s">
        <v>1130</v>
      </c>
      <c r="F3151" s="1549">
        <v>1300000</v>
      </c>
      <c r="G3151" s="11" t="s">
        <v>168</v>
      </c>
      <c r="H3151" s="11" t="s">
        <v>1468</v>
      </c>
      <c r="I3151" s="11" t="s">
        <v>271</v>
      </c>
      <c r="J3151" s="11">
        <v>1</v>
      </c>
      <c r="K3151" t="s">
        <v>1282</v>
      </c>
    </row>
    <row r="3152" spans="1:11" x14ac:dyDescent="0.3">
      <c r="A3152" s="11">
        <v>3</v>
      </c>
      <c r="B3152" s="3414">
        <v>44812</v>
      </c>
      <c r="C3152" s="34" t="s">
        <v>37</v>
      </c>
      <c r="D3152" s="11" t="s">
        <v>2831</v>
      </c>
      <c r="E3152" s="11" t="s">
        <v>962</v>
      </c>
      <c r="F3152" s="1549">
        <v>1560000</v>
      </c>
      <c r="G3152" s="11" t="s">
        <v>43</v>
      </c>
      <c r="H3152" s="11" t="s">
        <v>1468</v>
      </c>
      <c r="I3152" s="11" t="s">
        <v>271</v>
      </c>
      <c r="J3152" s="11">
        <v>1</v>
      </c>
      <c r="K3152" t="s">
        <v>217</v>
      </c>
    </row>
    <row r="3153" spans="1:11" x14ac:dyDescent="0.3">
      <c r="A3153" s="11">
        <v>4</v>
      </c>
      <c r="B3153" s="3414">
        <v>44873</v>
      </c>
      <c r="C3153" s="34" t="s">
        <v>37</v>
      </c>
      <c r="D3153" s="11" t="s">
        <v>2832</v>
      </c>
      <c r="E3153" s="11" t="s">
        <v>1066</v>
      </c>
      <c r="F3153" s="1549">
        <v>1570000</v>
      </c>
      <c r="G3153" s="11" t="s">
        <v>2833</v>
      </c>
      <c r="H3153" s="11" t="s">
        <v>1468</v>
      </c>
      <c r="I3153" s="11" t="s">
        <v>271</v>
      </c>
      <c r="J3153" s="11">
        <v>1</v>
      </c>
      <c r="K3153" t="s">
        <v>1282</v>
      </c>
    </row>
    <row r="3154" spans="1:11" x14ac:dyDescent="0.3">
      <c r="A3154" s="11">
        <v>5</v>
      </c>
      <c r="B3154" s="2" t="s">
        <v>2775</v>
      </c>
      <c r="C3154" s="34" t="s">
        <v>37</v>
      </c>
      <c r="D3154" s="11" t="s">
        <v>2834</v>
      </c>
      <c r="E3154" s="11" t="s">
        <v>1130</v>
      </c>
      <c r="F3154" s="1549">
        <v>1200000</v>
      </c>
      <c r="G3154" s="11" t="s">
        <v>43</v>
      </c>
      <c r="H3154" s="11" t="s">
        <v>1468</v>
      </c>
      <c r="I3154" s="11" t="s">
        <v>271</v>
      </c>
      <c r="J3154" s="11">
        <v>1</v>
      </c>
      <c r="K3154" t="s">
        <v>1282</v>
      </c>
    </row>
    <row r="3155" spans="1:11" x14ac:dyDescent="0.3">
      <c r="A3155" s="11">
        <v>6</v>
      </c>
      <c r="B3155" s="2" t="s">
        <v>2835</v>
      </c>
      <c r="C3155" s="34" t="s">
        <v>37</v>
      </c>
      <c r="D3155" s="11" t="s">
        <v>2836</v>
      </c>
      <c r="E3155" s="11" t="s">
        <v>840</v>
      </c>
      <c r="F3155" s="1549">
        <v>1100000</v>
      </c>
      <c r="G3155" s="11" t="s">
        <v>2837</v>
      </c>
      <c r="H3155" s="11" t="s">
        <v>1468</v>
      </c>
      <c r="I3155" s="11" t="s">
        <v>271</v>
      </c>
      <c r="J3155" s="11">
        <v>1</v>
      </c>
    </row>
    <row r="3156" spans="1:11" x14ac:dyDescent="0.3">
      <c r="A3156" s="11">
        <v>7</v>
      </c>
      <c r="B3156" s="2" t="s">
        <v>2796</v>
      </c>
      <c r="C3156" s="34" t="s">
        <v>37</v>
      </c>
      <c r="D3156" s="11" t="s">
        <v>2838</v>
      </c>
      <c r="E3156" s="11" t="s">
        <v>1720</v>
      </c>
      <c r="F3156" s="1549">
        <v>1100000</v>
      </c>
      <c r="G3156" s="11" t="s">
        <v>1561</v>
      </c>
      <c r="H3156" s="11" t="s">
        <v>1468</v>
      </c>
      <c r="I3156" s="11" t="s">
        <v>271</v>
      </c>
      <c r="J3156" s="11">
        <v>1</v>
      </c>
    </row>
    <row r="3157" spans="1:11" x14ac:dyDescent="0.3">
      <c r="A3157" s="11">
        <v>8</v>
      </c>
      <c r="B3157" s="2" t="s">
        <v>2796</v>
      </c>
      <c r="C3157" s="34" t="s">
        <v>37</v>
      </c>
      <c r="D3157" s="11" t="s">
        <v>2839</v>
      </c>
      <c r="E3157" s="11" t="s">
        <v>1720</v>
      </c>
      <c r="F3157" s="1549">
        <v>1100000</v>
      </c>
      <c r="G3157" s="11" t="s">
        <v>1561</v>
      </c>
      <c r="H3157" s="11" t="s">
        <v>1468</v>
      </c>
      <c r="I3157" s="11" t="s">
        <v>271</v>
      </c>
      <c r="J3157" s="11">
        <v>1</v>
      </c>
    </row>
    <row r="3158" spans="1:11" x14ac:dyDescent="0.3">
      <c r="A3158" s="11">
        <v>9</v>
      </c>
      <c r="B3158" s="2" t="s">
        <v>2796</v>
      </c>
      <c r="C3158" s="34" t="s">
        <v>37</v>
      </c>
      <c r="D3158" s="11" t="s">
        <v>2840</v>
      </c>
      <c r="E3158" s="11" t="s">
        <v>1066</v>
      </c>
      <c r="F3158" s="1549">
        <v>870000</v>
      </c>
      <c r="G3158" s="11" t="s">
        <v>43</v>
      </c>
      <c r="H3158" s="11" t="s">
        <v>1468</v>
      </c>
      <c r="I3158" s="11" t="s">
        <v>271</v>
      </c>
      <c r="J3158" s="11">
        <v>1</v>
      </c>
    </row>
    <row r="3159" spans="1:11" x14ac:dyDescent="0.3">
      <c r="A3159" s="11">
        <v>10</v>
      </c>
      <c r="B3159" s="2" t="s">
        <v>2796</v>
      </c>
      <c r="C3159" s="34" t="s">
        <v>37</v>
      </c>
      <c r="D3159" s="11" t="s">
        <v>2841</v>
      </c>
      <c r="E3159" s="11" t="s">
        <v>78</v>
      </c>
      <c r="F3159" s="1549" t="s">
        <v>2842</v>
      </c>
      <c r="G3159" s="11" t="s">
        <v>43</v>
      </c>
      <c r="H3159" s="11" t="s">
        <v>1468</v>
      </c>
      <c r="I3159" s="11" t="s">
        <v>271</v>
      </c>
      <c r="J3159" s="11">
        <v>1</v>
      </c>
    </row>
    <row r="3160" spans="1:11" x14ac:dyDescent="0.3">
      <c r="A3160" s="11">
        <v>11</v>
      </c>
      <c r="B3160" s="2" t="s">
        <v>2843</v>
      </c>
      <c r="C3160" s="34" t="s">
        <v>37</v>
      </c>
      <c r="D3160" s="11" t="s">
        <v>2844</v>
      </c>
      <c r="E3160" s="11" t="s">
        <v>2845</v>
      </c>
      <c r="F3160" s="1549">
        <v>1900000</v>
      </c>
      <c r="G3160" s="11" t="s">
        <v>43</v>
      </c>
      <c r="H3160" s="11" t="s">
        <v>1468</v>
      </c>
      <c r="I3160" s="11" t="s">
        <v>271</v>
      </c>
      <c r="J3160" s="11">
        <v>1</v>
      </c>
    </row>
    <row r="3161" spans="1:11" x14ac:dyDescent="0.3">
      <c r="A3161" s="11">
        <v>12</v>
      </c>
      <c r="B3161" s="2" t="s">
        <v>2843</v>
      </c>
      <c r="C3161" s="34" t="s">
        <v>37</v>
      </c>
      <c r="D3161" s="11" t="s">
        <v>2846</v>
      </c>
      <c r="E3161" s="11" t="s">
        <v>2845</v>
      </c>
      <c r="F3161" s="1549">
        <v>1900000</v>
      </c>
      <c r="G3161" s="11" t="s">
        <v>43</v>
      </c>
      <c r="H3161" s="11" t="s">
        <v>1468</v>
      </c>
      <c r="I3161" s="11" t="s">
        <v>271</v>
      </c>
      <c r="J3161" s="11">
        <v>1</v>
      </c>
    </row>
    <row r="3162" spans="1:11" x14ac:dyDescent="0.3">
      <c r="A3162" s="11">
        <v>13</v>
      </c>
      <c r="B3162" s="2" t="s">
        <v>2843</v>
      </c>
      <c r="C3162" s="34" t="s">
        <v>37</v>
      </c>
      <c r="D3162" s="11" t="s">
        <v>2847</v>
      </c>
      <c r="E3162" s="11" t="s">
        <v>2845</v>
      </c>
      <c r="F3162" s="1549">
        <v>1900000</v>
      </c>
      <c r="G3162" s="11" t="s">
        <v>43</v>
      </c>
      <c r="H3162" s="11" t="s">
        <v>1468</v>
      </c>
      <c r="I3162" s="11" t="s">
        <v>271</v>
      </c>
      <c r="J3162" s="11">
        <v>1</v>
      </c>
    </row>
    <row r="3163" spans="1:11" x14ac:dyDescent="0.3">
      <c r="A3163" s="11">
        <v>14</v>
      </c>
      <c r="B3163" s="2" t="s">
        <v>2843</v>
      </c>
      <c r="C3163" s="34" t="s">
        <v>37</v>
      </c>
      <c r="D3163" s="11" t="s">
        <v>2848</v>
      </c>
      <c r="E3163" s="11" t="s">
        <v>2845</v>
      </c>
      <c r="F3163" s="1549">
        <v>1900000</v>
      </c>
      <c r="G3163" s="11" t="s">
        <v>43</v>
      </c>
      <c r="H3163" s="11" t="s">
        <v>1468</v>
      </c>
      <c r="I3163" s="11" t="s">
        <v>271</v>
      </c>
      <c r="J3163" s="11">
        <v>1</v>
      </c>
    </row>
    <row r="3165" spans="1:11" ht="24.6" x14ac:dyDescent="0.4">
      <c r="A3165" s="3462" t="s">
        <v>2003</v>
      </c>
      <c r="B3165" s="3462"/>
      <c r="C3165" s="3462"/>
      <c r="D3165" s="3462"/>
      <c r="E3165" s="3462"/>
      <c r="F3165" s="3462"/>
      <c r="G3165" s="3462"/>
      <c r="H3165" s="3462"/>
      <c r="I3165" s="3462"/>
      <c r="J3165" s="3462"/>
    </row>
    <row r="3166" spans="1:11" x14ac:dyDescent="0.3">
      <c r="A3166" s="3057" t="s">
        <v>3</v>
      </c>
      <c r="B3166" s="3416" t="s">
        <v>4</v>
      </c>
      <c r="C3166" s="3057" t="s">
        <v>5</v>
      </c>
      <c r="D3166" s="3057" t="s">
        <v>6</v>
      </c>
      <c r="E3166" s="3057" t="s">
        <v>7</v>
      </c>
      <c r="F3166" s="3057" t="s">
        <v>8</v>
      </c>
      <c r="G3166" s="3057" t="s">
        <v>9</v>
      </c>
      <c r="H3166" s="3057" t="s">
        <v>10</v>
      </c>
      <c r="I3166" s="3057" t="s">
        <v>11</v>
      </c>
      <c r="J3166" s="3057" t="s">
        <v>12</v>
      </c>
    </row>
    <row r="3167" spans="1:11" ht="15.6" x14ac:dyDescent="0.3">
      <c r="A3167" s="3058">
        <v>1</v>
      </c>
      <c r="B3167" s="3417">
        <v>44600</v>
      </c>
      <c r="C3167" s="3008" t="s">
        <v>37</v>
      </c>
      <c r="D3167" s="3009" t="s">
        <v>2849</v>
      </c>
      <c r="E3167" s="3008" t="s">
        <v>1838</v>
      </c>
      <c r="F3167" s="3010">
        <v>205000000</v>
      </c>
      <c r="G3167" s="3008" t="s">
        <v>168</v>
      </c>
      <c r="H3167" s="3008" t="s">
        <v>44</v>
      </c>
      <c r="I3167" s="3008" t="s">
        <v>36</v>
      </c>
      <c r="J3167" s="2983">
        <v>1</v>
      </c>
    </row>
    <row r="3168" spans="1:11" ht="15.6" x14ac:dyDescent="0.3">
      <c r="A3168" s="3058">
        <v>2</v>
      </c>
      <c r="B3168" s="3417">
        <v>44781</v>
      </c>
      <c r="C3168" s="3008" t="s">
        <v>37</v>
      </c>
      <c r="D3168" s="3009" t="s">
        <v>2850</v>
      </c>
      <c r="E3168" s="3008" t="s">
        <v>1066</v>
      </c>
      <c r="F3168" s="3012">
        <v>190000000</v>
      </c>
      <c r="G3168" s="3008" t="s">
        <v>43</v>
      </c>
      <c r="H3168" s="3008" t="s">
        <v>1468</v>
      </c>
      <c r="I3168" s="3008" t="s">
        <v>271</v>
      </c>
      <c r="J3168" s="2983">
        <v>1</v>
      </c>
    </row>
    <row r="3169" spans="1:11" x14ac:dyDescent="0.3">
      <c r="A3169" s="3058">
        <v>3</v>
      </c>
      <c r="B3169" s="3417" t="s">
        <v>2775</v>
      </c>
      <c r="C3169" s="3008" t="s">
        <v>37</v>
      </c>
      <c r="D3169" s="3008" t="s">
        <v>2851</v>
      </c>
      <c r="E3169" s="3008" t="s">
        <v>962</v>
      </c>
      <c r="F3169" s="3012">
        <v>240000000</v>
      </c>
      <c r="G3169" s="3008" t="s">
        <v>43</v>
      </c>
      <c r="H3169" s="3008" t="s">
        <v>1468</v>
      </c>
      <c r="I3169" s="3008" t="s">
        <v>271</v>
      </c>
      <c r="J3169" s="2983">
        <v>1</v>
      </c>
    </row>
    <row r="3171" spans="1:11" ht="23.4" x14ac:dyDescent="0.3">
      <c r="A3171" s="3460" t="s">
        <v>2852</v>
      </c>
      <c r="B3171" s="3460"/>
      <c r="C3171" s="3460"/>
      <c r="D3171" s="3460"/>
      <c r="E3171" s="3460"/>
      <c r="F3171" s="3460"/>
      <c r="G3171" s="3460"/>
      <c r="H3171" s="3460"/>
      <c r="I3171" s="3460"/>
      <c r="J3171" s="3460"/>
    </row>
    <row r="3172" spans="1:11" ht="15.6" x14ac:dyDescent="0.3">
      <c r="A3172" s="3461" t="s">
        <v>2</v>
      </c>
      <c r="B3172" s="3461"/>
      <c r="C3172" s="3461"/>
      <c r="D3172" s="3461"/>
      <c r="E3172" s="3461"/>
      <c r="F3172" s="3461"/>
      <c r="G3172" s="3461"/>
      <c r="H3172" s="3461"/>
      <c r="I3172" s="3461"/>
      <c r="J3172" s="3461"/>
    </row>
    <row r="3173" spans="1:11" x14ac:dyDescent="0.3">
      <c r="A3173" s="147" t="s">
        <v>3</v>
      </c>
      <c r="B3173" s="3397" t="s">
        <v>4</v>
      </c>
      <c r="C3173" s="147" t="s">
        <v>5</v>
      </c>
      <c r="D3173" s="147" t="s">
        <v>6</v>
      </c>
      <c r="E3173" s="147" t="s">
        <v>7</v>
      </c>
      <c r="F3173" s="2893" t="s">
        <v>8</v>
      </c>
      <c r="G3173" s="147" t="s">
        <v>9</v>
      </c>
      <c r="H3173" s="147" t="s">
        <v>2243</v>
      </c>
      <c r="I3173" s="147" t="s">
        <v>11</v>
      </c>
      <c r="J3173" s="147" t="s">
        <v>12</v>
      </c>
    </row>
    <row r="3174" spans="1:11" x14ac:dyDescent="0.3">
      <c r="A3174" s="10">
        <v>1</v>
      </c>
      <c r="B3174" s="2" t="s">
        <v>2853</v>
      </c>
      <c r="C3174" s="1576" t="s">
        <v>37</v>
      </c>
      <c r="D3174" s="11" t="s">
        <v>2854</v>
      </c>
      <c r="E3174" s="11" t="s">
        <v>962</v>
      </c>
      <c r="F3174" s="1549">
        <v>1550000</v>
      </c>
      <c r="G3174" s="11" t="s">
        <v>2261</v>
      </c>
      <c r="H3174" s="11"/>
      <c r="I3174" s="11"/>
      <c r="J3174" s="11"/>
    </row>
    <row r="3175" spans="1:11" x14ac:dyDescent="0.3">
      <c r="A3175" s="11">
        <v>2</v>
      </c>
      <c r="B3175" s="1059" t="s">
        <v>2777</v>
      </c>
      <c r="C3175" s="1576" t="s">
        <v>37</v>
      </c>
      <c r="D3175" s="1576" t="s">
        <v>2855</v>
      </c>
      <c r="E3175" s="1576" t="s">
        <v>858</v>
      </c>
      <c r="F3175" s="1549">
        <v>1550000</v>
      </c>
      <c r="G3175" s="1576" t="s">
        <v>2261</v>
      </c>
      <c r="H3175" s="1576" t="s">
        <v>36</v>
      </c>
      <c r="I3175" s="1576" t="s">
        <v>271</v>
      </c>
      <c r="J3175" s="1576">
        <v>1</v>
      </c>
      <c r="K3175" t="s">
        <v>1282</v>
      </c>
    </row>
    <row r="3176" spans="1:11" x14ac:dyDescent="0.3">
      <c r="A3176" s="11">
        <v>3</v>
      </c>
      <c r="B3176" s="3391">
        <v>44781</v>
      </c>
      <c r="C3176" s="34" t="s">
        <v>37</v>
      </c>
      <c r="D3176" s="34" t="s">
        <v>2856</v>
      </c>
      <c r="E3176" s="34" t="s">
        <v>858</v>
      </c>
      <c r="F3176" s="1549">
        <v>1900000</v>
      </c>
      <c r="G3176" s="34" t="s">
        <v>2261</v>
      </c>
      <c r="H3176" s="34" t="s">
        <v>36</v>
      </c>
      <c r="I3176" s="34" t="s">
        <v>2690</v>
      </c>
      <c r="J3176" s="34">
        <v>1</v>
      </c>
      <c r="K3176" t="s">
        <v>217</v>
      </c>
    </row>
    <row r="3177" spans="1:11" x14ac:dyDescent="0.3">
      <c r="A3177" s="11">
        <v>4</v>
      </c>
      <c r="B3177" s="3391"/>
      <c r="C3177" s="34"/>
      <c r="D3177" s="34"/>
      <c r="E3177" s="34"/>
      <c r="F3177" s="11"/>
      <c r="G3177" s="34"/>
      <c r="H3177" s="34"/>
      <c r="I3177" s="34"/>
      <c r="J3177" s="34"/>
    </row>
    <row r="3178" spans="1:11" x14ac:dyDescent="0.3">
      <c r="A3178" s="11">
        <v>5</v>
      </c>
      <c r="B3178" s="2"/>
      <c r="C3178" s="11"/>
      <c r="D3178" s="11"/>
      <c r="E3178" s="11"/>
      <c r="F3178" s="11"/>
      <c r="G3178" s="11"/>
      <c r="H3178" s="11"/>
      <c r="I3178" s="11"/>
      <c r="J3178" s="11"/>
    </row>
    <row r="3179" spans="1:11" ht="24.6" x14ac:dyDescent="0.4">
      <c r="A3179" s="3462" t="s">
        <v>2003</v>
      </c>
      <c r="B3179" s="3462"/>
      <c r="C3179" s="3462"/>
      <c r="D3179" s="3462"/>
      <c r="E3179" s="3462"/>
      <c r="F3179" s="3462"/>
      <c r="G3179" s="3462"/>
      <c r="H3179" s="3462"/>
      <c r="I3179" s="3462"/>
      <c r="J3179" s="3462"/>
    </row>
    <row r="3180" spans="1:11" x14ac:dyDescent="0.3">
      <c r="A3180" s="3057" t="s">
        <v>3</v>
      </c>
      <c r="B3180" s="3416" t="s">
        <v>4</v>
      </c>
      <c r="C3180" s="3057" t="s">
        <v>5</v>
      </c>
      <c r="D3180" s="3057" t="s">
        <v>6</v>
      </c>
      <c r="E3180" s="3057" t="s">
        <v>7</v>
      </c>
      <c r="F3180" s="3057" t="s">
        <v>8</v>
      </c>
      <c r="G3180" s="3057" t="s">
        <v>9</v>
      </c>
      <c r="H3180" s="3057" t="s">
        <v>10</v>
      </c>
      <c r="I3180" s="3057" t="s">
        <v>11</v>
      </c>
      <c r="J3180" s="3057" t="s">
        <v>12</v>
      </c>
    </row>
    <row r="3181" spans="1:11" ht="15.6" x14ac:dyDescent="0.3">
      <c r="A3181" s="3058">
        <v>1</v>
      </c>
      <c r="B3181" s="3417"/>
      <c r="C3181" s="3008"/>
      <c r="D3181" s="3009"/>
      <c r="E3181" s="3008"/>
      <c r="F3181" s="3012"/>
      <c r="G3181" s="3008"/>
      <c r="H3181" s="3008"/>
      <c r="I3181" s="3008"/>
      <c r="J3181" s="2983"/>
    </row>
    <row r="3182" spans="1:11" ht="15.6" x14ac:dyDescent="0.3">
      <c r="A3182" s="3058">
        <v>2</v>
      </c>
      <c r="B3182" s="3417"/>
      <c r="C3182" s="3008"/>
      <c r="D3182" s="3009"/>
      <c r="E3182" s="3008"/>
      <c r="F3182" s="3012"/>
      <c r="G3182" s="3008"/>
      <c r="H3182" s="3008"/>
      <c r="I3182" s="3008"/>
      <c r="J3182" s="2983"/>
    </row>
    <row r="3183" spans="1:11" x14ac:dyDescent="0.3">
      <c r="A3183" s="3058">
        <v>3</v>
      </c>
      <c r="B3183" s="3417"/>
      <c r="C3183" s="3008"/>
      <c r="D3183" s="3008"/>
      <c r="E3183" s="3008"/>
      <c r="F3183" s="3012"/>
      <c r="G3183" s="3008"/>
      <c r="H3183" s="3008"/>
      <c r="I3183" s="3008"/>
      <c r="J3183" s="2983"/>
    </row>
    <row r="3186" spans="1:11" x14ac:dyDescent="0.3">
      <c r="A3186" s="3463" t="s">
        <v>2857</v>
      </c>
      <c r="B3186" s="3464"/>
      <c r="C3186" s="3464"/>
      <c r="D3186" s="3464"/>
      <c r="E3186" s="3464"/>
      <c r="F3186" s="3464"/>
      <c r="G3186" s="3464"/>
      <c r="H3186" s="3464"/>
      <c r="I3186" s="3464"/>
      <c r="J3186" s="3464"/>
    </row>
    <row r="3187" spans="1:11" x14ac:dyDescent="0.3">
      <c r="A3187" s="3464"/>
      <c r="B3187" s="3464"/>
      <c r="C3187" s="3464"/>
      <c r="D3187" s="3464"/>
      <c r="E3187" s="3464"/>
      <c r="F3187" s="3464"/>
      <c r="G3187" s="3464"/>
      <c r="H3187" s="3464"/>
      <c r="I3187" s="3464"/>
      <c r="J3187" s="3464"/>
    </row>
    <row r="3189" spans="1:11" ht="23.4" x14ac:dyDescent="0.3">
      <c r="A3189" s="3460" t="s">
        <v>527</v>
      </c>
      <c r="B3189" s="3460"/>
      <c r="C3189" s="3460"/>
      <c r="D3189" s="3460"/>
      <c r="E3189" s="3460"/>
      <c r="F3189" s="3460"/>
      <c r="G3189" s="3460"/>
      <c r="H3189" s="3460"/>
      <c r="I3189" s="3460"/>
      <c r="J3189" s="3460"/>
    </row>
    <row r="3190" spans="1:11" ht="15.6" x14ac:dyDescent="0.3">
      <c r="A3190" s="3461" t="s">
        <v>2</v>
      </c>
      <c r="B3190" s="3461"/>
      <c r="C3190" s="3461"/>
      <c r="D3190" s="3461"/>
      <c r="E3190" s="3461"/>
      <c r="F3190" s="3461"/>
      <c r="G3190" s="3461"/>
      <c r="H3190" s="3461"/>
      <c r="I3190" s="3461"/>
      <c r="J3190" s="3461"/>
    </row>
    <row r="3191" spans="1:11" x14ac:dyDescent="0.3">
      <c r="A3191" s="147" t="s">
        <v>3</v>
      </c>
      <c r="B3191" s="3397" t="s">
        <v>4</v>
      </c>
      <c r="C3191" s="147" t="s">
        <v>5</v>
      </c>
      <c r="D3191" s="147" t="s">
        <v>6</v>
      </c>
      <c r="E3191" s="147" t="s">
        <v>7</v>
      </c>
      <c r="F3191" s="2893" t="s">
        <v>8</v>
      </c>
      <c r="G3191" s="147" t="s">
        <v>9</v>
      </c>
      <c r="H3191" s="147" t="s">
        <v>2243</v>
      </c>
      <c r="I3191" s="147" t="s">
        <v>11</v>
      </c>
      <c r="J3191" s="147" t="s">
        <v>12</v>
      </c>
    </row>
    <row r="3192" spans="1:11" x14ac:dyDescent="0.3">
      <c r="A3192" s="11">
        <v>1</v>
      </c>
      <c r="B3192" s="3391" t="s">
        <v>2802</v>
      </c>
      <c r="C3192" s="34" t="s">
        <v>37</v>
      </c>
      <c r="D3192" s="201" t="s">
        <v>2858</v>
      </c>
      <c r="E3192" s="34" t="s">
        <v>858</v>
      </c>
      <c r="F3192" s="1549">
        <v>1800000</v>
      </c>
      <c r="G3192" s="34" t="s">
        <v>2795</v>
      </c>
      <c r="H3192" s="11" t="s">
        <v>1468</v>
      </c>
      <c r="I3192" s="11" t="s">
        <v>271</v>
      </c>
      <c r="J3192" s="11">
        <v>1</v>
      </c>
      <c r="K3192" s="601" t="s">
        <v>217</v>
      </c>
    </row>
    <row r="3193" spans="1:11" x14ac:dyDescent="0.3">
      <c r="A3193" s="11">
        <v>2</v>
      </c>
      <c r="B3193" s="3391">
        <v>44798</v>
      </c>
      <c r="C3193" s="34" t="s">
        <v>37</v>
      </c>
      <c r="D3193" s="201" t="s">
        <v>2859</v>
      </c>
      <c r="E3193" s="11" t="s">
        <v>78</v>
      </c>
      <c r="F3193" s="1549">
        <v>1100000</v>
      </c>
      <c r="G3193" s="11" t="s">
        <v>1462</v>
      </c>
      <c r="H3193" s="11" t="s">
        <v>1468</v>
      </c>
      <c r="I3193" s="11" t="s">
        <v>271</v>
      </c>
      <c r="J3193" s="11">
        <v>1</v>
      </c>
      <c r="K3193" s="601" t="s">
        <v>217</v>
      </c>
    </row>
    <row r="3194" spans="1:11" x14ac:dyDescent="0.3">
      <c r="A3194" s="11">
        <v>3</v>
      </c>
      <c r="B3194" s="3391">
        <v>44798</v>
      </c>
      <c r="C3194" s="34" t="s">
        <v>37</v>
      </c>
      <c r="D3194" s="201" t="s">
        <v>2860</v>
      </c>
      <c r="E3194" s="11" t="s">
        <v>78</v>
      </c>
      <c r="F3194" s="1549">
        <v>1150000</v>
      </c>
      <c r="G3194" s="11" t="s">
        <v>1462</v>
      </c>
      <c r="H3194" s="11" t="s">
        <v>1468</v>
      </c>
      <c r="I3194" s="11" t="s">
        <v>271</v>
      </c>
      <c r="J3194" s="11">
        <v>1</v>
      </c>
      <c r="K3194" s="601" t="s">
        <v>217</v>
      </c>
    </row>
    <row r="3195" spans="1:11" x14ac:dyDescent="0.3">
      <c r="A3195" s="11">
        <v>4</v>
      </c>
      <c r="B3195" s="3414">
        <v>44802</v>
      </c>
      <c r="C3195" s="34" t="s">
        <v>37</v>
      </c>
      <c r="D3195" s="201" t="s">
        <v>2861</v>
      </c>
      <c r="E3195" s="11" t="s">
        <v>1130</v>
      </c>
      <c r="F3195" s="1549">
        <v>1200000</v>
      </c>
      <c r="G3195" s="11" t="s">
        <v>2694</v>
      </c>
      <c r="H3195" s="11" t="s">
        <v>271</v>
      </c>
      <c r="I3195" s="11" t="s">
        <v>271</v>
      </c>
      <c r="J3195" s="11">
        <v>1</v>
      </c>
      <c r="K3195" s="601" t="s">
        <v>217</v>
      </c>
    </row>
    <row r="3196" spans="1:11" x14ac:dyDescent="0.3">
      <c r="A3196" s="11">
        <v>5</v>
      </c>
      <c r="B3196" s="2" t="s">
        <v>2862</v>
      </c>
      <c r="C3196" s="34" t="s">
        <v>37</v>
      </c>
      <c r="D3196" s="201" t="s">
        <v>2863</v>
      </c>
      <c r="E3196" s="11" t="s">
        <v>1130</v>
      </c>
      <c r="F3196" s="1549">
        <v>1500000</v>
      </c>
      <c r="G3196" s="11" t="s">
        <v>2864</v>
      </c>
      <c r="H3196" s="11" t="s">
        <v>1468</v>
      </c>
      <c r="I3196" s="11" t="s">
        <v>271</v>
      </c>
      <c r="J3196" s="11">
        <v>1</v>
      </c>
      <c r="K3196" s="601" t="s">
        <v>217</v>
      </c>
    </row>
    <row r="3197" spans="1:11" x14ac:dyDescent="0.3">
      <c r="A3197" s="11">
        <v>6</v>
      </c>
      <c r="B3197" s="3414" t="s">
        <v>2865</v>
      </c>
      <c r="C3197" s="34" t="s">
        <v>37</v>
      </c>
      <c r="D3197" s="201" t="s">
        <v>2866</v>
      </c>
      <c r="E3197" s="11" t="s">
        <v>78</v>
      </c>
      <c r="F3197" s="1549">
        <v>1500000</v>
      </c>
      <c r="G3197" s="11" t="s">
        <v>1632</v>
      </c>
      <c r="H3197" s="11" t="s">
        <v>1468</v>
      </c>
      <c r="I3197" s="11" t="s">
        <v>271</v>
      </c>
      <c r="J3197" s="11">
        <v>1</v>
      </c>
      <c r="K3197" t="s">
        <v>1282</v>
      </c>
    </row>
    <row r="3198" spans="1:11" x14ac:dyDescent="0.3">
      <c r="A3198" s="11">
        <v>7</v>
      </c>
      <c r="B3198" s="3414" t="s">
        <v>2865</v>
      </c>
      <c r="C3198" s="34" t="s">
        <v>37</v>
      </c>
      <c r="D3198" s="201" t="s">
        <v>2867</v>
      </c>
      <c r="E3198" s="11" t="s">
        <v>78</v>
      </c>
      <c r="F3198" s="1549">
        <v>1680000</v>
      </c>
      <c r="G3198" s="11" t="s">
        <v>1632</v>
      </c>
      <c r="H3198" s="11" t="s">
        <v>1468</v>
      </c>
      <c r="I3198" s="11" t="s">
        <v>271</v>
      </c>
      <c r="J3198" s="11">
        <v>1</v>
      </c>
      <c r="K3198" t="s">
        <v>1282</v>
      </c>
    </row>
    <row r="3199" spans="1:11" x14ac:dyDescent="0.3">
      <c r="A3199" s="11">
        <v>8</v>
      </c>
      <c r="B3199" s="3414">
        <v>44570</v>
      </c>
      <c r="C3199" s="34" t="s">
        <v>37</v>
      </c>
      <c r="D3199" s="201" t="s">
        <v>2868</v>
      </c>
      <c r="E3199" s="11" t="s">
        <v>1751</v>
      </c>
      <c r="F3199" s="1549">
        <v>1250000</v>
      </c>
      <c r="G3199" s="11" t="s">
        <v>2694</v>
      </c>
      <c r="H3199" s="11" t="s">
        <v>1468</v>
      </c>
      <c r="I3199" s="11" t="s">
        <v>271</v>
      </c>
      <c r="J3199" s="11">
        <v>1</v>
      </c>
      <c r="K3199" t="s">
        <v>1282</v>
      </c>
    </row>
    <row r="3200" spans="1:11" x14ac:dyDescent="0.3">
      <c r="A3200" s="11">
        <v>9</v>
      </c>
      <c r="B3200" s="3414">
        <v>44601</v>
      </c>
      <c r="C3200" s="34" t="s">
        <v>37</v>
      </c>
      <c r="D3200" s="201" t="s">
        <v>2869</v>
      </c>
      <c r="E3200" s="11" t="s">
        <v>78</v>
      </c>
      <c r="F3200" s="1549">
        <v>1200000</v>
      </c>
      <c r="G3200" s="11" t="s">
        <v>2694</v>
      </c>
      <c r="H3200" s="11" t="s">
        <v>271</v>
      </c>
      <c r="I3200" s="11" t="s">
        <v>271</v>
      </c>
      <c r="J3200" s="11">
        <v>1</v>
      </c>
      <c r="K3200" t="s">
        <v>1282</v>
      </c>
    </row>
    <row r="3201" spans="1:11" x14ac:dyDescent="0.3">
      <c r="A3201" s="11">
        <v>10</v>
      </c>
      <c r="B3201" s="3414">
        <v>44601</v>
      </c>
      <c r="C3201" s="34" t="s">
        <v>37</v>
      </c>
      <c r="D3201" s="201" t="s">
        <v>2870</v>
      </c>
      <c r="E3201" s="11" t="s">
        <v>858</v>
      </c>
      <c r="F3201" s="1549">
        <v>750000</v>
      </c>
      <c r="G3201" s="11" t="s">
        <v>2694</v>
      </c>
      <c r="H3201" s="11" t="s">
        <v>271</v>
      </c>
      <c r="I3201" s="11" t="s">
        <v>271</v>
      </c>
      <c r="J3201" s="11">
        <v>1</v>
      </c>
      <c r="K3201" t="s">
        <v>1282</v>
      </c>
    </row>
    <row r="3202" spans="1:11" x14ac:dyDescent="0.3">
      <c r="A3202" s="11">
        <v>11</v>
      </c>
      <c r="B3202" s="3414">
        <v>44782</v>
      </c>
      <c r="C3202" s="34" t="s">
        <v>37</v>
      </c>
      <c r="D3202" s="201" t="s">
        <v>2871</v>
      </c>
      <c r="E3202" s="11" t="s">
        <v>840</v>
      </c>
      <c r="F3202" s="1549">
        <v>1250000</v>
      </c>
      <c r="G3202" s="11" t="s">
        <v>2694</v>
      </c>
      <c r="H3202" s="11" t="s">
        <v>1468</v>
      </c>
      <c r="I3202" s="11" t="s">
        <v>271</v>
      </c>
      <c r="J3202" s="11">
        <v>1</v>
      </c>
      <c r="K3202" t="s">
        <v>1282</v>
      </c>
    </row>
    <row r="3203" spans="1:11" x14ac:dyDescent="0.3">
      <c r="A3203" s="11">
        <v>12</v>
      </c>
      <c r="B3203" s="3414">
        <v>44904</v>
      </c>
      <c r="C3203" s="34" t="s">
        <v>37</v>
      </c>
      <c r="D3203" s="201" t="s">
        <v>2872</v>
      </c>
      <c r="E3203" s="11" t="s">
        <v>78</v>
      </c>
      <c r="F3203" s="1549">
        <v>1650000</v>
      </c>
      <c r="G3203" s="11" t="s">
        <v>1462</v>
      </c>
      <c r="H3203" s="11" t="s">
        <v>1468</v>
      </c>
      <c r="I3203" s="11" t="s">
        <v>271</v>
      </c>
      <c r="J3203" s="11">
        <v>1</v>
      </c>
      <c r="K3203" t="s">
        <v>133</v>
      </c>
    </row>
    <row r="3204" spans="1:11" x14ac:dyDescent="0.3">
      <c r="A3204" s="11">
        <v>13</v>
      </c>
      <c r="B3204" s="2" t="s">
        <v>2873</v>
      </c>
      <c r="C3204" s="34" t="s">
        <v>37</v>
      </c>
      <c r="D3204" s="201" t="s">
        <v>2874</v>
      </c>
      <c r="E3204" s="11" t="s">
        <v>904</v>
      </c>
      <c r="F3204" s="1549">
        <v>1350000</v>
      </c>
      <c r="G3204" s="11" t="s">
        <v>43</v>
      </c>
      <c r="H3204" s="11" t="s">
        <v>271</v>
      </c>
      <c r="I3204" s="11" t="s">
        <v>271</v>
      </c>
      <c r="J3204" s="11">
        <v>1</v>
      </c>
      <c r="K3204" t="s">
        <v>133</v>
      </c>
    </row>
    <row r="3205" spans="1:11" x14ac:dyDescent="0.3">
      <c r="A3205" s="1553">
        <v>14</v>
      </c>
      <c r="B3205" s="268" t="s">
        <v>2873</v>
      </c>
      <c r="C3205" s="34" t="s">
        <v>37</v>
      </c>
      <c r="D3205" s="1553" t="s">
        <v>2875</v>
      </c>
      <c r="E3205" s="1553" t="s">
        <v>78</v>
      </c>
      <c r="F3205" s="1353">
        <v>1100000</v>
      </c>
      <c r="G3205" s="1553" t="s">
        <v>1632</v>
      </c>
      <c r="H3205" s="11" t="s">
        <v>1468</v>
      </c>
      <c r="I3205" s="11" t="s">
        <v>271</v>
      </c>
      <c r="J3205" s="1553">
        <v>1</v>
      </c>
      <c r="K3205" t="s">
        <v>133</v>
      </c>
    </row>
    <row r="3206" spans="1:11" x14ac:dyDescent="0.3">
      <c r="A3206" s="34">
        <v>15</v>
      </c>
      <c r="B3206" s="51" t="s">
        <v>2873</v>
      </c>
      <c r="C3206" s="34" t="s">
        <v>37</v>
      </c>
      <c r="D3206" s="34" t="s">
        <v>2876</v>
      </c>
      <c r="E3206" s="34" t="s">
        <v>78</v>
      </c>
      <c r="F3206" s="1332">
        <v>1200000</v>
      </c>
      <c r="G3206" s="11" t="s">
        <v>1462</v>
      </c>
      <c r="H3206" s="11" t="s">
        <v>1468</v>
      </c>
      <c r="I3206" s="11" t="s">
        <v>271</v>
      </c>
      <c r="J3206" s="34">
        <v>1</v>
      </c>
      <c r="K3206" t="s">
        <v>133</v>
      </c>
    </row>
    <row r="3207" spans="1:11" x14ac:dyDescent="0.3">
      <c r="A3207" s="34">
        <v>16</v>
      </c>
      <c r="B3207" s="51" t="s">
        <v>2877</v>
      </c>
      <c r="C3207" s="34" t="s">
        <v>37</v>
      </c>
      <c r="D3207" s="34" t="s">
        <v>2878</v>
      </c>
      <c r="E3207" s="34" t="s">
        <v>1130</v>
      </c>
      <c r="F3207" s="1332">
        <v>1300000</v>
      </c>
      <c r="G3207" s="34" t="s">
        <v>2879</v>
      </c>
      <c r="H3207" s="11" t="s">
        <v>1468</v>
      </c>
      <c r="I3207" s="11" t="s">
        <v>271</v>
      </c>
      <c r="J3207" s="34">
        <v>1</v>
      </c>
      <c r="K3207" t="s">
        <v>133</v>
      </c>
    </row>
    <row r="3208" spans="1:11" x14ac:dyDescent="0.3">
      <c r="J3208">
        <f>SUM(J3192:J3207)</f>
        <v>16</v>
      </c>
    </row>
    <row r="3209" spans="1:11" ht="24.6" x14ac:dyDescent="0.4">
      <c r="A3209" s="3462" t="s">
        <v>2003</v>
      </c>
      <c r="B3209" s="3462"/>
      <c r="C3209" s="3462"/>
      <c r="D3209" s="3462"/>
      <c r="E3209" s="3462"/>
      <c r="F3209" s="3462"/>
      <c r="G3209" s="3462"/>
      <c r="H3209" s="3462"/>
      <c r="I3209" s="3462"/>
      <c r="J3209" s="3462"/>
    </row>
    <row r="3210" spans="1:11" x14ac:dyDescent="0.3">
      <c r="A3210" s="3057" t="s">
        <v>3</v>
      </c>
      <c r="B3210" s="3416" t="s">
        <v>4</v>
      </c>
      <c r="C3210" s="3057" t="s">
        <v>5</v>
      </c>
      <c r="D3210" s="3057" t="s">
        <v>6</v>
      </c>
      <c r="E3210" s="3057" t="s">
        <v>7</v>
      </c>
      <c r="F3210" s="3057" t="s">
        <v>8</v>
      </c>
      <c r="G3210" s="3057" t="s">
        <v>9</v>
      </c>
      <c r="H3210" s="3057" t="s">
        <v>10</v>
      </c>
      <c r="I3210" s="3057" t="s">
        <v>11</v>
      </c>
      <c r="J3210" s="3057" t="s">
        <v>12</v>
      </c>
    </row>
    <row r="3211" spans="1:11" x14ac:dyDescent="0.3">
      <c r="A3211" s="3058">
        <v>1</v>
      </c>
      <c r="B3211" s="3417">
        <v>44601</v>
      </c>
      <c r="C3211" s="3008" t="s">
        <v>37</v>
      </c>
      <c r="D3211" s="3008" t="s">
        <v>2880</v>
      </c>
      <c r="E3211" s="3008" t="s">
        <v>78</v>
      </c>
      <c r="F3211" s="3012" t="s">
        <v>2881</v>
      </c>
      <c r="G3211" s="3008" t="s">
        <v>1462</v>
      </c>
      <c r="H3211" s="3008" t="s">
        <v>1468</v>
      </c>
      <c r="I3211" s="3008" t="s">
        <v>271</v>
      </c>
      <c r="J3211" s="2983">
        <v>1</v>
      </c>
    </row>
    <row r="3212" spans="1:11" x14ac:dyDescent="0.3">
      <c r="A3212" s="3177">
        <v>2</v>
      </c>
      <c r="B3212" s="3417">
        <v>44601</v>
      </c>
      <c r="C3212" s="3178" t="s">
        <v>37</v>
      </c>
      <c r="D3212" s="3008" t="s">
        <v>2866</v>
      </c>
      <c r="E3212" s="3178" t="s">
        <v>78</v>
      </c>
      <c r="F3212" s="3180" t="s">
        <v>2881</v>
      </c>
      <c r="G3212" s="3008" t="s">
        <v>1632</v>
      </c>
      <c r="H3212" s="3008" t="s">
        <v>1468</v>
      </c>
      <c r="I3212" s="3008" t="s">
        <v>271</v>
      </c>
      <c r="J3212" s="2983">
        <v>1</v>
      </c>
    </row>
    <row r="3213" spans="1:11" x14ac:dyDescent="0.3">
      <c r="A3213" s="3058">
        <v>3</v>
      </c>
      <c r="B3213" s="3417">
        <v>44601</v>
      </c>
      <c r="C3213" s="3008" t="s">
        <v>37</v>
      </c>
      <c r="D3213" s="3008" t="s">
        <v>2867</v>
      </c>
      <c r="E3213" s="3008" t="s">
        <v>78</v>
      </c>
      <c r="F3213" s="3012" t="s">
        <v>2336</v>
      </c>
      <c r="G3213" s="3008" t="s">
        <v>1632</v>
      </c>
      <c r="H3213" s="3008" t="s">
        <v>1468</v>
      </c>
      <c r="I3213" s="3008" t="s">
        <v>271</v>
      </c>
      <c r="J3213" s="2983">
        <v>1</v>
      </c>
    </row>
    <row r="3215" spans="1:11" ht="23.4" x14ac:dyDescent="0.3">
      <c r="A3215" s="3460" t="s">
        <v>2073</v>
      </c>
      <c r="B3215" s="3460"/>
      <c r="C3215" s="3460"/>
      <c r="D3215" s="3460"/>
      <c r="E3215" s="3460"/>
      <c r="F3215" s="3460"/>
      <c r="G3215" s="3460"/>
      <c r="H3215" s="3460"/>
      <c r="I3215" s="3460"/>
      <c r="J3215" s="3460"/>
    </row>
    <row r="3216" spans="1:11" ht="15.6" x14ac:dyDescent="0.3">
      <c r="A3216" s="3461" t="s">
        <v>2</v>
      </c>
      <c r="B3216" s="3461"/>
      <c r="C3216" s="3461"/>
      <c r="D3216" s="3461"/>
      <c r="E3216" s="3461"/>
      <c r="F3216" s="3461"/>
      <c r="G3216" s="3461"/>
      <c r="H3216" s="3461"/>
      <c r="I3216" s="3461"/>
      <c r="J3216" s="3461"/>
    </row>
    <row r="3217" spans="1:11" x14ac:dyDescent="0.3">
      <c r="A3217" s="147" t="s">
        <v>3</v>
      </c>
      <c r="B3217" s="3397" t="s">
        <v>4</v>
      </c>
      <c r="C3217" s="147" t="s">
        <v>5</v>
      </c>
      <c r="D3217" s="147" t="s">
        <v>6</v>
      </c>
      <c r="E3217" s="147" t="s">
        <v>7</v>
      </c>
      <c r="F3217" s="2893" t="s">
        <v>8</v>
      </c>
      <c r="G3217" s="147" t="s">
        <v>9</v>
      </c>
      <c r="H3217" s="147" t="s">
        <v>2243</v>
      </c>
      <c r="I3217" s="147" t="s">
        <v>11</v>
      </c>
      <c r="J3217" s="147" t="s">
        <v>12</v>
      </c>
    </row>
    <row r="3218" spans="1:11" x14ac:dyDescent="0.3">
      <c r="A3218" s="11">
        <v>1</v>
      </c>
      <c r="B3218" s="3391" t="s">
        <v>2862</v>
      </c>
      <c r="C3218" s="34" t="s">
        <v>37</v>
      </c>
      <c r="D3218" s="3450" t="s">
        <v>2882</v>
      </c>
      <c r="E3218" s="34" t="s">
        <v>1838</v>
      </c>
      <c r="F3218" s="3065">
        <v>1400000</v>
      </c>
      <c r="G3218" s="34" t="s">
        <v>1906</v>
      </c>
      <c r="H3218" s="34" t="s">
        <v>1468</v>
      </c>
      <c r="I3218" s="34" t="s">
        <v>271</v>
      </c>
      <c r="J3218" s="34">
        <v>1</v>
      </c>
      <c r="K3218" s="601" t="s">
        <v>217</v>
      </c>
    </row>
    <row r="3219" spans="1:11" x14ac:dyDescent="0.3">
      <c r="A3219" s="11">
        <v>2</v>
      </c>
      <c r="B3219" s="3391" t="s">
        <v>2862</v>
      </c>
      <c r="C3219" s="34" t="s">
        <v>37</v>
      </c>
      <c r="D3219" s="11" t="s">
        <v>2883</v>
      </c>
      <c r="E3219" s="11" t="s">
        <v>962</v>
      </c>
      <c r="F3219" s="1549">
        <v>1550000</v>
      </c>
      <c r="G3219" s="11" t="s">
        <v>2035</v>
      </c>
      <c r="H3219" s="11" t="s">
        <v>1468</v>
      </c>
      <c r="I3219" s="11" t="s">
        <v>271</v>
      </c>
      <c r="J3219" s="11">
        <v>1</v>
      </c>
      <c r="K3219" s="601" t="s">
        <v>217</v>
      </c>
    </row>
    <row r="3220" spans="1:11" x14ac:dyDescent="0.3">
      <c r="A3220" s="11">
        <v>3</v>
      </c>
      <c r="B3220" s="51" t="s">
        <v>2865</v>
      </c>
      <c r="C3220" s="34" t="s">
        <v>219</v>
      </c>
      <c r="D3220" s="11" t="s">
        <v>2884</v>
      </c>
      <c r="E3220" s="11" t="s">
        <v>904</v>
      </c>
      <c r="F3220" s="1549">
        <v>1700000</v>
      </c>
      <c r="G3220" s="11" t="s">
        <v>43</v>
      </c>
      <c r="H3220" s="11" t="s">
        <v>271</v>
      </c>
      <c r="I3220" s="11" t="s">
        <v>271</v>
      </c>
      <c r="J3220" s="11">
        <v>1</v>
      </c>
      <c r="K3220" t="s">
        <v>217</v>
      </c>
    </row>
    <row r="3221" spans="1:11" x14ac:dyDescent="0.3">
      <c r="A3221" s="11">
        <v>4</v>
      </c>
      <c r="B3221" s="3391">
        <v>44570</v>
      </c>
      <c r="C3221" s="34" t="s">
        <v>37</v>
      </c>
      <c r="D3221" s="11" t="s">
        <v>2885</v>
      </c>
      <c r="E3221" s="11" t="s">
        <v>76</v>
      </c>
      <c r="F3221" s="1549">
        <v>1250000</v>
      </c>
      <c r="G3221" s="11" t="s">
        <v>1632</v>
      </c>
      <c r="H3221" s="11" t="s">
        <v>1468</v>
      </c>
      <c r="I3221" s="11" t="s">
        <v>271</v>
      </c>
      <c r="J3221" s="11">
        <v>1</v>
      </c>
      <c r="K3221" t="s">
        <v>1282</v>
      </c>
    </row>
    <row r="3222" spans="1:11" x14ac:dyDescent="0.3">
      <c r="A3222" s="11">
        <v>5</v>
      </c>
      <c r="B3222" s="3391">
        <v>44690</v>
      </c>
      <c r="C3222" s="34" t="s">
        <v>37</v>
      </c>
      <c r="D3222" s="11" t="s">
        <v>2886</v>
      </c>
      <c r="E3222" s="11" t="s">
        <v>1838</v>
      </c>
      <c r="F3222" s="1549">
        <v>1800000</v>
      </c>
      <c r="G3222" s="11" t="s">
        <v>1942</v>
      </c>
      <c r="H3222" s="11" t="s">
        <v>1468</v>
      </c>
      <c r="I3222" s="11" t="s">
        <v>271</v>
      </c>
      <c r="J3222" s="11">
        <v>1</v>
      </c>
      <c r="K3222" t="s">
        <v>1282</v>
      </c>
    </row>
    <row r="3223" spans="1:11" x14ac:dyDescent="0.3">
      <c r="A3223" s="11">
        <v>6</v>
      </c>
      <c r="B3223" s="3391">
        <v>44812</v>
      </c>
      <c r="C3223" s="34" t="s">
        <v>37</v>
      </c>
      <c r="D3223" s="11" t="s">
        <v>2887</v>
      </c>
      <c r="E3223" s="11" t="s">
        <v>998</v>
      </c>
      <c r="F3223" s="1549">
        <v>1200000</v>
      </c>
      <c r="G3223" s="11" t="s">
        <v>2200</v>
      </c>
      <c r="H3223" s="11" t="s">
        <v>1468</v>
      </c>
      <c r="I3223" s="11" t="s">
        <v>271</v>
      </c>
      <c r="J3223" s="11">
        <v>1</v>
      </c>
      <c r="K3223" t="s">
        <v>1282</v>
      </c>
    </row>
    <row r="3224" spans="1:11" x14ac:dyDescent="0.3">
      <c r="A3224" s="11">
        <v>7</v>
      </c>
      <c r="B3224" s="3391">
        <v>44812</v>
      </c>
      <c r="C3224" s="34" t="s">
        <v>37</v>
      </c>
      <c r="D3224" s="11" t="s">
        <v>2888</v>
      </c>
      <c r="E3224" s="11" t="s">
        <v>1751</v>
      </c>
      <c r="F3224" s="1549">
        <v>950000</v>
      </c>
      <c r="G3224" s="11" t="s">
        <v>2889</v>
      </c>
      <c r="H3224" s="11" t="s">
        <v>1468</v>
      </c>
      <c r="I3224" s="11" t="s">
        <v>271</v>
      </c>
      <c r="J3224" s="11">
        <v>1</v>
      </c>
      <c r="K3224" t="s">
        <v>133</v>
      </c>
    </row>
    <row r="3225" spans="1:11" x14ac:dyDescent="0.3">
      <c r="A3225" s="11">
        <v>8</v>
      </c>
      <c r="B3225" s="3391">
        <v>44813</v>
      </c>
      <c r="C3225" s="34" t="s">
        <v>37</v>
      </c>
      <c r="D3225" s="11" t="s">
        <v>2890</v>
      </c>
      <c r="E3225" s="11" t="s">
        <v>78</v>
      </c>
      <c r="F3225" s="1549">
        <v>1300000</v>
      </c>
      <c r="G3225" s="11" t="s">
        <v>2200</v>
      </c>
      <c r="H3225" s="11" t="s">
        <v>1468</v>
      </c>
      <c r="I3225" s="11" t="s">
        <v>271</v>
      </c>
      <c r="J3225" s="11">
        <v>1</v>
      </c>
      <c r="K3225" t="s">
        <v>133</v>
      </c>
    </row>
    <row r="3226" spans="1:11" x14ac:dyDescent="0.3">
      <c r="A3226" s="11">
        <v>9</v>
      </c>
      <c r="B3226" s="3391">
        <v>44904</v>
      </c>
      <c r="C3226" s="34" t="s">
        <v>37</v>
      </c>
      <c r="D3226" s="11" t="s">
        <v>2891</v>
      </c>
      <c r="E3226" s="11" t="s">
        <v>1838</v>
      </c>
      <c r="F3226" s="1549">
        <v>2500000</v>
      </c>
      <c r="G3226" s="11" t="s">
        <v>2892</v>
      </c>
      <c r="H3226" s="11" t="s">
        <v>1468</v>
      </c>
      <c r="I3226" s="11" t="s">
        <v>271</v>
      </c>
      <c r="J3226" s="11">
        <v>1</v>
      </c>
      <c r="K3226" t="s">
        <v>133</v>
      </c>
    </row>
    <row r="3227" spans="1:11" x14ac:dyDescent="0.3">
      <c r="A3227" s="11">
        <v>10</v>
      </c>
      <c r="B3227" s="3391" t="s">
        <v>2893</v>
      </c>
      <c r="C3227" s="34" t="s">
        <v>37</v>
      </c>
      <c r="D3227" s="11" t="s">
        <v>2894</v>
      </c>
      <c r="E3227" s="11" t="s">
        <v>78</v>
      </c>
      <c r="F3227" s="1549">
        <v>1300000</v>
      </c>
      <c r="G3227" s="11" t="s">
        <v>2895</v>
      </c>
      <c r="H3227" s="11" t="s">
        <v>1468</v>
      </c>
      <c r="I3227" s="11" t="s">
        <v>271</v>
      </c>
      <c r="J3227" s="11">
        <v>1</v>
      </c>
    </row>
    <row r="3228" spans="1:11" x14ac:dyDescent="0.3">
      <c r="A3228" s="11">
        <v>11</v>
      </c>
      <c r="B3228" s="3391" t="s">
        <v>2896</v>
      </c>
      <c r="C3228" s="34" t="s">
        <v>37</v>
      </c>
      <c r="D3228" s="11" t="s">
        <v>2897</v>
      </c>
      <c r="E3228" s="11" t="s">
        <v>1751</v>
      </c>
      <c r="F3228" s="1549">
        <v>1200000</v>
      </c>
      <c r="G3228" s="11" t="s">
        <v>925</v>
      </c>
      <c r="H3228" s="11" t="s">
        <v>1468</v>
      </c>
      <c r="I3228" s="11" t="s">
        <v>271</v>
      </c>
      <c r="J3228" s="11">
        <v>1</v>
      </c>
    </row>
    <row r="3229" spans="1:11" x14ac:dyDescent="0.3">
      <c r="A3229" s="11">
        <v>12</v>
      </c>
      <c r="B3229" s="3391" t="s">
        <v>2896</v>
      </c>
      <c r="C3229" s="34" t="s">
        <v>37</v>
      </c>
      <c r="D3229" s="3450" t="s">
        <v>2898</v>
      </c>
      <c r="E3229" s="11" t="s">
        <v>1838</v>
      </c>
      <c r="F3229" s="1549">
        <v>1400000</v>
      </c>
      <c r="G3229" s="11" t="s">
        <v>2200</v>
      </c>
      <c r="H3229" s="11" t="s">
        <v>1468</v>
      </c>
      <c r="I3229" s="11" t="s">
        <v>271</v>
      </c>
      <c r="J3229" s="11">
        <v>1</v>
      </c>
    </row>
    <row r="3230" spans="1:11" x14ac:dyDescent="0.3">
      <c r="A3230" s="11">
        <v>13</v>
      </c>
      <c r="B3230" s="2" t="s">
        <v>2877</v>
      </c>
      <c r="C3230" s="34" t="s">
        <v>37</v>
      </c>
      <c r="D3230" s="3450" t="s">
        <v>2899</v>
      </c>
      <c r="E3230" s="11" t="s">
        <v>1838</v>
      </c>
      <c r="F3230" s="1549">
        <v>1350000</v>
      </c>
      <c r="G3230" s="11" t="s">
        <v>2184</v>
      </c>
      <c r="H3230" s="11" t="s">
        <v>1468</v>
      </c>
      <c r="I3230" s="11" t="s">
        <v>271</v>
      </c>
      <c r="J3230" s="11">
        <v>1</v>
      </c>
    </row>
    <row r="3231" spans="1:11" x14ac:dyDescent="0.3">
      <c r="A3231" s="1553">
        <v>14</v>
      </c>
      <c r="B3231" s="268" t="s">
        <v>2900</v>
      </c>
      <c r="C3231" s="1823" t="s">
        <v>37</v>
      </c>
      <c r="D3231" s="1553" t="s">
        <v>2901</v>
      </c>
      <c r="E3231" s="1553" t="s">
        <v>998</v>
      </c>
      <c r="F3231" s="1353">
        <v>1250000</v>
      </c>
      <c r="G3231" s="1553" t="s">
        <v>43</v>
      </c>
      <c r="H3231" s="1553" t="s">
        <v>1468</v>
      </c>
      <c r="I3231" s="1553" t="s">
        <v>271</v>
      </c>
      <c r="J3231" s="1553">
        <v>1</v>
      </c>
    </row>
    <row r="3232" spans="1:11" x14ac:dyDescent="0.3">
      <c r="A3232" s="11">
        <v>15</v>
      </c>
      <c r="B3232" s="2" t="s">
        <v>2900</v>
      </c>
      <c r="C3232" s="34" t="s">
        <v>37</v>
      </c>
      <c r="D3232" s="11" t="s">
        <v>2902</v>
      </c>
      <c r="E3232" s="11" t="s">
        <v>904</v>
      </c>
      <c r="F3232" s="1549">
        <v>1300000</v>
      </c>
      <c r="G3232" s="11" t="s">
        <v>43</v>
      </c>
      <c r="H3232" s="11" t="s">
        <v>271</v>
      </c>
      <c r="I3232" s="11" t="s">
        <v>44</v>
      </c>
      <c r="J3232" s="11">
        <v>1</v>
      </c>
    </row>
    <row r="3233" spans="1:10" x14ac:dyDescent="0.3">
      <c r="A3233" s="1553">
        <v>16</v>
      </c>
      <c r="B3233" s="268" t="s">
        <v>2900</v>
      </c>
      <c r="C3233" s="1823" t="s">
        <v>37</v>
      </c>
      <c r="D3233" s="1553" t="s">
        <v>2903</v>
      </c>
      <c r="E3233" s="1553" t="s">
        <v>68</v>
      </c>
      <c r="F3233" s="1353">
        <v>1800000</v>
      </c>
      <c r="G3233" s="1553" t="s">
        <v>2200</v>
      </c>
      <c r="H3233" s="1553" t="s">
        <v>1468</v>
      </c>
      <c r="I3233" s="1553" t="s">
        <v>271</v>
      </c>
      <c r="J3233" s="1553">
        <v>1</v>
      </c>
    </row>
    <row r="3234" spans="1:10" x14ac:dyDescent="0.3">
      <c r="A3234" s="11">
        <v>17</v>
      </c>
      <c r="B3234" s="2" t="s">
        <v>2904</v>
      </c>
      <c r="C3234" s="1823" t="s">
        <v>37</v>
      </c>
      <c r="D3234" s="11" t="s">
        <v>2905</v>
      </c>
      <c r="E3234" s="11" t="s">
        <v>998</v>
      </c>
      <c r="F3234" s="1549">
        <v>1250000</v>
      </c>
      <c r="G3234" s="11" t="s">
        <v>2895</v>
      </c>
      <c r="H3234" s="1553" t="s">
        <v>1468</v>
      </c>
      <c r="I3234" s="1553" t="s">
        <v>271</v>
      </c>
      <c r="J3234" s="11">
        <v>1</v>
      </c>
    </row>
    <row r="3235" spans="1:10" x14ac:dyDescent="0.3">
      <c r="A3235" s="1553">
        <v>18</v>
      </c>
      <c r="B3235" s="1040" t="s">
        <v>2904</v>
      </c>
      <c r="C3235" s="1823" t="s">
        <v>37</v>
      </c>
      <c r="D3235" s="3451" t="s">
        <v>2906</v>
      </c>
      <c r="E3235" s="1553" t="s">
        <v>1838</v>
      </c>
      <c r="F3235" s="1353">
        <v>1400000</v>
      </c>
      <c r="G3235" s="1553" t="s">
        <v>2184</v>
      </c>
      <c r="H3235" s="1553" t="s">
        <v>1468</v>
      </c>
      <c r="I3235" s="1553" t="s">
        <v>271</v>
      </c>
      <c r="J3235" s="1553">
        <v>1</v>
      </c>
    </row>
    <row r="3236" spans="1:10" x14ac:dyDescent="0.3">
      <c r="A3236" s="11">
        <v>19</v>
      </c>
      <c r="B3236" s="268" t="s">
        <v>2907</v>
      </c>
      <c r="C3236" s="1823" t="s">
        <v>37</v>
      </c>
      <c r="D3236" s="3452" t="s">
        <v>2908</v>
      </c>
      <c r="E3236" s="1553" t="s">
        <v>1838</v>
      </c>
      <c r="F3236" s="1353">
        <v>2000000</v>
      </c>
      <c r="G3236" s="1553" t="s">
        <v>2909</v>
      </c>
      <c r="H3236" s="1553" t="s">
        <v>1468</v>
      </c>
      <c r="I3236" s="1553" t="s">
        <v>271</v>
      </c>
      <c r="J3236" s="11">
        <v>1</v>
      </c>
    </row>
    <row r="3237" spans="1:10" x14ac:dyDescent="0.3">
      <c r="A3237" s="10">
        <v>20</v>
      </c>
      <c r="B3237" s="2" t="s">
        <v>2907</v>
      </c>
      <c r="C3237" s="34" t="s">
        <v>37</v>
      </c>
      <c r="D3237" s="11" t="s">
        <v>2910</v>
      </c>
      <c r="E3237" s="11" t="s">
        <v>1838</v>
      </c>
      <c r="F3237" s="1549">
        <v>1700000</v>
      </c>
      <c r="G3237" s="11" t="s">
        <v>2184</v>
      </c>
      <c r="H3237" s="11" t="s">
        <v>1468</v>
      </c>
      <c r="I3237" s="11" t="s">
        <v>271</v>
      </c>
      <c r="J3237" s="117">
        <v>1</v>
      </c>
    </row>
    <row r="3238" spans="1:10" x14ac:dyDescent="0.3">
      <c r="C3238" s="511"/>
      <c r="F3238" s="2535"/>
    </row>
    <row r="3239" spans="1:10" x14ac:dyDescent="0.3">
      <c r="J3239">
        <f>SUM(J3218:J3237)</f>
        <v>20</v>
      </c>
    </row>
    <row r="3240" spans="1:10" ht="24.6" x14ac:dyDescent="0.4">
      <c r="A3240" s="3462" t="s">
        <v>2003</v>
      </c>
      <c r="B3240" s="3462"/>
      <c r="C3240" s="3462"/>
      <c r="D3240" s="3462"/>
      <c r="E3240" s="3462"/>
      <c r="F3240" s="3462"/>
      <c r="G3240" s="3462"/>
      <c r="H3240" s="3462"/>
      <c r="I3240" s="3462"/>
      <c r="J3240" s="3462"/>
    </row>
    <row r="3241" spans="1:10" x14ac:dyDescent="0.3">
      <c r="A3241" s="3057" t="s">
        <v>3</v>
      </c>
      <c r="B3241" s="3416" t="s">
        <v>4</v>
      </c>
      <c r="C3241" s="3057" t="s">
        <v>5</v>
      </c>
      <c r="D3241" s="3057" t="s">
        <v>6</v>
      </c>
      <c r="E3241" s="3057" t="s">
        <v>7</v>
      </c>
      <c r="F3241" s="3057" t="s">
        <v>8</v>
      </c>
      <c r="G3241" s="3057" t="s">
        <v>9</v>
      </c>
      <c r="H3241" s="3057" t="s">
        <v>10</v>
      </c>
      <c r="I3241" s="3057" t="s">
        <v>11</v>
      </c>
      <c r="J3241" s="3057" t="s">
        <v>12</v>
      </c>
    </row>
    <row r="3242" spans="1:10" x14ac:dyDescent="0.3">
      <c r="A3242" s="3058">
        <v>1</v>
      </c>
      <c r="B3242" s="3417">
        <v>44570</v>
      </c>
      <c r="C3242" s="3008" t="s">
        <v>37</v>
      </c>
      <c r="D3242" s="3007" t="s">
        <v>2911</v>
      </c>
      <c r="E3242" s="3008" t="s">
        <v>998</v>
      </c>
      <c r="F3242" s="3012" t="s">
        <v>2912</v>
      </c>
      <c r="G3242" s="3008" t="s">
        <v>2035</v>
      </c>
      <c r="H3242" s="3008" t="s">
        <v>1468</v>
      </c>
      <c r="I3242" s="3008" t="s">
        <v>271</v>
      </c>
      <c r="J3242" s="2983">
        <v>1</v>
      </c>
    </row>
    <row r="3243" spans="1:10" ht="15.6" x14ac:dyDescent="0.3">
      <c r="A3243" s="3177">
        <v>2</v>
      </c>
      <c r="B3243" s="3417">
        <v>44570</v>
      </c>
      <c r="C3243" s="3008" t="s">
        <v>37</v>
      </c>
      <c r="D3243" s="3179" t="s">
        <v>2913</v>
      </c>
      <c r="E3243" s="3178" t="s">
        <v>1838</v>
      </c>
      <c r="F3243" s="3180" t="s">
        <v>2914</v>
      </c>
      <c r="G3243" s="3178" t="s">
        <v>1906</v>
      </c>
      <c r="H3243" s="3178" t="s">
        <v>1468</v>
      </c>
      <c r="I3243" s="3178" t="s">
        <v>271</v>
      </c>
      <c r="J3243" s="3181">
        <v>1</v>
      </c>
    </row>
    <row r="3244" spans="1:10" x14ac:dyDescent="0.3">
      <c r="A3244" s="3058">
        <v>3</v>
      </c>
      <c r="B3244" s="3417">
        <v>44570</v>
      </c>
      <c r="C3244" s="3008" t="s">
        <v>37</v>
      </c>
      <c r="D3244" s="3008" t="s">
        <v>2915</v>
      </c>
      <c r="E3244" s="3008" t="s">
        <v>2916</v>
      </c>
      <c r="F3244" s="3012" t="s">
        <v>2917</v>
      </c>
      <c r="G3244" s="3008" t="s">
        <v>43</v>
      </c>
      <c r="H3244" s="3008" t="s">
        <v>1468</v>
      </c>
      <c r="I3244" s="3008" t="s">
        <v>271</v>
      </c>
      <c r="J3244" s="2983">
        <v>1</v>
      </c>
    </row>
    <row r="3246" spans="1:10" ht="23.4" x14ac:dyDescent="0.3">
      <c r="A3246" s="3460" t="s">
        <v>1138</v>
      </c>
      <c r="B3246" s="3460"/>
      <c r="C3246" s="3460"/>
      <c r="D3246" s="3460"/>
      <c r="E3246" s="3460"/>
      <c r="F3246" s="3460"/>
      <c r="G3246" s="3460"/>
      <c r="H3246" s="3460"/>
      <c r="I3246" s="3460"/>
      <c r="J3246" s="3460"/>
    </row>
    <row r="3247" spans="1:10" ht="15.6" x14ac:dyDescent="0.3">
      <c r="A3247" s="3461" t="s">
        <v>2</v>
      </c>
      <c r="B3247" s="3461"/>
      <c r="C3247" s="3461"/>
      <c r="D3247" s="3461"/>
      <c r="E3247" s="3461"/>
      <c r="F3247" s="3461"/>
      <c r="G3247" s="3461"/>
      <c r="H3247" s="3461"/>
      <c r="I3247" s="3461"/>
      <c r="J3247" s="3461"/>
    </row>
    <row r="3248" spans="1:10" x14ac:dyDescent="0.3">
      <c r="A3248" s="147" t="s">
        <v>3</v>
      </c>
      <c r="B3248" s="3397" t="s">
        <v>4</v>
      </c>
      <c r="C3248" s="147" t="s">
        <v>5</v>
      </c>
      <c r="D3248" s="147" t="s">
        <v>6</v>
      </c>
      <c r="E3248" s="147" t="s">
        <v>7</v>
      </c>
      <c r="F3248" s="2893" t="s">
        <v>8</v>
      </c>
      <c r="G3248" s="147" t="s">
        <v>9</v>
      </c>
      <c r="H3248" s="147" t="s">
        <v>2243</v>
      </c>
      <c r="I3248" s="147" t="s">
        <v>11</v>
      </c>
      <c r="J3248" s="147" t="s">
        <v>12</v>
      </c>
    </row>
    <row r="3249" spans="1:11" x14ac:dyDescent="0.3">
      <c r="A3249" s="11">
        <v>1</v>
      </c>
      <c r="B3249" s="51" t="s">
        <v>2918</v>
      </c>
      <c r="C3249" s="34" t="s">
        <v>37</v>
      </c>
      <c r="D3249" s="160" t="s">
        <v>2919</v>
      </c>
      <c r="E3249" s="34" t="s">
        <v>858</v>
      </c>
      <c r="F3249" s="1332">
        <v>2000000</v>
      </c>
      <c r="G3249" s="34" t="s">
        <v>2748</v>
      </c>
      <c r="H3249" s="34" t="s">
        <v>1468</v>
      </c>
      <c r="I3249" s="34" t="s">
        <v>271</v>
      </c>
      <c r="J3249" s="34">
        <v>1</v>
      </c>
      <c r="K3249" t="s">
        <v>217</v>
      </c>
    </row>
    <row r="3250" spans="1:11" x14ac:dyDescent="0.3">
      <c r="A3250" s="11">
        <v>2</v>
      </c>
      <c r="B3250" s="51" t="s">
        <v>2862</v>
      </c>
      <c r="C3250" s="34" t="s">
        <v>37</v>
      </c>
      <c r="D3250" s="160" t="s">
        <v>2920</v>
      </c>
      <c r="E3250" s="11" t="s">
        <v>68</v>
      </c>
      <c r="F3250" s="1549">
        <v>1600000</v>
      </c>
      <c r="G3250" s="11" t="s">
        <v>2358</v>
      </c>
      <c r="H3250" s="11" t="s">
        <v>1468</v>
      </c>
      <c r="I3250" s="11" t="s">
        <v>271</v>
      </c>
      <c r="J3250" s="11">
        <v>1</v>
      </c>
      <c r="K3250" t="s">
        <v>217</v>
      </c>
    </row>
    <row r="3251" spans="1:11" x14ac:dyDescent="0.3">
      <c r="A3251" s="11">
        <v>3</v>
      </c>
      <c r="B3251" s="51" t="s">
        <v>2921</v>
      </c>
      <c r="C3251" s="34" t="s">
        <v>37</v>
      </c>
      <c r="D3251" s="160" t="s">
        <v>2922</v>
      </c>
      <c r="E3251" s="11" t="s">
        <v>1130</v>
      </c>
      <c r="F3251" s="1549">
        <v>1100000</v>
      </c>
      <c r="G3251" s="11" t="s">
        <v>2702</v>
      </c>
      <c r="H3251" s="11" t="s">
        <v>1468</v>
      </c>
      <c r="I3251" s="11" t="s">
        <v>271</v>
      </c>
      <c r="J3251" s="11">
        <v>1</v>
      </c>
      <c r="K3251" t="s">
        <v>217</v>
      </c>
    </row>
    <row r="3252" spans="1:11" x14ac:dyDescent="0.3">
      <c r="A3252" s="11">
        <v>4</v>
      </c>
      <c r="B3252" s="3414">
        <v>44629</v>
      </c>
      <c r="C3252" s="34" t="s">
        <v>37</v>
      </c>
      <c r="D3252" s="160" t="s">
        <v>375</v>
      </c>
      <c r="E3252" s="11" t="s">
        <v>68</v>
      </c>
      <c r="F3252" s="1549">
        <v>1500000</v>
      </c>
      <c r="G3252" s="11" t="s">
        <v>2358</v>
      </c>
      <c r="H3252" s="11" t="s">
        <v>1468</v>
      </c>
      <c r="I3252" s="11" t="s">
        <v>271</v>
      </c>
      <c r="J3252" s="11">
        <v>1</v>
      </c>
      <c r="K3252" t="s">
        <v>1282</v>
      </c>
    </row>
    <row r="3253" spans="1:11" x14ac:dyDescent="0.3">
      <c r="A3253" s="11">
        <v>5</v>
      </c>
      <c r="B3253" s="3414">
        <v>44690</v>
      </c>
      <c r="C3253" s="34" t="s">
        <v>37</v>
      </c>
      <c r="D3253" s="160" t="s">
        <v>2923</v>
      </c>
      <c r="E3253" s="34" t="s">
        <v>858</v>
      </c>
      <c r="F3253" s="1549">
        <v>2500000</v>
      </c>
      <c r="G3253" s="11" t="s">
        <v>2892</v>
      </c>
      <c r="H3253" s="11" t="s">
        <v>1468</v>
      </c>
      <c r="I3253" s="11" t="s">
        <v>271</v>
      </c>
      <c r="J3253" s="11">
        <v>1</v>
      </c>
      <c r="K3253" t="s">
        <v>1282</v>
      </c>
    </row>
    <row r="3254" spans="1:11" x14ac:dyDescent="0.3">
      <c r="A3254" s="11">
        <v>6</v>
      </c>
      <c r="B3254" s="3414">
        <v>44782</v>
      </c>
      <c r="C3254" s="34" t="s">
        <v>37</v>
      </c>
      <c r="D3254" s="160" t="s">
        <v>2924</v>
      </c>
      <c r="E3254" s="34" t="s">
        <v>1130</v>
      </c>
      <c r="F3254" s="1549">
        <v>1100000</v>
      </c>
      <c r="G3254" s="11" t="s">
        <v>2702</v>
      </c>
      <c r="H3254" s="11" t="s">
        <v>1468</v>
      </c>
      <c r="I3254" s="11" t="s">
        <v>271</v>
      </c>
      <c r="J3254" s="11">
        <v>1</v>
      </c>
      <c r="K3254" t="s">
        <v>1282</v>
      </c>
    </row>
    <row r="3255" spans="1:11" x14ac:dyDescent="0.3">
      <c r="A3255" s="11">
        <v>7</v>
      </c>
      <c r="B3255" s="3414">
        <v>44782</v>
      </c>
      <c r="C3255" s="34" t="s">
        <v>37</v>
      </c>
      <c r="D3255" s="160" t="s">
        <v>2925</v>
      </c>
      <c r="E3255" s="11" t="s">
        <v>962</v>
      </c>
      <c r="F3255" s="1549">
        <v>1600000</v>
      </c>
      <c r="G3255" s="11" t="s">
        <v>1942</v>
      </c>
      <c r="H3255" s="11" t="s">
        <v>1468</v>
      </c>
      <c r="I3255" s="11" t="s">
        <v>271</v>
      </c>
      <c r="J3255" s="11">
        <v>1</v>
      </c>
      <c r="K3255" t="s">
        <v>1282</v>
      </c>
    </row>
    <row r="3256" spans="1:11" x14ac:dyDescent="0.3">
      <c r="A3256" s="11">
        <v>8</v>
      </c>
      <c r="B3256" s="3414">
        <v>44782</v>
      </c>
      <c r="C3256" s="34" t="s">
        <v>37</v>
      </c>
      <c r="D3256" s="160" t="s">
        <v>2926</v>
      </c>
      <c r="E3256" s="11" t="s">
        <v>2341</v>
      </c>
      <c r="F3256" s="1549">
        <v>1500000</v>
      </c>
      <c r="G3256" s="11" t="s">
        <v>1510</v>
      </c>
      <c r="H3256" s="11" t="s">
        <v>1468</v>
      </c>
      <c r="I3256" s="11" t="s">
        <v>271</v>
      </c>
      <c r="J3256" s="11">
        <v>1</v>
      </c>
      <c r="K3256" t="s">
        <v>1282</v>
      </c>
    </row>
    <row r="3257" spans="1:11" x14ac:dyDescent="0.3">
      <c r="A3257" s="11">
        <v>9</v>
      </c>
      <c r="B3257" s="3414">
        <v>44904</v>
      </c>
      <c r="C3257" s="34" t="s">
        <v>37</v>
      </c>
      <c r="D3257" s="160" t="s">
        <v>2927</v>
      </c>
      <c r="E3257" s="11" t="s">
        <v>904</v>
      </c>
      <c r="F3257" s="1549">
        <v>1000000</v>
      </c>
      <c r="G3257" s="11" t="s">
        <v>43</v>
      </c>
      <c r="H3257" s="11" t="s">
        <v>1468</v>
      </c>
      <c r="I3257" s="11" t="s">
        <v>271</v>
      </c>
      <c r="J3257" s="11">
        <v>1</v>
      </c>
      <c r="K3257" t="s">
        <v>1282</v>
      </c>
    </row>
    <row r="3258" spans="1:11" x14ac:dyDescent="0.3">
      <c r="A3258" s="11">
        <v>10</v>
      </c>
      <c r="B3258" s="3414">
        <v>44904</v>
      </c>
      <c r="C3258" s="34" t="s">
        <v>37</v>
      </c>
      <c r="D3258" s="160" t="s">
        <v>2928</v>
      </c>
      <c r="E3258" s="11" t="s">
        <v>68</v>
      </c>
      <c r="F3258" s="1549">
        <v>1700000</v>
      </c>
      <c r="G3258" s="11" t="s">
        <v>43</v>
      </c>
      <c r="H3258" s="11" t="s">
        <v>1468</v>
      </c>
      <c r="I3258" s="11" t="s">
        <v>271</v>
      </c>
      <c r="J3258" s="11">
        <v>1</v>
      </c>
      <c r="K3258" t="s">
        <v>1282</v>
      </c>
    </row>
    <row r="3259" spans="1:11" x14ac:dyDescent="0.3">
      <c r="A3259" s="11">
        <v>11</v>
      </c>
      <c r="B3259" s="3414">
        <v>44904</v>
      </c>
      <c r="C3259" s="34" t="s">
        <v>37</v>
      </c>
      <c r="D3259" s="160" t="s">
        <v>2929</v>
      </c>
      <c r="E3259" s="11" t="s">
        <v>904</v>
      </c>
      <c r="F3259" s="1549">
        <v>1500000</v>
      </c>
      <c r="G3259" s="11" t="s">
        <v>1942</v>
      </c>
      <c r="H3259" s="11" t="s">
        <v>1468</v>
      </c>
      <c r="I3259" s="11" t="s">
        <v>271</v>
      </c>
      <c r="J3259" s="11">
        <v>1</v>
      </c>
      <c r="K3259" t="s">
        <v>133</v>
      </c>
    </row>
    <row r="3260" spans="1:11" x14ac:dyDescent="0.3">
      <c r="A3260" s="11">
        <v>12</v>
      </c>
      <c r="B3260" s="2" t="s">
        <v>2893</v>
      </c>
      <c r="C3260" s="34" t="s">
        <v>37</v>
      </c>
      <c r="D3260" s="11" t="s">
        <v>2930</v>
      </c>
      <c r="E3260" s="11" t="s">
        <v>68</v>
      </c>
      <c r="F3260" s="1549">
        <v>1400000</v>
      </c>
      <c r="G3260" s="11" t="s">
        <v>2358</v>
      </c>
      <c r="H3260" s="11" t="s">
        <v>1468</v>
      </c>
      <c r="I3260" s="11" t="s">
        <v>271</v>
      </c>
      <c r="J3260" s="11">
        <v>1</v>
      </c>
      <c r="K3260" t="s">
        <v>133</v>
      </c>
    </row>
    <row r="3261" spans="1:11" x14ac:dyDescent="0.3">
      <c r="A3261" s="1553">
        <v>13</v>
      </c>
      <c r="B3261" s="268" t="s">
        <v>2896</v>
      </c>
      <c r="C3261" s="1823" t="s">
        <v>37</v>
      </c>
      <c r="D3261" s="1553" t="s">
        <v>2931</v>
      </c>
      <c r="E3261" s="1553" t="s">
        <v>1130</v>
      </c>
      <c r="F3261" s="1353">
        <v>1300000</v>
      </c>
      <c r="G3261" s="11" t="s">
        <v>2702</v>
      </c>
      <c r="H3261" s="1553" t="s">
        <v>1468</v>
      </c>
      <c r="I3261" s="1553" t="s">
        <v>271</v>
      </c>
      <c r="J3261" s="1553">
        <v>1</v>
      </c>
      <c r="K3261" t="s">
        <v>133</v>
      </c>
    </row>
    <row r="3262" spans="1:11" x14ac:dyDescent="0.3">
      <c r="A3262" s="11">
        <v>14</v>
      </c>
      <c r="B3262" s="2" t="s">
        <v>2932</v>
      </c>
      <c r="C3262" s="34" t="s">
        <v>37</v>
      </c>
      <c r="D3262" s="11" t="s">
        <v>2933</v>
      </c>
      <c r="E3262" s="11" t="s">
        <v>942</v>
      </c>
      <c r="F3262" s="1549">
        <v>1350000</v>
      </c>
      <c r="G3262" s="11" t="s">
        <v>2934</v>
      </c>
      <c r="H3262" s="11" t="s">
        <v>1468</v>
      </c>
      <c r="I3262" s="11" t="s">
        <v>271</v>
      </c>
      <c r="J3262" s="11">
        <v>1</v>
      </c>
    </row>
    <row r="3263" spans="1:11" x14ac:dyDescent="0.3">
      <c r="A3263" s="11">
        <v>15</v>
      </c>
      <c r="B3263" s="2" t="s">
        <v>2932</v>
      </c>
      <c r="C3263" s="34" t="s">
        <v>37</v>
      </c>
      <c r="D3263" s="11" t="s">
        <v>2935</v>
      </c>
      <c r="E3263" s="11" t="s">
        <v>2936</v>
      </c>
      <c r="F3263" s="1549">
        <v>980000</v>
      </c>
      <c r="G3263" s="11" t="s">
        <v>43</v>
      </c>
      <c r="H3263" s="11" t="s">
        <v>1468</v>
      </c>
      <c r="I3263" s="11" t="s">
        <v>271</v>
      </c>
      <c r="J3263" s="11">
        <v>1</v>
      </c>
    </row>
    <row r="3264" spans="1:11" x14ac:dyDescent="0.3">
      <c r="A3264" s="11">
        <v>16</v>
      </c>
      <c r="B3264" s="2" t="s">
        <v>2900</v>
      </c>
      <c r="C3264" s="34" t="s">
        <v>37</v>
      </c>
      <c r="D3264" s="11" t="s">
        <v>2937</v>
      </c>
      <c r="E3264" s="11" t="s">
        <v>1130</v>
      </c>
      <c r="F3264" s="1549">
        <v>1100000</v>
      </c>
      <c r="G3264" s="11" t="s">
        <v>2702</v>
      </c>
      <c r="H3264" s="11" t="s">
        <v>1468</v>
      </c>
      <c r="I3264" s="11" t="s">
        <v>271</v>
      </c>
      <c r="J3264" s="11">
        <v>1</v>
      </c>
    </row>
    <row r="3265" spans="1:11" x14ac:dyDescent="0.3">
      <c r="F3265" s="2535"/>
    </row>
    <row r="3266" spans="1:11" x14ac:dyDescent="0.3">
      <c r="J3266">
        <f>SUM(J3249:J3264)</f>
        <v>16</v>
      </c>
    </row>
    <row r="3267" spans="1:11" ht="24.6" x14ac:dyDescent="0.4">
      <c r="A3267" s="3462" t="s">
        <v>2003</v>
      </c>
      <c r="B3267" s="3462"/>
      <c r="C3267" s="3462"/>
      <c r="D3267" s="3462"/>
      <c r="E3267" s="3462"/>
      <c r="F3267" s="3462"/>
      <c r="G3267" s="3462"/>
      <c r="H3267" s="3462"/>
      <c r="I3267" s="3462"/>
      <c r="J3267" s="3462"/>
    </row>
    <row r="3268" spans="1:11" x14ac:dyDescent="0.3">
      <c r="A3268" s="3057" t="s">
        <v>3</v>
      </c>
      <c r="B3268" s="3416" t="s">
        <v>4</v>
      </c>
      <c r="C3268" s="3057" t="s">
        <v>5</v>
      </c>
      <c r="D3268" s="3057" t="s">
        <v>6</v>
      </c>
      <c r="E3268" s="3057" t="s">
        <v>7</v>
      </c>
      <c r="F3268" s="3057" t="s">
        <v>8</v>
      </c>
      <c r="G3268" s="3057" t="s">
        <v>9</v>
      </c>
      <c r="H3268" s="3057" t="s">
        <v>10</v>
      </c>
      <c r="I3268" s="3057" t="s">
        <v>11</v>
      </c>
      <c r="J3268" s="3057" t="s">
        <v>12</v>
      </c>
    </row>
    <row r="3269" spans="1:11" x14ac:dyDescent="0.3">
      <c r="A3269" s="3058">
        <v>1</v>
      </c>
      <c r="B3269" s="3417" t="s">
        <v>2896</v>
      </c>
      <c r="C3269" s="3008" t="s">
        <v>37</v>
      </c>
      <c r="D3269" s="3007" t="s">
        <v>2938</v>
      </c>
      <c r="E3269" s="3008" t="s">
        <v>1105</v>
      </c>
      <c r="F3269" s="3010">
        <v>340000000</v>
      </c>
      <c r="G3269" s="3008" t="s">
        <v>43</v>
      </c>
      <c r="H3269" s="3008" t="s">
        <v>1468</v>
      </c>
      <c r="I3269" s="3008" t="s">
        <v>271</v>
      </c>
      <c r="J3269" s="2983">
        <v>1</v>
      </c>
    </row>
    <row r="3270" spans="1:11" ht="15.6" x14ac:dyDescent="0.3">
      <c r="A3270" s="3177">
        <v>2</v>
      </c>
      <c r="B3270" s="3418" t="s">
        <v>2896</v>
      </c>
      <c r="C3270" s="3008" t="s">
        <v>37</v>
      </c>
      <c r="D3270" s="3179" t="s">
        <v>2939</v>
      </c>
      <c r="E3270" s="3178" t="s">
        <v>998</v>
      </c>
      <c r="F3270" s="3180">
        <v>210000000</v>
      </c>
      <c r="G3270" s="3178" t="s">
        <v>2895</v>
      </c>
      <c r="H3270" s="3178" t="s">
        <v>1468</v>
      </c>
      <c r="I3270" s="3178" t="s">
        <v>271</v>
      </c>
      <c r="J3270" s="3181">
        <v>1</v>
      </c>
    </row>
    <row r="3271" spans="1:11" x14ac:dyDescent="0.3">
      <c r="A3271" s="3058">
        <v>3</v>
      </c>
      <c r="B3271" s="3417" t="s">
        <v>2932</v>
      </c>
      <c r="C3271" s="3008" t="s">
        <v>37</v>
      </c>
      <c r="D3271" s="3008" t="s">
        <v>2935</v>
      </c>
      <c r="E3271" s="3008" t="s">
        <v>2936</v>
      </c>
      <c r="F3271" s="3012">
        <v>190000000</v>
      </c>
      <c r="G3271" s="3008" t="s">
        <v>43</v>
      </c>
      <c r="H3271" s="3008" t="s">
        <v>1468</v>
      </c>
      <c r="I3271" s="3008" t="s">
        <v>271</v>
      </c>
      <c r="J3271" s="2983">
        <v>1</v>
      </c>
    </row>
    <row r="3273" spans="1:11" ht="23.4" x14ac:dyDescent="0.3">
      <c r="A3273" s="3460" t="s">
        <v>2940</v>
      </c>
      <c r="B3273" s="3460"/>
      <c r="C3273" s="3460"/>
      <c r="D3273" s="3460"/>
      <c r="E3273" s="3460"/>
      <c r="F3273" s="3460"/>
      <c r="G3273" s="3460"/>
      <c r="H3273" s="3460"/>
      <c r="I3273" s="3460"/>
      <c r="J3273" s="3460"/>
    </row>
    <row r="3274" spans="1:11" ht="15.6" x14ac:dyDescent="0.3">
      <c r="A3274" s="3461" t="s">
        <v>2</v>
      </c>
      <c r="B3274" s="3461"/>
      <c r="C3274" s="3461"/>
      <c r="D3274" s="3461"/>
      <c r="E3274" s="3461"/>
      <c r="F3274" s="3461"/>
      <c r="G3274" s="3461"/>
      <c r="H3274" s="3461"/>
      <c r="I3274" s="3461"/>
      <c r="J3274" s="3461"/>
    </row>
    <row r="3275" spans="1:11" x14ac:dyDescent="0.3">
      <c r="A3275" s="147" t="s">
        <v>3</v>
      </c>
      <c r="B3275" s="3397" t="s">
        <v>4</v>
      </c>
      <c r="C3275" s="147" t="s">
        <v>5</v>
      </c>
      <c r="D3275" s="147" t="s">
        <v>6</v>
      </c>
      <c r="E3275" s="147" t="s">
        <v>7</v>
      </c>
      <c r="F3275" s="2893" t="s">
        <v>8</v>
      </c>
      <c r="G3275" s="147" t="s">
        <v>9</v>
      </c>
      <c r="H3275" s="147" t="s">
        <v>2243</v>
      </c>
      <c r="I3275" s="147" t="s">
        <v>11</v>
      </c>
      <c r="J3275" s="147" t="s">
        <v>12</v>
      </c>
    </row>
    <row r="3276" spans="1:11" x14ac:dyDescent="0.3">
      <c r="A3276" s="11">
        <v>1</v>
      </c>
      <c r="B3276" s="2392" t="s">
        <v>2918</v>
      </c>
      <c r="C3276" s="11" t="s">
        <v>37</v>
      </c>
      <c r="D3276" s="34" t="s">
        <v>2941</v>
      </c>
      <c r="E3276" s="11" t="s">
        <v>2817</v>
      </c>
      <c r="F3276" s="1549">
        <v>800000</v>
      </c>
      <c r="G3276" s="11" t="s">
        <v>43</v>
      </c>
      <c r="H3276" s="11" t="s">
        <v>1468</v>
      </c>
      <c r="I3276" s="11" t="s">
        <v>271</v>
      </c>
      <c r="J3276" s="709">
        <v>1</v>
      </c>
      <c r="K3276" s="601" t="s">
        <v>217</v>
      </c>
    </row>
    <row r="3277" spans="1:11" x14ac:dyDescent="0.3">
      <c r="A3277" s="11">
        <v>2</v>
      </c>
      <c r="B3277" s="2392" t="s">
        <v>2918</v>
      </c>
      <c r="C3277" s="160" t="s">
        <v>37</v>
      </c>
      <c r="D3277" s="201" t="s">
        <v>2942</v>
      </c>
      <c r="E3277" s="160" t="s">
        <v>962</v>
      </c>
      <c r="F3277" s="3419">
        <v>1300000</v>
      </c>
      <c r="G3277" s="160" t="s">
        <v>2943</v>
      </c>
      <c r="H3277" s="160" t="s">
        <v>1468</v>
      </c>
      <c r="I3277" s="160" t="s">
        <v>271</v>
      </c>
      <c r="J3277" s="709">
        <v>1</v>
      </c>
      <c r="K3277" t="s">
        <v>217</v>
      </c>
    </row>
    <row r="3278" spans="1:11" x14ac:dyDescent="0.3">
      <c r="A3278" s="11">
        <v>3</v>
      </c>
      <c r="B3278" s="2222" t="s">
        <v>2944</v>
      </c>
      <c r="C3278" s="160" t="s">
        <v>37</v>
      </c>
      <c r="D3278" s="201" t="s">
        <v>2945</v>
      </c>
      <c r="E3278" s="11" t="s">
        <v>962</v>
      </c>
      <c r="F3278" s="1549">
        <v>1400000</v>
      </c>
      <c r="G3278" s="11" t="s">
        <v>2946</v>
      </c>
      <c r="H3278" s="11" t="s">
        <v>1468</v>
      </c>
      <c r="I3278" s="11" t="s">
        <v>271</v>
      </c>
      <c r="J3278" s="709">
        <v>1</v>
      </c>
      <c r="K3278" t="s">
        <v>217</v>
      </c>
    </row>
    <row r="3279" spans="1:11" x14ac:dyDescent="0.3">
      <c r="A3279" s="11">
        <v>4</v>
      </c>
      <c r="B3279" s="2222" t="s">
        <v>2944</v>
      </c>
      <c r="C3279" s="34" t="s">
        <v>219</v>
      </c>
      <c r="D3279" s="34" t="s">
        <v>2947</v>
      </c>
      <c r="E3279" s="11" t="s">
        <v>78</v>
      </c>
      <c r="F3279" s="1549">
        <v>8500000</v>
      </c>
      <c r="G3279" s="11" t="s">
        <v>43</v>
      </c>
      <c r="H3279" s="11" t="s">
        <v>271</v>
      </c>
      <c r="I3279" s="11" t="s">
        <v>271</v>
      </c>
      <c r="J3279" s="709">
        <v>1</v>
      </c>
      <c r="K3279" s="601" t="s">
        <v>217</v>
      </c>
    </row>
    <row r="3280" spans="1:11" x14ac:dyDescent="0.3">
      <c r="A3280" s="11">
        <v>5</v>
      </c>
      <c r="B3280" s="2392" t="s">
        <v>2862</v>
      </c>
      <c r="C3280" s="160" t="s">
        <v>37</v>
      </c>
      <c r="D3280" s="34" t="s">
        <v>2948</v>
      </c>
      <c r="E3280" s="11" t="s">
        <v>962</v>
      </c>
      <c r="F3280" s="1549">
        <v>1400000</v>
      </c>
      <c r="G3280" s="11" t="s">
        <v>2949</v>
      </c>
      <c r="H3280" s="11" t="s">
        <v>1468</v>
      </c>
      <c r="I3280" s="11" t="s">
        <v>271</v>
      </c>
      <c r="J3280" s="709">
        <v>1</v>
      </c>
      <c r="K3280" t="s">
        <v>217</v>
      </c>
    </row>
    <row r="3281" spans="1:11" x14ac:dyDescent="0.3">
      <c r="A3281" s="11">
        <v>6</v>
      </c>
      <c r="B3281" s="3430">
        <v>44570</v>
      </c>
      <c r="C3281" s="160" t="s">
        <v>37</v>
      </c>
      <c r="D3281" s="34" t="s">
        <v>2950</v>
      </c>
      <c r="E3281" s="11" t="s">
        <v>1130</v>
      </c>
      <c r="F3281" s="1549">
        <v>1400000</v>
      </c>
      <c r="G3281" s="11" t="s">
        <v>2951</v>
      </c>
      <c r="H3281" s="11" t="s">
        <v>1468</v>
      </c>
      <c r="I3281" s="11" t="s">
        <v>271</v>
      </c>
      <c r="J3281" s="709">
        <v>1</v>
      </c>
      <c r="K3281" t="s">
        <v>1282</v>
      </c>
    </row>
    <row r="3282" spans="1:11" x14ac:dyDescent="0.3">
      <c r="A3282" s="11">
        <v>7</v>
      </c>
      <c r="B3282" s="3430">
        <v>44601</v>
      </c>
      <c r="C3282" s="160" t="s">
        <v>37</v>
      </c>
      <c r="D3282" s="34" t="s">
        <v>2952</v>
      </c>
      <c r="E3282" s="11" t="s">
        <v>1838</v>
      </c>
      <c r="F3282" s="1549">
        <v>1250000</v>
      </c>
      <c r="G3282" s="11" t="s">
        <v>43</v>
      </c>
      <c r="H3282" s="11" t="s">
        <v>1468</v>
      </c>
      <c r="I3282" s="11" t="s">
        <v>271</v>
      </c>
      <c r="J3282" s="709">
        <v>1</v>
      </c>
      <c r="K3282" t="s">
        <v>1282</v>
      </c>
    </row>
    <row r="3283" spans="1:11" x14ac:dyDescent="0.3">
      <c r="A3283" s="11">
        <v>8</v>
      </c>
      <c r="B3283" s="3430">
        <v>44601</v>
      </c>
      <c r="C3283" s="160" t="s">
        <v>37</v>
      </c>
      <c r="D3283" s="34" t="s">
        <v>2953</v>
      </c>
      <c r="E3283" s="11" t="s">
        <v>1105</v>
      </c>
      <c r="F3283" s="1549">
        <v>1700000</v>
      </c>
      <c r="G3283" s="11" t="s">
        <v>2954</v>
      </c>
      <c r="H3283" s="11" t="s">
        <v>1468</v>
      </c>
      <c r="I3283" s="11" t="s">
        <v>271</v>
      </c>
      <c r="J3283" s="709">
        <v>1</v>
      </c>
      <c r="K3283" t="s">
        <v>1282</v>
      </c>
    </row>
    <row r="3284" spans="1:11" x14ac:dyDescent="0.3">
      <c r="A3284" s="11">
        <v>9</v>
      </c>
      <c r="B3284" s="3430">
        <v>44721</v>
      </c>
      <c r="C3284" s="160" t="s">
        <v>37</v>
      </c>
      <c r="D3284" s="34" t="s">
        <v>2955</v>
      </c>
      <c r="E3284" s="11" t="s">
        <v>1105</v>
      </c>
      <c r="F3284" s="1549">
        <v>2400000</v>
      </c>
      <c r="G3284" s="11" t="s">
        <v>2892</v>
      </c>
      <c r="H3284" s="11" t="s">
        <v>1468</v>
      </c>
      <c r="I3284" s="11" t="s">
        <v>271</v>
      </c>
      <c r="J3284" s="709">
        <v>1</v>
      </c>
      <c r="K3284" t="s">
        <v>1282</v>
      </c>
    </row>
    <row r="3285" spans="1:11" x14ac:dyDescent="0.3">
      <c r="A3285" s="11">
        <v>10</v>
      </c>
      <c r="B3285" s="3430">
        <v>44813</v>
      </c>
      <c r="C3285" s="160" t="s">
        <v>37</v>
      </c>
      <c r="D3285" s="34" t="s">
        <v>2956</v>
      </c>
      <c r="E3285" s="11" t="s">
        <v>1105</v>
      </c>
      <c r="F3285" s="1549">
        <v>2800000</v>
      </c>
      <c r="G3285" s="11"/>
      <c r="H3285" s="11" t="s">
        <v>1468</v>
      </c>
      <c r="I3285" s="11" t="s">
        <v>271</v>
      </c>
      <c r="J3285" s="709">
        <v>1</v>
      </c>
      <c r="K3285" t="s">
        <v>217</v>
      </c>
    </row>
    <row r="3286" spans="1:11" x14ac:dyDescent="0.3">
      <c r="A3286" s="11">
        <v>11</v>
      </c>
      <c r="B3286" s="3430" t="s">
        <v>2873</v>
      </c>
      <c r="C3286" s="160" t="s">
        <v>37</v>
      </c>
      <c r="D3286" s="34" t="s">
        <v>2957</v>
      </c>
      <c r="E3286" s="11" t="s">
        <v>1105</v>
      </c>
      <c r="F3286" s="1549">
        <v>1700000</v>
      </c>
      <c r="G3286" s="11"/>
      <c r="H3286" s="11" t="s">
        <v>1468</v>
      </c>
      <c r="I3286" s="11" t="s">
        <v>271</v>
      </c>
      <c r="J3286" s="709">
        <v>1</v>
      </c>
    </row>
    <row r="3287" spans="1:11" x14ac:dyDescent="0.3">
      <c r="A3287" s="11">
        <v>12</v>
      </c>
      <c r="B3287" s="3430" t="s">
        <v>2873</v>
      </c>
      <c r="C3287" s="160" t="s">
        <v>37</v>
      </c>
      <c r="D3287" s="34" t="s">
        <v>2958</v>
      </c>
      <c r="E3287" s="11" t="s">
        <v>962</v>
      </c>
      <c r="F3287" s="1549">
        <v>1400000</v>
      </c>
      <c r="G3287" s="11"/>
      <c r="H3287" s="11" t="s">
        <v>1468</v>
      </c>
      <c r="I3287" s="11" t="s">
        <v>271</v>
      </c>
      <c r="J3287" s="709">
        <v>1</v>
      </c>
      <c r="K3287" t="s">
        <v>133</v>
      </c>
    </row>
    <row r="3288" spans="1:11" x14ac:dyDescent="0.3">
      <c r="A3288" s="1553">
        <v>13</v>
      </c>
      <c r="B3288" s="3438" t="s">
        <v>2896</v>
      </c>
      <c r="C3288" s="160" t="s">
        <v>37</v>
      </c>
      <c r="D3288" s="34" t="s">
        <v>2959</v>
      </c>
      <c r="E3288" s="1553" t="s">
        <v>1130</v>
      </c>
      <c r="F3288" s="1353">
        <v>1300000</v>
      </c>
      <c r="G3288" s="1553"/>
      <c r="H3288" s="11" t="s">
        <v>1468</v>
      </c>
      <c r="I3288" s="11" t="s">
        <v>271</v>
      </c>
      <c r="J3288" s="709">
        <v>1</v>
      </c>
      <c r="K3288" t="s">
        <v>133</v>
      </c>
    </row>
    <row r="3289" spans="1:11" x14ac:dyDescent="0.3">
      <c r="A3289" s="11">
        <v>14</v>
      </c>
      <c r="B3289" s="3438" t="s">
        <v>2896</v>
      </c>
      <c r="C3289" s="160" t="s">
        <v>37</v>
      </c>
      <c r="D3289" s="34" t="s">
        <v>2960</v>
      </c>
      <c r="E3289" s="11" t="s">
        <v>1105</v>
      </c>
      <c r="F3289" s="1549">
        <v>1700000</v>
      </c>
      <c r="G3289" s="11"/>
      <c r="H3289" s="11" t="s">
        <v>1468</v>
      </c>
      <c r="I3289" s="11" t="s">
        <v>271</v>
      </c>
      <c r="J3289" s="709">
        <v>1</v>
      </c>
    </row>
    <row r="3290" spans="1:11" x14ac:dyDescent="0.3">
      <c r="A3290" s="1553">
        <v>15</v>
      </c>
      <c r="B3290" s="3438" t="s">
        <v>2896</v>
      </c>
      <c r="C3290" s="3445" t="s">
        <v>37</v>
      </c>
      <c r="D3290" s="1823" t="s">
        <v>2961</v>
      </c>
      <c r="E3290" s="1553" t="s">
        <v>1105</v>
      </c>
      <c r="F3290" s="1353">
        <v>1700000</v>
      </c>
      <c r="G3290" s="1553"/>
      <c r="H3290" s="1553" t="s">
        <v>1468</v>
      </c>
      <c r="I3290" s="1553" t="s">
        <v>271</v>
      </c>
      <c r="J3290" s="3446">
        <v>1</v>
      </c>
    </row>
    <row r="3291" spans="1:11" x14ac:dyDescent="0.3">
      <c r="A3291" s="11">
        <v>16</v>
      </c>
      <c r="B3291" s="2392" t="s">
        <v>2896</v>
      </c>
      <c r="C3291" s="160" t="s">
        <v>37</v>
      </c>
      <c r="D3291" s="34" t="s">
        <v>2962</v>
      </c>
      <c r="E3291" s="11" t="s">
        <v>1105</v>
      </c>
      <c r="F3291" s="1549"/>
      <c r="G3291" s="11"/>
      <c r="H3291" s="11"/>
      <c r="I3291" s="11"/>
      <c r="J3291" s="709">
        <v>1</v>
      </c>
    </row>
    <row r="3292" spans="1:11" x14ac:dyDescent="0.3">
      <c r="A3292" s="11">
        <v>17</v>
      </c>
      <c r="B3292" s="2392" t="s">
        <v>2932</v>
      </c>
      <c r="C3292" s="160" t="s">
        <v>1881</v>
      </c>
      <c r="D3292" s="34" t="s">
        <v>2963</v>
      </c>
      <c r="E3292" s="11" t="s">
        <v>2964</v>
      </c>
      <c r="F3292" s="1549"/>
      <c r="G3292" s="11"/>
      <c r="H3292" s="11"/>
      <c r="I3292" s="11"/>
      <c r="J3292" s="709">
        <v>1</v>
      </c>
    </row>
    <row r="3293" spans="1:11" x14ac:dyDescent="0.3">
      <c r="J3293">
        <f>SUM(J3276:J3292)</f>
        <v>17</v>
      </c>
    </row>
    <row r="3294" spans="1:11" ht="24.6" x14ac:dyDescent="0.4">
      <c r="A3294" s="3462" t="s">
        <v>2003</v>
      </c>
      <c r="B3294" s="3462"/>
      <c r="C3294" s="3462"/>
      <c r="D3294" s="3462"/>
      <c r="E3294" s="3462"/>
      <c r="F3294" s="3462"/>
      <c r="G3294" s="3462"/>
      <c r="H3294" s="3462"/>
      <c r="I3294" s="3462"/>
      <c r="J3294" s="3462"/>
    </row>
    <row r="3295" spans="1:11" x14ac:dyDescent="0.3">
      <c r="A3295" s="3057" t="s">
        <v>3</v>
      </c>
      <c r="B3295" s="3416" t="s">
        <v>4</v>
      </c>
      <c r="C3295" s="3057" t="s">
        <v>5</v>
      </c>
      <c r="D3295" s="3057" t="s">
        <v>6</v>
      </c>
      <c r="E3295" s="3057" t="s">
        <v>7</v>
      </c>
      <c r="F3295" s="3057" t="s">
        <v>8</v>
      </c>
      <c r="G3295" s="3057" t="s">
        <v>9</v>
      </c>
      <c r="H3295" s="3057" t="s">
        <v>10</v>
      </c>
      <c r="I3295" s="3057" t="s">
        <v>11</v>
      </c>
      <c r="J3295" s="3057" t="s">
        <v>12</v>
      </c>
    </row>
    <row r="3296" spans="1:11" x14ac:dyDescent="0.3">
      <c r="A3296" s="3058">
        <v>1</v>
      </c>
      <c r="B3296" s="3417" t="s">
        <v>2944</v>
      </c>
      <c r="C3296" s="3008" t="s">
        <v>37</v>
      </c>
      <c r="D3296" s="2983" t="s">
        <v>2965</v>
      </c>
      <c r="E3296" s="3008" t="s">
        <v>1105</v>
      </c>
      <c r="F3296" s="3010">
        <v>340000000</v>
      </c>
      <c r="G3296" s="3008" t="s">
        <v>2954</v>
      </c>
      <c r="H3296" s="3008" t="s">
        <v>1468</v>
      </c>
      <c r="I3296" s="3008" t="s">
        <v>271</v>
      </c>
      <c r="J3296" s="2983">
        <v>1</v>
      </c>
    </row>
    <row r="3297" spans="1:11" ht="15.6" x14ac:dyDescent="0.3">
      <c r="A3297" s="3177">
        <v>2</v>
      </c>
      <c r="B3297" s="3417" t="s">
        <v>2944</v>
      </c>
      <c r="C3297" s="3008" t="s">
        <v>37</v>
      </c>
      <c r="D3297" s="3179" t="s">
        <v>2966</v>
      </c>
      <c r="E3297" s="3008" t="s">
        <v>1105</v>
      </c>
      <c r="F3297" s="3180">
        <v>325000000</v>
      </c>
      <c r="G3297" s="3008" t="s">
        <v>2954</v>
      </c>
      <c r="H3297" s="3008" t="s">
        <v>1468</v>
      </c>
      <c r="I3297" s="3008" t="s">
        <v>271</v>
      </c>
      <c r="J3297" s="2983">
        <v>1</v>
      </c>
    </row>
    <row r="3298" spans="1:11" x14ac:dyDescent="0.3">
      <c r="A3298" s="3177">
        <v>3</v>
      </c>
      <c r="B3298" s="3418" t="s">
        <v>2921</v>
      </c>
      <c r="C3298" s="3178" t="s">
        <v>37</v>
      </c>
      <c r="D3298" s="3181" t="s">
        <v>2967</v>
      </c>
      <c r="E3298" s="3178" t="s">
        <v>1105</v>
      </c>
      <c r="F3298" s="3180">
        <v>276000000</v>
      </c>
      <c r="G3298" s="3178" t="s">
        <v>2954</v>
      </c>
      <c r="H3298" s="3178" t="s">
        <v>1468</v>
      </c>
      <c r="I3298" s="3178" t="s">
        <v>271</v>
      </c>
      <c r="J3298" s="3181">
        <v>1</v>
      </c>
    </row>
    <row r="3299" spans="1:11" x14ac:dyDescent="0.3">
      <c r="A3299" s="3177">
        <v>4</v>
      </c>
      <c r="B3299" s="3418" t="s">
        <v>2865</v>
      </c>
      <c r="C3299" s="3178" t="s">
        <v>37</v>
      </c>
      <c r="D3299" s="3181" t="s">
        <v>2968</v>
      </c>
      <c r="E3299" s="3178" t="s">
        <v>1838</v>
      </c>
      <c r="F3299" s="3180">
        <v>260000000</v>
      </c>
      <c r="G3299" s="3178" t="s">
        <v>43</v>
      </c>
      <c r="H3299" s="3178" t="s">
        <v>1468</v>
      </c>
      <c r="I3299" s="3178" t="s">
        <v>271</v>
      </c>
      <c r="J3299" s="3181">
        <v>1</v>
      </c>
      <c r="K3299" t="s">
        <v>2969</v>
      </c>
    </row>
    <row r="3300" spans="1:11" x14ac:dyDescent="0.3">
      <c r="A3300" s="3058">
        <v>5</v>
      </c>
      <c r="B3300" s="3418" t="s">
        <v>2865</v>
      </c>
      <c r="C3300" s="3178" t="s">
        <v>37</v>
      </c>
      <c r="D3300" s="2983" t="s">
        <v>2970</v>
      </c>
      <c r="E3300" s="3008" t="s">
        <v>1105</v>
      </c>
      <c r="F3300" s="3012">
        <v>288000000</v>
      </c>
      <c r="G3300" s="3178" t="s">
        <v>2954</v>
      </c>
      <c r="H3300" s="3178" t="s">
        <v>1468</v>
      </c>
      <c r="I3300" s="3178" t="s">
        <v>271</v>
      </c>
      <c r="J3300" s="3181">
        <v>1</v>
      </c>
      <c r="K3300" t="s">
        <v>2969</v>
      </c>
    </row>
    <row r="3302" spans="1:11" ht="23.4" x14ac:dyDescent="0.3">
      <c r="A3302" s="3460" t="s">
        <v>118</v>
      </c>
      <c r="B3302" s="3460"/>
      <c r="C3302" s="3460"/>
      <c r="D3302" s="3460"/>
      <c r="E3302" s="3460"/>
      <c r="F3302" s="3460"/>
      <c r="G3302" s="3460"/>
      <c r="H3302" s="3460"/>
      <c r="I3302" s="3460"/>
      <c r="J3302" s="3460"/>
    </row>
    <row r="3303" spans="1:11" ht="15.6" x14ac:dyDescent="0.3">
      <c r="A3303" s="3461" t="s">
        <v>2</v>
      </c>
      <c r="B3303" s="3461"/>
      <c r="C3303" s="3461"/>
      <c r="D3303" s="3461"/>
      <c r="E3303" s="3461"/>
      <c r="F3303" s="3461"/>
      <c r="G3303" s="3461"/>
      <c r="H3303" s="3461"/>
      <c r="I3303" s="3461"/>
      <c r="J3303" s="3461"/>
    </row>
    <row r="3304" spans="1:11" x14ac:dyDescent="0.3">
      <c r="A3304" s="147" t="s">
        <v>3</v>
      </c>
      <c r="B3304" s="3397" t="s">
        <v>4</v>
      </c>
      <c r="C3304" s="147" t="s">
        <v>5</v>
      </c>
      <c r="D3304" s="147" t="s">
        <v>6</v>
      </c>
      <c r="E3304" s="147" t="s">
        <v>7</v>
      </c>
      <c r="F3304" s="2893" t="s">
        <v>8</v>
      </c>
      <c r="G3304" s="147" t="s">
        <v>9</v>
      </c>
      <c r="H3304" s="147" t="s">
        <v>2243</v>
      </c>
      <c r="I3304" s="147" t="s">
        <v>11</v>
      </c>
      <c r="J3304" s="147" t="s">
        <v>12</v>
      </c>
    </row>
    <row r="3305" spans="1:11" x14ac:dyDescent="0.3">
      <c r="A3305" s="11">
        <v>1</v>
      </c>
      <c r="B3305" s="51"/>
      <c r="C3305" s="34"/>
      <c r="D3305" s="34"/>
      <c r="E3305" s="34"/>
      <c r="F3305" s="3065"/>
      <c r="G3305" s="34"/>
      <c r="H3305" s="34"/>
      <c r="I3305" s="34"/>
      <c r="J3305" s="34"/>
    </row>
    <row r="3306" spans="1:11" x14ac:dyDescent="0.3">
      <c r="A3306" s="11">
        <v>2</v>
      </c>
      <c r="B3306" s="51"/>
      <c r="C3306" s="34"/>
      <c r="D3306" s="11"/>
      <c r="E3306" s="11"/>
      <c r="F3306" s="1549"/>
      <c r="G3306" s="11"/>
      <c r="H3306" s="11"/>
      <c r="I3306" s="11"/>
      <c r="J3306" s="11"/>
    </row>
    <row r="3307" spans="1:11" x14ac:dyDescent="0.3">
      <c r="A3307" s="11">
        <v>3</v>
      </c>
      <c r="B3307" s="51"/>
      <c r="C3307" s="34"/>
      <c r="D3307" s="11"/>
      <c r="E3307" s="11"/>
      <c r="F3307" s="1549"/>
      <c r="G3307" s="11"/>
      <c r="H3307" s="11"/>
      <c r="I3307" s="11"/>
      <c r="J3307" s="11"/>
    </row>
    <row r="3308" spans="1:11" x14ac:dyDescent="0.3">
      <c r="A3308" s="11">
        <v>4</v>
      </c>
      <c r="B3308" s="2"/>
      <c r="C3308" s="34"/>
      <c r="D3308" s="11"/>
      <c r="E3308" s="11"/>
      <c r="F3308" s="1549"/>
      <c r="G3308" s="11"/>
      <c r="H3308" s="11"/>
      <c r="I3308" s="11"/>
      <c r="J3308" s="11"/>
    </row>
    <row r="3309" spans="1:11" x14ac:dyDescent="0.3">
      <c r="A3309" s="11">
        <v>5</v>
      </c>
      <c r="B3309" s="2"/>
      <c r="C3309" s="34"/>
      <c r="D3309" s="11"/>
      <c r="E3309" s="11"/>
      <c r="F3309" s="1549"/>
      <c r="G3309" s="11"/>
      <c r="H3309" s="11"/>
      <c r="I3309" s="11"/>
      <c r="J3309" s="11"/>
    </row>
    <row r="3310" spans="1:11" x14ac:dyDescent="0.3">
      <c r="A3310" s="11">
        <v>6</v>
      </c>
      <c r="B3310" s="3414"/>
      <c r="C3310" s="34"/>
      <c r="D3310" s="11"/>
      <c r="E3310" s="11"/>
      <c r="F3310" s="1549"/>
      <c r="G3310" s="11"/>
      <c r="H3310" s="11"/>
      <c r="I3310" s="11"/>
      <c r="J3310" s="11"/>
    </row>
    <row r="3311" spans="1:11" x14ac:dyDescent="0.3">
      <c r="A3311" s="11">
        <v>7</v>
      </c>
      <c r="B3311" s="3414"/>
      <c r="C3311" s="11"/>
      <c r="D3311" s="11"/>
      <c r="E3311" s="11"/>
      <c r="F3311" s="1549"/>
      <c r="G3311" s="11"/>
      <c r="H3311" s="11"/>
      <c r="I3311" s="11"/>
      <c r="J3311" s="11"/>
    </row>
    <row r="3312" spans="1:11" x14ac:dyDescent="0.3">
      <c r="A3312" s="11">
        <v>8</v>
      </c>
      <c r="B3312" s="3414"/>
      <c r="C3312" s="11"/>
      <c r="D3312" s="34"/>
      <c r="E3312" s="11"/>
      <c r="F3312" s="1549"/>
      <c r="G3312" s="11"/>
      <c r="H3312" s="11"/>
      <c r="I3312" s="11"/>
      <c r="J3312" s="11"/>
    </row>
    <row r="3313" spans="1:10" x14ac:dyDescent="0.3">
      <c r="A3313" s="11">
        <v>9</v>
      </c>
      <c r="B3313" s="3414"/>
      <c r="C3313" s="11"/>
      <c r="D3313" s="34"/>
      <c r="E3313" s="11"/>
      <c r="F3313" s="1549"/>
      <c r="G3313" s="11"/>
      <c r="H3313" s="11"/>
      <c r="I3313" s="11"/>
      <c r="J3313" s="11"/>
    </row>
    <row r="3314" spans="1:10" x14ac:dyDescent="0.3">
      <c r="A3314" s="11">
        <v>10</v>
      </c>
      <c r="B3314" s="3414"/>
      <c r="C3314" s="11"/>
      <c r="D3314" s="34"/>
      <c r="E3314" s="11"/>
      <c r="F3314" s="1549"/>
      <c r="G3314" s="11"/>
      <c r="H3314" s="11"/>
      <c r="I3314" s="11"/>
      <c r="J3314" s="11"/>
    </row>
    <row r="3315" spans="1:10" x14ac:dyDescent="0.3">
      <c r="A3315" s="11">
        <v>11</v>
      </c>
      <c r="B3315" s="3414"/>
      <c r="C3315" s="11"/>
      <c r="D3315" s="34"/>
      <c r="E3315" s="11"/>
      <c r="F3315" s="1549"/>
      <c r="G3315" s="11"/>
      <c r="H3315" s="11"/>
      <c r="I3315" s="11"/>
      <c r="J3315" s="11"/>
    </row>
    <row r="3316" spans="1:10" x14ac:dyDescent="0.3">
      <c r="A3316" s="11">
        <v>12</v>
      </c>
      <c r="B3316" s="2"/>
      <c r="C3316" s="11"/>
      <c r="D3316" s="34"/>
      <c r="E3316" s="11"/>
      <c r="F3316" s="1549"/>
      <c r="G3316" s="11"/>
      <c r="H3316" s="11"/>
      <c r="I3316" s="11"/>
      <c r="J3316" s="11"/>
    </row>
    <row r="3317" spans="1:10" x14ac:dyDescent="0.3">
      <c r="A3317" s="11">
        <v>13</v>
      </c>
      <c r="B3317" s="2"/>
      <c r="C3317" s="11"/>
      <c r="D3317" s="34"/>
      <c r="E3317" s="11"/>
      <c r="F3317" s="1549"/>
      <c r="G3317" s="11"/>
      <c r="H3317" s="11"/>
      <c r="I3317" s="11"/>
      <c r="J3317" s="11"/>
    </row>
    <row r="3318" spans="1:10" x14ac:dyDescent="0.3">
      <c r="A3318" s="11">
        <v>14</v>
      </c>
      <c r="B3318" s="2"/>
      <c r="C3318" s="11"/>
      <c r="D3318" s="11"/>
      <c r="E3318" s="11"/>
      <c r="F3318" s="1549"/>
      <c r="G3318" s="11"/>
      <c r="H3318" s="11"/>
      <c r="I3318" s="11"/>
      <c r="J3318" s="11"/>
    </row>
    <row r="3319" spans="1:10" x14ac:dyDescent="0.3">
      <c r="J3319">
        <f>SUM(J3305:J3318)</f>
        <v>0</v>
      </c>
    </row>
    <row r="3320" spans="1:10" ht="24.6" x14ac:dyDescent="0.4">
      <c r="A3320" s="3462" t="s">
        <v>2003</v>
      </c>
      <c r="B3320" s="3462"/>
      <c r="C3320" s="3462"/>
      <c r="D3320" s="3462"/>
      <c r="E3320" s="3462"/>
      <c r="F3320" s="3462"/>
      <c r="G3320" s="3462"/>
      <c r="H3320" s="3462"/>
      <c r="I3320" s="3462"/>
      <c r="J3320" s="3462"/>
    </row>
    <row r="3321" spans="1:10" x14ac:dyDescent="0.3">
      <c r="A3321" s="3057" t="s">
        <v>3</v>
      </c>
      <c r="B3321" s="3416" t="s">
        <v>4</v>
      </c>
      <c r="C3321" s="3057" t="s">
        <v>5</v>
      </c>
      <c r="D3321" s="3057" t="s">
        <v>6</v>
      </c>
      <c r="E3321" s="3057" t="s">
        <v>7</v>
      </c>
      <c r="F3321" s="3057" t="s">
        <v>8</v>
      </c>
      <c r="G3321" s="3057" t="s">
        <v>9</v>
      </c>
      <c r="H3321" s="3057" t="s">
        <v>10</v>
      </c>
      <c r="I3321" s="3057" t="s">
        <v>11</v>
      </c>
      <c r="J3321" s="3057" t="s">
        <v>12</v>
      </c>
    </row>
    <row r="3322" spans="1:10" x14ac:dyDescent="0.3">
      <c r="A3322" s="3058">
        <v>1</v>
      </c>
      <c r="B3322" s="3417"/>
      <c r="C3322" s="3008"/>
      <c r="D3322" s="3007"/>
      <c r="E3322" s="3008"/>
      <c r="F3322" s="3012"/>
      <c r="G3322" s="3008"/>
      <c r="H3322" s="3008"/>
      <c r="I3322" s="3008"/>
      <c r="J3322" s="2983"/>
    </row>
    <row r="3323" spans="1:10" ht="15.6" x14ac:dyDescent="0.3">
      <c r="A3323" s="3177">
        <v>2</v>
      </c>
      <c r="B3323" s="3418"/>
      <c r="C3323" s="3178"/>
      <c r="D3323" s="3179"/>
      <c r="E3323" s="3178"/>
      <c r="F3323" s="3180"/>
      <c r="G3323" s="3178"/>
      <c r="H3323" s="3178"/>
      <c r="I3323" s="3178"/>
      <c r="J3323" s="3181"/>
    </row>
    <row r="3324" spans="1:10" x14ac:dyDescent="0.3">
      <c r="A3324" s="3058">
        <v>3</v>
      </c>
      <c r="B3324" s="3417"/>
      <c r="C3324" s="3008"/>
      <c r="D3324" s="3008"/>
      <c r="E3324" s="3008"/>
      <c r="F3324" s="3012"/>
      <c r="G3324" s="3008"/>
      <c r="H3324" s="3008"/>
      <c r="I3324" s="3008"/>
      <c r="J3324" s="2983"/>
    </row>
  </sheetData>
  <mergeCells count="358">
    <mergeCell ref="A3267:J3267"/>
    <mergeCell ref="A3273:J3273"/>
    <mergeCell ref="A3274:J3274"/>
    <mergeCell ref="A3294:J3294"/>
    <mergeCell ref="A3302:J3302"/>
    <mergeCell ref="A3303:J3303"/>
    <mergeCell ref="A3320:J3320"/>
    <mergeCell ref="A3186:J3187"/>
    <mergeCell ref="A3189:J3189"/>
    <mergeCell ref="A3190:J3190"/>
    <mergeCell ref="A3209:J3209"/>
    <mergeCell ref="A3215:J3215"/>
    <mergeCell ref="A3216:J3216"/>
    <mergeCell ref="A3240:J3240"/>
    <mergeCell ref="A3246:J3246"/>
    <mergeCell ref="A3247:J3247"/>
    <mergeCell ref="A3047:J3047"/>
    <mergeCell ref="A3048:J3048"/>
    <mergeCell ref="A3065:J3065"/>
    <mergeCell ref="A2972:J2972"/>
    <mergeCell ref="A2973:J2973"/>
    <mergeCell ref="A2992:J2992"/>
    <mergeCell ref="A2936:J2936"/>
    <mergeCell ref="A2937:J2937"/>
    <mergeCell ref="A2838:J2838"/>
    <mergeCell ref="A2839:J2839"/>
    <mergeCell ref="A2856:J2856"/>
    <mergeCell ref="A2862:J2862"/>
    <mergeCell ref="A2863:J2863"/>
    <mergeCell ref="A2944:J2945"/>
    <mergeCell ref="A2947:J2947"/>
    <mergeCell ref="A2948:J2948"/>
    <mergeCell ref="A2966:J2966"/>
    <mergeCell ref="A2998:J2998"/>
    <mergeCell ref="A2999:J2999"/>
    <mergeCell ref="A3016:J3016"/>
    <mergeCell ref="A3022:J3022"/>
    <mergeCell ref="A3023:J3023"/>
    <mergeCell ref="A3040:J3040"/>
    <mergeCell ref="A2888:J2888"/>
    <mergeCell ref="A2397:J2397"/>
    <mergeCell ref="A2405:J2405"/>
    <mergeCell ref="A2406:J2406"/>
    <mergeCell ref="A2427:J2427"/>
    <mergeCell ref="A2434:J2434"/>
    <mergeCell ref="A2435:J2435"/>
    <mergeCell ref="A2205:J2205"/>
    <mergeCell ref="A2061:J2062"/>
    <mergeCell ref="A2064:J2064"/>
    <mergeCell ref="A2065:J2065"/>
    <mergeCell ref="A2088:J2088"/>
    <mergeCell ref="A2095:J2095"/>
    <mergeCell ref="A2096:J2096"/>
    <mergeCell ref="A2120:J2120"/>
    <mergeCell ref="A2128:J2128"/>
    <mergeCell ref="A2129:J2129"/>
    <mergeCell ref="A2229:J2230"/>
    <mergeCell ref="A2232:J2232"/>
    <mergeCell ref="A2233:J2233"/>
    <mergeCell ref="A2256:J2256"/>
    <mergeCell ref="A2376:J2376"/>
    <mergeCell ref="A1865:J1865"/>
    <mergeCell ref="A1781:J1781"/>
    <mergeCell ref="A1789:J1789"/>
    <mergeCell ref="A1790:J1790"/>
    <mergeCell ref="A1814:J1814"/>
    <mergeCell ref="A1822:J1822"/>
    <mergeCell ref="A1823:J1823"/>
    <mergeCell ref="A1847:J1847"/>
    <mergeCell ref="A1855:J1855"/>
    <mergeCell ref="A1856:J1856"/>
    <mergeCell ref="A1684:J1685"/>
    <mergeCell ref="A1687:J1687"/>
    <mergeCell ref="A1688:J1688"/>
    <mergeCell ref="A1712:J1712"/>
    <mergeCell ref="A1722:J1722"/>
    <mergeCell ref="A1723:J1723"/>
    <mergeCell ref="A1748:J1748"/>
    <mergeCell ref="A1756:J1756"/>
    <mergeCell ref="A1757:J1757"/>
    <mergeCell ref="A1317:J1318"/>
    <mergeCell ref="A1320:J1320"/>
    <mergeCell ref="A1321:J1321"/>
    <mergeCell ref="A1345:J1345"/>
    <mergeCell ref="A1355:J1355"/>
    <mergeCell ref="A1356:J1356"/>
    <mergeCell ref="A1381:J1381"/>
    <mergeCell ref="A1392:J1392"/>
    <mergeCell ref="A1393:J1393"/>
    <mergeCell ref="A1418:J1418"/>
    <mergeCell ref="A1428:J1428"/>
    <mergeCell ref="A1429:J1429"/>
    <mergeCell ref="A1453:J1453"/>
    <mergeCell ref="A1462:J1462"/>
    <mergeCell ref="A1463:J1463"/>
    <mergeCell ref="A1486:J1486"/>
    <mergeCell ref="A1099:J1099"/>
    <mergeCell ref="A1107:J1107"/>
    <mergeCell ref="A1108:J1108"/>
    <mergeCell ref="A1131:J1131"/>
    <mergeCell ref="A1308:J1308"/>
    <mergeCell ref="A1242:J1242"/>
    <mergeCell ref="A1251:J1251"/>
    <mergeCell ref="A1252:J1252"/>
    <mergeCell ref="A1276:J1276"/>
    <mergeCell ref="A1284:J1284"/>
    <mergeCell ref="A1285:J1285"/>
    <mergeCell ref="A1141:J1142"/>
    <mergeCell ref="A1144:J1144"/>
    <mergeCell ref="A1145:J1145"/>
    <mergeCell ref="A1169:J1169"/>
    <mergeCell ref="A1183:J1183"/>
    <mergeCell ref="A1184:J1184"/>
    <mergeCell ref="A682:J682"/>
    <mergeCell ref="A693:J693"/>
    <mergeCell ref="A794:J794"/>
    <mergeCell ref="A795:J795"/>
    <mergeCell ref="A725:J725"/>
    <mergeCell ref="A726:J726"/>
    <mergeCell ref="A760:J760"/>
    <mergeCell ref="A694:J694"/>
    <mergeCell ref="A717:J717"/>
    <mergeCell ref="A751:J751"/>
    <mergeCell ref="A397:J398"/>
    <mergeCell ref="A400:J400"/>
    <mergeCell ref="A401:J401"/>
    <mergeCell ref="A424:J424"/>
    <mergeCell ref="A433:J433"/>
    <mergeCell ref="A434:J434"/>
    <mergeCell ref="A457:J457"/>
    <mergeCell ref="A465:J465"/>
    <mergeCell ref="A466:J466"/>
    <mergeCell ref="A304:J304"/>
    <mergeCell ref="A313:J313"/>
    <mergeCell ref="A375:J375"/>
    <mergeCell ref="A376:J376"/>
    <mergeCell ref="A388:J388"/>
    <mergeCell ref="A314:J314"/>
    <mergeCell ref="A337:J337"/>
    <mergeCell ref="A345:J345"/>
    <mergeCell ref="A346:J346"/>
    <mergeCell ref="A369:J369"/>
    <mergeCell ref="A118:J118"/>
    <mergeCell ref="A1:J2"/>
    <mergeCell ref="A4:J4"/>
    <mergeCell ref="A5:J5"/>
    <mergeCell ref="A28:J28"/>
    <mergeCell ref="A42:J42"/>
    <mergeCell ref="A43:J43"/>
    <mergeCell ref="A66:J66"/>
    <mergeCell ref="A80:J80"/>
    <mergeCell ref="A81:J81"/>
    <mergeCell ref="A104:J104"/>
    <mergeCell ref="A117:J117"/>
    <mergeCell ref="A134:J135"/>
    <mergeCell ref="A137:J137"/>
    <mergeCell ref="A277:J278"/>
    <mergeCell ref="A280:J280"/>
    <mergeCell ref="A281:J281"/>
    <mergeCell ref="A138:J138"/>
    <mergeCell ref="A161:J161"/>
    <mergeCell ref="A176:J176"/>
    <mergeCell ref="A177:J177"/>
    <mergeCell ref="A200:J200"/>
    <mergeCell ref="A214:J214"/>
    <mergeCell ref="A215:J215"/>
    <mergeCell ref="A238:J238"/>
    <mergeCell ref="A251:J251"/>
    <mergeCell ref="A264:J264"/>
    <mergeCell ref="A252:J252"/>
    <mergeCell ref="A489:J489"/>
    <mergeCell ref="A522:J522"/>
    <mergeCell ref="A530:J530"/>
    <mergeCell ref="A496:J496"/>
    <mergeCell ref="A497:J497"/>
    <mergeCell ref="A509:J509"/>
    <mergeCell ref="A518:J519"/>
    <mergeCell ref="A521:J521"/>
    <mergeCell ref="A573:J573"/>
    <mergeCell ref="A540:J540"/>
    <mergeCell ref="A541:J541"/>
    <mergeCell ref="A564:J564"/>
    <mergeCell ref="A1207:J1207"/>
    <mergeCell ref="A1217:J1217"/>
    <mergeCell ref="A1218:J1218"/>
    <mergeCell ref="A818:J818"/>
    <mergeCell ref="A827:J827"/>
    <mergeCell ref="A828:J828"/>
    <mergeCell ref="A851:J851"/>
    <mergeCell ref="A931:J931"/>
    <mergeCell ref="A955:J955"/>
    <mergeCell ref="A966:J966"/>
    <mergeCell ref="A1039:J1039"/>
    <mergeCell ref="A1040:J1040"/>
    <mergeCell ref="A1063:J1063"/>
    <mergeCell ref="A1074:J1074"/>
    <mergeCell ref="A1075:J1075"/>
    <mergeCell ref="A967:J967"/>
    <mergeCell ref="A996:J996"/>
    <mergeCell ref="A1005:J1005"/>
    <mergeCell ref="A1006:J1006"/>
    <mergeCell ref="A1031:J1031"/>
    <mergeCell ref="A574:J574"/>
    <mergeCell ref="A586:J586"/>
    <mergeCell ref="A759:J759"/>
    <mergeCell ref="A783:J783"/>
    <mergeCell ref="A860:J860"/>
    <mergeCell ref="A861:J861"/>
    <mergeCell ref="A884:J884"/>
    <mergeCell ref="A927:J928"/>
    <mergeCell ref="A930:J930"/>
    <mergeCell ref="A893:J893"/>
    <mergeCell ref="A894:J894"/>
    <mergeCell ref="A917:J917"/>
    <mergeCell ref="A634:J634"/>
    <mergeCell ref="A635:J635"/>
    <mergeCell ref="A613:J613"/>
    <mergeCell ref="A614:J614"/>
    <mergeCell ref="A626:J626"/>
    <mergeCell ref="A593:J593"/>
    <mergeCell ref="A594:J594"/>
    <mergeCell ref="A606:J606"/>
    <mergeCell ref="A647:J647"/>
    <mergeCell ref="A655:J656"/>
    <mergeCell ref="A658:J658"/>
    <mergeCell ref="A659:J659"/>
    <mergeCell ref="A1495:J1496"/>
    <mergeCell ref="A1498:J1498"/>
    <mergeCell ref="A1499:J1499"/>
    <mergeCell ref="A1523:J1523"/>
    <mergeCell ref="A1533:J1533"/>
    <mergeCell ref="A1534:J1534"/>
    <mergeCell ref="A1558:J1558"/>
    <mergeCell ref="A1566:J1566"/>
    <mergeCell ref="A1567:J1567"/>
    <mergeCell ref="A1675:J1675"/>
    <mergeCell ref="A1591:J1591"/>
    <mergeCell ref="A1599:J1599"/>
    <mergeCell ref="A1600:J1600"/>
    <mergeCell ref="A1624:J1624"/>
    <mergeCell ref="A1632:J1632"/>
    <mergeCell ref="A1633:J1633"/>
    <mergeCell ref="A1657:J1657"/>
    <mergeCell ref="A1665:J1665"/>
    <mergeCell ref="A1666:J1666"/>
    <mergeCell ref="A1873:J1874"/>
    <mergeCell ref="A1876:J1876"/>
    <mergeCell ref="A1877:J1877"/>
    <mergeCell ref="A1901:J1901"/>
    <mergeCell ref="A1909:J1909"/>
    <mergeCell ref="A1910:J1910"/>
    <mergeCell ref="A1935:J1935"/>
    <mergeCell ref="A1943:J1943"/>
    <mergeCell ref="A1944:J1944"/>
    <mergeCell ref="A2051:J2051"/>
    <mergeCell ref="A1968:J1968"/>
    <mergeCell ref="A1976:J1976"/>
    <mergeCell ref="A1977:J1977"/>
    <mergeCell ref="A2001:J2001"/>
    <mergeCell ref="A2009:J2009"/>
    <mergeCell ref="A2010:J2010"/>
    <mergeCell ref="A2033:J2033"/>
    <mergeCell ref="A2041:J2041"/>
    <mergeCell ref="A2042:J2042"/>
    <mergeCell ref="A2058:J2059"/>
    <mergeCell ref="A2211:J2211"/>
    <mergeCell ref="A2212:J2212"/>
    <mergeCell ref="A2221:J2221"/>
    <mergeCell ref="A2142:J2142"/>
    <mergeCell ref="A2148:J2148"/>
    <mergeCell ref="A2149:J2149"/>
    <mergeCell ref="A2173:J2173"/>
    <mergeCell ref="A2180:J2180"/>
    <mergeCell ref="A2181:J2181"/>
    <mergeCell ref="A2536:J2536"/>
    <mergeCell ref="A2523:J2523"/>
    <mergeCell ref="A2524:J2524"/>
    <mergeCell ref="A2358:J2358"/>
    <mergeCell ref="A2359:J2359"/>
    <mergeCell ref="A2365:J2365"/>
    <mergeCell ref="A2352:J2352"/>
    <mergeCell ref="A2329:J2329"/>
    <mergeCell ref="A2265:J2265"/>
    <mergeCell ref="A2266:J2266"/>
    <mergeCell ref="A2289:J2289"/>
    <mergeCell ref="A2296:J2296"/>
    <mergeCell ref="A2297:J2297"/>
    <mergeCell ref="A2320:J2320"/>
    <mergeCell ref="A2328:J2328"/>
    <mergeCell ref="A2456:J2456"/>
    <mergeCell ref="A2464:J2464"/>
    <mergeCell ref="A2465:J2465"/>
    <mergeCell ref="A2487:J2487"/>
    <mergeCell ref="A2493:J2493"/>
    <mergeCell ref="A2494:J2494"/>
    <mergeCell ref="A2517:J2517"/>
    <mergeCell ref="A2372:J2373"/>
    <mergeCell ref="A2375:J2375"/>
    <mergeCell ref="A2549:J2550"/>
    <mergeCell ref="A2552:J2552"/>
    <mergeCell ref="A2553:J2553"/>
    <mergeCell ref="A2570:J2570"/>
    <mergeCell ref="A2578:J2578"/>
    <mergeCell ref="A2579:J2579"/>
    <mergeCell ref="A2596:J2596"/>
    <mergeCell ref="A2603:J2603"/>
    <mergeCell ref="A2604:J2604"/>
    <mergeCell ref="A2670:J2670"/>
    <mergeCell ref="A2620:J2620"/>
    <mergeCell ref="A2626:J2626"/>
    <mergeCell ref="A2627:J2627"/>
    <mergeCell ref="A2642:J2642"/>
    <mergeCell ref="A2651:J2651"/>
    <mergeCell ref="A2652:J2652"/>
    <mergeCell ref="A2657:J2657"/>
    <mergeCell ref="A2658:J2658"/>
    <mergeCell ref="A2682:J2683"/>
    <mergeCell ref="A2685:J2685"/>
    <mergeCell ref="A2686:J2686"/>
    <mergeCell ref="A2703:J2703"/>
    <mergeCell ref="A2711:J2711"/>
    <mergeCell ref="A2712:J2712"/>
    <mergeCell ref="A2729:J2729"/>
    <mergeCell ref="A2736:J2736"/>
    <mergeCell ref="A2737:J2737"/>
    <mergeCell ref="A2905:J2905"/>
    <mergeCell ref="A2911:J2911"/>
    <mergeCell ref="A2912:J2912"/>
    <mergeCell ref="A2929:J2929"/>
    <mergeCell ref="A2811:J2812"/>
    <mergeCell ref="A2814:J2814"/>
    <mergeCell ref="A2815:J2815"/>
    <mergeCell ref="A2832:J2832"/>
    <mergeCell ref="A2754:J2754"/>
    <mergeCell ref="A2760:J2760"/>
    <mergeCell ref="A2761:J2761"/>
    <mergeCell ref="A2779:J2779"/>
    <mergeCell ref="A2785:J2785"/>
    <mergeCell ref="A2786:J2786"/>
    <mergeCell ref="A2798:J2798"/>
    <mergeCell ref="A2880:J2880"/>
    <mergeCell ref="A2887:J2887"/>
    <mergeCell ref="A3171:J3171"/>
    <mergeCell ref="A3172:J3172"/>
    <mergeCell ref="A3179:J3179"/>
    <mergeCell ref="A3141:J3141"/>
    <mergeCell ref="A3147:J3147"/>
    <mergeCell ref="A3148:J3148"/>
    <mergeCell ref="A3165:J3165"/>
    <mergeCell ref="A3071:J3072"/>
    <mergeCell ref="A3074:J3074"/>
    <mergeCell ref="A3075:J3075"/>
    <mergeCell ref="A3092:J3092"/>
    <mergeCell ref="A3099:J3099"/>
    <mergeCell ref="A3100:J3100"/>
    <mergeCell ref="A3117:J3117"/>
    <mergeCell ref="A3123:J3123"/>
    <mergeCell ref="A3124:J31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3678-16A1-4D5E-A8A5-DE782EFD626B}">
  <sheetPr>
    <tabColor rgb="FF0070C0"/>
  </sheetPr>
  <dimension ref="A2:S1107"/>
  <sheetViews>
    <sheetView tabSelected="1" topLeftCell="A412" workbookViewId="0">
      <selection activeCell="G425" sqref="G425"/>
    </sheetView>
  </sheetViews>
  <sheetFormatPr baseColWidth="10" defaultColWidth="8.88671875" defaultRowHeight="14.4" x14ac:dyDescent="0.3"/>
  <cols>
    <col min="1" max="1" width="38.109375" customWidth="1"/>
    <col min="2" max="2" width="12.6640625" style="2390" customWidth="1"/>
    <col min="3" max="3" width="13.88671875" style="1" customWidth="1"/>
    <col min="4" max="4" width="59.88671875" customWidth="1"/>
    <col min="5" max="5" width="17.6640625" customWidth="1"/>
    <col min="6" max="6" width="7" style="1" customWidth="1"/>
    <col min="7" max="7" width="11.5546875" customWidth="1"/>
    <col min="8" max="8" width="13.5546875" style="2390" customWidth="1"/>
    <col min="9" max="9" width="13.33203125" style="2618" customWidth="1"/>
    <col min="10" max="10" width="11.109375" style="1" customWidth="1"/>
    <col min="11" max="11" width="14.109375" customWidth="1"/>
    <col min="12" max="12" width="15.44140625" style="1" customWidth="1"/>
    <col min="13" max="13" width="10.5546875" customWidth="1"/>
    <col min="14" max="14" width="41.5546875" customWidth="1"/>
    <col min="15" max="15" width="13.44140625" customWidth="1"/>
    <col min="16" max="16" width="9.109375" style="3287"/>
    <col min="17" max="17" width="13.109375" customWidth="1"/>
    <col min="18" max="18" width="9.5546875" customWidth="1"/>
  </cols>
  <sheetData>
    <row r="2" spans="1:17" ht="46.2" hidden="1" x14ac:dyDescent="0.85">
      <c r="A2" s="3623" t="s">
        <v>2971</v>
      </c>
      <c r="B2" s="3623"/>
      <c r="C2" s="3623"/>
      <c r="D2" s="3623"/>
      <c r="E2" s="3623"/>
      <c r="F2" s="3623"/>
      <c r="G2" s="3623"/>
      <c r="H2" s="3585"/>
      <c r="I2" s="3623"/>
      <c r="J2" s="3623"/>
      <c r="K2" s="3623"/>
      <c r="L2" s="3033"/>
    </row>
    <row r="3" spans="1:17" hidden="1" x14ac:dyDescent="0.3"/>
    <row r="4" spans="1:17" ht="21" hidden="1" customHeight="1" x14ac:dyDescent="0.4">
      <c r="A4" s="3641" t="s">
        <v>2972</v>
      </c>
      <c r="B4" s="3641"/>
      <c r="C4" s="3641"/>
      <c r="D4" s="3641"/>
      <c r="E4" s="3641"/>
      <c r="F4" s="3641"/>
      <c r="G4" s="3641"/>
      <c r="H4" s="3555"/>
      <c r="I4" s="3641"/>
      <c r="J4" s="3641"/>
      <c r="K4" s="3641"/>
      <c r="L4" s="3039"/>
      <c r="M4" s="3642" t="s">
        <v>2973</v>
      </c>
      <c r="N4" s="3642"/>
      <c r="O4" s="3642"/>
      <c r="P4" s="3642"/>
      <c r="Q4" s="2"/>
    </row>
    <row r="5" spans="1:17" ht="15" hidden="1" customHeight="1" x14ac:dyDescent="0.3">
      <c r="A5" s="1666" t="s">
        <v>2974</v>
      </c>
      <c r="B5" s="1928" t="s">
        <v>2975</v>
      </c>
      <c r="C5" s="809" t="s">
        <v>2976</v>
      </c>
      <c r="D5" s="1083" t="s">
        <v>2977</v>
      </c>
      <c r="E5" s="805" t="s">
        <v>2978</v>
      </c>
      <c r="F5" s="1666" t="s">
        <v>2979</v>
      </c>
      <c r="G5" s="167" t="s">
        <v>2980</v>
      </c>
      <c r="H5" s="2746" t="s">
        <v>2981</v>
      </c>
      <c r="I5" s="2276" t="s">
        <v>2982</v>
      </c>
      <c r="J5" s="26"/>
      <c r="K5" s="1666" t="s">
        <v>2983</v>
      </c>
      <c r="L5" s="26"/>
      <c r="M5" s="26" t="s">
        <v>2975</v>
      </c>
      <c r="N5" s="26" t="s">
        <v>2977</v>
      </c>
      <c r="O5" s="26" t="s">
        <v>2984</v>
      </c>
      <c r="P5" s="3288" t="s">
        <v>2979</v>
      </c>
      <c r="Q5" s="268" t="s">
        <v>2985</v>
      </c>
    </row>
    <row r="6" spans="1:17" ht="15" hidden="1" customHeight="1" x14ac:dyDescent="0.3">
      <c r="A6" s="3614" t="s">
        <v>2986</v>
      </c>
      <c r="B6" s="2366">
        <v>12546</v>
      </c>
      <c r="C6" s="421">
        <v>0.1</v>
      </c>
      <c r="D6" s="1256" t="s">
        <v>2987</v>
      </c>
      <c r="E6" s="1639">
        <v>1300000</v>
      </c>
      <c r="F6" s="1391">
        <v>0.1</v>
      </c>
      <c r="G6" s="321">
        <f t="shared" ref="G6:G13" si="0">E6*F6</f>
        <v>130000</v>
      </c>
      <c r="H6" s="2423" t="s">
        <v>1482</v>
      </c>
      <c r="I6" s="2619" t="s">
        <v>1770</v>
      </c>
      <c r="J6" s="2167"/>
      <c r="K6" s="2167"/>
      <c r="L6" s="2167"/>
      <c r="M6" s="118"/>
      <c r="N6" s="1779"/>
      <c r="O6" s="1779"/>
      <c r="P6" s="1216"/>
      <c r="Q6" s="51"/>
    </row>
    <row r="7" spans="1:17" ht="15" hidden="1" customHeight="1" x14ac:dyDescent="0.3">
      <c r="A7" s="3614"/>
      <c r="B7" s="2411">
        <v>12474</v>
      </c>
      <c r="C7" s="421">
        <v>0.1</v>
      </c>
      <c r="D7" s="1272" t="s">
        <v>2988</v>
      </c>
      <c r="E7" s="2415">
        <v>1250000</v>
      </c>
      <c r="F7" s="320">
        <v>0.1</v>
      </c>
      <c r="G7" s="321">
        <f t="shared" si="0"/>
        <v>125000</v>
      </c>
      <c r="H7" s="1900" t="s">
        <v>1482</v>
      </c>
      <c r="I7" s="2620" t="s">
        <v>217</v>
      </c>
      <c r="J7" s="118"/>
      <c r="K7" s="118"/>
      <c r="L7" s="118"/>
      <c r="M7" s="118"/>
      <c r="N7" s="1779"/>
      <c r="O7" s="1779"/>
      <c r="P7" s="1216"/>
      <c r="Q7" s="51"/>
    </row>
    <row r="8" spans="1:17" ht="15" hidden="1" customHeight="1" x14ac:dyDescent="0.3">
      <c r="A8" s="3614"/>
      <c r="B8" s="2366">
        <v>12570</v>
      </c>
      <c r="C8" s="421">
        <v>0.1</v>
      </c>
      <c r="D8" s="439" t="s">
        <v>2989</v>
      </c>
      <c r="E8" s="1632">
        <v>1100000</v>
      </c>
      <c r="F8" s="1391">
        <v>0.05</v>
      </c>
      <c r="G8" s="321">
        <f t="shared" si="0"/>
        <v>55000</v>
      </c>
      <c r="H8" s="2423" t="s">
        <v>2990</v>
      </c>
      <c r="I8" s="2619" t="s">
        <v>1770</v>
      </c>
      <c r="J8" s="118"/>
      <c r="K8" s="118"/>
      <c r="L8" s="118"/>
      <c r="M8" s="118"/>
      <c r="N8" s="1779"/>
      <c r="O8" s="1779"/>
      <c r="P8" s="1216"/>
      <c r="Q8" s="51"/>
    </row>
    <row r="9" spans="1:17" ht="15" hidden="1" customHeight="1" x14ac:dyDescent="0.3">
      <c r="A9" s="3614"/>
      <c r="B9" s="2305">
        <v>12589</v>
      </c>
      <c r="C9" s="1232">
        <v>0.1</v>
      </c>
      <c r="D9" s="1256" t="s">
        <v>2991</v>
      </c>
      <c r="E9" s="1632">
        <v>1150000</v>
      </c>
      <c r="F9" s="1391">
        <v>0.05</v>
      </c>
      <c r="G9" s="321">
        <f t="shared" si="0"/>
        <v>57500</v>
      </c>
      <c r="H9" s="1900" t="s">
        <v>2990</v>
      </c>
      <c r="I9" s="2621" t="s">
        <v>217</v>
      </c>
      <c r="J9" s="118"/>
      <c r="K9" s="1779"/>
      <c r="L9" s="118"/>
      <c r="M9" s="118"/>
      <c r="N9" s="1779"/>
      <c r="O9" s="1779"/>
      <c r="P9" s="1216"/>
      <c r="Q9" s="51"/>
    </row>
    <row r="10" spans="1:17" ht="15.75" hidden="1" customHeight="1" x14ac:dyDescent="0.3">
      <c r="A10" s="3614"/>
      <c r="B10" s="2366">
        <v>12595</v>
      </c>
      <c r="C10" s="370">
        <v>0.1</v>
      </c>
      <c r="D10" s="439" t="s">
        <v>2992</v>
      </c>
      <c r="E10" s="1632">
        <v>1250000</v>
      </c>
      <c r="F10" s="1391">
        <v>0.05</v>
      </c>
      <c r="G10" s="321">
        <f t="shared" si="0"/>
        <v>62500</v>
      </c>
      <c r="H10" s="2423" t="s">
        <v>2993</v>
      </c>
      <c r="I10" s="2619" t="s">
        <v>1530</v>
      </c>
      <c r="J10" s="118"/>
      <c r="K10" s="1779"/>
      <c r="L10" s="118"/>
      <c r="M10" s="1934"/>
      <c r="N10" s="716"/>
      <c r="O10" s="1745"/>
      <c r="P10" s="376"/>
      <c r="Q10" s="376"/>
    </row>
    <row r="11" spans="1:17" ht="15.75" hidden="1" customHeight="1" x14ac:dyDescent="0.3">
      <c r="A11" s="3614"/>
      <c r="B11" s="2403">
        <v>12628</v>
      </c>
      <c r="C11" s="370">
        <v>0.1</v>
      </c>
      <c r="D11" s="439" t="s">
        <v>2994</v>
      </c>
      <c r="E11" s="1632">
        <v>1200000</v>
      </c>
      <c r="F11" s="2383">
        <v>0.1</v>
      </c>
      <c r="G11" s="321">
        <f t="shared" si="0"/>
        <v>120000</v>
      </c>
      <c r="H11" s="2423" t="s">
        <v>1482</v>
      </c>
      <c r="I11" s="2619" t="s">
        <v>1770</v>
      </c>
      <c r="J11" s="1300"/>
      <c r="K11" s="1658"/>
      <c r="L11" s="1300"/>
      <c r="M11" s="1934"/>
      <c r="N11" s="716"/>
      <c r="O11" s="1745"/>
      <c r="P11" s="376"/>
      <c r="Q11" s="376"/>
    </row>
    <row r="12" spans="1:17" ht="15.75" hidden="1" customHeight="1" x14ac:dyDescent="0.3">
      <c r="A12" s="3614"/>
      <c r="B12" s="2444">
        <v>12669</v>
      </c>
      <c r="C12" s="122">
        <v>0.1</v>
      </c>
      <c r="D12" s="439" t="s">
        <v>2995</v>
      </c>
      <c r="E12" s="1632">
        <v>1700000</v>
      </c>
      <c r="F12" s="2383">
        <v>0.1</v>
      </c>
      <c r="G12" s="321">
        <f t="shared" si="0"/>
        <v>170000</v>
      </c>
      <c r="H12" s="2423" t="s">
        <v>1482</v>
      </c>
      <c r="I12" s="2619" t="s">
        <v>133</v>
      </c>
      <c r="J12" s="1300"/>
      <c r="K12" s="1658"/>
      <c r="L12" s="1300"/>
      <c r="M12" s="1934"/>
      <c r="N12" s="716"/>
      <c r="O12" s="1745"/>
      <c r="P12" s="376"/>
      <c r="Q12" s="376"/>
    </row>
    <row r="13" spans="1:17" ht="15.75" hidden="1" customHeight="1" x14ac:dyDescent="0.3">
      <c r="A13" s="3614"/>
      <c r="B13" s="2400">
        <v>12663</v>
      </c>
      <c r="C13" s="2441">
        <v>0.1</v>
      </c>
      <c r="D13" s="912" t="s">
        <v>2996</v>
      </c>
      <c r="E13" s="2416">
        <v>1250000</v>
      </c>
      <c r="F13" s="2383">
        <v>0.06</v>
      </c>
      <c r="G13" s="321">
        <f t="shared" si="0"/>
        <v>75000</v>
      </c>
      <c r="H13" s="2423" t="s">
        <v>118</v>
      </c>
      <c r="I13" s="2619" t="s">
        <v>133</v>
      </c>
      <c r="J13" s="792"/>
      <c r="K13" s="1658"/>
      <c r="L13" s="792"/>
      <c r="M13" s="2154"/>
      <c r="N13" s="716"/>
      <c r="O13" s="1745"/>
      <c r="P13" s="376"/>
      <c r="Q13" s="376"/>
    </row>
    <row r="14" spans="1:17" ht="15" hidden="1" customHeight="1" x14ac:dyDescent="0.3">
      <c r="A14" s="3614"/>
      <c r="B14" s="2397" t="s">
        <v>2997</v>
      </c>
      <c r="C14" s="1237"/>
      <c r="D14" s="1169" t="s">
        <v>2998</v>
      </c>
      <c r="E14" s="1632"/>
      <c r="F14" s="320"/>
      <c r="G14" s="321"/>
      <c r="H14" s="1900"/>
      <c r="I14" s="2620" t="s">
        <v>133</v>
      </c>
      <c r="J14" s="3184"/>
      <c r="K14" s="1762" t="s">
        <v>2999</v>
      </c>
      <c r="L14" s="3184"/>
      <c r="M14" s="1484"/>
      <c r="N14" s="1779"/>
      <c r="O14" s="1779"/>
      <c r="P14" s="1216"/>
      <c r="Q14" s="2"/>
    </row>
    <row r="15" spans="1:17" ht="15.75" hidden="1" customHeight="1" x14ac:dyDescent="0.3">
      <c r="A15" s="3614"/>
      <c r="B15" s="2398"/>
      <c r="C15" s="638"/>
      <c r="D15" s="2430" t="s">
        <v>3000</v>
      </c>
      <c r="E15" s="1634">
        <f>SUM(E6:E14)</f>
        <v>10200000</v>
      </c>
      <c r="F15" s="956"/>
      <c r="G15" s="1207">
        <f>SUM(G6:G14)</f>
        <v>795000</v>
      </c>
      <c r="H15" s="2424"/>
      <c r="I15" s="2622"/>
      <c r="J15" s="639"/>
      <c r="K15" s="794"/>
      <c r="L15" s="639"/>
      <c r="M15" s="316"/>
      <c r="N15" s="3617" t="s">
        <v>3001</v>
      </c>
      <c r="O15" s="3617"/>
      <c r="P15" s="3617"/>
      <c r="Q15" s="612"/>
    </row>
    <row r="16" spans="1:17" ht="15" hidden="1" customHeight="1" x14ac:dyDescent="0.3">
      <c r="A16" s="3614"/>
      <c r="B16" s="1915"/>
      <c r="C16" s="1210"/>
      <c r="D16" s="1211" t="s">
        <v>3002</v>
      </c>
      <c r="E16" s="1212"/>
      <c r="F16" s="1210"/>
      <c r="G16" s="2482">
        <f>G15</f>
        <v>795000</v>
      </c>
      <c r="H16" s="1918"/>
      <c r="I16" s="2623"/>
      <c r="J16" s="1210"/>
      <c r="K16" s="843"/>
      <c r="L16" s="1210"/>
      <c r="M16" s="895"/>
      <c r="N16" s="895"/>
      <c r="O16" s="895"/>
      <c r="P16" s="992"/>
      <c r="Q16" s="430"/>
    </row>
    <row r="17" spans="1:17" ht="15" hidden="1" customHeight="1" x14ac:dyDescent="0.3">
      <c r="A17" s="17"/>
      <c r="B17" s="2399"/>
      <c r="C17" s="17"/>
      <c r="D17" s="1085"/>
      <c r="E17" s="19"/>
      <c r="F17" s="17"/>
      <c r="G17" s="20"/>
      <c r="H17" s="1925"/>
      <c r="I17" s="2230"/>
      <c r="J17" s="17"/>
      <c r="K17" s="18"/>
      <c r="L17" s="17"/>
      <c r="Q17" s="1"/>
    </row>
    <row r="18" spans="1:17" ht="17.25" hidden="1" customHeight="1" x14ac:dyDescent="0.3">
      <c r="A18" s="17"/>
      <c r="B18" s="2399"/>
      <c r="C18" s="17"/>
      <c r="D18" s="1085"/>
      <c r="E18" s="19"/>
      <c r="F18" s="17"/>
      <c r="G18" s="20"/>
      <c r="H18" s="1925"/>
      <c r="I18" s="2230"/>
      <c r="J18" s="17"/>
      <c r="K18" s="18"/>
      <c r="L18" s="17"/>
      <c r="Q18" s="1"/>
    </row>
    <row r="19" spans="1:17" ht="19.5" hidden="1" customHeight="1" x14ac:dyDescent="0.4">
      <c r="A19" s="3643" t="s">
        <v>3003</v>
      </c>
      <c r="B19" s="3643"/>
      <c r="C19" s="3643"/>
      <c r="D19" s="3643"/>
      <c r="E19" s="3643"/>
      <c r="F19" s="3643"/>
      <c r="G19" s="3643"/>
      <c r="H19" s="3600"/>
      <c r="I19" s="3643"/>
      <c r="J19" s="3643"/>
      <c r="K19" s="3643"/>
      <c r="L19" s="3040"/>
      <c r="M19" s="3644" t="s">
        <v>2973</v>
      </c>
      <c r="N19" s="3644"/>
      <c r="O19" s="3644"/>
      <c r="P19" s="3644"/>
      <c r="Q19" s="268"/>
    </row>
    <row r="20" spans="1:17" ht="15" hidden="1" customHeight="1" x14ac:dyDescent="0.3">
      <c r="A20" s="1779" t="s">
        <v>2974</v>
      </c>
      <c r="B20" s="2154" t="s">
        <v>2975</v>
      </c>
      <c r="C20" s="1779" t="s">
        <v>3004</v>
      </c>
      <c r="D20" s="2127" t="s">
        <v>2977</v>
      </c>
      <c r="E20" s="832" t="s">
        <v>2978</v>
      </c>
      <c r="F20" s="1779" t="s">
        <v>2979</v>
      </c>
      <c r="G20" s="833" t="s">
        <v>2980</v>
      </c>
      <c r="H20" s="2756" t="s">
        <v>2981</v>
      </c>
      <c r="I20" s="2308" t="s">
        <v>2982</v>
      </c>
      <c r="J20" s="1779"/>
      <c r="K20" s="1779" t="s">
        <v>2983</v>
      </c>
      <c r="L20" s="1779"/>
      <c r="M20" s="1779" t="s">
        <v>2975</v>
      </c>
      <c r="N20" s="1779" t="s">
        <v>2977</v>
      </c>
      <c r="O20" s="1779" t="s">
        <v>2984</v>
      </c>
      <c r="P20" s="1216" t="s">
        <v>2979</v>
      </c>
      <c r="Q20" s="51" t="s">
        <v>2985</v>
      </c>
    </row>
    <row r="21" spans="1:17" ht="15" hidden="1" customHeight="1" x14ac:dyDescent="0.3">
      <c r="A21" s="3625" t="s">
        <v>3005</v>
      </c>
      <c r="B21" s="2400">
        <v>12502</v>
      </c>
      <c r="C21" s="370">
        <v>0.1</v>
      </c>
      <c r="D21" s="439" t="s">
        <v>3006</v>
      </c>
      <c r="E21" s="1975">
        <v>800000</v>
      </c>
      <c r="F21" s="320">
        <v>0.05</v>
      </c>
      <c r="G21" s="321">
        <f>E21*F21</f>
        <v>40000</v>
      </c>
      <c r="H21" s="2427" t="s">
        <v>3007</v>
      </c>
      <c r="I21" s="289" t="s">
        <v>1770</v>
      </c>
      <c r="J21" s="745"/>
      <c r="K21" s="1409"/>
      <c r="L21" s="745"/>
      <c r="M21" s="2305">
        <v>12446</v>
      </c>
      <c r="N21" s="1411" t="s">
        <v>3008</v>
      </c>
      <c r="O21" s="321">
        <v>1200000</v>
      </c>
      <c r="P21" s="1216">
        <v>0.05</v>
      </c>
      <c r="Q21" s="321">
        <f>O21*P21</f>
        <v>60000</v>
      </c>
    </row>
    <row r="22" spans="1:17" ht="15" hidden="1" customHeight="1" x14ac:dyDescent="0.3">
      <c r="A22" s="3626"/>
      <c r="B22" s="2400">
        <v>12533</v>
      </c>
      <c r="C22" s="370">
        <v>0.1</v>
      </c>
      <c r="D22" s="1256" t="s">
        <v>3009</v>
      </c>
      <c r="E22" s="1975">
        <v>1200000</v>
      </c>
      <c r="F22" s="320">
        <v>0.1</v>
      </c>
      <c r="G22" s="321">
        <f>E22*F22</f>
        <v>120000</v>
      </c>
      <c r="H22" s="2427" t="s">
        <v>3010</v>
      </c>
      <c r="I22" s="2620" t="s">
        <v>1770</v>
      </c>
      <c r="J22" s="745"/>
      <c r="K22" s="1409"/>
      <c r="L22" s="745"/>
      <c r="M22" s="2404">
        <v>12510</v>
      </c>
      <c r="N22" s="1256" t="s">
        <v>3011</v>
      </c>
      <c r="O22" s="321">
        <v>1100000</v>
      </c>
      <c r="P22" s="1720">
        <v>0.05</v>
      </c>
      <c r="Q22" s="321">
        <f>O22*P22</f>
        <v>55000</v>
      </c>
    </row>
    <row r="23" spans="1:17" ht="15" hidden="1" customHeight="1" x14ac:dyDescent="0.3">
      <c r="A23" s="3626"/>
      <c r="B23" s="2395">
        <v>12573</v>
      </c>
      <c r="C23" s="553">
        <v>0.08</v>
      </c>
      <c r="D23" s="1256" t="s">
        <v>3012</v>
      </c>
      <c r="E23" s="1975">
        <v>1850000</v>
      </c>
      <c r="F23" s="2465">
        <v>0.04</v>
      </c>
      <c r="G23" s="321">
        <f>E23*F23</f>
        <v>74000</v>
      </c>
      <c r="H23" s="2427" t="s">
        <v>2990</v>
      </c>
      <c r="I23" s="2624" t="s">
        <v>1770</v>
      </c>
      <c r="J23" s="745"/>
      <c r="K23" s="1409"/>
      <c r="L23" s="745"/>
      <c r="M23" s="2451">
        <v>12657</v>
      </c>
      <c r="N23" s="439" t="s">
        <v>3013</v>
      </c>
      <c r="O23" s="321">
        <v>770000</v>
      </c>
      <c r="P23" s="2467">
        <v>0.04</v>
      </c>
      <c r="Q23" s="321">
        <f>O23*P23</f>
        <v>30800</v>
      </c>
    </row>
    <row r="24" spans="1:17" ht="15" hidden="1" customHeight="1" x14ac:dyDescent="0.3">
      <c r="A24" s="3626"/>
      <c r="B24" s="2396">
        <v>12582</v>
      </c>
      <c r="C24" s="370">
        <v>0.1</v>
      </c>
      <c r="D24" s="1514" t="s">
        <v>3014</v>
      </c>
      <c r="E24" s="1975">
        <v>1250000</v>
      </c>
      <c r="F24" s="985">
        <v>0.05</v>
      </c>
      <c r="G24" s="321">
        <f>E24*F24</f>
        <v>62500</v>
      </c>
      <c r="H24" s="2427" t="s">
        <v>2990</v>
      </c>
      <c r="I24" s="2281" t="s">
        <v>217</v>
      </c>
      <c r="J24" s="745"/>
      <c r="K24" s="1409"/>
      <c r="L24" s="745"/>
      <c r="M24" s="2224">
        <v>12495</v>
      </c>
      <c r="N24" s="1170" t="s">
        <v>3015</v>
      </c>
      <c r="O24" s="321">
        <v>1100000</v>
      </c>
      <c r="P24" s="1720">
        <v>0.05</v>
      </c>
      <c r="Q24" s="321">
        <f>O24*P24</f>
        <v>55000</v>
      </c>
    </row>
    <row r="25" spans="1:17" ht="15" hidden="1" customHeight="1" x14ac:dyDescent="0.3">
      <c r="A25" s="3626"/>
      <c r="B25" s="2396">
        <v>12645</v>
      </c>
      <c r="C25" s="370">
        <v>0.1</v>
      </c>
      <c r="D25" s="1514" t="s">
        <v>3016</v>
      </c>
      <c r="E25" s="1975">
        <v>1100000</v>
      </c>
      <c r="F25" s="1316">
        <v>0.1</v>
      </c>
      <c r="G25" s="321">
        <f>E25*F25</f>
        <v>110000</v>
      </c>
      <c r="H25" s="2428" t="s">
        <v>3010</v>
      </c>
      <c r="I25" s="2273" t="s">
        <v>133</v>
      </c>
      <c r="J25" s="745"/>
      <c r="K25" s="1409"/>
      <c r="L25" s="745"/>
      <c r="M25" s="1010">
        <v>12513</v>
      </c>
      <c r="N25" s="1411" t="s">
        <v>3017</v>
      </c>
      <c r="O25" s="321">
        <v>1000000</v>
      </c>
      <c r="P25" s="1720">
        <v>0.05</v>
      </c>
      <c r="Q25" s="321">
        <f>O25*P25</f>
        <v>50000</v>
      </c>
    </row>
    <row r="26" spans="1:17" ht="15" hidden="1" customHeight="1" x14ac:dyDescent="0.3">
      <c r="A26" s="3626"/>
      <c r="B26" s="2412" t="s">
        <v>3018</v>
      </c>
      <c r="C26" s="3218"/>
      <c r="D26" s="2349" t="s">
        <v>3016</v>
      </c>
      <c r="E26" s="2413"/>
      <c r="F26" s="768"/>
      <c r="G26" s="531"/>
      <c r="H26" s="2429"/>
      <c r="I26" s="2463" t="s">
        <v>1455</v>
      </c>
      <c r="J26" s="3185"/>
      <c r="K26" s="1409" t="s">
        <v>3019</v>
      </c>
      <c r="L26" s="3185"/>
      <c r="M26" s="1658"/>
      <c r="N26" s="1484"/>
      <c r="O26" s="1779"/>
      <c r="P26" s="1216"/>
      <c r="Q26" s="51"/>
    </row>
    <row r="27" spans="1:17" ht="15" hidden="1" customHeight="1" x14ac:dyDescent="0.3">
      <c r="A27" s="3626"/>
      <c r="B27" s="2401" t="s">
        <v>3020</v>
      </c>
      <c r="C27" s="2386"/>
      <c r="D27" s="1246" t="s">
        <v>3021</v>
      </c>
      <c r="E27" s="1627"/>
      <c r="F27" s="1602"/>
      <c r="G27" s="531"/>
      <c r="H27" s="2425"/>
      <c r="I27" s="2565" t="s">
        <v>217</v>
      </c>
      <c r="J27" s="3185"/>
      <c r="K27" s="1409"/>
      <c r="L27" s="3185"/>
      <c r="M27" s="1658"/>
      <c r="N27" s="1484"/>
      <c r="O27" s="1779"/>
      <c r="P27" s="1216"/>
      <c r="Q27" s="51"/>
    </row>
    <row r="28" spans="1:17" ht="15" hidden="1" customHeight="1" x14ac:dyDescent="0.3">
      <c r="A28" s="3626"/>
      <c r="B28" s="2402" t="s">
        <v>3022</v>
      </c>
      <c r="C28" s="896"/>
      <c r="D28" s="1289" t="s">
        <v>3023</v>
      </c>
      <c r="E28" s="1629"/>
      <c r="F28" s="768"/>
      <c r="G28" s="531"/>
      <c r="H28" s="2425"/>
      <c r="I28" s="2565" t="s">
        <v>1530</v>
      </c>
      <c r="J28" s="3186"/>
      <c r="K28" s="1745" t="s">
        <v>3024</v>
      </c>
      <c r="L28" s="3186"/>
      <c r="M28" s="1016"/>
      <c r="N28" s="1263"/>
      <c r="O28" s="986"/>
      <c r="P28" s="614"/>
      <c r="Q28" s="463"/>
    </row>
    <row r="29" spans="1:17" ht="15" hidden="1" customHeight="1" x14ac:dyDescent="0.3">
      <c r="A29" s="3626"/>
      <c r="B29" s="2401"/>
      <c r="C29" s="1725"/>
      <c r="D29" s="1289" t="s">
        <v>3025</v>
      </c>
      <c r="E29" s="1630"/>
      <c r="F29" s="768"/>
      <c r="G29" s="769"/>
      <c r="H29" s="2425"/>
      <c r="I29" s="2463" t="s">
        <v>1770</v>
      </c>
      <c r="J29" s="745"/>
      <c r="K29" s="1409"/>
      <c r="L29" s="745"/>
      <c r="M29" s="298"/>
      <c r="N29" s="298"/>
      <c r="O29" s="298"/>
      <c r="P29" s="320"/>
      <c r="Q29" s="315"/>
    </row>
    <row r="30" spans="1:17" ht="15" hidden="1" customHeight="1" x14ac:dyDescent="0.3">
      <c r="A30" s="3626"/>
      <c r="B30" s="1911"/>
      <c r="C30" s="689"/>
      <c r="D30" s="2431" t="s">
        <v>3000</v>
      </c>
      <c r="E30" s="1631">
        <f>SUM(E21:E29)</f>
        <v>6200000</v>
      </c>
      <c r="F30" s="514"/>
      <c r="G30" s="483">
        <f>SUM(G21:G29)</f>
        <v>406500</v>
      </c>
      <c r="H30" s="1947"/>
      <c r="I30" s="2625"/>
      <c r="J30" s="814"/>
      <c r="K30" s="342"/>
      <c r="L30" s="814"/>
      <c r="M30" s="1471"/>
      <c r="Q30" s="390">
        <f>SUM(Q21:Q29)</f>
        <v>250800</v>
      </c>
    </row>
    <row r="31" spans="1:17" ht="15" hidden="1" customHeight="1" x14ac:dyDescent="0.3">
      <c r="A31" s="3626"/>
      <c r="B31" s="1918"/>
      <c r="C31" s="815"/>
      <c r="D31" s="1184" t="s">
        <v>3002</v>
      </c>
      <c r="E31" s="964"/>
      <c r="F31" s="458"/>
      <c r="G31" s="2470"/>
      <c r="H31" s="2426"/>
      <c r="I31" s="2626"/>
      <c r="J31" s="3187"/>
      <c r="K31" s="490"/>
      <c r="L31" s="3187"/>
      <c r="M31" s="461"/>
      <c r="N31" s="3651" t="s">
        <v>3026</v>
      </c>
      <c r="O31" s="3651"/>
      <c r="P31" s="3651"/>
      <c r="Q31" s="2483">
        <f>G30+Q30</f>
        <v>657300</v>
      </c>
    </row>
    <row r="32" spans="1:17" ht="15" hidden="1" customHeight="1" x14ac:dyDescent="0.3">
      <c r="A32" s="816"/>
      <c r="B32" s="1925"/>
      <c r="C32" s="464"/>
      <c r="D32" s="1118"/>
      <c r="E32" s="466"/>
      <c r="F32" s="464"/>
      <c r="G32" s="467"/>
      <c r="H32" s="1922"/>
      <c r="I32" s="2627"/>
      <c r="J32" s="464"/>
      <c r="K32" s="465"/>
      <c r="L32" s="464"/>
      <c r="M32" s="468"/>
      <c r="N32" s="469"/>
      <c r="O32" s="469"/>
      <c r="P32" s="3289"/>
      <c r="Q32" s="831"/>
    </row>
    <row r="33" spans="1:17" ht="15" hidden="1" customHeight="1" x14ac:dyDescent="0.3">
      <c r="A33" s="816"/>
      <c r="B33" s="1925"/>
      <c r="C33" s="825"/>
      <c r="D33" s="1172"/>
      <c r="E33" s="827"/>
      <c r="F33" s="825"/>
      <c r="G33" s="828"/>
      <c r="H33" s="1925"/>
      <c r="I33" s="2628"/>
      <c r="J33" s="825"/>
      <c r="K33" s="826"/>
      <c r="L33" s="825"/>
      <c r="M33" s="829"/>
      <c r="N33" s="830"/>
      <c r="O33" s="830"/>
      <c r="P33" s="3290"/>
      <c r="Q33" s="831"/>
    </row>
    <row r="34" spans="1:17" ht="21" hidden="1" customHeight="1" x14ac:dyDescent="0.4">
      <c r="A34" s="3624" t="s">
        <v>3027</v>
      </c>
      <c r="B34" s="3624"/>
      <c r="C34" s="3624"/>
      <c r="D34" s="3624"/>
      <c r="E34" s="3624"/>
      <c r="F34" s="3624"/>
      <c r="G34" s="3624"/>
      <c r="H34" s="3493"/>
      <c r="I34" s="3624"/>
      <c r="J34" s="3624"/>
      <c r="K34" s="3624"/>
      <c r="L34" s="3032"/>
      <c r="M34" s="3636" t="s">
        <v>2973</v>
      </c>
      <c r="N34" s="3636"/>
      <c r="O34" s="3636"/>
      <c r="P34" s="3636"/>
      <c r="Q34" s="2"/>
    </row>
    <row r="35" spans="1:17" ht="15" hidden="1" customHeight="1" x14ac:dyDescent="0.3">
      <c r="A35" s="23" t="s">
        <v>2974</v>
      </c>
      <c r="B35" s="1929" t="s">
        <v>2975</v>
      </c>
      <c r="C35" s="3" t="s">
        <v>3004</v>
      </c>
      <c r="D35" s="1086" t="s">
        <v>2977</v>
      </c>
      <c r="E35" s="805" t="s">
        <v>2978</v>
      </c>
      <c r="F35" s="1666" t="s">
        <v>2979</v>
      </c>
      <c r="G35" s="167" t="s">
        <v>2980</v>
      </c>
      <c r="H35" s="2746" t="s">
        <v>2981</v>
      </c>
      <c r="I35" s="2276" t="s">
        <v>2982</v>
      </c>
      <c r="J35" s="1666"/>
      <c r="K35" s="1666" t="s">
        <v>2983</v>
      </c>
      <c r="L35" s="1666"/>
      <c r="M35" s="1658" t="s">
        <v>2975</v>
      </c>
      <c r="N35" s="1658" t="s">
        <v>2977</v>
      </c>
      <c r="O35" s="1658" t="s">
        <v>2984</v>
      </c>
      <c r="P35" s="2471" t="s">
        <v>2979</v>
      </c>
      <c r="Q35" s="268" t="s">
        <v>2985</v>
      </c>
    </row>
    <row r="36" spans="1:17" ht="15" hidden="1" customHeight="1" x14ac:dyDescent="0.3">
      <c r="A36" s="3625" t="s">
        <v>2986</v>
      </c>
      <c r="B36" s="2403">
        <v>12480</v>
      </c>
      <c r="C36" s="370">
        <v>0.1</v>
      </c>
      <c r="D36" s="439" t="s">
        <v>3028</v>
      </c>
      <c r="E36" s="1637">
        <v>1100000</v>
      </c>
      <c r="F36" s="985">
        <v>0.1</v>
      </c>
      <c r="G36" s="321">
        <f t="shared" ref="G36:G46" si="1">E36*F36</f>
        <v>110000</v>
      </c>
      <c r="H36" s="1904" t="s">
        <v>2993</v>
      </c>
      <c r="I36" s="2281" t="s">
        <v>1770</v>
      </c>
      <c r="J36" s="1779"/>
      <c r="K36" s="1779"/>
      <c r="L36" s="1779"/>
      <c r="M36" s="2449">
        <v>12595</v>
      </c>
      <c r="N36" s="439" t="s">
        <v>2992</v>
      </c>
      <c r="O36" s="1901">
        <v>1250000</v>
      </c>
      <c r="P36" s="2471">
        <v>0.05</v>
      </c>
      <c r="Q36" s="2473">
        <f>O36*P36</f>
        <v>62500</v>
      </c>
    </row>
    <row r="37" spans="1:17" ht="15" hidden="1" customHeight="1" x14ac:dyDescent="0.3">
      <c r="A37" s="3626"/>
      <c r="B37" s="2305">
        <v>12527</v>
      </c>
      <c r="C37" s="2440">
        <v>0.09</v>
      </c>
      <c r="D37" s="1256" t="s">
        <v>3029</v>
      </c>
      <c r="E37" s="1637">
        <v>600000</v>
      </c>
      <c r="F37" s="2465">
        <v>0.05</v>
      </c>
      <c r="G37" s="321">
        <f t="shared" si="1"/>
        <v>30000</v>
      </c>
      <c r="H37" s="1904" t="s">
        <v>118</v>
      </c>
      <c r="I37" s="2629" t="s">
        <v>133</v>
      </c>
      <c r="J37" s="1779"/>
      <c r="K37" s="1779"/>
      <c r="L37" s="1779"/>
      <c r="M37" s="1010">
        <v>12462</v>
      </c>
      <c r="N37" s="439" t="s">
        <v>3030</v>
      </c>
      <c r="O37" s="1901">
        <v>1200000</v>
      </c>
      <c r="P37" s="2472">
        <v>0.05</v>
      </c>
      <c r="Q37" s="2473">
        <f>O37*P37</f>
        <v>60000</v>
      </c>
    </row>
    <row r="38" spans="1:17" ht="15" hidden="1" customHeight="1" x14ac:dyDescent="0.3">
      <c r="A38" s="3626"/>
      <c r="B38" s="2396">
        <v>12548</v>
      </c>
      <c r="C38" s="370">
        <v>0.1</v>
      </c>
      <c r="D38" s="1514" t="s">
        <v>3031</v>
      </c>
      <c r="E38" s="1637">
        <v>1300000</v>
      </c>
      <c r="F38" s="985">
        <v>0.1</v>
      </c>
      <c r="G38" s="321">
        <f t="shared" si="1"/>
        <v>130000</v>
      </c>
      <c r="H38" s="1904" t="s">
        <v>2993</v>
      </c>
      <c r="I38" s="2629" t="s">
        <v>133</v>
      </c>
      <c r="J38" s="1266"/>
      <c r="K38" s="1779"/>
      <c r="L38" s="1266"/>
      <c r="M38" s="2439">
        <v>12654</v>
      </c>
      <c r="N38" s="1514" t="s">
        <v>3032</v>
      </c>
      <c r="O38" s="1901">
        <v>850000</v>
      </c>
      <c r="P38" s="2472">
        <v>0.05</v>
      </c>
      <c r="Q38" s="2473">
        <f>O38*P38</f>
        <v>42500</v>
      </c>
    </row>
    <row r="39" spans="1:17" ht="15" hidden="1" customHeight="1" x14ac:dyDescent="0.3">
      <c r="A39" s="3626"/>
      <c r="B39" s="2305">
        <v>12433</v>
      </c>
      <c r="C39" s="370">
        <v>0.1</v>
      </c>
      <c r="D39" s="2158" t="s">
        <v>3033</v>
      </c>
      <c r="E39" s="2362">
        <v>1200000</v>
      </c>
      <c r="F39" s="985">
        <v>0.1</v>
      </c>
      <c r="G39" s="321">
        <f t="shared" si="1"/>
        <v>120000</v>
      </c>
      <c r="H39" s="2761" t="s">
        <v>2993</v>
      </c>
      <c r="I39" s="2630" t="s">
        <v>133</v>
      </c>
      <c r="J39" s="406"/>
      <c r="K39" s="1658"/>
      <c r="L39" s="406"/>
      <c r="M39" s="406"/>
      <c r="N39" s="1188"/>
      <c r="O39" s="1627"/>
      <c r="P39" s="985"/>
      <c r="Q39" s="967"/>
    </row>
    <row r="40" spans="1:17" ht="15" hidden="1" customHeight="1" x14ac:dyDescent="0.3">
      <c r="A40" s="3626"/>
      <c r="B40" s="2305">
        <v>12446</v>
      </c>
      <c r="C40" s="370">
        <v>0.1</v>
      </c>
      <c r="D40" s="1411" t="s">
        <v>3008</v>
      </c>
      <c r="E40" s="1628">
        <v>1200000</v>
      </c>
      <c r="F40" s="985">
        <v>0.05</v>
      </c>
      <c r="G40" s="321">
        <f t="shared" si="1"/>
        <v>60000</v>
      </c>
      <c r="H40" s="1904" t="s">
        <v>3010</v>
      </c>
      <c r="I40" s="2281" t="s">
        <v>133</v>
      </c>
      <c r="J40" s="1779"/>
      <c r="K40" s="1779"/>
      <c r="L40" s="1779"/>
      <c r="M40" s="1779"/>
      <c r="N40" s="2050"/>
      <c r="O40" s="1637"/>
      <c r="P40" s="320"/>
      <c r="Q40" s="298"/>
    </row>
    <row r="41" spans="1:17" ht="15" hidden="1" customHeight="1" x14ac:dyDescent="0.3">
      <c r="A41" s="3626"/>
      <c r="B41" s="2366">
        <v>12469</v>
      </c>
      <c r="C41" s="370">
        <v>0.1</v>
      </c>
      <c r="D41" s="67" t="s">
        <v>3034</v>
      </c>
      <c r="E41" s="1628">
        <v>850000</v>
      </c>
      <c r="F41" s="985">
        <v>0.1</v>
      </c>
      <c r="G41" s="321">
        <f t="shared" si="1"/>
        <v>85000</v>
      </c>
      <c r="H41" s="1904" t="s">
        <v>2993</v>
      </c>
      <c r="I41" s="2281" t="s">
        <v>1455</v>
      </c>
      <c r="J41" s="1779"/>
      <c r="K41" s="1779"/>
      <c r="L41" s="1779"/>
      <c r="M41" s="1779"/>
      <c r="N41" s="2050"/>
      <c r="O41" s="1637"/>
      <c r="P41" s="320"/>
      <c r="Q41" s="298"/>
    </row>
    <row r="42" spans="1:17" ht="15" hidden="1" customHeight="1" x14ac:dyDescent="0.3">
      <c r="A42" s="3626"/>
      <c r="B42" s="2404">
        <v>12510</v>
      </c>
      <c r="C42" s="370">
        <v>0.1</v>
      </c>
      <c r="D42" s="1256" t="s">
        <v>3011</v>
      </c>
      <c r="E42" s="1628">
        <v>1100000</v>
      </c>
      <c r="F42" s="985">
        <v>0.05</v>
      </c>
      <c r="G42" s="321">
        <f t="shared" si="1"/>
        <v>55000</v>
      </c>
      <c r="H42" s="1904" t="s">
        <v>3010</v>
      </c>
      <c r="I42" s="2281" t="s">
        <v>1455</v>
      </c>
      <c r="J42" s="1779"/>
      <c r="K42" s="1779"/>
      <c r="L42" s="1779"/>
      <c r="M42" s="1779"/>
      <c r="N42" s="2050"/>
      <c r="O42" s="1637"/>
      <c r="P42" s="320"/>
      <c r="Q42" s="298"/>
    </row>
    <row r="43" spans="1:17" ht="15" hidden="1" customHeight="1" x14ac:dyDescent="0.3">
      <c r="A43" s="3626"/>
      <c r="B43" s="2395">
        <v>12577</v>
      </c>
      <c r="C43" s="370">
        <v>0.1</v>
      </c>
      <c r="D43" s="439" t="s">
        <v>3035</v>
      </c>
      <c r="E43" s="1638">
        <v>1100000</v>
      </c>
      <c r="F43" s="985">
        <v>0.1</v>
      </c>
      <c r="G43" s="321">
        <f t="shared" si="1"/>
        <v>110000</v>
      </c>
      <c r="H43" s="2756" t="s">
        <v>2993</v>
      </c>
      <c r="I43" s="2308" t="s">
        <v>1455</v>
      </c>
      <c r="J43" s="1779"/>
      <c r="K43" s="1779"/>
      <c r="L43" s="1779"/>
      <c r="M43" s="1779"/>
      <c r="N43" s="2050"/>
      <c r="O43" s="1637"/>
      <c r="P43" s="320"/>
      <c r="Q43" s="298"/>
    </row>
    <row r="44" spans="1:17" ht="15" hidden="1" customHeight="1" x14ac:dyDescent="0.3">
      <c r="A44" s="3626"/>
      <c r="B44" s="2400">
        <v>12626</v>
      </c>
      <c r="C44" s="370">
        <v>0.1</v>
      </c>
      <c r="D44" s="439" t="s">
        <v>3036</v>
      </c>
      <c r="E44" s="1638">
        <v>950000</v>
      </c>
      <c r="F44" s="985">
        <v>0.1</v>
      </c>
      <c r="G44" s="321">
        <f t="shared" si="1"/>
        <v>95000</v>
      </c>
      <c r="H44" s="2756" t="s">
        <v>2993</v>
      </c>
      <c r="I44" s="2308" t="s">
        <v>1770</v>
      </c>
      <c r="J44" s="1779"/>
      <c r="K44" s="1779"/>
      <c r="L44" s="1779"/>
      <c r="M44" s="1779"/>
      <c r="N44" s="2129"/>
      <c r="O44" s="2046"/>
      <c r="P44" s="528"/>
      <c r="Q44" s="352"/>
    </row>
    <row r="45" spans="1:17" ht="15" hidden="1" customHeight="1" x14ac:dyDescent="0.3">
      <c r="A45" s="3626"/>
      <c r="B45" s="2414">
        <v>12657</v>
      </c>
      <c r="C45" s="553">
        <v>0.08</v>
      </c>
      <c r="D45" s="439" t="s">
        <v>3013</v>
      </c>
      <c r="E45" s="1638">
        <v>770000</v>
      </c>
      <c r="F45" s="2465">
        <v>0.04</v>
      </c>
      <c r="G45" s="321">
        <f t="shared" si="1"/>
        <v>30800</v>
      </c>
      <c r="H45" s="2756" t="s">
        <v>3010</v>
      </c>
      <c r="I45" s="2308" t="s">
        <v>1770</v>
      </c>
      <c r="J45" s="1779"/>
      <c r="K45" s="1779"/>
      <c r="L45" s="1779"/>
      <c r="M45" s="1779"/>
      <c r="N45" s="1680"/>
      <c r="O45" s="2046"/>
      <c r="P45" s="528"/>
      <c r="Q45" s="352"/>
    </row>
    <row r="46" spans="1:17" ht="15" hidden="1" customHeight="1" x14ac:dyDescent="0.3">
      <c r="A46" s="3626"/>
      <c r="B46" s="2395">
        <v>12665</v>
      </c>
      <c r="C46" s="423">
        <v>0.1</v>
      </c>
      <c r="D46" s="1256" t="s">
        <v>3037</v>
      </c>
      <c r="E46" s="1638">
        <v>1100000</v>
      </c>
      <c r="F46" s="985">
        <v>0.06</v>
      </c>
      <c r="G46" s="321">
        <f t="shared" si="1"/>
        <v>66000</v>
      </c>
      <c r="H46" s="2756" t="s">
        <v>118</v>
      </c>
      <c r="I46" s="2308" t="s">
        <v>1770</v>
      </c>
      <c r="J46" s="1779"/>
      <c r="K46" s="1779"/>
      <c r="L46" s="1779"/>
      <c r="M46" s="1779"/>
      <c r="N46" s="1680"/>
      <c r="O46" s="2046"/>
      <c r="P46" s="528"/>
      <c r="Q46" s="352"/>
    </row>
    <row r="47" spans="1:17" ht="15.75" hidden="1" customHeight="1" x14ac:dyDescent="0.3">
      <c r="A47" s="3626"/>
      <c r="B47" s="2405" t="s">
        <v>3022</v>
      </c>
      <c r="C47" s="2384"/>
      <c r="D47" s="1289" t="s">
        <v>3038</v>
      </c>
      <c r="E47" s="1628"/>
      <c r="F47" s="1746"/>
      <c r="G47" s="376"/>
      <c r="H47" s="1904"/>
      <c r="I47" s="2281" t="s">
        <v>133</v>
      </c>
      <c r="J47" s="1779"/>
      <c r="K47" s="1779" t="s">
        <v>3039</v>
      </c>
      <c r="L47" s="1779"/>
      <c r="M47" s="1779"/>
      <c r="N47" s="406"/>
      <c r="O47" s="406"/>
      <c r="P47" s="2471"/>
      <c r="Q47" s="1071"/>
    </row>
    <row r="48" spans="1:17" ht="15.75" hidden="1" customHeight="1" x14ac:dyDescent="0.3">
      <c r="A48" s="3626"/>
      <c r="B48" s="2406" t="s">
        <v>3022</v>
      </c>
      <c r="C48" s="2385"/>
      <c r="D48" s="1289" t="s">
        <v>3040</v>
      </c>
      <c r="E48" s="1628"/>
      <c r="F48" s="1746"/>
      <c r="G48" s="376"/>
      <c r="H48" s="1904"/>
      <c r="I48" s="2281" t="s">
        <v>1770</v>
      </c>
      <c r="J48" s="1779"/>
      <c r="K48" s="1779" t="s">
        <v>3041</v>
      </c>
      <c r="L48" s="1779"/>
      <c r="M48" s="1779"/>
      <c r="N48" s="406"/>
      <c r="O48" s="406"/>
      <c r="P48" s="2471"/>
      <c r="Q48" s="1071"/>
    </row>
    <row r="49" spans="1:17" ht="15" hidden="1" customHeight="1" x14ac:dyDescent="0.3">
      <c r="A49" s="3626"/>
      <c r="B49" s="1911"/>
      <c r="C49" s="2361"/>
      <c r="D49" s="2432" t="s">
        <v>3000</v>
      </c>
      <c r="E49" s="1631">
        <f>SUM(E36:E48)</f>
        <v>11270000</v>
      </c>
      <c r="F49" s="514"/>
      <c r="G49" s="483">
        <f>SUM(G36:G48)</f>
        <v>891800</v>
      </c>
      <c r="H49" s="1911"/>
      <c r="I49" s="2625"/>
      <c r="J49" s="514"/>
      <c r="K49" s="342"/>
      <c r="L49" s="514"/>
      <c r="M49" s="287"/>
      <c r="Q49" s="848">
        <f>SUM(Q36:Q48)</f>
        <v>165000</v>
      </c>
    </row>
    <row r="50" spans="1:17" ht="15.75" hidden="1" customHeight="1" x14ac:dyDescent="0.3">
      <c r="A50" s="3626"/>
      <c r="B50" s="1918"/>
      <c r="C50" s="840"/>
      <c r="D50" s="2363" t="s">
        <v>3002</v>
      </c>
      <c r="E50" s="1499"/>
      <c r="F50" s="1210"/>
      <c r="G50" s="2364"/>
      <c r="H50" s="1915"/>
      <c r="I50" s="2631"/>
      <c r="J50" s="1210"/>
      <c r="K50" s="2365"/>
      <c r="L50" s="1210"/>
      <c r="M50" s="895"/>
      <c r="N50" s="3594" t="s">
        <v>3026</v>
      </c>
      <c r="O50" s="3594"/>
      <c r="P50" s="3594"/>
      <c r="Q50" s="1007">
        <f>G49+Q49</f>
        <v>1056800</v>
      </c>
    </row>
    <row r="51" spans="1:17" ht="15.6" hidden="1" x14ac:dyDescent="0.3">
      <c r="A51" s="816"/>
      <c r="B51" s="1922"/>
      <c r="C51" s="464"/>
      <c r="D51" s="1118"/>
      <c r="E51" s="466"/>
      <c r="F51" s="464"/>
      <c r="G51" s="467"/>
      <c r="H51" s="1922"/>
      <c r="I51" s="2627"/>
      <c r="J51" s="464"/>
      <c r="K51" s="465"/>
      <c r="L51" s="464"/>
      <c r="M51" s="468"/>
      <c r="N51" s="469"/>
      <c r="O51" s="469"/>
      <c r="P51" s="3289"/>
      <c r="Q51" s="463"/>
    </row>
    <row r="52" spans="1:17" ht="15.6" hidden="1" x14ac:dyDescent="0.3">
      <c r="A52" s="816"/>
      <c r="B52" s="1925"/>
      <c r="C52" s="825"/>
      <c r="D52" s="1172"/>
      <c r="E52" s="827"/>
      <c r="F52" s="825"/>
      <c r="G52" s="828"/>
      <c r="H52" s="1925"/>
      <c r="I52" s="2628"/>
      <c r="J52" s="825"/>
      <c r="K52" s="826"/>
      <c r="L52" s="825"/>
      <c r="M52" s="829"/>
      <c r="N52" s="830"/>
      <c r="O52" s="830"/>
      <c r="P52" s="3290"/>
      <c r="Q52" s="831"/>
    </row>
    <row r="53" spans="1:17" ht="21" hidden="1" x14ac:dyDescent="0.4">
      <c r="A53" s="3619" t="s">
        <v>3042</v>
      </c>
      <c r="B53" s="3619"/>
      <c r="C53" s="3619"/>
      <c r="D53" s="3619"/>
      <c r="E53" s="3619"/>
      <c r="F53" s="3619"/>
      <c r="G53" s="3619"/>
      <c r="H53" s="3574"/>
      <c r="I53" s="3619"/>
      <c r="J53" s="3619"/>
      <c r="K53" s="3619"/>
      <c r="L53" s="3031"/>
      <c r="M53" s="287"/>
      <c r="N53" s="845"/>
      <c r="O53" s="845"/>
      <c r="P53" s="3291"/>
      <c r="Q53" s="294"/>
    </row>
    <row r="54" spans="1:17" hidden="1" x14ac:dyDescent="0.3">
      <c r="A54" s="1666" t="s">
        <v>2974</v>
      </c>
      <c r="B54" s="1928" t="s">
        <v>2975</v>
      </c>
      <c r="C54" s="3" t="s">
        <v>3004</v>
      </c>
      <c r="D54" s="1086" t="s">
        <v>2977</v>
      </c>
      <c r="E54" s="4" t="s">
        <v>2978</v>
      </c>
      <c r="F54" s="3" t="s">
        <v>2979</v>
      </c>
      <c r="G54" s="5" t="s">
        <v>2980</v>
      </c>
      <c r="H54" s="2843" t="s">
        <v>2981</v>
      </c>
      <c r="I54" s="2229" t="s">
        <v>2982</v>
      </c>
      <c r="J54" s="23"/>
      <c r="K54" s="23" t="s">
        <v>2983</v>
      </c>
      <c r="L54" s="23"/>
      <c r="M54" s="1779" t="s">
        <v>2975</v>
      </c>
      <c r="N54" s="1779" t="s">
        <v>2977</v>
      </c>
      <c r="O54" s="1779" t="s">
        <v>2984</v>
      </c>
      <c r="P54" s="1216" t="s">
        <v>2979</v>
      </c>
      <c r="Q54" s="2" t="s">
        <v>2985</v>
      </c>
    </row>
    <row r="55" spans="1:17" ht="15" hidden="1" customHeight="1" x14ac:dyDescent="0.3">
      <c r="A55" s="3648" t="s">
        <v>2986</v>
      </c>
      <c r="B55" s="2407">
        <v>12439</v>
      </c>
      <c r="C55" s="370">
        <v>0.1</v>
      </c>
      <c r="D55" s="439" t="s">
        <v>3043</v>
      </c>
      <c r="E55" s="1901">
        <v>1350000</v>
      </c>
      <c r="F55" s="1902">
        <v>0.1</v>
      </c>
      <c r="G55" s="1946">
        <f t="shared" ref="G55:G62" si="2">E55*F55</f>
        <v>135000</v>
      </c>
      <c r="H55" s="1904" t="s">
        <v>3044</v>
      </c>
      <c r="I55" s="2632" t="s">
        <v>1770</v>
      </c>
      <c r="J55" s="118"/>
      <c r="K55" s="118"/>
      <c r="L55" s="118"/>
      <c r="M55" s="2449">
        <v>12570</v>
      </c>
      <c r="N55" s="439" t="s">
        <v>2989</v>
      </c>
      <c r="O55" s="1901">
        <v>1100000</v>
      </c>
      <c r="P55" s="1216">
        <v>0.05</v>
      </c>
      <c r="Q55" s="2474">
        <f>O55*P55</f>
        <v>55000</v>
      </c>
    </row>
    <row r="56" spans="1:17" ht="15" hidden="1" customHeight="1" x14ac:dyDescent="0.3">
      <c r="A56" s="3648"/>
      <c r="B56" s="2403">
        <v>12462</v>
      </c>
      <c r="C56" s="370">
        <v>0.1</v>
      </c>
      <c r="D56" s="439" t="s">
        <v>3030</v>
      </c>
      <c r="E56" s="1901">
        <v>1200000</v>
      </c>
      <c r="F56" s="1902">
        <v>0.05</v>
      </c>
      <c r="G56" s="1946">
        <f t="shared" si="2"/>
        <v>60000</v>
      </c>
      <c r="H56" s="1904" t="s">
        <v>2993</v>
      </c>
      <c r="I56" s="2632" t="s">
        <v>1770</v>
      </c>
      <c r="J56" s="118"/>
      <c r="K56" s="118"/>
      <c r="L56" s="118"/>
      <c r="M56" s="2305">
        <v>12589</v>
      </c>
      <c r="N56" s="1256" t="s">
        <v>2991</v>
      </c>
      <c r="O56" s="1901">
        <v>1150000</v>
      </c>
      <c r="P56" s="1720">
        <v>0.05</v>
      </c>
      <c r="Q56" s="2474">
        <f>O56*P56</f>
        <v>57500</v>
      </c>
    </row>
    <row r="57" spans="1:17" ht="15" hidden="1" customHeight="1" x14ac:dyDescent="0.3">
      <c r="A57" s="3648"/>
      <c r="B57" s="2400">
        <v>12519</v>
      </c>
      <c r="C57" s="370">
        <v>0.1</v>
      </c>
      <c r="D57" s="1256" t="s">
        <v>3045</v>
      </c>
      <c r="E57" s="1901">
        <v>1050000</v>
      </c>
      <c r="F57" s="1902">
        <v>0.1</v>
      </c>
      <c r="G57" s="1946">
        <f t="shared" si="2"/>
        <v>105000</v>
      </c>
      <c r="H57" s="1904" t="s">
        <v>3044</v>
      </c>
      <c r="I57" s="2632" t="s">
        <v>1770</v>
      </c>
      <c r="J57" s="118"/>
      <c r="K57" s="118"/>
      <c r="L57" s="118"/>
      <c r="M57" s="2449">
        <v>12573</v>
      </c>
      <c r="N57" s="1256" t="s">
        <v>3012</v>
      </c>
      <c r="O57" s="1901">
        <v>1850000</v>
      </c>
      <c r="P57" s="2468">
        <v>0.04</v>
      </c>
      <c r="Q57" s="2474">
        <f>O57*P57</f>
        <v>74000</v>
      </c>
    </row>
    <row r="58" spans="1:17" ht="15" hidden="1" customHeight="1" x14ac:dyDescent="0.3">
      <c r="A58" s="3648"/>
      <c r="B58" s="2395">
        <v>12549</v>
      </c>
      <c r="C58" s="370">
        <v>0.1</v>
      </c>
      <c r="D58" s="1256" t="s">
        <v>3046</v>
      </c>
      <c r="E58" s="1898">
        <v>900000</v>
      </c>
      <c r="F58" s="1899">
        <v>0.05</v>
      </c>
      <c r="G58" s="1946">
        <f t="shared" si="2"/>
        <v>45000</v>
      </c>
      <c r="H58" s="1900" t="s">
        <v>3047</v>
      </c>
      <c r="I58" s="2633" t="s">
        <v>1770</v>
      </c>
      <c r="J58" s="118"/>
      <c r="K58" s="118"/>
      <c r="L58" s="118"/>
      <c r="M58" s="2305">
        <v>12582</v>
      </c>
      <c r="N58" s="1256" t="s">
        <v>3014</v>
      </c>
      <c r="O58" s="1901">
        <v>1250000</v>
      </c>
      <c r="P58" s="1720">
        <v>0.05</v>
      </c>
      <c r="Q58" s="2474">
        <f>O58*P58</f>
        <v>62500</v>
      </c>
    </row>
    <row r="59" spans="1:17" ht="15" hidden="1" customHeight="1" x14ac:dyDescent="0.3">
      <c r="A59" s="3648"/>
      <c r="B59" s="2224">
        <v>12495</v>
      </c>
      <c r="C59" s="370">
        <v>0.1</v>
      </c>
      <c r="D59" s="1170" t="s">
        <v>3015</v>
      </c>
      <c r="E59" s="1898">
        <v>1100000</v>
      </c>
      <c r="F59" s="1899">
        <v>0.05</v>
      </c>
      <c r="G59" s="1946">
        <f t="shared" si="2"/>
        <v>55000</v>
      </c>
      <c r="H59" s="1900" t="s">
        <v>3010</v>
      </c>
      <c r="I59" s="2633" t="s">
        <v>133</v>
      </c>
      <c r="J59" s="118"/>
      <c r="K59" s="118"/>
      <c r="L59" s="118"/>
      <c r="M59" s="2449">
        <v>12517</v>
      </c>
      <c r="N59" s="67" t="s">
        <v>3048</v>
      </c>
      <c r="O59" s="1901">
        <v>1150000</v>
      </c>
      <c r="P59" s="2469">
        <v>0.04</v>
      </c>
      <c r="Q59" s="2474">
        <f>O59*P59</f>
        <v>46000</v>
      </c>
    </row>
    <row r="60" spans="1:17" ht="15" hidden="1" customHeight="1" x14ac:dyDescent="0.3">
      <c r="A60" s="3648"/>
      <c r="B60" s="2408">
        <v>12579</v>
      </c>
      <c r="C60" s="370">
        <v>0.1</v>
      </c>
      <c r="D60" s="67" t="s">
        <v>3049</v>
      </c>
      <c r="E60" s="1901">
        <v>1500000</v>
      </c>
      <c r="F60" s="1902">
        <v>0.1</v>
      </c>
      <c r="G60" s="1946">
        <f t="shared" si="2"/>
        <v>150000</v>
      </c>
      <c r="H60" s="1904" t="s">
        <v>2990</v>
      </c>
      <c r="I60" s="2632" t="s">
        <v>1455</v>
      </c>
      <c r="J60" s="118"/>
      <c r="K60" s="118"/>
      <c r="L60" s="118"/>
      <c r="M60" s="1779"/>
      <c r="N60" s="1779"/>
      <c r="O60" s="1779"/>
      <c r="P60" s="1216"/>
      <c r="Q60" s="2"/>
    </row>
    <row r="61" spans="1:17" ht="15" hidden="1" customHeight="1" x14ac:dyDescent="0.3">
      <c r="A61" s="3648"/>
      <c r="B61" s="2395">
        <v>12627</v>
      </c>
      <c r="C61" s="370">
        <v>0.1</v>
      </c>
      <c r="D61" s="1256" t="s">
        <v>3050</v>
      </c>
      <c r="E61" s="1898">
        <v>900000</v>
      </c>
      <c r="F61" s="1899">
        <v>0.06</v>
      </c>
      <c r="G61" s="1946">
        <f t="shared" si="2"/>
        <v>54000</v>
      </c>
      <c r="H61" s="1900" t="s">
        <v>118</v>
      </c>
      <c r="I61" s="2633" t="s">
        <v>1770</v>
      </c>
      <c r="J61" s="118"/>
      <c r="K61" s="118"/>
      <c r="L61" s="118"/>
      <c r="M61" s="1779"/>
      <c r="N61" s="1779"/>
      <c r="O61" s="1779"/>
      <c r="P61" s="1216"/>
      <c r="Q61" s="2"/>
    </row>
    <row r="62" spans="1:17" ht="15" hidden="1" customHeight="1" x14ac:dyDescent="0.3">
      <c r="A62" s="3648"/>
      <c r="B62" s="2439">
        <v>12654</v>
      </c>
      <c r="C62" s="370">
        <v>0.1</v>
      </c>
      <c r="D62" s="1514" t="s">
        <v>3032</v>
      </c>
      <c r="E62" s="1901">
        <v>850000</v>
      </c>
      <c r="F62" s="1902">
        <v>0.05</v>
      </c>
      <c r="G62" s="1946">
        <f t="shared" si="2"/>
        <v>42500</v>
      </c>
      <c r="H62" s="1904" t="s">
        <v>2993</v>
      </c>
      <c r="I62" s="2632" t="s">
        <v>133</v>
      </c>
      <c r="J62" s="1895"/>
      <c r="K62" s="1895"/>
      <c r="L62" s="1895"/>
      <c r="M62" s="1780"/>
      <c r="N62" s="1780"/>
      <c r="O62" s="1780"/>
      <c r="P62" s="376"/>
      <c r="Q62" s="294"/>
    </row>
    <row r="63" spans="1:17" ht="15" hidden="1" customHeight="1" x14ac:dyDescent="0.3">
      <c r="A63" s="3648"/>
      <c r="B63" s="2409"/>
      <c r="C63" s="2141"/>
      <c r="D63" s="1742" t="s">
        <v>3051</v>
      </c>
      <c r="E63" s="1901"/>
      <c r="F63" s="1902"/>
      <c r="G63" s="1903"/>
      <c r="H63" s="1904"/>
      <c r="I63" s="2632" t="s">
        <v>133</v>
      </c>
      <c r="J63" s="1895"/>
      <c r="K63" s="1895"/>
      <c r="L63" s="1895"/>
      <c r="M63" s="1780"/>
      <c r="N63" s="1780"/>
      <c r="O63" s="1780"/>
      <c r="P63" s="376"/>
      <c r="Q63" s="294"/>
    </row>
    <row r="64" spans="1:17" ht="15" hidden="1" customHeight="1" x14ac:dyDescent="0.3">
      <c r="A64" s="3648"/>
      <c r="B64" s="2409" t="s">
        <v>3022</v>
      </c>
      <c r="C64" s="1477"/>
      <c r="D64" s="1289" t="s">
        <v>3052</v>
      </c>
      <c r="E64" s="1901"/>
      <c r="F64" s="1902"/>
      <c r="G64" s="1903"/>
      <c r="H64" s="1904"/>
      <c r="I64" s="2632" t="s">
        <v>1770</v>
      </c>
      <c r="J64" s="1895"/>
      <c r="K64" s="1895"/>
      <c r="L64" s="1895"/>
      <c r="M64" s="1780"/>
      <c r="N64" s="1780"/>
      <c r="O64" s="1780"/>
      <c r="P64" s="376"/>
      <c r="Q64" s="294"/>
    </row>
    <row r="65" spans="1:17" ht="15" hidden="1" customHeight="1" x14ac:dyDescent="0.3">
      <c r="A65" s="3648"/>
      <c r="B65" s="2401"/>
      <c r="C65" s="1725"/>
      <c r="D65" s="1793" t="s">
        <v>3053</v>
      </c>
      <c r="E65" s="1901"/>
      <c r="F65" s="1902"/>
      <c r="G65" s="1903"/>
      <c r="H65" s="1904"/>
      <c r="I65" s="2632" t="s">
        <v>1770</v>
      </c>
      <c r="J65" s="1895"/>
      <c r="K65" s="1895"/>
      <c r="L65" s="1895"/>
      <c r="M65" s="1780"/>
      <c r="N65" s="1780"/>
      <c r="O65" s="1780"/>
      <c r="P65" s="376"/>
      <c r="Q65" s="294"/>
    </row>
    <row r="66" spans="1:17" ht="15" hidden="1" customHeight="1" x14ac:dyDescent="0.3">
      <c r="A66" s="3648"/>
      <c r="B66" s="1907"/>
      <c r="C66" s="1908"/>
      <c r="D66" s="2433" t="s">
        <v>3000</v>
      </c>
      <c r="E66" s="1910">
        <f>SUM(E55:E65)</f>
        <v>8850000</v>
      </c>
      <c r="F66" s="1911"/>
      <c r="G66" s="1912">
        <f>SUM(G55:G65)</f>
        <v>646500</v>
      </c>
      <c r="H66" s="1911"/>
      <c r="I66" s="2634"/>
      <c r="J66" s="2841"/>
      <c r="K66" s="1913"/>
      <c r="L66" s="2841"/>
      <c r="M66" s="895"/>
      <c r="Q66" s="1268">
        <f>SUM(Q55:Q65)</f>
        <v>295000</v>
      </c>
    </row>
    <row r="67" spans="1:17" ht="15" hidden="1" customHeight="1" x14ac:dyDescent="0.3">
      <c r="A67" s="3648"/>
      <c r="B67" s="1914"/>
      <c r="C67" s="1915"/>
      <c r="D67" s="1916" t="s">
        <v>3002</v>
      </c>
      <c r="E67" s="1917"/>
      <c r="F67" s="1918"/>
      <c r="G67" s="1919"/>
      <c r="H67" s="1918"/>
      <c r="I67" s="2635"/>
      <c r="J67" s="1920"/>
      <c r="K67" s="1920"/>
      <c r="L67" s="1920"/>
      <c r="M67" s="287"/>
      <c r="N67" s="3640" t="s">
        <v>3026</v>
      </c>
      <c r="O67" s="3640"/>
      <c r="P67" s="3640"/>
      <c r="Q67" s="1007">
        <f>G66+Q66</f>
        <v>941500</v>
      </c>
    </row>
    <row r="68" spans="1:17" ht="15.6" hidden="1" x14ac:dyDescent="0.3">
      <c r="A68" s="1921"/>
      <c r="B68" s="1922"/>
      <c r="C68" s="1922"/>
      <c r="D68" s="1922"/>
      <c r="E68" s="1923"/>
      <c r="F68" s="1922"/>
      <c r="G68" s="1924"/>
      <c r="H68" s="1922"/>
      <c r="I68" s="2636"/>
      <c r="J68" s="1922"/>
      <c r="K68" s="1922"/>
      <c r="L68" s="1922"/>
      <c r="M68" s="468"/>
      <c r="N68" s="469"/>
      <c r="O68" s="469"/>
      <c r="P68" s="3289"/>
      <c r="Q68" s="463"/>
    </row>
    <row r="69" spans="1:17" ht="15.6" hidden="1" x14ac:dyDescent="0.3">
      <c r="A69" s="1921"/>
      <c r="B69" s="1925"/>
      <c r="C69" s="1925"/>
      <c r="D69" s="1925"/>
      <c r="E69" s="1926"/>
      <c r="F69" s="1925"/>
      <c r="G69" s="1927"/>
      <c r="H69" s="1925"/>
      <c r="I69" s="2637"/>
      <c r="J69" s="1925"/>
      <c r="K69" s="1925"/>
      <c r="L69" s="1925"/>
      <c r="M69" s="829"/>
      <c r="N69" s="830"/>
      <c r="O69" s="830"/>
      <c r="P69" s="3290"/>
      <c r="Q69" s="831"/>
    </row>
    <row r="70" spans="1:17" ht="21" hidden="1" x14ac:dyDescent="0.3">
      <c r="A70" s="3618" t="s">
        <v>3054</v>
      </c>
      <c r="B70" s="3618"/>
      <c r="C70" s="3618"/>
      <c r="D70" s="3618"/>
      <c r="E70" s="3618"/>
      <c r="F70" s="3618"/>
      <c r="G70" s="3618"/>
      <c r="H70" s="3532"/>
      <c r="I70" s="3618"/>
      <c r="J70" s="3618"/>
      <c r="K70" s="3618"/>
      <c r="L70" s="3029"/>
      <c r="M70" s="287"/>
      <c r="N70" s="845"/>
      <c r="O70" s="845"/>
      <c r="P70" s="3291"/>
      <c r="Q70" s="294"/>
    </row>
    <row r="71" spans="1:17" hidden="1" x14ac:dyDescent="0.3">
      <c r="A71" s="1928" t="s">
        <v>2974</v>
      </c>
      <c r="B71" s="1928" t="s">
        <v>2975</v>
      </c>
      <c r="C71" s="1928" t="s">
        <v>3004</v>
      </c>
      <c r="D71" s="1928" t="s">
        <v>2977</v>
      </c>
      <c r="E71" s="2370" t="s">
        <v>2978</v>
      </c>
      <c r="F71" s="1928" t="s">
        <v>2979</v>
      </c>
      <c r="G71" s="2371" t="s">
        <v>2980</v>
      </c>
      <c r="H71" s="2746" t="s">
        <v>2981</v>
      </c>
      <c r="I71" s="2326" t="s">
        <v>2982</v>
      </c>
      <c r="J71" s="2372"/>
      <c r="K71" s="2372" t="s">
        <v>2983</v>
      </c>
      <c r="L71" s="2372"/>
      <c r="M71" s="1658" t="s">
        <v>2975</v>
      </c>
      <c r="N71" s="1658" t="s">
        <v>2977</v>
      </c>
      <c r="O71" s="1658" t="s">
        <v>2984</v>
      </c>
      <c r="P71" s="2471" t="s">
        <v>2979</v>
      </c>
      <c r="Q71" s="268" t="s">
        <v>2985</v>
      </c>
    </row>
    <row r="72" spans="1:17" ht="15" hidden="1" customHeight="1" x14ac:dyDescent="0.3">
      <c r="A72" s="3658" t="s">
        <v>2986</v>
      </c>
      <c r="B72" s="2403">
        <v>12484</v>
      </c>
      <c r="C72" s="370">
        <v>0.1</v>
      </c>
      <c r="D72" s="439" t="s">
        <v>3055</v>
      </c>
      <c r="E72" s="1942">
        <v>850000</v>
      </c>
      <c r="F72" s="1943">
        <v>0.1</v>
      </c>
      <c r="G72" s="2368">
        <f t="shared" ref="G72:G79" si="3">E72*F72</f>
        <v>85000</v>
      </c>
      <c r="H72" s="1905" t="s">
        <v>3047</v>
      </c>
      <c r="I72" s="2638" t="s">
        <v>1770</v>
      </c>
      <c r="J72" s="1934"/>
      <c r="K72" s="1934"/>
      <c r="L72" s="1934"/>
      <c r="M72" s="1010">
        <v>12502</v>
      </c>
      <c r="N72" s="439" t="s">
        <v>3006</v>
      </c>
      <c r="O72" s="1898">
        <v>800000</v>
      </c>
      <c r="P72" s="1720">
        <v>0.05</v>
      </c>
      <c r="Q72" s="2474">
        <f>O72*P72</f>
        <v>40000</v>
      </c>
    </row>
    <row r="73" spans="1:17" ht="15" hidden="1" customHeight="1" x14ac:dyDescent="0.3">
      <c r="A73" s="3658"/>
      <c r="B73" s="2403">
        <v>12513</v>
      </c>
      <c r="C73" s="1232">
        <v>0.1</v>
      </c>
      <c r="D73" s="1411" t="s">
        <v>3017</v>
      </c>
      <c r="E73" s="1942">
        <v>1000000</v>
      </c>
      <c r="F73" s="1943">
        <v>0.05</v>
      </c>
      <c r="G73" s="2368">
        <f t="shared" si="3"/>
        <v>50000</v>
      </c>
      <c r="H73" s="1905" t="s">
        <v>3010</v>
      </c>
      <c r="I73" s="2638" t="s">
        <v>133</v>
      </c>
      <c r="J73" s="1934"/>
      <c r="K73" s="1934"/>
      <c r="L73" s="1934"/>
      <c r="M73" s="2449">
        <v>12549</v>
      </c>
      <c r="N73" s="1256" t="s">
        <v>3046</v>
      </c>
      <c r="O73" s="1898">
        <v>900000</v>
      </c>
      <c r="P73" s="1720">
        <v>0.05</v>
      </c>
      <c r="Q73" s="2474">
        <f>O73*P73</f>
        <v>45000</v>
      </c>
    </row>
    <row r="74" spans="1:17" ht="15" hidden="1" customHeight="1" x14ac:dyDescent="0.3">
      <c r="A74" s="3658"/>
      <c r="B74" s="2366">
        <v>12517</v>
      </c>
      <c r="C74" s="553">
        <v>0.08</v>
      </c>
      <c r="D74" s="67" t="s">
        <v>3048</v>
      </c>
      <c r="E74" s="1942">
        <v>1150000</v>
      </c>
      <c r="F74" s="2466">
        <v>0.04</v>
      </c>
      <c r="G74" s="2368">
        <f t="shared" si="3"/>
        <v>46000</v>
      </c>
      <c r="H74" s="1905" t="s">
        <v>2990</v>
      </c>
      <c r="I74" s="2638" t="s">
        <v>1455</v>
      </c>
      <c r="J74" s="1895"/>
      <c r="K74" s="1895"/>
      <c r="L74" s="1895"/>
      <c r="M74" s="863">
        <v>12514</v>
      </c>
      <c r="N74" s="1233" t="s">
        <v>3056</v>
      </c>
      <c r="O74" s="1898">
        <v>750000</v>
      </c>
      <c r="P74" s="1720">
        <v>0.05</v>
      </c>
      <c r="Q74" s="2474">
        <f>O74*P74</f>
        <v>37500</v>
      </c>
    </row>
    <row r="75" spans="1:17" ht="15" hidden="1" customHeight="1" x14ac:dyDescent="0.3">
      <c r="A75" s="3658"/>
      <c r="B75" s="1041">
        <v>12558</v>
      </c>
      <c r="C75" s="370">
        <v>0.1</v>
      </c>
      <c r="D75" s="1964" t="s">
        <v>3057</v>
      </c>
      <c r="E75" s="1942">
        <v>1000000</v>
      </c>
      <c r="F75" s="1943">
        <v>0.06</v>
      </c>
      <c r="G75" s="2368">
        <f t="shared" si="3"/>
        <v>60000</v>
      </c>
      <c r="H75" s="1905" t="s">
        <v>118</v>
      </c>
      <c r="I75" s="2638" t="s">
        <v>133</v>
      </c>
      <c r="J75" s="1895"/>
      <c r="K75" s="1895"/>
      <c r="L75" s="1895"/>
      <c r="M75" s="1779"/>
      <c r="N75" s="1779"/>
      <c r="O75" s="1779"/>
      <c r="P75" s="1216"/>
      <c r="Q75" s="2"/>
    </row>
    <row r="76" spans="1:17" ht="15" hidden="1" customHeight="1" x14ac:dyDescent="0.3">
      <c r="A76" s="3658"/>
      <c r="B76" s="2366">
        <v>12580</v>
      </c>
      <c r="C76" s="370">
        <v>0.1</v>
      </c>
      <c r="D76" s="1256" t="s">
        <v>3058</v>
      </c>
      <c r="E76" s="1942">
        <v>1000000</v>
      </c>
      <c r="F76" s="1943">
        <v>0.1</v>
      </c>
      <c r="G76" s="2368">
        <f t="shared" si="3"/>
        <v>100000</v>
      </c>
      <c r="H76" s="1905" t="s">
        <v>3047</v>
      </c>
      <c r="I76" s="2632" t="s">
        <v>1455</v>
      </c>
      <c r="J76" s="1895"/>
      <c r="K76" s="1895"/>
      <c r="L76" s="1895"/>
      <c r="M76" s="1779"/>
      <c r="N76" s="1779"/>
      <c r="O76" s="1779"/>
      <c r="P76" s="1216"/>
      <c r="Q76" s="2"/>
    </row>
    <row r="77" spans="1:17" ht="15" hidden="1" customHeight="1" x14ac:dyDescent="0.3">
      <c r="A77" s="3658"/>
      <c r="B77" s="2366">
        <v>12622</v>
      </c>
      <c r="C77" s="370">
        <v>0.1</v>
      </c>
      <c r="D77" s="1256" t="s">
        <v>3059</v>
      </c>
      <c r="E77" s="1942">
        <v>500000</v>
      </c>
      <c r="F77" s="1943">
        <v>0.1</v>
      </c>
      <c r="G77" s="2368">
        <f t="shared" si="3"/>
        <v>50000</v>
      </c>
      <c r="H77" s="1905" t="s">
        <v>3047</v>
      </c>
      <c r="I77" s="2632" t="s">
        <v>1455</v>
      </c>
      <c r="J77" s="1895"/>
      <c r="K77" s="1895"/>
      <c r="L77" s="1895"/>
      <c r="M77" s="1779"/>
      <c r="N77" s="1779"/>
      <c r="O77" s="1779"/>
      <c r="P77" s="1216"/>
      <c r="Q77" s="2"/>
    </row>
    <row r="78" spans="1:17" ht="15" hidden="1" customHeight="1" x14ac:dyDescent="0.3">
      <c r="A78" s="3658"/>
      <c r="B78" s="2444">
        <v>12662</v>
      </c>
      <c r="C78" s="370">
        <v>0.1</v>
      </c>
      <c r="D78" s="1256" t="s">
        <v>3060</v>
      </c>
      <c r="E78" s="1898">
        <v>1100000</v>
      </c>
      <c r="F78" s="1939">
        <v>0.05</v>
      </c>
      <c r="G78" s="2368">
        <f t="shared" si="3"/>
        <v>55000</v>
      </c>
      <c r="H78" s="1900" t="s">
        <v>2313</v>
      </c>
      <c r="I78" s="2633" t="s">
        <v>1455</v>
      </c>
      <c r="J78" s="1895"/>
      <c r="K78" s="1895"/>
      <c r="L78" s="1895"/>
      <c r="M78" s="1779"/>
      <c r="N78" s="1779"/>
      <c r="O78" s="1779"/>
      <c r="P78" s="1216"/>
      <c r="Q78" s="2"/>
    </row>
    <row r="79" spans="1:17" ht="15" hidden="1" customHeight="1" x14ac:dyDescent="0.3">
      <c r="A79" s="3658"/>
      <c r="B79" s="2400">
        <v>12670</v>
      </c>
      <c r="C79" s="370">
        <v>0.1</v>
      </c>
      <c r="D79" s="1256" t="s">
        <v>3061</v>
      </c>
      <c r="E79" s="1898">
        <v>1300000</v>
      </c>
      <c r="F79" s="1939">
        <v>0.1</v>
      </c>
      <c r="G79" s="2368">
        <f t="shared" si="3"/>
        <v>130000</v>
      </c>
      <c r="H79" s="1900" t="s">
        <v>3007</v>
      </c>
      <c r="I79" s="2633" t="s">
        <v>1770</v>
      </c>
      <c r="J79" s="1895"/>
      <c r="K79" s="1895"/>
      <c r="L79" s="1895"/>
      <c r="M79" s="1779"/>
      <c r="N79" s="1779"/>
      <c r="O79" s="1779"/>
      <c r="P79" s="1216"/>
      <c r="Q79" s="2"/>
    </row>
    <row r="80" spans="1:17" ht="15" hidden="1" customHeight="1" x14ac:dyDescent="0.3">
      <c r="A80" s="3658"/>
      <c r="B80" s="2402" t="s">
        <v>3062</v>
      </c>
      <c r="C80" s="896"/>
      <c r="D80" s="98" t="s">
        <v>3063</v>
      </c>
      <c r="E80" s="1942"/>
      <c r="F80" s="1943"/>
      <c r="G80" s="2368"/>
      <c r="H80" s="1905"/>
      <c r="I80" s="2638" t="s">
        <v>1455</v>
      </c>
      <c r="J80" s="1895"/>
      <c r="K80" s="1895" t="s">
        <v>3024</v>
      </c>
      <c r="L80" s="1895"/>
      <c r="M80" s="1780"/>
      <c r="N80" s="1780"/>
      <c r="O80" s="1780"/>
      <c r="P80" s="376"/>
      <c r="Q80" s="294"/>
    </row>
    <row r="81" spans="1:17" ht="15" hidden="1" customHeight="1" x14ac:dyDescent="0.3">
      <c r="A81" s="3658"/>
      <c r="B81" s="1911"/>
      <c r="C81" s="1911"/>
      <c r="D81" s="2434" t="s">
        <v>3000</v>
      </c>
      <c r="E81" s="1910">
        <f>SUM(E72:E80)</f>
        <v>7900000</v>
      </c>
      <c r="F81" s="1911"/>
      <c r="G81" s="1912">
        <f>SUM(G72:G80)</f>
        <v>576000</v>
      </c>
      <c r="H81" s="1911"/>
      <c r="I81" s="2634"/>
      <c r="J81" s="1908"/>
      <c r="K81" s="1911"/>
      <c r="L81" s="1908"/>
      <c r="M81" s="895"/>
      <c r="Q81" s="1268">
        <f>SUM(Q72:Q80)</f>
        <v>122500</v>
      </c>
    </row>
    <row r="82" spans="1:17" ht="15" hidden="1" customHeight="1" x14ac:dyDescent="0.3">
      <c r="A82" s="3658"/>
      <c r="B82" s="1949"/>
      <c r="C82" s="1915"/>
      <c r="D82" s="2373" t="s">
        <v>3002</v>
      </c>
      <c r="E82" s="2374"/>
      <c r="F82" s="1915"/>
      <c r="G82" s="2375"/>
      <c r="H82" s="1915"/>
      <c r="I82" s="2639"/>
      <c r="J82" s="2376"/>
      <c r="K82" s="2376"/>
      <c r="L82" s="2376"/>
      <c r="M82" s="895"/>
      <c r="N82" s="3591" t="s">
        <v>3026</v>
      </c>
      <c r="O82" s="3591"/>
      <c r="P82" s="3591"/>
      <c r="Q82" s="1007">
        <f>Q81+G81</f>
        <v>698500</v>
      </c>
    </row>
    <row r="83" spans="1:17" hidden="1" x14ac:dyDescent="0.3"/>
    <row r="84" spans="1:17" ht="15" hidden="1" customHeight="1" x14ac:dyDescent="0.3">
      <c r="A84" s="3603" t="s">
        <v>3064</v>
      </c>
      <c r="B84" s="3604"/>
      <c r="C84" s="79"/>
      <c r="D84" s="1249">
        <f>E15+E30+E49+E66+E81</f>
        <v>44420000</v>
      </c>
    </row>
    <row r="85" spans="1:17" ht="15" hidden="1" customHeight="1" x14ac:dyDescent="0.3">
      <c r="A85" s="3605" t="s">
        <v>3065</v>
      </c>
      <c r="B85" s="3606"/>
      <c r="C85" s="41"/>
      <c r="D85" s="2438"/>
    </row>
    <row r="86" spans="1:17" ht="15" hidden="1" customHeight="1" x14ac:dyDescent="0.3">
      <c r="A86" s="3607" t="s">
        <v>3066</v>
      </c>
      <c r="B86" s="3608"/>
      <c r="C86" s="1513"/>
      <c r="D86" s="2435"/>
    </row>
    <row r="87" spans="1:17" ht="15" hidden="1" customHeight="1" x14ac:dyDescent="0.3">
      <c r="A87" s="3656" t="s">
        <v>3067</v>
      </c>
      <c r="B87" s="3657"/>
      <c r="C87" s="2437"/>
      <c r="D87" s="2436"/>
    </row>
    <row r="88" spans="1:17" ht="15" hidden="1" customHeight="1" x14ac:dyDescent="0.3">
      <c r="A88" s="3654" t="s">
        <v>3068</v>
      </c>
      <c r="B88" s="3655"/>
      <c r="C88" s="1513"/>
      <c r="D88" s="729"/>
    </row>
    <row r="89" spans="1:17" ht="15" hidden="1" customHeight="1" x14ac:dyDescent="0.3">
      <c r="A89" s="3580" t="s">
        <v>3069</v>
      </c>
      <c r="B89" s="3580"/>
      <c r="C89" s="1513"/>
      <c r="D89" s="729"/>
    </row>
    <row r="90" spans="1:17" ht="16.5" hidden="1" customHeight="1" x14ac:dyDescent="0.3">
      <c r="A90" s="2234"/>
      <c r="B90" s="2410" t="s">
        <v>3070</v>
      </c>
      <c r="C90" s="43"/>
      <c r="D90" s="603">
        <f>SUM(D83:D89)</f>
        <v>44420000</v>
      </c>
    </row>
    <row r="91" spans="1:17" hidden="1" x14ac:dyDescent="0.3">
      <c r="D91" s="603"/>
    </row>
    <row r="92" spans="1:17" hidden="1" x14ac:dyDescent="0.3"/>
    <row r="93" spans="1:17" ht="46.2" hidden="1" x14ac:dyDescent="0.85">
      <c r="A93" s="3623" t="s">
        <v>3071</v>
      </c>
      <c r="B93" s="3623"/>
      <c r="C93" s="3623"/>
      <c r="D93" s="3623"/>
      <c r="E93" s="3623"/>
      <c r="F93" s="3623"/>
      <c r="G93" s="3623"/>
      <c r="H93" s="3585"/>
      <c r="I93" s="3623"/>
      <c r="J93" s="3623"/>
      <c r="K93" s="3623"/>
      <c r="L93" s="3033"/>
    </row>
    <row r="94" spans="1:17" hidden="1" x14ac:dyDescent="0.3"/>
    <row r="95" spans="1:17" ht="21" hidden="1" customHeight="1" x14ac:dyDescent="0.4">
      <c r="A95" s="3652" t="s">
        <v>2972</v>
      </c>
      <c r="B95" s="3652"/>
      <c r="C95" s="3652"/>
      <c r="D95" s="3652"/>
      <c r="E95" s="3652"/>
      <c r="F95" s="3652"/>
      <c r="G95" s="3652"/>
      <c r="H95" s="3653"/>
      <c r="I95" s="3652"/>
      <c r="J95" s="3652"/>
      <c r="K95" s="3652"/>
      <c r="L95" s="3041"/>
      <c r="M95" s="3642" t="s">
        <v>2973</v>
      </c>
      <c r="N95" s="3642"/>
      <c r="O95" s="3642"/>
      <c r="P95" s="3642"/>
      <c r="Q95" s="2"/>
    </row>
    <row r="96" spans="1:17" ht="15" hidden="1" customHeight="1" x14ac:dyDescent="0.3">
      <c r="A96" s="1666" t="s">
        <v>2974</v>
      </c>
      <c r="B96" s="1928" t="s">
        <v>2975</v>
      </c>
      <c r="C96" s="809" t="s">
        <v>2976</v>
      </c>
      <c r="D96" s="1083" t="s">
        <v>2977</v>
      </c>
      <c r="E96" s="805" t="s">
        <v>2978</v>
      </c>
      <c r="F96" s="1666" t="s">
        <v>2979</v>
      </c>
      <c r="G96" s="167" t="s">
        <v>2980</v>
      </c>
      <c r="H96" s="2746" t="s">
        <v>2981</v>
      </c>
      <c r="I96" s="2276" t="s">
        <v>2982</v>
      </c>
      <c r="J96" s="26"/>
      <c r="K96" s="1666" t="s">
        <v>2983</v>
      </c>
      <c r="L96" s="26"/>
      <c r="M96" s="26" t="s">
        <v>2975</v>
      </c>
      <c r="N96" s="26" t="s">
        <v>2977</v>
      </c>
      <c r="O96" s="26" t="s">
        <v>2984</v>
      </c>
      <c r="P96" s="3288" t="s">
        <v>2979</v>
      </c>
      <c r="Q96" s="268" t="s">
        <v>2985</v>
      </c>
    </row>
    <row r="97" spans="1:17" ht="15" hidden="1" customHeight="1" x14ac:dyDescent="0.3">
      <c r="A97" s="3613" t="s">
        <v>2986</v>
      </c>
      <c r="B97" s="2549">
        <v>12700</v>
      </c>
      <c r="C97" s="1232">
        <v>0.1</v>
      </c>
      <c r="D97" s="1256" t="s">
        <v>3072</v>
      </c>
      <c r="E97" s="1632">
        <v>1300000</v>
      </c>
      <c r="F97" s="1391">
        <v>0.05</v>
      </c>
      <c r="G97" s="321">
        <f t="shared" ref="G97:G104" si="4">E97*F97</f>
        <v>65000</v>
      </c>
      <c r="H97" s="1900" t="s">
        <v>3073</v>
      </c>
      <c r="I97" s="2621" t="s">
        <v>1770</v>
      </c>
      <c r="J97" s="1658"/>
      <c r="K97" s="1779"/>
      <c r="L97" s="1658"/>
      <c r="M97" s="2586">
        <v>12730</v>
      </c>
      <c r="N97" s="867" t="s">
        <v>3074</v>
      </c>
      <c r="O97" s="2571">
        <v>1650000</v>
      </c>
      <c r="P97" s="2471">
        <v>0.05</v>
      </c>
      <c r="Q97" s="51">
        <f>O97*P97</f>
        <v>82500</v>
      </c>
    </row>
    <row r="98" spans="1:17" ht="15" hidden="1" customHeight="1" x14ac:dyDescent="0.3">
      <c r="A98" s="3614"/>
      <c r="B98" s="2537">
        <v>12704</v>
      </c>
      <c r="C98" s="1232">
        <v>0.1</v>
      </c>
      <c r="D98" s="912" t="s">
        <v>3075</v>
      </c>
      <c r="E98" s="2387">
        <v>750000</v>
      </c>
      <c r="F98" s="2383">
        <v>0.1</v>
      </c>
      <c r="G98" s="321">
        <f t="shared" si="4"/>
        <v>75000</v>
      </c>
      <c r="H98" s="2423" t="s">
        <v>1482</v>
      </c>
      <c r="I98" s="2619" t="s">
        <v>133</v>
      </c>
      <c r="J98" s="2566"/>
      <c r="K98" s="2566"/>
      <c r="L98" s="2566"/>
      <c r="M98" s="2567">
        <v>12729</v>
      </c>
      <c r="N98" s="1256" t="s">
        <v>3076</v>
      </c>
      <c r="O98" s="1975">
        <v>1100000</v>
      </c>
      <c r="P98" s="1216">
        <v>0.05</v>
      </c>
      <c r="Q98" s="2569">
        <f>O98*P98</f>
        <v>55000</v>
      </c>
    </row>
    <row r="99" spans="1:17" ht="15" hidden="1" customHeight="1" x14ac:dyDescent="0.3">
      <c r="A99" s="3614"/>
      <c r="B99" s="2549">
        <v>12758</v>
      </c>
      <c r="C99" s="1232">
        <v>0.1</v>
      </c>
      <c r="D99" s="1256" t="s">
        <v>3077</v>
      </c>
      <c r="E99" s="1632">
        <v>1550000</v>
      </c>
      <c r="F99" s="1391">
        <v>0.1</v>
      </c>
      <c r="G99" s="321">
        <f t="shared" si="4"/>
        <v>155000</v>
      </c>
      <c r="H99" s="2423" t="s">
        <v>1482</v>
      </c>
      <c r="I99" s="2619" t="s">
        <v>133</v>
      </c>
      <c r="J99" s="118"/>
      <c r="K99" s="118"/>
      <c r="L99" s="118"/>
      <c r="M99" s="2568">
        <v>12717</v>
      </c>
      <c r="N99" s="1256" t="s">
        <v>3078</v>
      </c>
      <c r="O99" s="1638">
        <v>750000</v>
      </c>
      <c r="P99" s="1216">
        <v>0.05</v>
      </c>
      <c r="Q99" s="2569">
        <f>O99*P99</f>
        <v>37500</v>
      </c>
    </row>
    <row r="100" spans="1:17" ht="15" hidden="1" customHeight="1" x14ac:dyDescent="0.3">
      <c r="A100" s="3614"/>
      <c r="B100" s="2549">
        <v>12713</v>
      </c>
      <c r="C100" s="1232">
        <v>0.1</v>
      </c>
      <c r="D100" s="1256" t="s">
        <v>3079</v>
      </c>
      <c r="E100" s="1632">
        <v>1400000</v>
      </c>
      <c r="F100" s="1391">
        <v>0.05</v>
      </c>
      <c r="G100" s="321">
        <f t="shared" si="4"/>
        <v>70000</v>
      </c>
      <c r="H100" s="2423" t="s">
        <v>3010</v>
      </c>
      <c r="I100" s="2619" t="s">
        <v>1770</v>
      </c>
      <c r="J100" s="1394"/>
      <c r="K100" s="1779"/>
      <c r="L100" s="1394"/>
      <c r="M100" s="1394"/>
      <c r="N100" s="1779"/>
      <c r="O100" s="1779"/>
      <c r="P100" s="1216"/>
      <c r="Q100" s="2570"/>
    </row>
    <row r="101" spans="1:17" ht="15" hidden="1" customHeight="1" x14ac:dyDescent="0.3">
      <c r="A101" s="3614"/>
      <c r="B101" s="2549">
        <v>12802</v>
      </c>
      <c r="C101" s="1232">
        <v>0.1</v>
      </c>
      <c r="D101" s="1256" t="s">
        <v>3080</v>
      </c>
      <c r="E101" s="1632">
        <v>1600000</v>
      </c>
      <c r="F101" s="1391">
        <v>0.1</v>
      </c>
      <c r="G101" s="321">
        <f t="shared" si="4"/>
        <v>160000</v>
      </c>
      <c r="H101" s="2423" t="s">
        <v>1482</v>
      </c>
      <c r="I101" s="2619" t="s">
        <v>133</v>
      </c>
      <c r="J101" s="1779"/>
      <c r="K101" s="1779"/>
      <c r="L101" s="1779"/>
      <c r="M101" s="1779"/>
      <c r="N101" s="1665"/>
      <c r="O101" s="1541"/>
      <c r="P101" s="1644"/>
      <c r="Q101" s="1059"/>
    </row>
    <row r="102" spans="1:17" ht="15" hidden="1" customHeight="1" x14ac:dyDescent="0.3">
      <c r="A102" s="3614"/>
      <c r="B102" s="2549">
        <v>12868</v>
      </c>
      <c r="C102" s="1232">
        <v>0.1</v>
      </c>
      <c r="D102" s="1256" t="s">
        <v>3081</v>
      </c>
      <c r="E102" s="1632">
        <v>1400000</v>
      </c>
      <c r="F102" s="1391">
        <v>0.1</v>
      </c>
      <c r="G102" s="321">
        <f t="shared" si="4"/>
        <v>140000</v>
      </c>
      <c r="H102" s="2423" t="s">
        <v>1482</v>
      </c>
      <c r="I102" s="2619" t="s">
        <v>1455</v>
      </c>
      <c r="J102" s="1779"/>
      <c r="K102" s="1779"/>
      <c r="L102" s="1779"/>
      <c r="M102" s="1779"/>
      <c r="N102" s="1779"/>
      <c r="O102" s="1541"/>
      <c r="P102" s="1644"/>
      <c r="Q102" s="1059"/>
    </row>
    <row r="103" spans="1:17" ht="15" hidden="1" customHeight="1" x14ac:dyDescent="0.3">
      <c r="A103" s="3614"/>
      <c r="B103" s="2549">
        <v>12829</v>
      </c>
      <c r="C103" s="1232">
        <v>0.1</v>
      </c>
      <c r="D103" s="1256" t="s">
        <v>3082</v>
      </c>
      <c r="E103" s="1632">
        <v>1200000</v>
      </c>
      <c r="F103" s="1391">
        <v>0.05</v>
      </c>
      <c r="G103" s="321">
        <f t="shared" si="4"/>
        <v>60000</v>
      </c>
      <c r="H103" s="2423" t="s">
        <v>3010</v>
      </c>
      <c r="I103" s="2619" t="s">
        <v>133</v>
      </c>
      <c r="J103" s="1779"/>
      <c r="K103" s="1779"/>
      <c r="L103" s="1779"/>
      <c r="M103" s="1779"/>
      <c r="N103" s="1779"/>
      <c r="O103" s="1541"/>
      <c r="P103" s="1644"/>
      <c r="Q103" s="1059"/>
    </row>
    <row r="104" spans="1:17" ht="15" hidden="1" customHeight="1" x14ac:dyDescent="0.3">
      <c r="A104" s="3614"/>
      <c r="B104" s="2549">
        <v>12840</v>
      </c>
      <c r="C104" s="1232">
        <v>0.1</v>
      </c>
      <c r="D104" s="1256" t="s">
        <v>3083</v>
      </c>
      <c r="E104" s="1632">
        <v>1800000</v>
      </c>
      <c r="F104" s="1391">
        <v>0.1</v>
      </c>
      <c r="G104" s="321">
        <f t="shared" si="4"/>
        <v>180000</v>
      </c>
      <c r="H104" s="2423" t="s">
        <v>1482</v>
      </c>
      <c r="I104" s="2619" t="s">
        <v>1770</v>
      </c>
      <c r="J104" s="1779"/>
      <c r="K104" s="1779"/>
      <c r="L104" s="1779"/>
      <c r="M104" s="1779">
        <v>0</v>
      </c>
      <c r="N104" s="1779"/>
      <c r="O104" s="1541"/>
      <c r="P104" s="1644"/>
      <c r="Q104" s="1059"/>
    </row>
    <row r="105" spans="1:17" ht="15" hidden="1" customHeight="1" x14ac:dyDescent="0.3">
      <c r="A105" s="3614"/>
      <c r="B105" s="2552" t="s">
        <v>3022</v>
      </c>
      <c r="C105" s="1237"/>
      <c r="D105" s="1289" t="s">
        <v>3084</v>
      </c>
      <c r="E105" s="1632"/>
      <c r="F105" s="1391"/>
      <c r="G105" s="321"/>
      <c r="H105" s="2423"/>
      <c r="I105" s="2619"/>
      <c r="J105" s="1779"/>
      <c r="K105" s="1779"/>
      <c r="L105" s="1779"/>
      <c r="M105" s="1779"/>
      <c r="N105" s="1779"/>
      <c r="O105" s="1541"/>
      <c r="P105" s="1644"/>
      <c r="Q105" s="2587">
        <f ca="1">SUM(Q97:Q107)</f>
        <v>175000</v>
      </c>
    </row>
    <row r="106" spans="1:17" ht="15.75" hidden="1" customHeight="1" x14ac:dyDescent="0.3">
      <c r="A106" s="3614"/>
      <c r="B106" s="2553" t="s">
        <v>3022</v>
      </c>
      <c r="C106" s="896"/>
      <c r="D106" s="729" t="s">
        <v>3085</v>
      </c>
      <c r="E106" s="1632"/>
      <c r="F106" s="1391"/>
      <c r="G106" s="321"/>
      <c r="H106" s="2423"/>
      <c r="I106" s="2619"/>
      <c r="J106" s="1779"/>
      <c r="K106" s="1779"/>
      <c r="L106" s="1779"/>
      <c r="M106" s="1940"/>
      <c r="N106" s="716"/>
      <c r="O106" s="1951"/>
      <c r="P106" s="1305"/>
      <c r="Q106" s="614"/>
    </row>
    <row r="107" spans="1:17" ht="15.75" hidden="1" customHeight="1" x14ac:dyDescent="0.3">
      <c r="A107" s="3614"/>
      <c r="B107" s="2554"/>
      <c r="C107" s="2417"/>
      <c r="D107" s="1239"/>
      <c r="E107" s="2416"/>
      <c r="F107" s="2383"/>
      <c r="G107" s="633"/>
      <c r="H107" s="2423"/>
      <c r="I107" s="2619"/>
      <c r="J107" s="406"/>
      <c r="K107" s="1658"/>
      <c r="L107" s="406"/>
      <c r="M107" s="2146"/>
      <c r="N107" s="716"/>
      <c r="O107" s="2367"/>
      <c r="P107" s="3292"/>
      <c r="Q107" s="376"/>
    </row>
    <row r="108" spans="1:17" ht="15.75" hidden="1" customHeight="1" x14ac:dyDescent="0.3">
      <c r="A108" s="3614"/>
      <c r="B108" s="2555"/>
      <c r="C108" s="638"/>
      <c r="D108" s="2103" t="s">
        <v>3000</v>
      </c>
      <c r="E108" s="1634">
        <f>SUM(E97:E107)</f>
        <v>11000000</v>
      </c>
      <c r="F108" s="956"/>
      <c r="G108" s="456">
        <f>SUM(G97:G107)</f>
        <v>905000</v>
      </c>
      <c r="H108" s="2424"/>
      <c r="I108" s="2622"/>
      <c r="J108" s="639"/>
      <c r="K108" s="794"/>
      <c r="L108" s="639"/>
      <c r="M108" s="316"/>
      <c r="N108" s="3599" t="s">
        <v>3001</v>
      </c>
      <c r="O108" s="3599"/>
      <c r="P108" s="3599"/>
      <c r="Q108" s="2483">
        <f ca="1">G108+Q105</f>
        <v>0</v>
      </c>
    </row>
    <row r="109" spans="1:17" ht="15" hidden="1" customHeight="1" x14ac:dyDescent="0.3">
      <c r="A109" s="3615"/>
      <c r="B109" s="1949"/>
      <c r="C109" s="1210"/>
      <c r="D109" s="3630" t="s">
        <v>3002</v>
      </c>
      <c r="E109" s="3631"/>
      <c r="F109" s="3647"/>
      <c r="G109" s="11"/>
      <c r="H109" s="1914"/>
      <c r="I109" s="2623"/>
      <c r="J109" s="1210"/>
      <c r="K109" s="843"/>
      <c r="L109" s="1210"/>
      <c r="M109" s="895"/>
      <c r="N109" s="895"/>
      <c r="O109" s="895"/>
      <c r="P109" s="1375"/>
      <c r="Q109" s="11"/>
    </row>
    <row r="110" spans="1:17" ht="15" hidden="1" customHeight="1" x14ac:dyDescent="0.3">
      <c r="A110" s="17"/>
      <c r="B110" s="2399"/>
      <c r="C110" s="17"/>
      <c r="D110" s="1085"/>
      <c r="E110" s="19"/>
      <c r="F110" s="17"/>
      <c r="G110" s="20"/>
      <c r="H110" s="1925"/>
      <c r="I110" s="2230"/>
      <c r="J110" s="17"/>
      <c r="K110" s="18"/>
      <c r="L110" s="17"/>
      <c r="Q110" s="1"/>
    </row>
    <row r="111" spans="1:17" ht="17.25" hidden="1" customHeight="1" x14ac:dyDescent="0.3">
      <c r="A111" s="17"/>
      <c r="B111" s="2399"/>
      <c r="C111" s="17"/>
      <c r="D111" s="1085"/>
      <c r="E111" s="19"/>
      <c r="F111" s="17"/>
      <c r="G111" s="20"/>
      <c r="H111" s="1925"/>
      <c r="I111" s="2230"/>
      <c r="J111" s="17"/>
      <c r="K111" s="18"/>
      <c r="L111" s="17"/>
      <c r="Q111" s="1"/>
    </row>
    <row r="112" spans="1:17" ht="19.5" hidden="1" customHeight="1" x14ac:dyDescent="0.4">
      <c r="A112" s="3645" t="s">
        <v>3003</v>
      </c>
      <c r="B112" s="3645"/>
      <c r="C112" s="3645"/>
      <c r="D112" s="3645"/>
      <c r="E112" s="3645"/>
      <c r="F112" s="3645"/>
      <c r="G112" s="3645"/>
      <c r="H112" s="3646"/>
      <c r="I112" s="3645"/>
      <c r="J112" s="3645"/>
      <c r="K112" s="3645"/>
      <c r="L112" s="3042"/>
      <c r="M112" s="3644" t="s">
        <v>2973</v>
      </c>
      <c r="N112" s="3644"/>
      <c r="O112" s="3644"/>
      <c r="P112" s="3644"/>
      <c r="Q112" s="268"/>
    </row>
    <row r="113" spans="1:17" ht="15" hidden="1" customHeight="1" x14ac:dyDescent="0.3">
      <c r="A113" s="1658" t="s">
        <v>2974</v>
      </c>
      <c r="B113" s="2421" t="s">
        <v>2975</v>
      </c>
      <c r="C113" s="1658" t="s">
        <v>3004</v>
      </c>
      <c r="D113" s="2422" t="s">
        <v>2977</v>
      </c>
      <c r="E113" s="1613" t="s">
        <v>2978</v>
      </c>
      <c r="F113" s="1658" t="s">
        <v>2979</v>
      </c>
      <c r="G113" s="1614" t="s">
        <v>2980</v>
      </c>
      <c r="H113" s="2761" t="s">
        <v>2981</v>
      </c>
      <c r="I113" s="2630" t="s">
        <v>2982</v>
      </c>
      <c r="J113" s="1658"/>
      <c r="K113" s="1658" t="s">
        <v>2983</v>
      </c>
      <c r="L113" s="1658"/>
      <c r="M113" s="1658" t="s">
        <v>2975</v>
      </c>
      <c r="N113" s="1658" t="s">
        <v>2977</v>
      </c>
      <c r="O113" s="1658" t="s">
        <v>2984</v>
      </c>
      <c r="P113" s="2471" t="s">
        <v>2979</v>
      </c>
      <c r="Q113" s="1071" t="s">
        <v>2985</v>
      </c>
    </row>
    <row r="114" spans="1:17" ht="15" hidden="1" customHeight="1" x14ac:dyDescent="0.3">
      <c r="A114" s="3625" t="s">
        <v>2986</v>
      </c>
      <c r="B114" s="2549">
        <v>12687</v>
      </c>
      <c r="C114" s="1232">
        <v>0.1</v>
      </c>
      <c r="D114" s="67" t="s">
        <v>3086</v>
      </c>
      <c r="E114" s="1975">
        <v>1050000</v>
      </c>
      <c r="F114" s="376">
        <v>0.05</v>
      </c>
      <c r="G114" s="321">
        <f t="shared" ref="G114:G125" si="5">E114*F114</f>
        <v>52500</v>
      </c>
      <c r="H114" s="2427" t="s">
        <v>2993</v>
      </c>
      <c r="I114" s="2640" t="s">
        <v>1770</v>
      </c>
      <c r="J114" s="482"/>
      <c r="K114" s="335"/>
      <c r="L114" s="482"/>
      <c r="M114" s="2549">
        <v>12713</v>
      </c>
      <c r="N114" s="1256" t="s">
        <v>3079</v>
      </c>
      <c r="O114" s="1632">
        <v>1400000</v>
      </c>
      <c r="P114" s="1216">
        <v>0.05</v>
      </c>
      <c r="Q114" s="2518">
        <f>O114*P114</f>
        <v>70000</v>
      </c>
    </row>
    <row r="115" spans="1:17" ht="15" hidden="1" customHeight="1" x14ac:dyDescent="0.3">
      <c r="A115" s="3626"/>
      <c r="B115" s="2549">
        <v>12703</v>
      </c>
      <c r="C115" s="1232">
        <v>0.1</v>
      </c>
      <c r="D115" s="67" t="s">
        <v>3087</v>
      </c>
      <c r="E115" s="1975">
        <v>1200000</v>
      </c>
      <c r="F115" s="376">
        <v>0.05</v>
      </c>
      <c r="G115" s="321">
        <f t="shared" si="5"/>
        <v>60000</v>
      </c>
      <c r="H115" s="2427" t="s">
        <v>2993</v>
      </c>
      <c r="I115" s="2640" t="s">
        <v>1770</v>
      </c>
      <c r="J115" s="482"/>
      <c r="K115" s="335"/>
      <c r="L115" s="482"/>
      <c r="M115" s="2549">
        <v>12829</v>
      </c>
      <c r="N115" s="1256" t="s">
        <v>3082</v>
      </c>
      <c r="O115" s="1632">
        <v>1200000</v>
      </c>
      <c r="P115" s="1216">
        <v>0.05</v>
      </c>
      <c r="Q115" s="2518">
        <f>O115*P115</f>
        <v>60000</v>
      </c>
    </row>
    <row r="116" spans="1:17" ht="15" hidden="1" customHeight="1" x14ac:dyDescent="0.3">
      <c r="A116" s="3626"/>
      <c r="B116" s="2549">
        <v>12727</v>
      </c>
      <c r="C116" s="1232">
        <v>0.1</v>
      </c>
      <c r="D116" s="67" t="s">
        <v>3088</v>
      </c>
      <c r="E116" s="1975">
        <v>750000</v>
      </c>
      <c r="F116" s="376">
        <v>0.1</v>
      </c>
      <c r="G116" s="321">
        <f t="shared" si="5"/>
        <v>75000</v>
      </c>
      <c r="H116" s="2427" t="s">
        <v>3010</v>
      </c>
      <c r="I116" s="2640" t="s">
        <v>1455</v>
      </c>
      <c r="J116" s="316"/>
      <c r="K116" s="335"/>
      <c r="L116" s="316"/>
      <c r="M116" s="1779"/>
      <c r="N116" s="1779"/>
      <c r="O116" s="1779"/>
      <c r="P116" s="1216"/>
      <c r="Q116" s="51"/>
    </row>
    <row r="117" spans="1:17" ht="15" hidden="1" customHeight="1" x14ac:dyDescent="0.3">
      <c r="A117" s="3626"/>
      <c r="B117" s="2549">
        <v>12713</v>
      </c>
      <c r="C117" s="1232">
        <v>0.1</v>
      </c>
      <c r="D117" s="1256" t="s">
        <v>3089</v>
      </c>
      <c r="E117" s="1975">
        <v>1300000</v>
      </c>
      <c r="F117" s="376">
        <v>0.1</v>
      </c>
      <c r="G117" s="321">
        <f t="shared" si="5"/>
        <v>130000</v>
      </c>
      <c r="H117" s="2427" t="s">
        <v>3010</v>
      </c>
      <c r="I117" s="2640" t="s">
        <v>1770</v>
      </c>
      <c r="J117" s="316"/>
      <c r="K117" s="335"/>
      <c r="L117" s="316"/>
      <c r="M117" s="1779"/>
      <c r="N117" s="1779"/>
      <c r="O117" s="1779"/>
      <c r="P117" s="1216"/>
      <c r="Q117" s="51"/>
    </row>
    <row r="118" spans="1:17" ht="15" hidden="1" customHeight="1" x14ac:dyDescent="0.3">
      <c r="A118" s="3626"/>
      <c r="B118" s="2545">
        <v>12729</v>
      </c>
      <c r="C118" s="1232">
        <v>0.1</v>
      </c>
      <c r="D118" s="1474" t="s">
        <v>3090</v>
      </c>
      <c r="E118" s="2492">
        <v>1150000</v>
      </c>
      <c r="F118" s="614">
        <v>0.05</v>
      </c>
      <c r="G118" s="321">
        <f t="shared" si="5"/>
        <v>57500</v>
      </c>
      <c r="H118" s="2493" t="s">
        <v>1482</v>
      </c>
      <c r="I118" s="2641" t="s">
        <v>133</v>
      </c>
      <c r="J118" s="316"/>
      <c r="K118" s="335"/>
      <c r="L118" s="316"/>
      <c r="M118" s="1779"/>
      <c r="N118" s="1779"/>
      <c r="O118" s="1779"/>
      <c r="P118" s="1216"/>
      <c r="Q118" s="51"/>
    </row>
    <row r="119" spans="1:17" ht="15" hidden="1" customHeight="1" x14ac:dyDescent="0.3">
      <c r="A119" s="3626"/>
      <c r="B119" s="2550">
        <v>12740</v>
      </c>
      <c r="C119" s="2560">
        <v>0.08</v>
      </c>
      <c r="D119" s="67" t="s">
        <v>3091</v>
      </c>
      <c r="E119" s="1628">
        <v>1150000</v>
      </c>
      <c r="F119" s="2563">
        <v>0.08</v>
      </c>
      <c r="G119" s="321">
        <f t="shared" si="5"/>
        <v>92000</v>
      </c>
      <c r="H119" s="1904" t="s">
        <v>3010</v>
      </c>
      <c r="I119" s="2640" t="s">
        <v>1455</v>
      </c>
      <c r="J119" s="316"/>
      <c r="K119" s="335"/>
      <c r="L119" s="316"/>
      <c r="M119" s="1779"/>
      <c r="N119" s="1779"/>
      <c r="O119" s="1779"/>
      <c r="P119" s="1216"/>
      <c r="Q119" s="51"/>
    </row>
    <row r="120" spans="1:17" ht="15" hidden="1" customHeight="1" x14ac:dyDescent="0.3">
      <c r="A120" s="3626"/>
      <c r="B120" s="2539">
        <v>12779</v>
      </c>
      <c r="C120" s="1232">
        <v>0.1</v>
      </c>
      <c r="D120" s="67" t="s">
        <v>3092</v>
      </c>
      <c r="E120" s="1628">
        <v>1150000</v>
      </c>
      <c r="F120" s="614">
        <v>0.05</v>
      </c>
      <c r="G120" s="321">
        <f t="shared" si="5"/>
        <v>57500</v>
      </c>
      <c r="H120" s="1904" t="s">
        <v>2993</v>
      </c>
      <c r="I120" s="2640" t="s">
        <v>1770</v>
      </c>
      <c r="J120" s="316"/>
      <c r="K120" s="335"/>
      <c r="L120" s="316"/>
      <c r="M120" s="1779"/>
      <c r="N120" s="1779"/>
      <c r="O120" s="1779"/>
      <c r="P120" s="1216"/>
      <c r="Q120" s="51"/>
    </row>
    <row r="121" spans="1:17" ht="15" hidden="1" customHeight="1" x14ac:dyDescent="0.3">
      <c r="A121" s="3626"/>
      <c r="B121" s="2539">
        <v>12764</v>
      </c>
      <c r="C121" s="2560">
        <v>0.08</v>
      </c>
      <c r="D121" s="67" t="s">
        <v>3093</v>
      </c>
      <c r="E121" s="1628">
        <v>1200000</v>
      </c>
      <c r="F121" s="2563">
        <v>0.08</v>
      </c>
      <c r="G121" s="321">
        <f t="shared" si="5"/>
        <v>96000</v>
      </c>
      <c r="H121" s="1904" t="s">
        <v>3010</v>
      </c>
      <c r="I121" s="2640" t="s">
        <v>1770</v>
      </c>
      <c r="J121" s="316"/>
      <c r="K121" s="335"/>
      <c r="L121" s="316"/>
      <c r="M121" s="1779"/>
      <c r="N121" s="1779"/>
      <c r="O121" s="1779"/>
      <c r="P121" s="1216"/>
      <c r="Q121" s="51"/>
    </row>
    <row r="122" spans="1:17" ht="15" hidden="1" customHeight="1" x14ac:dyDescent="0.3">
      <c r="A122" s="3626"/>
      <c r="B122" s="2546">
        <v>12794</v>
      </c>
      <c r="C122" s="1232">
        <v>0.1</v>
      </c>
      <c r="D122" s="67" t="s">
        <v>3094</v>
      </c>
      <c r="E122" s="1628">
        <v>750000</v>
      </c>
      <c r="F122" s="376">
        <v>0.1</v>
      </c>
      <c r="G122" s="321">
        <f t="shared" si="5"/>
        <v>75000</v>
      </c>
      <c r="H122" s="1904" t="s">
        <v>3010</v>
      </c>
      <c r="I122" s="2640" t="s">
        <v>1770</v>
      </c>
      <c r="J122" s="316"/>
      <c r="K122" s="335"/>
      <c r="L122" s="316"/>
      <c r="M122" s="1779"/>
      <c r="N122" s="1779"/>
      <c r="O122" s="1779"/>
      <c r="P122" s="1216"/>
      <c r="Q122" s="51"/>
    </row>
    <row r="123" spans="1:17" ht="15" hidden="1" customHeight="1" x14ac:dyDescent="0.3">
      <c r="A123" s="3626"/>
      <c r="B123" s="2550">
        <v>12882</v>
      </c>
      <c r="C123" s="1232">
        <v>0.1</v>
      </c>
      <c r="D123" s="67" t="s">
        <v>3095</v>
      </c>
      <c r="E123" s="1628">
        <v>850000</v>
      </c>
      <c r="F123" s="376">
        <v>0.05</v>
      </c>
      <c r="G123" s="321">
        <f t="shared" si="5"/>
        <v>42500</v>
      </c>
      <c r="H123" s="1904" t="s">
        <v>2993</v>
      </c>
      <c r="I123" s="2640" t="s">
        <v>1455</v>
      </c>
      <c r="J123" s="316"/>
      <c r="K123" s="335"/>
      <c r="L123" s="316"/>
      <c r="M123" s="1779"/>
      <c r="N123" s="1779"/>
      <c r="O123" s="1779"/>
      <c r="P123" s="1216"/>
      <c r="Q123" s="51"/>
    </row>
    <row r="124" spans="1:17" ht="15" hidden="1" customHeight="1" x14ac:dyDescent="0.3">
      <c r="A124" s="3626"/>
      <c r="B124" s="2539">
        <v>12873</v>
      </c>
      <c r="C124" s="1232">
        <v>0.1</v>
      </c>
      <c r="D124" s="67" t="s">
        <v>3096</v>
      </c>
      <c r="E124" s="1628">
        <v>1300000</v>
      </c>
      <c r="F124" s="614">
        <v>0.05</v>
      </c>
      <c r="G124" s="321">
        <f t="shared" si="5"/>
        <v>65000</v>
      </c>
      <c r="H124" s="1904" t="s">
        <v>2993</v>
      </c>
      <c r="I124" s="2640" t="s">
        <v>1770</v>
      </c>
      <c r="J124" s="316"/>
      <c r="K124" s="335"/>
      <c r="L124" s="316"/>
      <c r="M124" s="1779"/>
      <c r="N124" s="1779"/>
      <c r="O124" s="1779"/>
      <c r="P124" s="1216"/>
      <c r="Q124" s="51"/>
    </row>
    <row r="125" spans="1:17" ht="15" hidden="1" customHeight="1" x14ac:dyDescent="0.3">
      <c r="A125" s="3626"/>
      <c r="B125" s="2546">
        <v>12900</v>
      </c>
      <c r="C125" s="1733">
        <v>0.1</v>
      </c>
      <c r="D125" s="67" t="s">
        <v>3097</v>
      </c>
      <c r="E125" s="1628">
        <v>900000</v>
      </c>
      <c r="F125" s="614">
        <v>0.05</v>
      </c>
      <c r="G125" s="321">
        <f t="shared" si="5"/>
        <v>45000</v>
      </c>
      <c r="H125" s="1904" t="s">
        <v>1141</v>
      </c>
      <c r="I125" s="2640" t="s">
        <v>133</v>
      </c>
      <c r="J125" s="3188"/>
      <c r="K125" s="1374"/>
      <c r="L125" s="3188"/>
      <c r="M125" s="1779"/>
      <c r="N125" s="1779"/>
      <c r="O125" s="1779"/>
      <c r="P125" s="1216"/>
      <c r="Q125" s="51"/>
    </row>
    <row r="126" spans="1:17" ht="24.75" hidden="1" customHeight="1" x14ac:dyDescent="0.3">
      <c r="A126" s="3626"/>
      <c r="B126" s="2551" t="s">
        <v>3022</v>
      </c>
      <c r="C126" s="702"/>
      <c r="D126" s="1289" t="s">
        <v>3098</v>
      </c>
      <c r="E126" s="1628"/>
      <c r="F126" s="1519"/>
      <c r="G126" s="298"/>
      <c r="H126" s="2427"/>
      <c r="I126" s="2621" t="s">
        <v>217</v>
      </c>
      <c r="J126" s="316"/>
      <c r="K126" s="335"/>
      <c r="L126" s="316"/>
      <c r="M126" s="2503"/>
      <c r="N126" s="2503"/>
      <c r="O126" s="2503"/>
      <c r="P126" s="1720"/>
      <c r="Q126" s="2588">
        <v>130000</v>
      </c>
    </row>
    <row r="127" spans="1:17" ht="15" hidden="1" customHeight="1" x14ac:dyDescent="0.3">
      <c r="A127" s="3626"/>
      <c r="B127" s="2552" t="s">
        <v>3099</v>
      </c>
      <c r="C127" s="1237"/>
      <c r="D127" s="1289" t="s">
        <v>3100</v>
      </c>
      <c r="E127" s="1975"/>
      <c r="F127" s="376"/>
      <c r="G127" s="967"/>
      <c r="H127" s="2427"/>
      <c r="I127" s="2640" t="s">
        <v>1455</v>
      </c>
      <c r="J127" s="316"/>
      <c r="K127" s="335"/>
      <c r="L127" s="316"/>
      <c r="M127" s="1779"/>
      <c r="N127" s="1779"/>
      <c r="O127" s="1779"/>
      <c r="P127" s="1216"/>
      <c r="Q127" s="51"/>
    </row>
    <row r="128" spans="1:17" ht="15" hidden="1" customHeight="1" x14ac:dyDescent="0.3">
      <c r="A128" s="3626"/>
      <c r="B128" s="2066"/>
      <c r="C128" s="689"/>
      <c r="D128" s="1171" t="s">
        <v>3000</v>
      </c>
      <c r="E128" s="2494">
        <f>SUM(E114:E127)</f>
        <v>12750000</v>
      </c>
      <c r="F128" s="1579"/>
      <c r="G128" s="2495">
        <f>SUM(G114:G127)</f>
        <v>848000</v>
      </c>
      <c r="H128" s="2066"/>
      <c r="I128" s="2642"/>
      <c r="J128" s="814"/>
      <c r="K128" s="2496"/>
      <c r="L128" s="814"/>
      <c r="M128" s="1471"/>
      <c r="N128" s="3651" t="s">
        <v>3026</v>
      </c>
      <c r="O128" s="3651"/>
      <c r="P128" s="3651"/>
      <c r="Q128" s="2589">
        <f>G128+Q126</f>
        <v>978000</v>
      </c>
    </row>
    <row r="129" spans="1:19" ht="15" hidden="1" customHeight="1" x14ac:dyDescent="0.3">
      <c r="A129" s="3627"/>
      <c r="B129" s="1914"/>
      <c r="C129" s="815"/>
      <c r="D129" s="3630" t="s">
        <v>3002</v>
      </c>
      <c r="E129" s="3631"/>
      <c r="F129" s="3631"/>
      <c r="H129" s="2426"/>
      <c r="I129" s="2626"/>
      <c r="J129" s="3187"/>
      <c r="K129" s="490"/>
      <c r="L129" s="3187"/>
      <c r="M129" s="461"/>
      <c r="N129" s="965"/>
      <c r="O129" s="965"/>
      <c r="P129" s="2084"/>
      <c r="Q129" s="463"/>
    </row>
    <row r="130" spans="1:19" ht="15" hidden="1" customHeight="1" x14ac:dyDescent="0.3">
      <c r="A130" s="816"/>
      <c r="B130" s="1925"/>
      <c r="C130" s="464"/>
      <c r="D130" s="1118"/>
      <c r="E130" s="466"/>
      <c r="F130" s="464"/>
      <c r="G130" s="467"/>
      <c r="H130" s="1922"/>
      <c r="I130" s="2627"/>
      <c r="J130" s="464"/>
      <c r="K130" s="465"/>
      <c r="L130" s="464"/>
      <c r="M130" s="468"/>
      <c r="N130" s="469"/>
      <c r="O130" s="469"/>
      <c r="P130" s="3289"/>
      <c r="Q130" s="463"/>
      <c r="S130" t="s">
        <v>3101</v>
      </c>
    </row>
    <row r="131" spans="1:19" ht="15" hidden="1" customHeight="1" x14ac:dyDescent="0.3">
      <c r="A131" s="816"/>
      <c r="B131" s="1925"/>
      <c r="C131" s="825"/>
      <c r="D131" s="1172"/>
      <c r="E131" s="827"/>
      <c r="F131" s="825"/>
      <c r="G131" s="828"/>
      <c r="H131" s="1925"/>
      <c r="I131" s="2628"/>
      <c r="J131" s="825"/>
      <c r="K131" s="826"/>
      <c r="L131" s="825"/>
      <c r="M131" s="829"/>
      <c r="N131" s="830"/>
      <c r="O131" s="830"/>
      <c r="P131" s="3290"/>
      <c r="Q131" s="831"/>
    </row>
    <row r="132" spans="1:19" ht="21" hidden="1" customHeight="1" x14ac:dyDescent="0.4">
      <c r="A132" s="3634" t="s">
        <v>3027</v>
      </c>
      <c r="B132" s="3634"/>
      <c r="C132" s="3634"/>
      <c r="D132" s="3634"/>
      <c r="E132" s="3634"/>
      <c r="F132" s="3634"/>
      <c r="G132" s="3634"/>
      <c r="H132" s="3635"/>
      <c r="I132" s="3634"/>
      <c r="J132" s="3634"/>
      <c r="K132" s="3634"/>
      <c r="L132" s="3037"/>
      <c r="M132" s="3636" t="s">
        <v>2973</v>
      </c>
      <c r="N132" s="3636"/>
      <c r="O132" s="3636"/>
      <c r="P132" s="3636"/>
      <c r="Q132" s="2"/>
    </row>
    <row r="133" spans="1:19" ht="15" hidden="1" customHeight="1" x14ac:dyDescent="0.3">
      <c r="A133" s="809" t="s">
        <v>2974</v>
      </c>
      <c r="B133" s="1929" t="s">
        <v>2975</v>
      </c>
      <c r="C133" s="3" t="s">
        <v>3004</v>
      </c>
      <c r="D133" s="1086" t="s">
        <v>2977</v>
      </c>
      <c r="E133" s="805" t="s">
        <v>2978</v>
      </c>
      <c r="F133" s="1666" t="s">
        <v>2979</v>
      </c>
      <c r="G133" s="167" t="s">
        <v>2980</v>
      </c>
      <c r="H133" s="2746" t="s">
        <v>2981</v>
      </c>
      <c r="I133" s="2276" t="s">
        <v>2982</v>
      </c>
      <c r="J133" s="1666"/>
      <c r="K133" s="1666" t="s">
        <v>2983</v>
      </c>
      <c r="L133" s="1666"/>
      <c r="M133" s="1658" t="s">
        <v>2975</v>
      </c>
      <c r="N133" s="1658" t="s">
        <v>2977</v>
      </c>
      <c r="O133" s="1658" t="s">
        <v>2984</v>
      </c>
      <c r="P133" s="2471" t="s">
        <v>2979</v>
      </c>
      <c r="Q133" s="268" t="s">
        <v>2985</v>
      </c>
    </row>
    <row r="134" spans="1:19" ht="15" hidden="1" customHeight="1" x14ac:dyDescent="0.3">
      <c r="A134" s="3625" t="s">
        <v>2986</v>
      </c>
      <c r="B134" s="2543">
        <v>12717</v>
      </c>
      <c r="C134" s="1232">
        <v>0.1</v>
      </c>
      <c r="D134" s="526" t="s">
        <v>3078</v>
      </c>
      <c r="E134" s="2362">
        <v>750000</v>
      </c>
      <c r="F134" s="2471">
        <v>0.05</v>
      </c>
      <c r="G134" s="321">
        <f>E134*F134</f>
        <v>37500</v>
      </c>
      <c r="H134" s="2761" t="s">
        <v>1482</v>
      </c>
      <c r="I134" s="2630" t="s">
        <v>1455</v>
      </c>
      <c r="J134" s="406"/>
      <c r="K134" s="1658"/>
      <c r="L134" s="406"/>
      <c r="M134" s="2549">
        <v>12687</v>
      </c>
      <c r="N134" s="67" t="s">
        <v>3086</v>
      </c>
      <c r="O134" s="1975">
        <v>1050000</v>
      </c>
      <c r="P134" s="1216">
        <v>0.05</v>
      </c>
      <c r="Q134" s="2518">
        <f>O134*P134</f>
        <v>52500</v>
      </c>
    </row>
    <row r="135" spans="1:19" ht="15" hidden="1" customHeight="1" x14ac:dyDescent="0.3">
      <c r="A135" s="3626"/>
      <c r="B135" s="2543">
        <v>12812</v>
      </c>
      <c r="C135" s="1232">
        <v>0.1</v>
      </c>
      <c r="D135" s="439" t="s">
        <v>3102</v>
      </c>
      <c r="E135" s="1638">
        <v>1300000</v>
      </c>
      <c r="F135" s="1216">
        <v>0.06</v>
      </c>
      <c r="G135" s="321">
        <f>E135*F135</f>
        <v>78000</v>
      </c>
      <c r="H135" s="2756" t="s">
        <v>118</v>
      </c>
      <c r="I135" s="2308" t="s">
        <v>1770</v>
      </c>
      <c r="J135" s="64"/>
      <c r="K135" s="1779"/>
      <c r="L135" s="64"/>
      <c r="M135" s="2549">
        <v>12703</v>
      </c>
      <c r="N135" s="67" t="s">
        <v>3087</v>
      </c>
      <c r="O135" s="1975">
        <v>1200000</v>
      </c>
      <c r="P135" s="1216">
        <v>0.05</v>
      </c>
      <c r="Q135" s="2518">
        <f t="shared" ref="Q135:Q137" si="6">O135*P135</f>
        <v>60000</v>
      </c>
    </row>
    <row r="136" spans="1:19" ht="15" hidden="1" customHeight="1" x14ac:dyDescent="0.3">
      <c r="A136" s="3626"/>
      <c r="B136" s="2544">
        <v>12811</v>
      </c>
      <c r="C136" s="1232">
        <v>0.1</v>
      </c>
      <c r="D136" s="439" t="s">
        <v>3103</v>
      </c>
      <c r="E136" s="1638">
        <v>970000</v>
      </c>
      <c r="F136" s="1216">
        <v>0.05</v>
      </c>
      <c r="G136" s="321">
        <f>E136*F136</f>
        <v>48500</v>
      </c>
      <c r="H136" s="2756" t="s">
        <v>3104</v>
      </c>
      <c r="I136" s="2308" t="s">
        <v>1455</v>
      </c>
      <c r="J136" s="64"/>
      <c r="K136" s="1779"/>
      <c r="L136" s="64"/>
      <c r="M136" s="2539">
        <v>12779</v>
      </c>
      <c r="N136" s="67" t="s">
        <v>3092</v>
      </c>
      <c r="O136" s="1628">
        <v>1150000</v>
      </c>
      <c r="P136" s="1216">
        <v>0.05</v>
      </c>
      <c r="Q136" s="2518">
        <f t="shared" si="6"/>
        <v>57500</v>
      </c>
    </row>
    <row r="137" spans="1:19" ht="15" hidden="1" customHeight="1" x14ac:dyDescent="0.3">
      <c r="A137" s="3626"/>
      <c r="B137" s="2545">
        <v>12869</v>
      </c>
      <c r="C137" s="1232">
        <v>0.1</v>
      </c>
      <c r="D137" s="1474" t="s">
        <v>3105</v>
      </c>
      <c r="E137" s="1638">
        <v>1100000</v>
      </c>
      <c r="F137" s="1216">
        <v>0.1</v>
      </c>
      <c r="G137" s="321">
        <f>E137*F137</f>
        <v>110000</v>
      </c>
      <c r="H137" s="2756" t="s">
        <v>2993</v>
      </c>
      <c r="I137" s="2308" t="s">
        <v>133</v>
      </c>
      <c r="J137" s="406"/>
      <c r="K137" s="1779"/>
      <c r="L137" s="406"/>
      <c r="M137" s="2572">
        <v>12873</v>
      </c>
      <c r="N137" s="1284" t="s">
        <v>3096</v>
      </c>
      <c r="O137" s="1628">
        <v>1300000</v>
      </c>
      <c r="P137" s="1216">
        <v>0.05</v>
      </c>
      <c r="Q137" s="2518">
        <f t="shared" si="6"/>
        <v>65000</v>
      </c>
    </row>
    <row r="138" spans="1:19" ht="15" hidden="1" customHeight="1" x14ac:dyDescent="0.3">
      <c r="A138" s="3626"/>
      <c r="B138" s="2546">
        <v>12880</v>
      </c>
      <c r="C138" s="1232">
        <v>0.1</v>
      </c>
      <c r="D138" s="1474" t="s">
        <v>3106</v>
      </c>
      <c r="E138" s="2525">
        <v>1100000</v>
      </c>
      <c r="F138" s="2471">
        <v>0.1</v>
      </c>
      <c r="G138" s="321">
        <f>E138*F138</f>
        <v>110000</v>
      </c>
      <c r="H138" s="2761" t="s">
        <v>2993</v>
      </c>
      <c r="I138" s="2630" t="s">
        <v>1770</v>
      </c>
      <c r="J138" s="792"/>
      <c r="K138" s="1300"/>
      <c r="L138" s="792"/>
      <c r="M138" s="2579">
        <v>12882</v>
      </c>
      <c r="N138" s="67" t="s">
        <v>3095</v>
      </c>
      <c r="O138" s="1628">
        <v>850000</v>
      </c>
      <c r="P138" s="1720">
        <v>0.05</v>
      </c>
      <c r="Q138" s="2518">
        <f>O138*P138</f>
        <v>42500</v>
      </c>
    </row>
    <row r="139" spans="1:19" ht="15" hidden="1" customHeight="1" x14ac:dyDescent="0.3">
      <c r="A139" s="3626"/>
      <c r="B139" s="2547" t="s">
        <v>3099</v>
      </c>
      <c r="C139" s="2505"/>
      <c r="D139" s="1246" t="s">
        <v>3107</v>
      </c>
      <c r="E139" s="1638"/>
      <c r="F139" s="1779"/>
      <c r="G139" s="833"/>
      <c r="H139" s="2756"/>
      <c r="I139" s="2308" t="s">
        <v>1770</v>
      </c>
      <c r="J139" s="1484"/>
      <c r="K139" s="118" t="s">
        <v>3108</v>
      </c>
      <c r="L139" s="1484"/>
      <c r="M139" s="2550">
        <v>12882</v>
      </c>
      <c r="N139" s="67" t="s">
        <v>3095</v>
      </c>
      <c r="O139" s="1628">
        <v>850000</v>
      </c>
      <c r="P139" s="1720">
        <v>0.05</v>
      </c>
      <c r="Q139" s="2518">
        <f>O139*P139</f>
        <v>42500</v>
      </c>
    </row>
    <row r="140" spans="1:19" ht="15" hidden="1" customHeight="1" x14ac:dyDescent="0.3">
      <c r="A140" s="3626"/>
      <c r="B140" s="2548" t="s">
        <v>2997</v>
      </c>
      <c r="C140" s="2386"/>
      <c r="D140" s="1246" t="s">
        <v>3109</v>
      </c>
      <c r="E140" s="1628"/>
      <c r="F140" s="1746"/>
      <c r="G140" s="376"/>
      <c r="H140" s="1904"/>
      <c r="I140" s="2281" t="s">
        <v>133</v>
      </c>
      <c r="J140" s="118"/>
      <c r="K140" s="118" t="s">
        <v>3110</v>
      </c>
      <c r="L140" s="118"/>
      <c r="M140" s="1779"/>
      <c r="N140" s="1680"/>
      <c r="O140" s="2046"/>
      <c r="P140" s="528"/>
      <c r="Q140" s="848">
        <f ca="1">SUM(Q134:Q140)</f>
        <v>320000</v>
      </c>
    </row>
    <row r="141" spans="1:19" ht="15" hidden="1" customHeight="1" x14ac:dyDescent="0.3">
      <c r="A141" s="3626"/>
      <c r="B141" s="1947"/>
      <c r="C141" s="2361"/>
      <c r="D141" s="1116" t="s">
        <v>3000</v>
      </c>
      <c r="E141" s="1631">
        <f>SUM(E134:E140)</f>
        <v>5220000</v>
      </c>
      <c r="F141" s="514"/>
      <c r="G141" s="483">
        <f>SUM(G134:G140)</f>
        <v>384000</v>
      </c>
      <c r="H141" s="1911"/>
      <c r="I141" s="2625"/>
      <c r="J141" s="1579"/>
      <c r="K141" s="342"/>
      <c r="L141" s="1579"/>
      <c r="M141" s="895"/>
      <c r="N141" s="3592" t="s">
        <v>3026</v>
      </c>
      <c r="O141" s="3592"/>
      <c r="P141" s="3592"/>
      <c r="Q141" s="2590">
        <f ca="1">G141+Q140</f>
        <v>704000</v>
      </c>
    </row>
    <row r="142" spans="1:19" ht="15.75" hidden="1" customHeight="1" x14ac:dyDescent="0.3">
      <c r="A142" s="3627"/>
      <c r="B142" s="1914"/>
      <c r="C142" s="840"/>
      <c r="D142" s="3630" t="s">
        <v>3002</v>
      </c>
      <c r="E142" s="3631"/>
      <c r="F142" s="3631"/>
      <c r="H142" s="1915"/>
      <c r="I142" s="2631"/>
      <c r="J142" s="1210"/>
      <c r="K142" s="2365"/>
      <c r="L142" s="1210"/>
      <c r="M142" s="895"/>
      <c r="N142" s="844"/>
      <c r="O142" s="844"/>
      <c r="P142" s="2094"/>
      <c r="Q142" s="294"/>
    </row>
    <row r="143" spans="1:19" ht="15.6" hidden="1" x14ac:dyDescent="0.3">
      <c r="A143" s="816"/>
      <c r="B143" s="1922"/>
      <c r="C143" s="464"/>
      <c r="D143" s="1118"/>
      <c r="E143" s="466"/>
      <c r="F143" s="464"/>
      <c r="G143" s="467"/>
      <c r="H143" s="1922"/>
      <c r="I143" s="2627"/>
      <c r="J143" s="464"/>
      <c r="K143" s="465"/>
      <c r="L143" s="464"/>
      <c r="M143" s="468"/>
      <c r="N143" s="469"/>
      <c r="O143" s="469"/>
      <c r="P143" s="3289"/>
      <c r="Q143" s="463"/>
    </row>
    <row r="144" spans="1:19" ht="15.6" hidden="1" x14ac:dyDescent="0.3">
      <c r="A144" s="816"/>
      <c r="B144" s="1925"/>
      <c r="C144" s="825"/>
      <c r="D144" s="1172"/>
      <c r="E144" s="827"/>
      <c r="F144" s="825"/>
      <c r="G144" s="828"/>
      <c r="H144" s="1925"/>
      <c r="I144" s="2628"/>
      <c r="J144" s="825"/>
      <c r="K144" s="826"/>
      <c r="L144" s="825"/>
      <c r="M144" s="829"/>
      <c r="N144" s="830"/>
      <c r="O144" s="830"/>
      <c r="P144" s="3290"/>
      <c r="Q144" s="831"/>
    </row>
    <row r="145" spans="1:17" ht="21" hidden="1" x14ac:dyDescent="0.4">
      <c r="A145" s="3628" t="s">
        <v>3042</v>
      </c>
      <c r="B145" s="3628"/>
      <c r="C145" s="3628"/>
      <c r="D145" s="3628"/>
      <c r="E145" s="3628"/>
      <c r="F145" s="3628"/>
      <c r="G145" s="3628"/>
      <c r="H145" s="3629"/>
      <c r="I145" s="3628"/>
      <c r="J145" s="3628"/>
      <c r="K145" s="3628"/>
      <c r="L145" s="3034"/>
      <c r="M145" s="287"/>
      <c r="N145" s="845"/>
      <c r="O145" s="845"/>
      <c r="P145" s="3291"/>
      <c r="Q145" s="294"/>
    </row>
    <row r="146" spans="1:17" hidden="1" x14ac:dyDescent="0.3">
      <c r="A146" s="1666" t="s">
        <v>2974</v>
      </c>
      <c r="B146" s="1928" t="s">
        <v>2975</v>
      </c>
      <c r="C146" s="3" t="s">
        <v>3004</v>
      </c>
      <c r="D146" s="1086" t="s">
        <v>2977</v>
      </c>
      <c r="E146" s="4" t="s">
        <v>2978</v>
      </c>
      <c r="F146" s="3" t="s">
        <v>2979</v>
      </c>
      <c r="G146" s="5" t="s">
        <v>2980</v>
      </c>
      <c r="H146" s="2843" t="s">
        <v>2981</v>
      </c>
      <c r="I146" s="2229" t="s">
        <v>2982</v>
      </c>
      <c r="J146" s="809"/>
      <c r="K146" s="23" t="s">
        <v>2983</v>
      </c>
      <c r="L146" s="809"/>
      <c r="M146" s="1658" t="s">
        <v>2975</v>
      </c>
      <c r="N146" s="1658" t="s">
        <v>2977</v>
      </c>
      <c r="O146" s="1658" t="s">
        <v>2984</v>
      </c>
      <c r="P146" s="2471" t="s">
        <v>2979</v>
      </c>
      <c r="Q146" s="2" t="s">
        <v>2985</v>
      </c>
    </row>
    <row r="147" spans="1:17" ht="15" hidden="1" customHeight="1" x14ac:dyDescent="0.3">
      <c r="A147" s="3625" t="s">
        <v>2986</v>
      </c>
      <c r="B147" s="2537">
        <v>12695</v>
      </c>
      <c r="C147" s="1232">
        <v>0.1</v>
      </c>
      <c r="D147" s="1256" t="s">
        <v>3111</v>
      </c>
      <c r="E147" s="1898">
        <v>1200000</v>
      </c>
      <c r="F147" s="1939">
        <v>0.1</v>
      </c>
      <c r="G147" s="321">
        <f t="shared" ref="G147:G153" si="7">E147*F147</f>
        <v>120000</v>
      </c>
      <c r="H147" s="1900" t="s">
        <v>1685</v>
      </c>
      <c r="I147" s="2633" t="s">
        <v>133</v>
      </c>
      <c r="J147" s="1300"/>
      <c r="K147" s="118"/>
      <c r="L147" s="1300"/>
      <c r="M147" s="867">
        <v>12719</v>
      </c>
      <c r="N147" s="867" t="s">
        <v>3112</v>
      </c>
      <c r="O147" s="1898">
        <v>1380000</v>
      </c>
      <c r="P147" s="1216">
        <v>0.05</v>
      </c>
      <c r="Q147" s="2518">
        <f>O147*P147</f>
        <v>69000</v>
      </c>
    </row>
    <row r="148" spans="1:17" ht="15" hidden="1" customHeight="1" x14ac:dyDescent="0.3">
      <c r="A148" s="3626"/>
      <c r="B148" s="2538">
        <v>12739</v>
      </c>
      <c r="C148" s="1232">
        <v>0.1</v>
      </c>
      <c r="D148" s="67" t="s">
        <v>3113</v>
      </c>
      <c r="E148" s="1901">
        <v>1000000</v>
      </c>
      <c r="F148" s="1902">
        <v>0.05</v>
      </c>
      <c r="G148" s="321">
        <f t="shared" si="7"/>
        <v>50000</v>
      </c>
      <c r="H148" s="1904" t="s">
        <v>3104</v>
      </c>
      <c r="I148" s="2632" t="s">
        <v>1770</v>
      </c>
      <c r="J148" s="1300"/>
      <c r="K148" s="118"/>
      <c r="L148" s="1300"/>
      <c r="M148" s="2582">
        <v>10899</v>
      </c>
      <c r="N148" s="526" t="s">
        <v>3114</v>
      </c>
      <c r="O148" s="1898">
        <v>1000000</v>
      </c>
      <c r="P148" s="1216">
        <v>0.05</v>
      </c>
      <c r="Q148" s="2518">
        <f>O148*P148</f>
        <v>50000</v>
      </c>
    </row>
    <row r="149" spans="1:17" ht="15" hidden="1" customHeight="1" x14ac:dyDescent="0.3">
      <c r="A149" s="3626"/>
      <c r="B149" s="2538">
        <v>12738</v>
      </c>
      <c r="C149" s="1232">
        <v>0.1</v>
      </c>
      <c r="D149" s="132" t="s">
        <v>3115</v>
      </c>
      <c r="E149" s="1901">
        <v>1200000</v>
      </c>
      <c r="F149" s="1902">
        <v>0.1</v>
      </c>
      <c r="G149" s="321">
        <f t="shared" si="7"/>
        <v>120000</v>
      </c>
      <c r="H149" s="1904" t="s">
        <v>1685</v>
      </c>
      <c r="I149" s="2632" t="s">
        <v>1455</v>
      </c>
      <c r="J149" s="118"/>
      <c r="K149" s="118"/>
      <c r="L149" s="118"/>
      <c r="M149" s="1779"/>
      <c r="N149" s="1779"/>
      <c r="O149" s="1779"/>
      <c r="P149" s="1216"/>
      <c r="Q149" s="2"/>
    </row>
    <row r="150" spans="1:17" ht="15" hidden="1" customHeight="1" x14ac:dyDescent="0.3">
      <c r="A150" s="3626"/>
      <c r="B150" s="2539">
        <v>12761</v>
      </c>
      <c r="C150" s="2560">
        <v>0.08</v>
      </c>
      <c r="D150" s="1256" t="s">
        <v>3116</v>
      </c>
      <c r="E150" s="1898">
        <v>1450000</v>
      </c>
      <c r="F150" s="2562">
        <v>0.08</v>
      </c>
      <c r="G150" s="321">
        <f t="shared" si="7"/>
        <v>116000</v>
      </c>
      <c r="H150" s="1900" t="s">
        <v>1685</v>
      </c>
      <c r="I150" s="2633" t="s">
        <v>133</v>
      </c>
      <c r="J150" s="118"/>
      <c r="K150" s="118"/>
      <c r="L150" s="118"/>
      <c r="M150" s="1779"/>
      <c r="N150" s="1779"/>
      <c r="O150" s="1779"/>
      <c r="P150" s="1216"/>
      <c r="Q150" s="2"/>
    </row>
    <row r="151" spans="1:17" ht="15" hidden="1" customHeight="1" x14ac:dyDescent="0.3">
      <c r="A151" s="3626"/>
      <c r="B151" s="2540">
        <v>12839</v>
      </c>
      <c r="C151" s="1232">
        <v>0.1</v>
      </c>
      <c r="D151" s="1514" t="s">
        <v>3117</v>
      </c>
      <c r="E151" s="1898">
        <v>1700000</v>
      </c>
      <c r="F151" s="1902">
        <v>0.1</v>
      </c>
      <c r="G151" s="321">
        <f t="shared" si="7"/>
        <v>170000</v>
      </c>
      <c r="H151" s="1900" t="s">
        <v>1685</v>
      </c>
      <c r="I151" s="2633" t="s">
        <v>1455</v>
      </c>
      <c r="J151" s="118"/>
      <c r="K151" s="118"/>
      <c r="L151" s="118"/>
      <c r="M151" s="1779"/>
      <c r="N151" s="1779"/>
      <c r="O151" s="1779"/>
      <c r="P151" s="1216"/>
      <c r="Q151" s="2"/>
    </row>
    <row r="152" spans="1:17" ht="15" hidden="1" customHeight="1" x14ac:dyDescent="0.3">
      <c r="A152" s="3626"/>
      <c r="B152" s="2537">
        <v>12830</v>
      </c>
      <c r="C152" s="1232">
        <v>0.1</v>
      </c>
      <c r="D152" s="1514" t="s">
        <v>3118</v>
      </c>
      <c r="E152" s="1898">
        <v>1000000</v>
      </c>
      <c r="F152" s="1902">
        <v>0.1</v>
      </c>
      <c r="G152" s="321">
        <f t="shared" si="7"/>
        <v>100000</v>
      </c>
      <c r="H152" s="1900" t="s">
        <v>1685</v>
      </c>
      <c r="I152" s="2633" t="s">
        <v>133</v>
      </c>
      <c r="J152" s="118"/>
      <c r="K152" s="118"/>
      <c r="L152" s="118"/>
      <c r="M152" s="1779"/>
      <c r="N152" s="1779"/>
      <c r="O152" s="1779"/>
      <c r="P152" s="1216"/>
      <c r="Q152" s="2"/>
    </row>
    <row r="153" spans="1:17" ht="15" hidden="1" customHeight="1" x14ac:dyDescent="0.3">
      <c r="A153" s="3626"/>
      <c r="B153" s="2544">
        <v>12898</v>
      </c>
      <c r="C153" s="1232">
        <v>0.1</v>
      </c>
      <c r="D153" s="1514" t="s">
        <v>3119</v>
      </c>
      <c r="E153" s="1898">
        <v>1700000</v>
      </c>
      <c r="F153" s="1902">
        <v>0.1</v>
      </c>
      <c r="G153" s="321">
        <f t="shared" si="7"/>
        <v>170000</v>
      </c>
      <c r="H153" s="1900" t="s">
        <v>1685</v>
      </c>
      <c r="I153" s="2633" t="s">
        <v>133</v>
      </c>
      <c r="J153" s="3189"/>
      <c r="K153" s="2098"/>
      <c r="L153" s="3189"/>
      <c r="M153" s="1779"/>
      <c r="N153" s="1779"/>
      <c r="O153" s="1779"/>
      <c r="P153" s="1216"/>
      <c r="Q153" s="2"/>
    </row>
    <row r="154" spans="1:17" ht="15.75" hidden="1" customHeight="1" x14ac:dyDescent="0.3">
      <c r="A154" s="3626"/>
      <c r="B154" s="2541" t="s">
        <v>3022</v>
      </c>
      <c r="C154" s="2530"/>
      <c r="D154" s="1169" t="s">
        <v>3120</v>
      </c>
      <c r="E154" s="1898"/>
      <c r="F154" s="1899"/>
      <c r="G154" s="1900"/>
      <c r="H154" s="1900"/>
      <c r="I154" s="2633" t="s">
        <v>1770</v>
      </c>
      <c r="J154" s="118"/>
      <c r="K154" s="118"/>
      <c r="L154" s="118"/>
      <c r="M154" s="1779"/>
      <c r="N154" s="1779"/>
      <c r="O154" s="1779"/>
      <c r="P154" s="1216"/>
      <c r="Q154" s="2"/>
    </row>
    <row r="155" spans="1:17" ht="15" hidden="1" customHeight="1" x14ac:dyDescent="0.3">
      <c r="A155" s="3626"/>
      <c r="B155" s="2542" t="s">
        <v>3022</v>
      </c>
      <c r="C155" s="344"/>
      <c r="D155" s="2534" t="s">
        <v>3121</v>
      </c>
      <c r="E155" s="1898"/>
      <c r="F155" s="1939"/>
      <c r="G155" s="2063"/>
      <c r="H155" s="1900"/>
      <c r="I155" s="2633" t="s">
        <v>133</v>
      </c>
      <c r="J155" s="2504"/>
      <c r="K155" s="2504" t="s">
        <v>3122</v>
      </c>
      <c r="L155" s="2504"/>
      <c r="M155" s="2503"/>
      <c r="N155" s="2503"/>
      <c r="O155" s="2503"/>
      <c r="P155" s="1720"/>
      <c r="Q155" s="2"/>
    </row>
    <row r="156" spans="1:17" ht="15" hidden="1" customHeight="1" x14ac:dyDescent="0.3">
      <c r="A156" s="3626"/>
      <c r="B156" s="2542" t="s">
        <v>3022</v>
      </c>
      <c r="C156" s="344"/>
      <c r="D156" s="2534" t="s">
        <v>3123</v>
      </c>
      <c r="E156" s="1901"/>
      <c r="F156" s="1902"/>
      <c r="G156" s="1903"/>
      <c r="H156" s="1904"/>
      <c r="I156" s="2632" t="s">
        <v>1455</v>
      </c>
      <c r="J156" s="118"/>
      <c r="K156" s="118"/>
      <c r="L156" s="118"/>
      <c r="M156" s="1779"/>
      <c r="N156" s="1779"/>
      <c r="O156" s="1779"/>
      <c r="P156" s="1216"/>
      <c r="Q156" s="2"/>
    </row>
    <row r="157" spans="1:17" ht="15" hidden="1" customHeight="1" x14ac:dyDescent="0.3">
      <c r="A157" s="3626"/>
      <c r="B157" s="2542" t="s">
        <v>3022</v>
      </c>
      <c r="C157" s="344"/>
      <c r="D157" s="2534" t="s">
        <v>3124</v>
      </c>
      <c r="E157" s="1898"/>
      <c r="F157" s="1939"/>
      <c r="G157" s="2063"/>
      <c r="H157" s="1900"/>
      <c r="I157" s="2633" t="s">
        <v>1770</v>
      </c>
      <c r="J157" s="532"/>
      <c r="K157" s="335" t="s">
        <v>3125</v>
      </c>
      <c r="L157" s="532"/>
      <c r="M157" s="1665"/>
      <c r="N157" s="1394"/>
      <c r="O157" s="2573"/>
      <c r="P157" s="1465"/>
      <c r="Q157" s="795"/>
    </row>
    <row r="158" spans="1:17" ht="15" hidden="1" customHeight="1" x14ac:dyDescent="0.3">
      <c r="A158" s="3626"/>
      <c r="B158" s="2542" t="s">
        <v>3099</v>
      </c>
      <c r="C158" s="344"/>
      <c r="D158" s="1289" t="s">
        <v>3126</v>
      </c>
      <c r="E158" s="1898"/>
      <c r="F158" s="1939"/>
      <c r="G158" s="2063"/>
      <c r="H158" s="1900"/>
      <c r="I158" s="2633" t="s">
        <v>133</v>
      </c>
      <c r="J158" s="1895"/>
      <c r="K158" s="1895"/>
      <c r="L158" s="1895"/>
      <c r="M158" s="1780"/>
      <c r="N158" s="1711"/>
      <c r="O158" s="1594"/>
      <c r="P158" s="985"/>
      <c r="Q158" s="848">
        <f ca="1">SUM(Q147:Q158)</f>
        <v>119000</v>
      </c>
    </row>
    <row r="159" spans="1:17" ht="15" hidden="1" customHeight="1" x14ac:dyDescent="0.3">
      <c r="A159" s="3626"/>
      <c r="B159" s="1907"/>
      <c r="C159" s="1908"/>
      <c r="D159" s="1909" t="s">
        <v>3000</v>
      </c>
      <c r="E159" s="1910">
        <f>SUM(E147:E158)</f>
        <v>9250000</v>
      </c>
      <c r="F159" s="1911"/>
      <c r="G159" s="1912">
        <f>SUM(G147:G158)</f>
        <v>846000</v>
      </c>
      <c r="H159" s="1911"/>
      <c r="I159" s="2634"/>
      <c r="J159" s="1913"/>
      <c r="K159" s="1913"/>
      <c r="L159" s="1913"/>
      <c r="M159" s="287"/>
      <c r="N159" s="3590" t="s">
        <v>3026</v>
      </c>
      <c r="O159" s="3590"/>
      <c r="P159" s="3590"/>
      <c r="Q159" s="2591">
        <f ca="1">G159+Q158</f>
        <v>965000</v>
      </c>
    </row>
    <row r="160" spans="1:17" ht="15" hidden="1" customHeight="1" x14ac:dyDescent="0.3">
      <c r="A160" s="3627"/>
      <c r="B160" s="1914"/>
      <c r="C160" s="1915"/>
      <c r="D160" s="3630" t="s">
        <v>3002</v>
      </c>
      <c r="E160" s="3631"/>
      <c r="F160" s="3631"/>
      <c r="H160" s="1918"/>
      <c r="I160" s="2635"/>
      <c r="J160" s="1920"/>
      <c r="K160" s="1920"/>
      <c r="L160" s="1920"/>
      <c r="M160" s="287"/>
      <c r="N160" s="968"/>
      <c r="O160" s="968"/>
      <c r="P160" s="2073"/>
      <c r="Q160" s="1919"/>
    </row>
    <row r="161" spans="1:17" ht="15.6" hidden="1" x14ac:dyDescent="0.3">
      <c r="A161" s="2536"/>
      <c r="B161" s="1922"/>
      <c r="C161" s="1922"/>
      <c r="D161" s="1922"/>
      <c r="E161" s="1923"/>
      <c r="F161" s="1922"/>
      <c r="G161" s="1924"/>
      <c r="H161" s="1922"/>
      <c r="I161" s="2636"/>
      <c r="J161" s="1922"/>
      <c r="K161" s="1922"/>
      <c r="L161" s="1922"/>
      <c r="M161" s="468"/>
      <c r="N161" s="469"/>
      <c r="O161" s="469"/>
      <c r="P161" s="3289"/>
      <c r="Q161" s="463"/>
    </row>
    <row r="162" spans="1:17" ht="15.6" hidden="1" x14ac:dyDescent="0.3">
      <c r="A162" s="1921"/>
      <c r="B162" s="1925"/>
      <c r="C162" s="1925"/>
      <c r="D162" s="1925"/>
      <c r="E162" s="1926"/>
      <c r="F162" s="1925"/>
      <c r="G162" s="1927"/>
      <c r="H162" s="1925"/>
      <c r="I162" s="2637"/>
      <c r="J162" s="1925"/>
      <c r="K162" s="1925"/>
      <c r="L162" s="1925"/>
      <c r="M162" s="829"/>
      <c r="N162" s="830"/>
      <c r="O162" s="830"/>
      <c r="P162" s="3290"/>
      <c r="Q162" s="831"/>
    </row>
    <row r="163" spans="1:17" ht="21" hidden="1" x14ac:dyDescent="0.3">
      <c r="A163" s="3632" t="s">
        <v>3054</v>
      </c>
      <c r="B163" s="3632"/>
      <c r="C163" s="3632"/>
      <c r="D163" s="3632"/>
      <c r="E163" s="3632"/>
      <c r="F163" s="3632"/>
      <c r="G163" s="3632"/>
      <c r="H163" s="3633"/>
      <c r="I163" s="3632"/>
      <c r="J163" s="3632"/>
      <c r="K163" s="3632"/>
      <c r="L163" s="3035"/>
      <c r="M163" s="287"/>
      <c r="N163" s="845"/>
      <c r="O163" s="845"/>
      <c r="P163" s="3291"/>
      <c r="Q163" s="294"/>
    </row>
    <row r="164" spans="1:17" hidden="1" x14ac:dyDescent="0.3">
      <c r="A164" s="1928" t="s">
        <v>2974</v>
      </c>
      <c r="B164" s="1928" t="s">
        <v>2975</v>
      </c>
      <c r="C164" s="1928" t="s">
        <v>3004</v>
      </c>
      <c r="D164" s="1928" t="s">
        <v>2977</v>
      </c>
      <c r="E164" s="2370" t="s">
        <v>2978</v>
      </c>
      <c r="F164" s="1928" t="s">
        <v>2979</v>
      </c>
      <c r="G164" s="2371" t="s">
        <v>2980</v>
      </c>
      <c r="H164" s="2746" t="s">
        <v>2981</v>
      </c>
      <c r="I164" s="2326" t="s">
        <v>2982</v>
      </c>
      <c r="J164" s="2372"/>
      <c r="K164" s="2372" t="s">
        <v>2983</v>
      </c>
      <c r="L164" s="2372"/>
      <c r="M164" s="1658" t="s">
        <v>2975</v>
      </c>
      <c r="N164" s="1779" t="s">
        <v>2977</v>
      </c>
      <c r="O164" s="1779" t="s">
        <v>2984</v>
      </c>
      <c r="P164" s="1216" t="s">
        <v>2979</v>
      </c>
      <c r="Q164" s="2" t="s">
        <v>2985</v>
      </c>
    </row>
    <row r="165" spans="1:17" ht="15" hidden="1" customHeight="1" x14ac:dyDescent="0.3">
      <c r="A165" s="3625" t="s">
        <v>2986</v>
      </c>
      <c r="B165" s="2550">
        <v>12705</v>
      </c>
      <c r="C165" s="1232">
        <v>0.1</v>
      </c>
      <c r="D165" s="1256" t="s">
        <v>3127</v>
      </c>
      <c r="E165" s="1942">
        <v>800000</v>
      </c>
      <c r="F165" s="1943">
        <v>0.1</v>
      </c>
      <c r="G165" s="321">
        <f t="shared" ref="G165:G171" si="8">E165*F165</f>
        <v>80000</v>
      </c>
      <c r="H165" s="1905" t="s">
        <v>724</v>
      </c>
      <c r="I165" s="2643" t="s">
        <v>133</v>
      </c>
      <c r="J165" s="3190"/>
      <c r="K165" s="11"/>
      <c r="L165" s="3190"/>
      <c r="M165" s="2544">
        <v>12811</v>
      </c>
      <c r="N165" s="439" t="s">
        <v>3103</v>
      </c>
      <c r="O165" s="1638">
        <v>970000</v>
      </c>
      <c r="P165" s="1216">
        <v>0.05</v>
      </c>
      <c r="Q165" s="2474">
        <f>O165*P165</f>
        <v>48500</v>
      </c>
    </row>
    <row r="166" spans="1:17" ht="15" hidden="1" customHeight="1" x14ac:dyDescent="0.3">
      <c r="A166" s="3626"/>
      <c r="B166" s="2539">
        <v>12728</v>
      </c>
      <c r="C166" s="1232">
        <v>0.1</v>
      </c>
      <c r="D166" s="1256" t="s">
        <v>3128</v>
      </c>
      <c r="E166" s="1942">
        <v>750000</v>
      </c>
      <c r="F166" s="1943">
        <v>0.1</v>
      </c>
      <c r="G166" s="321">
        <f t="shared" si="8"/>
        <v>75000</v>
      </c>
      <c r="H166" s="1905" t="s">
        <v>397</v>
      </c>
      <c r="I166" s="2643" t="s">
        <v>133</v>
      </c>
      <c r="J166" s="2895"/>
      <c r="K166" s="11"/>
      <c r="L166" s="2895"/>
      <c r="M166" s="2538">
        <v>12739</v>
      </c>
      <c r="N166" s="67" t="s">
        <v>3113</v>
      </c>
      <c r="O166" s="1901">
        <v>1000000</v>
      </c>
      <c r="P166" s="1216">
        <v>0.05</v>
      </c>
      <c r="Q166" s="2474">
        <f>O166*P166</f>
        <v>50000</v>
      </c>
    </row>
    <row r="167" spans="1:17" ht="15" hidden="1" customHeight="1" x14ac:dyDescent="0.3">
      <c r="A167" s="3626"/>
      <c r="B167" s="2537">
        <v>12723</v>
      </c>
      <c r="C167" s="1232">
        <v>0.1</v>
      </c>
      <c r="D167" s="1256" t="s">
        <v>3129</v>
      </c>
      <c r="E167" s="1898">
        <v>950000</v>
      </c>
      <c r="F167" s="1943">
        <v>0.1</v>
      </c>
      <c r="G167" s="321">
        <f t="shared" si="8"/>
        <v>95000</v>
      </c>
      <c r="H167" s="1900" t="s">
        <v>397</v>
      </c>
      <c r="I167" s="2644" t="s">
        <v>1455</v>
      </c>
      <c r="J167" s="3190"/>
      <c r="K167" s="11"/>
      <c r="L167" s="3190"/>
      <c r="M167" s="2580"/>
      <c r="N167" s="1680"/>
      <c r="O167" s="1898"/>
      <c r="P167" s="1720"/>
      <c r="Q167" s="2518"/>
    </row>
    <row r="168" spans="1:17" ht="15" hidden="1" customHeight="1" x14ac:dyDescent="0.3">
      <c r="A168" s="3626"/>
      <c r="B168" s="2537">
        <v>12709</v>
      </c>
      <c r="C168" s="1232">
        <v>0.1</v>
      </c>
      <c r="D168" s="1256" t="s">
        <v>3130</v>
      </c>
      <c r="E168" s="1898">
        <v>1100000</v>
      </c>
      <c r="F168" s="1943">
        <v>0.1</v>
      </c>
      <c r="G168" s="321">
        <f t="shared" si="8"/>
        <v>110000</v>
      </c>
      <c r="H168" s="1900" t="s">
        <v>397</v>
      </c>
      <c r="I168" s="2644" t="s">
        <v>105</v>
      </c>
      <c r="J168" s="3190"/>
      <c r="K168" s="11"/>
      <c r="L168" s="3190"/>
      <c r="M168" s="2580"/>
      <c r="N168" s="2532"/>
      <c r="O168" s="1898"/>
      <c r="P168" s="1720"/>
      <c r="Q168" s="2474"/>
    </row>
    <row r="169" spans="1:17" ht="15" hidden="1" customHeight="1" x14ac:dyDescent="0.3">
      <c r="A169" s="3626"/>
      <c r="B169" s="2556">
        <v>12814</v>
      </c>
      <c r="C169" s="1232">
        <v>0.1</v>
      </c>
      <c r="D169" s="86" t="s">
        <v>3131</v>
      </c>
      <c r="E169" s="1898">
        <v>840000</v>
      </c>
      <c r="F169" s="1943">
        <v>0.1</v>
      </c>
      <c r="G169" s="321">
        <f t="shared" si="8"/>
        <v>84000</v>
      </c>
      <c r="H169" s="1900" t="s">
        <v>397</v>
      </c>
      <c r="I169" s="2644" t="s">
        <v>1455</v>
      </c>
      <c r="J169" s="3044"/>
      <c r="K169" s="1971"/>
      <c r="L169" s="3044"/>
      <c r="M169" s="64"/>
      <c r="N169" s="64"/>
      <c r="O169" s="1779"/>
      <c r="P169" s="1216"/>
      <c r="Q169" s="2"/>
    </row>
    <row r="170" spans="1:17" ht="15" hidden="1" customHeight="1" x14ac:dyDescent="0.3">
      <c r="A170" s="3626"/>
      <c r="B170" s="2543">
        <v>12856</v>
      </c>
      <c r="C170" s="1232">
        <v>0.1</v>
      </c>
      <c r="D170" s="526" t="s">
        <v>3132</v>
      </c>
      <c r="E170" s="1898">
        <v>800000</v>
      </c>
      <c r="F170" s="1943">
        <v>0.1</v>
      </c>
      <c r="G170" s="321">
        <f t="shared" si="8"/>
        <v>80000</v>
      </c>
      <c r="H170" s="1900" t="s">
        <v>397</v>
      </c>
      <c r="I170" s="2644" t="s">
        <v>1770</v>
      </c>
      <c r="J170" s="3043"/>
      <c r="K170" s="2506"/>
      <c r="L170" s="3043"/>
      <c r="M170" s="64"/>
      <c r="N170" s="64"/>
      <c r="O170" s="1779"/>
      <c r="P170" s="1216"/>
      <c r="Q170" s="848">
        <f ca="1">SUM(Q165:Q172)</f>
        <v>98500</v>
      </c>
    </row>
    <row r="171" spans="1:17" ht="15" hidden="1" customHeight="1" x14ac:dyDescent="0.3">
      <c r="A171" s="3626"/>
      <c r="B171" s="2581">
        <v>10899</v>
      </c>
      <c r="C171" s="1232">
        <v>0.1</v>
      </c>
      <c r="D171" s="526" t="s">
        <v>3114</v>
      </c>
      <c r="E171" s="1898">
        <v>1000000</v>
      </c>
      <c r="F171" s="1943">
        <v>0.05</v>
      </c>
      <c r="G171" s="321">
        <f t="shared" si="8"/>
        <v>50000</v>
      </c>
      <c r="H171" s="1900" t="s">
        <v>1685</v>
      </c>
      <c r="I171" s="2644" t="s">
        <v>1770</v>
      </c>
      <c r="J171" s="3043"/>
      <c r="K171" s="2506"/>
      <c r="L171" s="3043"/>
      <c r="M171" s="64"/>
      <c r="N171" s="64"/>
      <c r="O171" s="1779"/>
      <c r="P171" s="1216"/>
      <c r="Q171" s="2"/>
    </row>
    <row r="172" spans="1:17" ht="15" hidden="1" customHeight="1" x14ac:dyDescent="0.3">
      <c r="A172" s="3626"/>
      <c r="B172" s="2557"/>
      <c r="C172" s="33"/>
      <c r="D172" s="1680"/>
      <c r="E172" s="1942"/>
      <c r="F172" s="1943"/>
      <c r="G172" s="1944"/>
      <c r="H172" s="1905"/>
      <c r="I172" s="2632"/>
      <c r="J172" s="1905"/>
      <c r="K172" s="1905"/>
      <c r="L172" s="1905"/>
      <c r="M172" s="1779"/>
      <c r="N172" s="1484"/>
      <c r="O172" s="1484"/>
      <c r="P172" s="3293"/>
      <c r="Q172" s="2"/>
    </row>
    <row r="173" spans="1:17" ht="15" hidden="1" customHeight="1" x14ac:dyDescent="0.3">
      <c r="A173" s="3626"/>
      <c r="B173" s="1947"/>
      <c r="C173" s="1911"/>
      <c r="D173" s="1948" t="s">
        <v>3000</v>
      </c>
      <c r="E173" s="1910">
        <f>SUM(E165:E172)</f>
        <v>6240000</v>
      </c>
      <c r="F173" s="1911"/>
      <c r="G173" s="2594">
        <f>SUM(G165:G172)</f>
        <v>574000</v>
      </c>
      <c r="H173" s="1911"/>
      <c r="I173" s="2634"/>
      <c r="J173" s="1911"/>
      <c r="K173" s="1911"/>
      <c r="L173" s="1911"/>
      <c r="M173" s="287"/>
      <c r="N173" s="3593" t="s">
        <v>3026</v>
      </c>
      <c r="O173" s="3593"/>
      <c r="P173" s="3593"/>
      <c r="Q173" s="2593">
        <f ca="1">G173+Q170</f>
        <v>672500</v>
      </c>
    </row>
    <row r="174" spans="1:17" ht="15" hidden="1" customHeight="1" x14ac:dyDescent="0.3">
      <c r="A174" s="3627"/>
      <c r="B174" s="1949"/>
      <c r="C174" s="1915"/>
      <c r="D174" s="3630" t="s">
        <v>3002</v>
      </c>
      <c r="E174" s="3631"/>
      <c r="F174" s="3647"/>
      <c r="G174" s="11"/>
      <c r="H174" s="1949"/>
      <c r="I174" s="2639"/>
      <c r="J174" s="2376"/>
      <c r="K174" s="2376"/>
      <c r="L174" s="2376"/>
      <c r="M174" s="895"/>
      <c r="N174" s="968"/>
      <c r="O174" s="968"/>
      <c r="P174" s="2073"/>
      <c r="Q174" s="294"/>
    </row>
    <row r="175" spans="1:17" hidden="1" x14ac:dyDescent="0.3">
      <c r="E175" s="2592">
        <f>E165+E166+E167+E169+E170+E171</f>
        <v>5140000</v>
      </c>
    </row>
    <row r="176" spans="1:17" ht="15" hidden="1" customHeight="1" x14ac:dyDescent="0.3">
      <c r="A176" s="3603" t="s">
        <v>3064</v>
      </c>
      <c r="B176" s="3604"/>
      <c r="C176" s="79"/>
      <c r="D176" s="1249">
        <f>E108+E128+E141+E159+E175</f>
        <v>43360000</v>
      </c>
    </row>
    <row r="177" spans="1:17" ht="15" hidden="1" customHeight="1" x14ac:dyDescent="0.3">
      <c r="A177" s="3605" t="s">
        <v>3065</v>
      </c>
      <c r="B177" s="3606"/>
      <c r="C177" s="41"/>
      <c r="D177" s="1437"/>
    </row>
    <row r="178" spans="1:17" ht="15" hidden="1" customHeight="1" x14ac:dyDescent="0.3">
      <c r="A178" s="3607" t="s">
        <v>3066</v>
      </c>
      <c r="B178" s="3608"/>
      <c r="C178" s="45"/>
      <c r="D178" s="2500"/>
    </row>
    <row r="179" spans="1:17" ht="15" hidden="1" customHeight="1" x14ac:dyDescent="0.3">
      <c r="A179" s="3609" t="s">
        <v>3067</v>
      </c>
      <c r="B179" s="3610"/>
      <c r="C179" s="651"/>
      <c r="D179" s="1573"/>
    </row>
    <row r="180" spans="1:17" ht="15" hidden="1" customHeight="1" x14ac:dyDescent="0.3">
      <c r="A180" s="3611" t="s">
        <v>3068</v>
      </c>
      <c r="B180" s="3612"/>
      <c r="C180" s="1513"/>
      <c r="D180" s="729"/>
    </row>
    <row r="181" spans="1:17" ht="15" hidden="1" customHeight="1" x14ac:dyDescent="0.3">
      <c r="A181" s="3580" t="s">
        <v>3069</v>
      </c>
      <c r="B181" s="3580"/>
      <c r="C181" s="1513"/>
      <c r="D181" s="2529"/>
    </row>
    <row r="182" spans="1:17" hidden="1" x14ac:dyDescent="0.3">
      <c r="A182" s="2234"/>
      <c r="B182" s="2410" t="s">
        <v>3070</v>
      </c>
      <c r="C182" s="43"/>
      <c r="D182" s="1157" t="s">
        <v>3133</v>
      </c>
    </row>
    <row r="183" spans="1:17" hidden="1" x14ac:dyDescent="0.3">
      <c r="D183" s="603"/>
      <c r="E183" s="2535"/>
    </row>
    <row r="185" spans="1:17" ht="46.2" x14ac:dyDescent="0.85">
      <c r="A185" s="3649" t="s">
        <v>3134</v>
      </c>
      <c r="B185" s="3649"/>
      <c r="C185" s="3649"/>
      <c r="D185" s="3649"/>
      <c r="E185" s="3649"/>
      <c r="F185" s="3649"/>
      <c r="G185" s="3649"/>
      <c r="H185" s="3650"/>
      <c r="I185" s="3649"/>
      <c r="J185" s="3649"/>
      <c r="K185" s="3649"/>
      <c r="L185" s="3036"/>
    </row>
    <row r="187" spans="1:17" ht="46.2" x14ac:dyDescent="0.85">
      <c r="A187" s="3623" t="s">
        <v>3135</v>
      </c>
      <c r="B187" s="3623"/>
      <c r="C187" s="3623"/>
      <c r="D187" s="3623"/>
      <c r="E187" s="3623"/>
      <c r="F187" s="3623"/>
      <c r="G187" s="3623"/>
      <c r="H187" s="3585"/>
      <c r="I187" s="3623"/>
      <c r="J187" s="3623"/>
      <c r="K187" s="3623"/>
      <c r="L187" s="3033"/>
    </row>
    <row r="189" spans="1:17" ht="21" customHeight="1" x14ac:dyDescent="0.4">
      <c r="A189" s="3641" t="s">
        <v>3136</v>
      </c>
      <c r="B189" s="3641"/>
      <c r="C189" s="3641"/>
      <c r="D189" s="3641"/>
      <c r="E189" s="3641"/>
      <c r="F189" s="3641"/>
      <c r="G189" s="3641"/>
      <c r="H189" s="3555"/>
      <c r="I189" s="3641"/>
      <c r="J189" s="3641"/>
      <c r="K189" s="3641"/>
      <c r="L189" s="3039"/>
      <c r="M189" s="3642" t="s">
        <v>2973</v>
      </c>
      <c r="N189" s="3642"/>
      <c r="O189" s="3642"/>
      <c r="P189" s="3642"/>
      <c r="Q189" s="2"/>
    </row>
    <row r="190" spans="1:17" ht="15" customHeight="1" x14ac:dyDescent="0.3">
      <c r="A190" s="1666" t="s">
        <v>2974</v>
      </c>
      <c r="B190" s="1928" t="s">
        <v>2975</v>
      </c>
      <c r="C190" s="809" t="s">
        <v>2976</v>
      </c>
      <c r="D190" s="1083" t="s">
        <v>2977</v>
      </c>
      <c r="E190" s="805" t="s">
        <v>2978</v>
      </c>
      <c r="F190" s="1666" t="s">
        <v>2979</v>
      </c>
      <c r="G190" s="167" t="s">
        <v>2980</v>
      </c>
      <c r="H190" s="2746" t="s">
        <v>2981</v>
      </c>
      <c r="I190" s="2276" t="s">
        <v>2982</v>
      </c>
      <c r="J190" s="26"/>
      <c r="K190" s="1666" t="s">
        <v>2983</v>
      </c>
      <c r="L190" s="26"/>
      <c r="M190" s="26" t="s">
        <v>2975</v>
      </c>
      <c r="N190" s="26" t="s">
        <v>2977</v>
      </c>
      <c r="O190" s="26" t="s">
        <v>2984</v>
      </c>
      <c r="P190" s="3288" t="s">
        <v>2979</v>
      </c>
      <c r="Q190" s="268" t="s">
        <v>2985</v>
      </c>
    </row>
    <row r="191" spans="1:17" ht="15" customHeight="1" x14ac:dyDescent="0.3">
      <c r="A191" s="3620" t="s">
        <v>2986</v>
      </c>
      <c r="B191" s="1010">
        <v>13008</v>
      </c>
      <c r="C191" s="274">
        <v>0.1</v>
      </c>
      <c r="D191" s="1256" t="s">
        <v>3137</v>
      </c>
      <c r="E191" s="1632">
        <v>1950000</v>
      </c>
      <c r="F191" s="1216">
        <v>0.12</v>
      </c>
      <c r="G191" s="833">
        <f t="shared" ref="G191:G197" si="9">E191*F191</f>
        <v>234000</v>
      </c>
      <c r="H191" s="2756" t="s">
        <v>1482</v>
      </c>
      <c r="I191" s="2308" t="s">
        <v>217</v>
      </c>
      <c r="J191" s="118"/>
      <c r="K191" s="118"/>
      <c r="L191" s="118"/>
      <c r="M191" s="2607">
        <v>12998</v>
      </c>
      <c r="N191" s="1447" t="s">
        <v>3138</v>
      </c>
      <c r="O191" s="2678">
        <v>1150000</v>
      </c>
      <c r="P191" s="1216">
        <v>0.05</v>
      </c>
      <c r="Q191" s="2679">
        <f>O191*P191</f>
        <v>57500</v>
      </c>
    </row>
    <row r="192" spans="1:17" ht="15" customHeight="1" x14ac:dyDescent="0.3">
      <c r="A192" s="3621"/>
      <c r="B192" s="1010">
        <v>13009</v>
      </c>
      <c r="C192" s="274">
        <v>0.1</v>
      </c>
      <c r="D192" s="1256" t="s">
        <v>3139</v>
      </c>
      <c r="E192" s="1632">
        <v>1300000</v>
      </c>
      <c r="F192" s="1216">
        <v>7.0000000000000007E-2</v>
      </c>
      <c r="G192" s="833">
        <f t="shared" si="9"/>
        <v>91000.000000000015</v>
      </c>
      <c r="H192" s="2756" t="s">
        <v>3010</v>
      </c>
      <c r="I192" s="2308" t="s">
        <v>217</v>
      </c>
      <c r="J192" s="118"/>
      <c r="K192" s="118"/>
      <c r="L192" s="118"/>
      <c r="M192" s="863">
        <v>12992</v>
      </c>
      <c r="N192" s="1233" t="s">
        <v>2015</v>
      </c>
      <c r="O192" s="2678">
        <v>1800000</v>
      </c>
      <c r="P192" s="1216">
        <v>0.05</v>
      </c>
      <c r="Q192" s="2679">
        <f>O192*P192</f>
        <v>90000</v>
      </c>
    </row>
    <row r="193" spans="1:17" ht="15" customHeight="1" x14ac:dyDescent="0.3">
      <c r="A193" s="3621"/>
      <c r="B193" s="2444">
        <v>13004</v>
      </c>
      <c r="C193" s="2420">
        <v>0.1</v>
      </c>
      <c r="D193" s="86" t="s">
        <v>3140</v>
      </c>
      <c r="E193" s="1633">
        <v>1200000</v>
      </c>
      <c r="F193" s="1216">
        <v>7.0000000000000007E-2</v>
      </c>
      <c r="G193" s="833">
        <f t="shared" si="9"/>
        <v>84000.000000000015</v>
      </c>
      <c r="H193" s="3072" t="s">
        <v>2993</v>
      </c>
      <c r="I193" s="2657" t="s">
        <v>217</v>
      </c>
      <c r="J193" s="1735"/>
      <c r="K193" s="1735"/>
      <c r="L193" s="1735"/>
      <c r="M193" s="1779"/>
      <c r="N193" s="1779"/>
      <c r="O193" s="1779"/>
      <c r="P193" s="1216"/>
      <c r="Q193" s="1313"/>
    </row>
    <row r="194" spans="1:17" ht="15" customHeight="1" x14ac:dyDescent="0.3">
      <c r="A194" s="3621"/>
      <c r="B194" s="2450">
        <v>12973</v>
      </c>
      <c r="C194" s="2420">
        <v>0.1</v>
      </c>
      <c r="D194" s="86" t="s">
        <v>3141</v>
      </c>
      <c r="E194" s="1632">
        <v>1650000</v>
      </c>
      <c r="F194" s="1216">
        <v>0.12</v>
      </c>
      <c r="G194" s="833">
        <f t="shared" si="9"/>
        <v>198000</v>
      </c>
      <c r="H194" s="2423" t="s">
        <v>1482</v>
      </c>
      <c r="I194" s="2619" t="s">
        <v>1530</v>
      </c>
      <c r="J194" s="1665"/>
      <c r="K194" s="1779"/>
      <c r="L194" s="1665"/>
      <c r="M194" s="1665"/>
      <c r="N194" s="1665"/>
      <c r="O194" s="1541"/>
      <c r="P194" s="1644"/>
      <c r="Q194" s="51"/>
    </row>
    <row r="195" spans="1:17" ht="15" customHeight="1" x14ac:dyDescent="0.3">
      <c r="A195" s="3621"/>
      <c r="B195" s="2444">
        <v>13062</v>
      </c>
      <c r="C195" s="2420">
        <v>0.1</v>
      </c>
      <c r="D195" s="86" t="s">
        <v>3142</v>
      </c>
      <c r="E195" s="1632">
        <v>1000000</v>
      </c>
      <c r="F195" s="1216">
        <v>7.0000000000000007E-2</v>
      </c>
      <c r="G195" s="833">
        <f t="shared" si="9"/>
        <v>70000</v>
      </c>
      <c r="H195" s="2423" t="s">
        <v>118</v>
      </c>
      <c r="I195" s="2619" t="s">
        <v>1530</v>
      </c>
      <c r="J195" s="1664"/>
      <c r="K195" s="1658"/>
      <c r="L195" s="1664"/>
      <c r="M195" s="1664"/>
      <c r="N195" s="1664"/>
      <c r="O195" s="2656"/>
      <c r="P195" s="2738"/>
      <c r="Q195" s="2484"/>
    </row>
    <row r="196" spans="1:17" ht="15" customHeight="1" x14ac:dyDescent="0.3">
      <c r="A196" s="3621"/>
      <c r="B196" s="2450">
        <v>13101</v>
      </c>
      <c r="C196" s="2420">
        <v>0.1</v>
      </c>
      <c r="D196" s="86" t="s">
        <v>3143</v>
      </c>
      <c r="E196" s="1632">
        <v>1400000</v>
      </c>
      <c r="F196" s="1216">
        <v>0.12</v>
      </c>
      <c r="G196" s="833">
        <f t="shared" si="9"/>
        <v>168000</v>
      </c>
      <c r="H196" s="1900" t="s">
        <v>1482</v>
      </c>
      <c r="I196" s="2621" t="s">
        <v>1530</v>
      </c>
      <c r="J196" s="1548"/>
      <c r="K196" s="1762"/>
      <c r="L196" s="1548"/>
      <c r="M196" s="1779"/>
      <c r="N196" s="1779"/>
      <c r="O196" s="1779"/>
      <c r="P196" s="1216"/>
      <c r="Q196" s="51"/>
    </row>
    <row r="197" spans="1:17" ht="15" customHeight="1" x14ac:dyDescent="0.3">
      <c r="A197" s="3621"/>
      <c r="B197" s="2444">
        <v>13123</v>
      </c>
      <c r="C197" s="2420">
        <v>0.1</v>
      </c>
      <c r="D197" s="86" t="s">
        <v>3144</v>
      </c>
      <c r="E197" s="1632">
        <v>1350000</v>
      </c>
      <c r="F197" s="1216">
        <v>0.12</v>
      </c>
      <c r="G197" s="833">
        <f t="shared" si="9"/>
        <v>162000</v>
      </c>
      <c r="H197" s="2423" t="s">
        <v>1482</v>
      </c>
      <c r="I197" s="2619" t="s">
        <v>1530</v>
      </c>
      <c r="J197" s="1548"/>
      <c r="K197" s="1762"/>
      <c r="L197" s="1548"/>
      <c r="M197" s="1779"/>
      <c r="N197" s="1779"/>
      <c r="O197" s="1779"/>
      <c r="P197" s="1216"/>
      <c r="Q197" s="51"/>
    </row>
    <row r="198" spans="1:17" ht="31.5" customHeight="1" x14ac:dyDescent="0.3">
      <c r="A198" s="3621"/>
      <c r="B198" s="2527" t="s">
        <v>3145</v>
      </c>
      <c r="C198" s="2513"/>
      <c r="D198" s="2349" t="s">
        <v>3146</v>
      </c>
      <c r="E198" s="1632"/>
      <c r="F198" s="1391"/>
      <c r="G198" s="321"/>
      <c r="H198" s="2423"/>
      <c r="I198" s="2619" t="s">
        <v>1530</v>
      </c>
      <c r="J198" s="1779"/>
      <c r="K198" s="1779" t="s">
        <v>3147</v>
      </c>
      <c r="L198" s="1779"/>
      <c r="M198" s="1779"/>
      <c r="N198" s="1779"/>
      <c r="O198" s="1779"/>
      <c r="P198" s="1216"/>
      <c r="Q198" s="51"/>
    </row>
    <row r="199" spans="1:17" ht="15.75" customHeight="1" x14ac:dyDescent="0.3">
      <c r="A199" s="3621"/>
      <c r="B199" s="2527" t="s">
        <v>3022</v>
      </c>
      <c r="C199" s="2513"/>
      <c r="D199" s="2349" t="s">
        <v>3148</v>
      </c>
      <c r="E199" s="1632"/>
      <c r="F199" s="2383"/>
      <c r="G199" s="633"/>
      <c r="H199" s="2423"/>
      <c r="I199" s="2619" t="s">
        <v>1530</v>
      </c>
      <c r="J199" s="1779"/>
      <c r="K199" s="1779"/>
      <c r="L199" s="1779"/>
      <c r="M199" s="1940"/>
      <c r="N199" s="716"/>
      <c r="O199" s="1745"/>
      <c r="P199" s="376"/>
      <c r="Q199" s="376"/>
    </row>
    <row r="200" spans="1:17" ht="15.75" customHeight="1" x14ac:dyDescent="0.3">
      <c r="A200" s="3621"/>
      <c r="B200" s="2555"/>
      <c r="C200" s="638"/>
      <c r="D200" s="2103" t="s">
        <v>3000</v>
      </c>
      <c r="E200" s="1634">
        <f>SUM(E191:E199)</f>
        <v>9850000</v>
      </c>
      <c r="F200" s="956"/>
      <c r="G200" s="1207">
        <f>SUM(G191:G199)</f>
        <v>1007000</v>
      </c>
      <c r="H200" s="2424"/>
      <c r="I200" s="2691"/>
      <c r="J200" s="638"/>
      <c r="K200" s="2690"/>
      <c r="L200" s="638"/>
      <c r="M200" s="316"/>
      <c r="N200" s="3599" t="s">
        <v>3001</v>
      </c>
      <c r="O200" s="3599"/>
      <c r="P200" s="3599"/>
      <c r="Q200" s="297">
        <f>SUM(Q191:Q199)</f>
        <v>147500</v>
      </c>
    </row>
    <row r="201" spans="1:17" ht="15" customHeight="1" x14ac:dyDescent="0.3">
      <c r="A201" s="3622"/>
      <c r="B201" s="1949"/>
      <c r="C201" s="1210"/>
      <c r="D201" s="1211" t="s">
        <v>3002</v>
      </c>
      <c r="E201" s="1212">
        <f>G200+Q200</f>
        <v>1154500</v>
      </c>
      <c r="F201" s="1210"/>
      <c r="G201" s="1213"/>
      <c r="H201" s="1918"/>
      <c r="I201" s="2692"/>
      <c r="J201" s="840"/>
      <c r="K201" s="843"/>
      <c r="L201" s="840"/>
      <c r="M201" s="287"/>
      <c r="N201" s="287"/>
      <c r="O201" s="287"/>
      <c r="P201" s="913"/>
      <c r="Q201" s="294"/>
    </row>
    <row r="202" spans="1:17" ht="15" customHeight="1" x14ac:dyDescent="0.3">
      <c r="A202" s="17"/>
      <c r="B202" s="2399"/>
      <c r="C202" s="17"/>
      <c r="D202" s="1085"/>
      <c r="E202" s="19"/>
      <c r="F202" s="17"/>
      <c r="G202" s="20"/>
      <c r="H202" s="1925"/>
      <c r="I202" s="2230"/>
      <c r="J202" s="17"/>
      <c r="K202" s="18"/>
      <c r="L202" s="17"/>
      <c r="Q202" s="1"/>
    </row>
    <row r="203" spans="1:17" ht="17.25" customHeight="1" x14ac:dyDescent="0.3">
      <c r="A203" s="17"/>
      <c r="B203" s="2399"/>
      <c r="C203" s="17"/>
      <c r="D203" s="1085"/>
      <c r="E203" s="19"/>
      <c r="F203" s="17"/>
      <c r="G203" s="20"/>
      <c r="H203" s="1925"/>
      <c r="I203" s="2230"/>
      <c r="J203" s="17"/>
      <c r="K203" s="18"/>
      <c r="L203" s="17"/>
      <c r="Q203" s="1"/>
    </row>
    <row r="204" spans="1:17" ht="20.25" customHeight="1" x14ac:dyDescent="0.4">
      <c r="A204" s="3643" t="s">
        <v>3149</v>
      </c>
      <c r="B204" s="3643"/>
      <c r="C204" s="3643"/>
      <c r="D204" s="3643"/>
      <c r="E204" s="3643"/>
      <c r="F204" s="3643"/>
      <c r="G204" s="3643"/>
      <c r="H204" s="3600"/>
      <c r="I204" s="3643"/>
      <c r="J204" s="3643"/>
      <c r="K204" s="3643"/>
      <c r="L204" s="3040"/>
      <c r="M204" s="3644" t="s">
        <v>2973</v>
      </c>
      <c r="N204" s="3644"/>
      <c r="O204" s="3644"/>
      <c r="P204" s="3644"/>
      <c r="Q204" s="268"/>
    </row>
    <row r="205" spans="1:17" ht="20.25" customHeight="1" x14ac:dyDescent="0.3">
      <c r="A205" s="1779" t="s">
        <v>2974</v>
      </c>
      <c r="B205" s="2421" t="s">
        <v>2975</v>
      </c>
      <c r="C205" s="1658" t="s">
        <v>3004</v>
      </c>
      <c r="D205" s="2422" t="s">
        <v>2977</v>
      </c>
      <c r="E205" s="1613" t="s">
        <v>2978</v>
      </c>
      <c r="F205" s="1658" t="s">
        <v>2979</v>
      </c>
      <c r="G205" s="1614" t="s">
        <v>2980</v>
      </c>
      <c r="H205" s="2761" t="s">
        <v>2981</v>
      </c>
      <c r="I205" s="2630" t="s">
        <v>2982</v>
      </c>
      <c r="J205" s="1658"/>
      <c r="K205" s="1658" t="s">
        <v>2983</v>
      </c>
      <c r="L205" s="1658"/>
      <c r="M205" s="1658" t="s">
        <v>2975</v>
      </c>
      <c r="N205" s="1779" t="s">
        <v>2977</v>
      </c>
      <c r="O205" s="1779" t="s">
        <v>2984</v>
      </c>
      <c r="P205" s="1216" t="s">
        <v>2979</v>
      </c>
      <c r="Q205" s="51" t="s">
        <v>2985</v>
      </c>
    </row>
    <row r="206" spans="1:17" ht="15" customHeight="1" x14ac:dyDescent="0.3">
      <c r="A206" s="3625" t="s">
        <v>2986</v>
      </c>
      <c r="B206" s="2607">
        <v>12958</v>
      </c>
      <c r="C206" s="2608">
        <v>0.1</v>
      </c>
      <c r="D206" s="1447" t="s">
        <v>3150</v>
      </c>
      <c r="E206" s="1628">
        <v>1300000</v>
      </c>
      <c r="F206" s="376">
        <v>0.1</v>
      </c>
      <c r="G206" s="321">
        <f t="shared" ref="G206:G216" si="10">E206*F206</f>
        <v>130000</v>
      </c>
      <c r="H206" s="1904" t="s">
        <v>3010</v>
      </c>
      <c r="I206" s="2281" t="s">
        <v>1770</v>
      </c>
      <c r="J206" s="1300"/>
      <c r="K206" s="1300"/>
      <c r="L206" s="1300"/>
      <c r="M206" s="1010">
        <v>13009</v>
      </c>
      <c r="N206" s="1447" t="s">
        <v>3139</v>
      </c>
      <c r="O206" s="2678">
        <v>1300000</v>
      </c>
      <c r="P206" s="1216">
        <v>0.05</v>
      </c>
      <c r="Q206" s="2680">
        <f>O206*P206</f>
        <v>65000</v>
      </c>
    </row>
    <row r="207" spans="1:17" ht="15" customHeight="1" x14ac:dyDescent="0.3">
      <c r="A207" s="3626"/>
      <c r="B207" s="2607">
        <v>12991</v>
      </c>
      <c r="C207" s="2608">
        <v>0.1</v>
      </c>
      <c r="D207" s="1447" t="s">
        <v>3151</v>
      </c>
      <c r="E207" s="1628">
        <v>1200000</v>
      </c>
      <c r="F207" s="376">
        <v>0.1</v>
      </c>
      <c r="G207" s="321">
        <f t="shared" si="10"/>
        <v>120000</v>
      </c>
      <c r="H207" s="1904" t="s">
        <v>3010</v>
      </c>
      <c r="I207" s="2281" t="s">
        <v>1770</v>
      </c>
      <c r="J207" s="1300"/>
      <c r="K207" s="1300"/>
      <c r="L207" s="1300"/>
      <c r="M207" s="2702">
        <v>13017</v>
      </c>
      <c r="N207" s="2670" t="s">
        <v>3152</v>
      </c>
      <c r="O207" s="2678">
        <v>1300000</v>
      </c>
      <c r="P207" s="1216">
        <v>0.05</v>
      </c>
      <c r="Q207" s="2680">
        <f t="shared" ref="Q207:Q209" si="11">O207*P207</f>
        <v>65000</v>
      </c>
    </row>
    <row r="208" spans="1:17" ht="15" customHeight="1" x14ac:dyDescent="0.3">
      <c r="A208" s="3626"/>
      <c r="B208" s="1010">
        <v>12937</v>
      </c>
      <c r="C208" s="274">
        <v>0.1</v>
      </c>
      <c r="D208" s="1256" t="s">
        <v>3153</v>
      </c>
      <c r="E208" s="1628">
        <v>1050000</v>
      </c>
      <c r="F208" s="376">
        <v>0.05</v>
      </c>
      <c r="G208" s="321">
        <f t="shared" si="10"/>
        <v>52500</v>
      </c>
      <c r="H208" s="1904" t="s">
        <v>2993</v>
      </c>
      <c r="I208" s="2281" t="s">
        <v>217</v>
      </c>
      <c r="J208" s="1300"/>
      <c r="K208" s="1300"/>
      <c r="L208" s="1300"/>
      <c r="M208" s="1010">
        <v>13042</v>
      </c>
      <c r="N208" s="1447" t="s">
        <v>3154</v>
      </c>
      <c r="O208" s="2678">
        <v>1250000</v>
      </c>
      <c r="P208" s="2468">
        <v>0.04</v>
      </c>
      <c r="Q208" s="2680">
        <f t="shared" si="11"/>
        <v>50000</v>
      </c>
    </row>
    <row r="209" spans="1:17" ht="16.5" customHeight="1" x14ac:dyDescent="0.3">
      <c r="A209" s="3626"/>
      <c r="B209" s="1010">
        <v>12960</v>
      </c>
      <c r="C209" s="2611">
        <v>0.1</v>
      </c>
      <c r="D209" s="1514" t="s">
        <v>3155</v>
      </c>
      <c r="E209" s="1628">
        <v>1250000</v>
      </c>
      <c r="F209" s="376">
        <v>0.1</v>
      </c>
      <c r="G209" s="321">
        <f t="shared" si="10"/>
        <v>125000</v>
      </c>
      <c r="H209" s="1904" t="s">
        <v>3010</v>
      </c>
      <c r="I209" s="2281" t="s">
        <v>217</v>
      </c>
      <c r="J209" s="3191"/>
      <c r="K209" s="2704"/>
      <c r="L209" s="3191"/>
      <c r="M209" s="2703">
        <v>12933</v>
      </c>
      <c r="N209" s="2670" t="s">
        <v>3156</v>
      </c>
      <c r="O209" s="2678">
        <v>1100000</v>
      </c>
      <c r="P209" s="1216">
        <v>0.05</v>
      </c>
      <c r="Q209" s="2680">
        <f t="shared" si="11"/>
        <v>55000</v>
      </c>
    </row>
    <row r="210" spans="1:17" ht="15" customHeight="1" x14ac:dyDescent="0.3">
      <c r="A210" s="3626"/>
      <c r="B210" s="2449">
        <v>12908</v>
      </c>
      <c r="C210" s="761">
        <v>0.1</v>
      </c>
      <c r="D210" s="67" t="s">
        <v>3157</v>
      </c>
      <c r="E210" s="1628">
        <v>1300000</v>
      </c>
      <c r="F210" s="376">
        <v>0.1</v>
      </c>
      <c r="G210" s="321">
        <f t="shared" si="10"/>
        <v>130000</v>
      </c>
      <c r="H210" s="2427" t="s">
        <v>3010</v>
      </c>
      <c r="I210" s="2620" t="s">
        <v>1530</v>
      </c>
      <c r="J210" s="1046"/>
      <c r="K210" s="335"/>
      <c r="L210" s="1046"/>
      <c r="M210" s="2656"/>
      <c r="N210" s="1484"/>
      <c r="O210" s="1779"/>
      <c r="P210" s="1216"/>
      <c r="Q210" s="51"/>
    </row>
    <row r="211" spans="1:17" ht="15" customHeight="1" x14ac:dyDescent="0.3">
      <c r="A211" s="3626"/>
      <c r="B211" s="2450">
        <v>13038</v>
      </c>
      <c r="C211" s="2420">
        <v>0.1</v>
      </c>
      <c r="D211" s="86" t="s">
        <v>3158</v>
      </c>
      <c r="E211" s="2447">
        <v>1200000</v>
      </c>
      <c r="F211" s="376">
        <v>0.05</v>
      </c>
      <c r="G211" s="321">
        <f t="shared" si="10"/>
        <v>60000</v>
      </c>
      <c r="H211" s="2429" t="s">
        <v>3104</v>
      </c>
      <c r="I211" s="2645" t="s">
        <v>217</v>
      </c>
      <c r="J211" s="1046"/>
      <c r="K211" s="770"/>
      <c r="L211" s="1046"/>
      <c r="M211" s="406"/>
      <c r="N211" s="1484"/>
      <c r="O211" s="1779"/>
      <c r="P211" s="1216"/>
      <c r="Q211" s="51"/>
    </row>
    <row r="212" spans="1:17" ht="15" customHeight="1" x14ac:dyDescent="0.3">
      <c r="A212" s="3626"/>
      <c r="B212" s="2450">
        <v>13019</v>
      </c>
      <c r="C212" s="2420">
        <v>0.1</v>
      </c>
      <c r="D212" s="86" t="s">
        <v>3159</v>
      </c>
      <c r="E212" s="494">
        <v>1200000</v>
      </c>
      <c r="F212" s="376">
        <v>0.1</v>
      </c>
      <c r="G212" s="321">
        <f t="shared" si="10"/>
        <v>120000</v>
      </c>
      <c r="H212" s="2493" t="s">
        <v>3010</v>
      </c>
      <c r="I212" s="2641" t="s">
        <v>1530</v>
      </c>
      <c r="J212" s="3192"/>
      <c r="K212" s="335"/>
      <c r="L212" s="3192"/>
      <c r="M212" s="406"/>
      <c r="N212" s="1484"/>
      <c r="O212" s="1779"/>
      <c r="P212" s="1216"/>
      <c r="Q212" s="51"/>
    </row>
    <row r="213" spans="1:17" ht="15" customHeight="1" x14ac:dyDescent="0.3">
      <c r="A213" s="3626"/>
      <c r="B213" s="2450">
        <v>13039</v>
      </c>
      <c r="C213" s="2420">
        <v>0.1</v>
      </c>
      <c r="D213" s="86" t="s">
        <v>3160</v>
      </c>
      <c r="E213" s="1628">
        <v>1300000</v>
      </c>
      <c r="F213" s="376">
        <v>0.1</v>
      </c>
      <c r="G213" s="321">
        <f t="shared" si="10"/>
        <v>130000</v>
      </c>
      <c r="H213" s="1904" t="s">
        <v>3010</v>
      </c>
      <c r="I213" s="2640" t="s">
        <v>1530</v>
      </c>
      <c r="J213" s="3192"/>
      <c r="K213" s="2689"/>
      <c r="L213" s="3192"/>
      <c r="M213" s="406"/>
      <c r="N213" s="792"/>
      <c r="O213" s="1658"/>
      <c r="P213" s="2471"/>
      <c r="Q213" s="1071"/>
    </row>
    <row r="214" spans="1:17" ht="15" customHeight="1" x14ac:dyDescent="0.3">
      <c r="A214" s="3626"/>
      <c r="B214" s="2451">
        <v>13073</v>
      </c>
      <c r="C214" s="2420">
        <v>0.1</v>
      </c>
      <c r="D214" s="1538" t="s">
        <v>3161</v>
      </c>
      <c r="E214" s="1628">
        <v>1700000</v>
      </c>
      <c r="F214" s="376">
        <v>0.1</v>
      </c>
      <c r="G214" s="321">
        <f t="shared" si="10"/>
        <v>170000</v>
      </c>
      <c r="H214" s="1904" t="s">
        <v>3010</v>
      </c>
      <c r="I214" s="2640" t="s">
        <v>217</v>
      </c>
      <c r="J214" s="316"/>
      <c r="K214" s="335"/>
      <c r="L214" s="316"/>
      <c r="M214" s="1779"/>
      <c r="N214" s="1779"/>
      <c r="O214" s="1779"/>
      <c r="P214" s="1216"/>
      <c r="Q214" s="51"/>
    </row>
    <row r="215" spans="1:17" ht="15" customHeight="1" x14ac:dyDescent="0.3">
      <c r="A215" s="3626"/>
      <c r="B215" s="2451">
        <v>13060</v>
      </c>
      <c r="C215" s="2420">
        <v>0.1</v>
      </c>
      <c r="D215" s="1538" t="s">
        <v>3162</v>
      </c>
      <c r="E215" s="1628">
        <v>1200000</v>
      </c>
      <c r="F215" s="376">
        <v>0.1</v>
      </c>
      <c r="G215" s="321">
        <f t="shared" si="10"/>
        <v>120000</v>
      </c>
      <c r="H215" s="1904" t="s">
        <v>3010</v>
      </c>
      <c r="I215" s="2640" t="s">
        <v>217</v>
      </c>
      <c r="J215" s="316"/>
      <c r="K215" s="335"/>
      <c r="L215" s="316"/>
      <c r="M215" s="1779"/>
      <c r="N215" s="1779"/>
      <c r="O215" s="1779"/>
      <c r="P215" s="1216"/>
      <c r="Q215" s="51"/>
    </row>
    <row r="216" spans="1:17" ht="15" customHeight="1" x14ac:dyDescent="0.3">
      <c r="A216" s="3626"/>
      <c r="B216" s="2607">
        <v>13095</v>
      </c>
      <c r="C216" s="2420">
        <v>0.1</v>
      </c>
      <c r="D216" s="1447" t="s">
        <v>3163</v>
      </c>
      <c r="E216" s="1628">
        <v>1400000</v>
      </c>
      <c r="F216" s="376">
        <v>0.1</v>
      </c>
      <c r="G216" s="321">
        <f t="shared" si="10"/>
        <v>140000</v>
      </c>
      <c r="H216" s="1904" t="s">
        <v>3010</v>
      </c>
      <c r="I216" s="2640" t="s">
        <v>1530</v>
      </c>
      <c r="J216" s="316"/>
      <c r="K216" s="335" t="s">
        <v>3164</v>
      </c>
      <c r="L216" s="316"/>
      <c r="M216" s="1779"/>
      <c r="N216" s="1779"/>
      <c r="O216" s="1779"/>
      <c r="P216" s="1216"/>
      <c r="Q216" s="51"/>
    </row>
    <row r="217" spans="1:17" ht="15" customHeight="1" x14ac:dyDescent="0.3">
      <c r="A217" s="3626"/>
      <c r="B217" s="2652" t="s">
        <v>3165</v>
      </c>
      <c r="C217" s="2653"/>
      <c r="D217" s="2349" t="s">
        <v>3166</v>
      </c>
      <c r="E217" s="1628"/>
      <c r="F217" s="1746"/>
      <c r="G217" s="376"/>
      <c r="H217" s="1904"/>
      <c r="I217" s="2640" t="s">
        <v>217</v>
      </c>
      <c r="J217" s="316"/>
      <c r="K217" s="335" t="s">
        <v>3108</v>
      </c>
      <c r="L217" s="316"/>
      <c r="M217" s="1779"/>
      <c r="N217" s="1779"/>
      <c r="O217" s="1779"/>
      <c r="P217" s="1216"/>
      <c r="Q217" s="51"/>
    </row>
    <row r="218" spans="1:17" ht="15" customHeight="1" x14ac:dyDescent="0.3">
      <c r="A218" s="3626"/>
      <c r="B218" s="2612" t="s">
        <v>3165</v>
      </c>
      <c r="C218" s="1237"/>
      <c r="D218" s="2349" t="s">
        <v>3167</v>
      </c>
      <c r="E218" s="1628"/>
      <c r="F218" s="1746"/>
      <c r="G218" s="376"/>
      <c r="H218" s="1904"/>
      <c r="I218" s="2640"/>
      <c r="J218" s="316"/>
      <c r="K218" s="335"/>
      <c r="L218" s="316"/>
      <c r="M218" s="1779"/>
      <c r="N218" s="1779"/>
      <c r="O218" s="1779"/>
      <c r="P218" s="1216"/>
      <c r="Q218" s="51"/>
    </row>
    <row r="219" spans="1:17" ht="15" customHeight="1" x14ac:dyDescent="0.3">
      <c r="A219" s="3626"/>
      <c r="B219" s="2659" t="s">
        <v>3168</v>
      </c>
      <c r="C219" s="344"/>
      <c r="D219" s="1289" t="s">
        <v>3169</v>
      </c>
      <c r="E219" s="1628"/>
      <c r="F219" s="1746"/>
      <c r="G219" s="376"/>
      <c r="H219" s="1904"/>
      <c r="I219" s="2640"/>
      <c r="J219" s="316"/>
      <c r="K219" s="335"/>
      <c r="L219" s="316"/>
      <c r="M219" s="1779"/>
      <c r="N219" s="1779"/>
      <c r="O219" s="1779"/>
      <c r="P219" s="1216"/>
      <c r="Q219" s="51"/>
    </row>
    <row r="220" spans="1:17" ht="15" customHeight="1" x14ac:dyDescent="0.3">
      <c r="A220" s="3626"/>
      <c r="B220" s="1908"/>
      <c r="C220" s="689"/>
      <c r="D220" s="1171" t="s">
        <v>3000</v>
      </c>
      <c r="E220" s="2494">
        <f>SUM(E206:E219)</f>
        <v>14100000</v>
      </c>
      <c r="F220" s="1579"/>
      <c r="G220" s="2662">
        <f>SUM(G206:G219)</f>
        <v>1297500</v>
      </c>
      <c r="H220" s="2066"/>
      <c r="I220" s="2687"/>
      <c r="J220" s="514"/>
      <c r="K220" s="342"/>
      <c r="L220" s="514"/>
      <c r="M220" s="287"/>
      <c r="N220" s="3602" t="s">
        <v>3026</v>
      </c>
      <c r="O220" s="3602"/>
      <c r="P220" s="3602"/>
      <c r="Q220" s="848">
        <f>SUM(Q206:Q219)</f>
        <v>235000</v>
      </c>
    </row>
    <row r="221" spans="1:17" ht="15" customHeight="1" x14ac:dyDescent="0.3">
      <c r="A221" s="3626"/>
      <c r="B221" s="1918"/>
      <c r="C221" s="815"/>
      <c r="D221" s="1184" t="s">
        <v>3002</v>
      </c>
      <c r="E221" s="2700">
        <f>G220+Q220</f>
        <v>1532500</v>
      </c>
      <c r="F221" s="458"/>
      <c r="G221" s="489"/>
      <c r="H221" s="2426"/>
      <c r="I221" s="2688"/>
      <c r="J221" s="840"/>
      <c r="K221" s="843"/>
      <c r="L221" s="840"/>
      <c r="M221" s="287"/>
      <c r="N221" s="968"/>
      <c r="O221" s="968"/>
      <c r="P221" s="2073"/>
      <c r="Q221" s="294"/>
    </row>
    <row r="222" spans="1:17" ht="15" customHeight="1" x14ac:dyDescent="0.3">
      <c r="A222" s="816"/>
      <c r="B222" s="1925"/>
      <c r="C222" s="464"/>
      <c r="D222" s="1118"/>
      <c r="E222" s="466"/>
      <c r="F222" s="464"/>
      <c r="G222" s="467"/>
      <c r="H222" s="1922"/>
      <c r="I222" s="2627"/>
      <c r="J222" s="825"/>
      <c r="K222" s="826"/>
      <c r="L222" s="825"/>
      <c r="M222" s="829"/>
      <c r="N222" s="830"/>
      <c r="O222" s="830"/>
      <c r="P222" s="3290"/>
      <c r="Q222" s="831"/>
    </row>
    <row r="223" spans="1:17" ht="15" customHeight="1" x14ac:dyDescent="0.3">
      <c r="A223" s="816"/>
      <c r="B223" s="1925"/>
      <c r="C223" s="825"/>
      <c r="D223" s="1172"/>
      <c r="E223" s="827"/>
      <c r="F223" s="825"/>
      <c r="G223" s="828"/>
      <c r="H223" s="1925"/>
      <c r="I223" s="2628"/>
      <c r="J223" s="825"/>
      <c r="K223" s="826"/>
      <c r="L223" s="825"/>
      <c r="M223" s="829"/>
      <c r="N223" s="830"/>
      <c r="O223" s="830"/>
      <c r="P223" s="3290"/>
      <c r="Q223" s="831"/>
    </row>
    <row r="224" spans="1:17" ht="21" customHeight="1" x14ac:dyDescent="0.4">
      <c r="A224" s="3624" t="s">
        <v>3170</v>
      </c>
      <c r="B224" s="3624"/>
      <c r="C224" s="3624"/>
      <c r="D224" s="3624"/>
      <c r="E224" s="3624"/>
      <c r="F224" s="3624"/>
      <c r="G224" s="3624"/>
      <c r="H224" s="3493"/>
      <c r="I224" s="3624"/>
      <c r="J224" s="3624"/>
      <c r="K224" s="3624"/>
      <c r="L224" s="3032"/>
      <c r="M224" s="3636" t="s">
        <v>2973</v>
      </c>
      <c r="N224" s="3636"/>
      <c r="O224" s="3636"/>
      <c r="P224" s="3636"/>
      <c r="Q224" s="2"/>
    </row>
    <row r="225" spans="1:17" ht="15" customHeight="1" x14ac:dyDescent="0.3">
      <c r="A225" s="23" t="s">
        <v>2974</v>
      </c>
      <c r="B225" s="1929" t="s">
        <v>2975</v>
      </c>
      <c r="C225" s="3" t="s">
        <v>3004</v>
      </c>
      <c r="D225" s="1086" t="s">
        <v>2977</v>
      </c>
      <c r="E225" s="805" t="s">
        <v>2978</v>
      </c>
      <c r="F225" s="1666" t="s">
        <v>2979</v>
      </c>
      <c r="G225" s="167" t="s">
        <v>2980</v>
      </c>
      <c r="H225" s="2746" t="s">
        <v>2981</v>
      </c>
      <c r="I225" s="2276" t="s">
        <v>2982</v>
      </c>
      <c r="J225" s="809"/>
      <c r="K225" s="1666" t="s">
        <v>2983</v>
      </c>
      <c r="L225" s="809"/>
      <c r="M225" s="1300" t="s">
        <v>2975</v>
      </c>
      <c r="N225" s="1779" t="s">
        <v>2977</v>
      </c>
      <c r="O225" s="406" t="s">
        <v>2984</v>
      </c>
      <c r="P225" s="2471" t="s">
        <v>2979</v>
      </c>
      <c r="Q225" s="268" t="s">
        <v>2985</v>
      </c>
    </row>
    <row r="226" spans="1:17" ht="15" customHeight="1" x14ac:dyDescent="0.3">
      <c r="A226" s="3625" t="s">
        <v>2986</v>
      </c>
      <c r="B226" s="2607">
        <v>12938</v>
      </c>
      <c r="C226" s="2608">
        <v>0.1</v>
      </c>
      <c r="D226" s="1447" t="s">
        <v>3171</v>
      </c>
      <c r="E226" s="1628">
        <v>1000000</v>
      </c>
      <c r="F226" s="2471">
        <v>0.1</v>
      </c>
      <c r="G226" s="1614">
        <f t="shared" ref="G226:G235" si="12">E226*F226</f>
        <v>100000</v>
      </c>
      <c r="H226" s="2761" t="s">
        <v>2993</v>
      </c>
      <c r="I226" s="2646" t="s">
        <v>1770</v>
      </c>
      <c r="J226" s="1735"/>
      <c r="K226" s="1658"/>
      <c r="L226" s="1735"/>
      <c r="M226" s="2451">
        <v>13004</v>
      </c>
      <c r="N226" s="67" t="s">
        <v>3140</v>
      </c>
      <c r="O226" s="2696">
        <v>1200000</v>
      </c>
      <c r="P226" s="1216">
        <v>0.05</v>
      </c>
      <c r="Q226" s="2680">
        <f>O226*P226</f>
        <v>60000</v>
      </c>
    </row>
    <row r="227" spans="1:17" ht="15" customHeight="1" x14ac:dyDescent="0.3">
      <c r="A227" s="3626"/>
      <c r="B227" s="2607">
        <v>12998</v>
      </c>
      <c r="C227" s="2608">
        <v>0.1</v>
      </c>
      <c r="D227" s="1447" t="s">
        <v>3138</v>
      </c>
      <c r="E227" s="1628">
        <v>1150000</v>
      </c>
      <c r="F227" s="2471">
        <v>0.05</v>
      </c>
      <c r="G227" s="1614">
        <f t="shared" si="12"/>
        <v>57500</v>
      </c>
      <c r="H227" s="2761" t="s">
        <v>1482</v>
      </c>
      <c r="I227" s="2646" t="s">
        <v>1770</v>
      </c>
      <c r="J227" s="1300"/>
      <c r="K227" s="1658"/>
      <c r="L227" s="1300"/>
      <c r="M227" s="2607">
        <v>12937</v>
      </c>
      <c r="N227" s="1256" t="s">
        <v>3153</v>
      </c>
      <c r="O227" s="2696">
        <v>1050000</v>
      </c>
      <c r="P227" s="1216">
        <v>0.05</v>
      </c>
      <c r="Q227" s="2680">
        <f t="shared" ref="Q227:Q229" si="13">O227*P227</f>
        <v>52500</v>
      </c>
    </row>
    <row r="228" spans="1:17" ht="15" customHeight="1" x14ac:dyDescent="0.3">
      <c r="A228" s="3626"/>
      <c r="B228" s="1010">
        <v>12916</v>
      </c>
      <c r="C228" s="274">
        <v>0.1</v>
      </c>
      <c r="D228" s="1256" t="s">
        <v>3172</v>
      </c>
      <c r="E228" s="1628">
        <v>1200000</v>
      </c>
      <c r="F228" s="2471">
        <v>0.1</v>
      </c>
      <c r="G228" s="1614">
        <f t="shared" si="12"/>
        <v>120000</v>
      </c>
      <c r="H228" s="2756" t="s">
        <v>2993</v>
      </c>
      <c r="I228" s="2308" t="s">
        <v>217</v>
      </c>
      <c r="J228" s="118"/>
      <c r="K228" s="1779"/>
      <c r="L228" s="118"/>
      <c r="M228" s="2607">
        <v>13054</v>
      </c>
      <c r="N228" s="67" t="s">
        <v>3173</v>
      </c>
      <c r="O228" s="2696">
        <v>1200000</v>
      </c>
      <c r="P228" s="1216">
        <v>0.05</v>
      </c>
      <c r="Q228" s="2680">
        <f t="shared" si="13"/>
        <v>60000</v>
      </c>
    </row>
    <row r="229" spans="1:17" ht="15" customHeight="1" x14ac:dyDescent="0.3">
      <c r="A229" s="3626"/>
      <c r="B229" s="2444">
        <v>12978</v>
      </c>
      <c r="C229" s="2613">
        <v>0.1</v>
      </c>
      <c r="D229" s="1514" t="s">
        <v>3174</v>
      </c>
      <c r="E229" s="1628">
        <v>1150000</v>
      </c>
      <c r="F229" s="2471">
        <v>0.1</v>
      </c>
      <c r="G229" s="1614">
        <f t="shared" si="12"/>
        <v>115000</v>
      </c>
      <c r="H229" s="2756" t="s">
        <v>2993</v>
      </c>
      <c r="I229" s="2308" t="s">
        <v>217</v>
      </c>
      <c r="J229" s="118"/>
      <c r="K229" s="1779"/>
      <c r="L229" s="118"/>
      <c r="M229" s="2607">
        <v>13119</v>
      </c>
      <c r="N229" s="67" t="s">
        <v>3175</v>
      </c>
      <c r="O229" s="2696">
        <v>700000</v>
      </c>
      <c r="P229" s="1216">
        <v>0.05</v>
      </c>
      <c r="Q229" s="2680">
        <f t="shared" si="13"/>
        <v>35000</v>
      </c>
    </row>
    <row r="230" spans="1:17" ht="15" customHeight="1" x14ac:dyDescent="0.3">
      <c r="A230" s="3626"/>
      <c r="B230" s="2450">
        <v>12976</v>
      </c>
      <c r="C230" s="2613">
        <v>0.1</v>
      </c>
      <c r="D230" s="86" t="s">
        <v>3176</v>
      </c>
      <c r="E230" s="1628">
        <v>1250000</v>
      </c>
      <c r="F230" s="2471">
        <v>0.1</v>
      </c>
      <c r="G230" s="1614">
        <f t="shared" si="12"/>
        <v>125000</v>
      </c>
      <c r="H230" s="2756" t="s">
        <v>2993</v>
      </c>
      <c r="I230" s="2308" t="s">
        <v>1530</v>
      </c>
      <c r="J230" s="792"/>
      <c r="K230" s="1779"/>
      <c r="L230" s="792"/>
      <c r="M230" s="792"/>
      <c r="N230" s="1779"/>
      <c r="O230" s="406"/>
      <c r="P230" s="3294"/>
      <c r="Q230" s="268"/>
    </row>
    <row r="231" spans="1:17" ht="15" customHeight="1" x14ac:dyDescent="0.3">
      <c r="A231" s="3626"/>
      <c r="B231" s="2654">
        <v>13017</v>
      </c>
      <c r="C231" s="2613">
        <v>0.1</v>
      </c>
      <c r="D231" s="86" t="s">
        <v>3152</v>
      </c>
      <c r="E231" s="1628">
        <v>1300000</v>
      </c>
      <c r="F231" s="2471">
        <v>0.05</v>
      </c>
      <c r="G231" s="1614">
        <f t="shared" si="12"/>
        <v>65000</v>
      </c>
      <c r="H231" s="2756" t="s">
        <v>3010</v>
      </c>
      <c r="I231" s="2308" t="s">
        <v>217</v>
      </c>
      <c r="J231" s="406"/>
      <c r="K231" s="1779"/>
      <c r="L231" s="406"/>
      <c r="M231" s="406"/>
      <c r="N231" s="1664"/>
      <c r="O231" s="1658"/>
      <c r="P231" s="3294"/>
      <c r="Q231" s="268"/>
    </row>
    <row r="232" spans="1:17" ht="15" customHeight="1" x14ac:dyDescent="0.3">
      <c r="A232" s="3626"/>
      <c r="B232" s="2654">
        <v>13025</v>
      </c>
      <c r="C232" s="2682">
        <v>0.1</v>
      </c>
      <c r="D232" s="86" t="s">
        <v>3177</v>
      </c>
      <c r="E232" s="1628">
        <v>1300000</v>
      </c>
      <c r="F232" s="2471">
        <v>0.1</v>
      </c>
      <c r="G232" s="1614">
        <f t="shared" si="12"/>
        <v>130000</v>
      </c>
      <c r="H232" s="2756" t="s">
        <v>2993</v>
      </c>
      <c r="I232" s="2308" t="s">
        <v>217</v>
      </c>
      <c r="J232" s="406"/>
      <c r="K232" s="1779"/>
      <c r="L232" s="406"/>
      <c r="M232" s="406"/>
      <c r="N232" s="1658"/>
      <c r="O232" s="1658"/>
      <c r="P232" s="3294"/>
      <c r="Q232" s="268"/>
    </row>
    <row r="233" spans="1:17" ht="15" customHeight="1" x14ac:dyDescent="0.3">
      <c r="A233" s="3626"/>
      <c r="B233" s="2607">
        <v>13042</v>
      </c>
      <c r="C233" s="553">
        <v>0.08</v>
      </c>
      <c r="D233" s="1447" t="s">
        <v>3178</v>
      </c>
      <c r="E233" s="1628">
        <v>1200000</v>
      </c>
      <c r="F233" s="2695">
        <v>0.04</v>
      </c>
      <c r="G233" s="1614">
        <f t="shared" si="12"/>
        <v>48000</v>
      </c>
      <c r="H233" s="2756" t="s">
        <v>3010</v>
      </c>
      <c r="I233" s="2308" t="s">
        <v>2060</v>
      </c>
      <c r="J233" s="406"/>
      <c r="K233" s="1779"/>
      <c r="L233" s="406"/>
      <c r="M233" s="406"/>
      <c r="N233" s="1658"/>
      <c r="O233" s="1658"/>
      <c r="P233" s="3294"/>
      <c r="Q233" s="268"/>
    </row>
    <row r="234" spans="1:17" ht="15" customHeight="1" x14ac:dyDescent="0.3">
      <c r="A234" s="3626"/>
      <c r="B234" s="2450">
        <v>13105</v>
      </c>
      <c r="C234" s="2613">
        <v>0.1</v>
      </c>
      <c r="D234" s="86" t="s">
        <v>3179</v>
      </c>
      <c r="E234" s="1628">
        <v>1450000</v>
      </c>
      <c r="F234" s="2471">
        <v>0.05</v>
      </c>
      <c r="G234" s="1614">
        <f t="shared" si="12"/>
        <v>72500</v>
      </c>
      <c r="H234" s="2756" t="s">
        <v>3180</v>
      </c>
      <c r="I234" s="2308" t="s">
        <v>1530</v>
      </c>
      <c r="J234" s="406"/>
      <c r="K234" s="1779"/>
      <c r="L234" s="406"/>
      <c r="M234" s="406"/>
      <c r="N234" s="1658"/>
      <c r="O234" s="1658"/>
      <c r="P234" s="3294"/>
      <c r="Q234" s="268"/>
    </row>
    <row r="235" spans="1:17" ht="15" customHeight="1" x14ac:dyDescent="0.3">
      <c r="A235" s="3626"/>
      <c r="B235" s="2450">
        <v>13096</v>
      </c>
      <c r="C235" s="2613">
        <v>0.1</v>
      </c>
      <c r="D235" s="86" t="s">
        <v>3181</v>
      </c>
      <c r="E235" s="1628">
        <v>800000</v>
      </c>
      <c r="F235" s="2471">
        <v>0.05</v>
      </c>
      <c r="G235" s="1614">
        <f t="shared" si="12"/>
        <v>40000</v>
      </c>
      <c r="H235" s="2761" t="s">
        <v>3044</v>
      </c>
      <c r="I235" s="2630" t="s">
        <v>1530</v>
      </c>
      <c r="J235" s="406"/>
      <c r="K235" s="1658"/>
      <c r="L235" s="406"/>
      <c r="M235" s="406"/>
      <c r="N235" s="1658"/>
      <c r="O235" s="1658"/>
      <c r="P235" s="3294"/>
      <c r="Q235" s="268"/>
    </row>
    <row r="236" spans="1:17" ht="15" customHeight="1" x14ac:dyDescent="0.3">
      <c r="A236" s="3626"/>
      <c r="B236" s="2527" t="s">
        <v>3018</v>
      </c>
      <c r="C236" s="2513"/>
      <c r="D236" s="2349" t="s">
        <v>3182</v>
      </c>
      <c r="E236" s="2525"/>
      <c r="F236" s="1658"/>
      <c r="G236" s="1614"/>
      <c r="H236" s="2761"/>
      <c r="I236" s="2630" t="s">
        <v>1530</v>
      </c>
      <c r="J236" s="406"/>
      <c r="K236" s="1658"/>
      <c r="L236" s="406"/>
      <c r="M236" s="406"/>
      <c r="N236" s="406"/>
      <c r="O236" s="406"/>
      <c r="P236" s="3294"/>
      <c r="Q236" s="268"/>
    </row>
    <row r="237" spans="1:17" ht="15" customHeight="1" x14ac:dyDescent="0.3">
      <c r="A237" s="3626"/>
      <c r="B237" s="2612" t="s">
        <v>3020</v>
      </c>
      <c r="C237" s="103"/>
      <c r="D237" s="729" t="s">
        <v>3183</v>
      </c>
      <c r="E237" s="2525"/>
      <c r="F237" s="1658"/>
      <c r="G237" s="1614"/>
      <c r="H237" s="2761"/>
      <c r="I237" s="2630" t="s">
        <v>217</v>
      </c>
      <c r="J237" s="406"/>
      <c r="K237" s="1658"/>
      <c r="L237" s="406"/>
      <c r="M237" s="406"/>
      <c r="N237" s="406"/>
      <c r="O237" s="406"/>
      <c r="P237" s="3294"/>
      <c r="Q237" s="268"/>
    </row>
    <row r="238" spans="1:17" ht="15" customHeight="1" x14ac:dyDescent="0.3">
      <c r="A238" s="3626"/>
      <c r="B238" s="2609" t="s">
        <v>3022</v>
      </c>
      <c r="C238" s="2610"/>
      <c r="D238" s="1412" t="s">
        <v>3167</v>
      </c>
      <c r="E238" s="2525"/>
      <c r="F238" s="1658"/>
      <c r="G238" s="1614"/>
      <c r="H238" s="2761"/>
      <c r="I238" s="2630" t="s">
        <v>1770</v>
      </c>
      <c r="J238" s="406"/>
      <c r="K238" s="1658"/>
      <c r="L238" s="406"/>
      <c r="M238" s="406"/>
      <c r="N238" s="406"/>
      <c r="O238" s="406"/>
      <c r="P238" s="3294"/>
      <c r="Q238" s="268"/>
    </row>
    <row r="239" spans="1:17" ht="15" customHeight="1" x14ac:dyDescent="0.3">
      <c r="A239" s="3626"/>
      <c r="B239" s="2605" t="s">
        <v>3022</v>
      </c>
      <c r="C239" s="409"/>
      <c r="D239" s="1433" t="s">
        <v>3184</v>
      </c>
      <c r="E239" s="2525"/>
      <c r="F239" s="1658"/>
      <c r="G239" s="1614"/>
      <c r="H239" s="2761"/>
      <c r="I239" s="2630" t="s">
        <v>1770</v>
      </c>
      <c r="J239" s="406"/>
      <c r="K239" s="1658"/>
      <c r="L239" s="406"/>
      <c r="M239" s="406"/>
      <c r="N239" s="406"/>
      <c r="O239" s="406"/>
      <c r="P239" s="3294"/>
      <c r="Q239" s="268"/>
    </row>
    <row r="240" spans="1:17" ht="15" customHeight="1" x14ac:dyDescent="0.3">
      <c r="A240" s="3626"/>
      <c r="B240" s="1911"/>
      <c r="C240" s="2361"/>
      <c r="D240" s="1116" t="s">
        <v>3000</v>
      </c>
      <c r="E240" s="1631">
        <f>SUM(E226:E239)</f>
        <v>11800000</v>
      </c>
      <c r="F240" s="514"/>
      <c r="G240" s="483">
        <f>SUM(G226:G239)</f>
        <v>873000</v>
      </c>
      <c r="H240" s="1911"/>
      <c r="I240" s="2625"/>
      <c r="J240" s="514"/>
      <c r="K240" s="342"/>
      <c r="L240" s="514"/>
      <c r="M240" s="287"/>
      <c r="N240" s="3594" t="s">
        <v>3026</v>
      </c>
      <c r="O240" s="3594"/>
      <c r="P240" s="3594"/>
      <c r="Q240" s="848">
        <f>SUM(Q226:Q239)</f>
        <v>207500</v>
      </c>
    </row>
    <row r="241" spans="1:17" ht="15.75" customHeight="1" x14ac:dyDescent="0.3">
      <c r="A241" s="3626"/>
      <c r="B241" s="1918"/>
      <c r="C241" s="840"/>
      <c r="D241" s="2363" t="s">
        <v>3002</v>
      </c>
      <c r="E241" s="1499">
        <f>G240+Q240</f>
        <v>1080500</v>
      </c>
      <c r="F241" s="1210"/>
      <c r="G241" s="2364"/>
      <c r="H241" s="1915"/>
      <c r="I241" s="2631"/>
      <c r="J241" s="1210"/>
      <c r="K241" s="2365"/>
      <c r="L241" s="1210"/>
      <c r="M241" s="895"/>
      <c r="N241" s="844"/>
      <c r="O241" s="844"/>
      <c r="P241" s="2094"/>
      <c r="Q241" s="294"/>
    </row>
    <row r="242" spans="1:17" ht="15.6" x14ac:dyDescent="0.3">
      <c r="A242" s="816"/>
      <c r="B242" s="1922"/>
      <c r="C242" s="464"/>
      <c r="D242" s="1118"/>
      <c r="E242" s="466"/>
      <c r="F242" s="464"/>
      <c r="G242" s="467"/>
      <c r="H242" s="1922"/>
      <c r="I242" s="2627"/>
      <c r="J242" s="464"/>
      <c r="K242" s="465"/>
      <c r="L242" s="464"/>
      <c r="M242" s="468"/>
      <c r="N242" s="469"/>
      <c r="O242" s="469"/>
      <c r="P242" s="3289"/>
      <c r="Q242" s="463"/>
    </row>
    <row r="243" spans="1:17" ht="15.6" x14ac:dyDescent="0.3">
      <c r="A243" s="816"/>
      <c r="B243" s="1925"/>
      <c r="C243" s="825"/>
      <c r="D243" s="1172"/>
      <c r="E243" s="827"/>
      <c r="F243" s="825"/>
      <c r="G243" s="828"/>
      <c r="H243" s="1925"/>
      <c r="I243" s="2628"/>
      <c r="J243" s="825"/>
      <c r="K243" s="826"/>
      <c r="L243" s="825"/>
      <c r="M243" s="829"/>
      <c r="N243" s="830"/>
      <c r="O243" s="830"/>
      <c r="P243" s="3290"/>
      <c r="Q243" s="831"/>
    </row>
    <row r="244" spans="1:17" ht="21" x14ac:dyDescent="0.4">
      <c r="A244" s="3619" t="s">
        <v>3185</v>
      </c>
      <c r="B244" s="3619"/>
      <c r="C244" s="3619"/>
      <c r="D244" s="3619"/>
      <c r="E244" s="3619"/>
      <c r="F244" s="3619"/>
      <c r="G244" s="3619"/>
      <c r="H244" s="3574"/>
      <c r="I244" s="3619"/>
      <c r="J244" s="3619"/>
      <c r="K244" s="3619"/>
      <c r="L244" s="3031"/>
      <c r="M244" s="287"/>
      <c r="N244" s="845"/>
      <c r="O244" s="845"/>
      <c r="P244" s="3291"/>
      <c r="Q244" s="294"/>
    </row>
    <row r="245" spans="1:17" x14ac:dyDescent="0.3">
      <c r="A245" s="809" t="s">
        <v>2974</v>
      </c>
      <c r="B245" s="1929" t="s">
        <v>2975</v>
      </c>
      <c r="C245" s="3" t="s">
        <v>3004</v>
      </c>
      <c r="D245" s="2531" t="s">
        <v>2977</v>
      </c>
      <c r="E245" s="4" t="s">
        <v>2978</v>
      </c>
      <c r="F245" s="3" t="s">
        <v>2979</v>
      </c>
      <c r="G245" s="5" t="s">
        <v>2980</v>
      </c>
      <c r="H245" s="2843" t="s">
        <v>2981</v>
      </c>
      <c r="I245" s="2229" t="s">
        <v>2982</v>
      </c>
      <c r="J245" s="23"/>
      <c r="K245" s="23" t="s">
        <v>2983</v>
      </c>
      <c r="L245" s="23"/>
      <c r="M245" s="1779" t="s">
        <v>2975</v>
      </c>
      <c r="N245" s="1779" t="s">
        <v>2977</v>
      </c>
      <c r="O245" s="1779" t="s">
        <v>2984</v>
      </c>
      <c r="P245" s="1216" t="s">
        <v>2979</v>
      </c>
      <c r="Q245" s="2" t="s">
        <v>2985</v>
      </c>
    </row>
    <row r="246" spans="1:17" ht="17.25" customHeight="1" x14ac:dyDescent="0.3">
      <c r="A246" s="3625" t="s">
        <v>2986</v>
      </c>
      <c r="B246" s="2607">
        <v>12954</v>
      </c>
      <c r="C246" s="2693">
        <v>0.09</v>
      </c>
      <c r="D246" s="1447" t="s">
        <v>3186</v>
      </c>
      <c r="E246" s="1631">
        <v>1700000</v>
      </c>
      <c r="F246" s="2655">
        <v>0.08</v>
      </c>
      <c r="G246" s="2671">
        <f t="shared" ref="G246:G253" si="14">E246*F246</f>
        <v>136000</v>
      </c>
      <c r="H246" s="1900" t="s">
        <v>3044</v>
      </c>
      <c r="I246" s="2633" t="s">
        <v>1770</v>
      </c>
      <c r="J246" s="1735"/>
      <c r="K246" s="118"/>
      <c r="L246" s="1735"/>
      <c r="M246" s="2683">
        <v>13096</v>
      </c>
      <c r="N246" s="2684" t="s">
        <v>3181</v>
      </c>
      <c r="O246" s="2685">
        <v>1200000</v>
      </c>
      <c r="P246" s="2471">
        <v>0.05</v>
      </c>
      <c r="Q246" s="2686">
        <f>O246*P246</f>
        <v>60000</v>
      </c>
    </row>
    <row r="247" spans="1:17" ht="15" customHeight="1" x14ac:dyDescent="0.3">
      <c r="A247" s="3626"/>
      <c r="B247" s="2607">
        <v>12953</v>
      </c>
      <c r="C247" s="2608">
        <v>0.1</v>
      </c>
      <c r="D247" s="1447" t="s">
        <v>3187</v>
      </c>
      <c r="E247" s="1631">
        <v>720000</v>
      </c>
      <c r="F247" s="1939">
        <v>0.06</v>
      </c>
      <c r="G247" s="2671">
        <f t="shared" si="14"/>
        <v>43200</v>
      </c>
      <c r="H247" s="1900" t="s">
        <v>118</v>
      </c>
      <c r="I247" s="2633" t="s">
        <v>1770</v>
      </c>
      <c r="J247" s="118"/>
      <c r="K247" s="118"/>
      <c r="L247" s="118"/>
      <c r="M247" s="1779"/>
      <c r="N247" s="1779"/>
      <c r="O247" s="1779"/>
      <c r="P247" s="1216"/>
      <c r="Q247" s="2"/>
    </row>
    <row r="248" spans="1:17" ht="15" customHeight="1" x14ac:dyDescent="0.3">
      <c r="A248" s="3626"/>
      <c r="B248" s="2450">
        <v>12909</v>
      </c>
      <c r="C248" s="2694">
        <v>0.08</v>
      </c>
      <c r="D248" s="86" t="s">
        <v>3188</v>
      </c>
      <c r="E248" s="1631">
        <v>1850000</v>
      </c>
      <c r="F248" s="2466">
        <v>0.08</v>
      </c>
      <c r="G248" s="2671">
        <f t="shared" si="14"/>
        <v>148000</v>
      </c>
      <c r="H248" s="1900" t="s">
        <v>3044</v>
      </c>
      <c r="I248" s="2633" t="s">
        <v>1530</v>
      </c>
      <c r="J248" s="118"/>
      <c r="K248" s="118"/>
      <c r="L248" s="118"/>
      <c r="M248" s="1779"/>
      <c r="N248" s="1779"/>
      <c r="O248" s="1779"/>
      <c r="P248" s="1216"/>
      <c r="Q248" s="2"/>
    </row>
    <row r="249" spans="1:17" ht="15" customHeight="1" x14ac:dyDescent="0.3">
      <c r="A249" s="3626"/>
      <c r="B249" s="2450">
        <v>12925</v>
      </c>
      <c r="C249" s="2596">
        <v>0.1</v>
      </c>
      <c r="D249" s="86" t="s">
        <v>3189</v>
      </c>
      <c r="E249" s="1631">
        <v>1000000</v>
      </c>
      <c r="F249" s="1939">
        <v>0.1</v>
      </c>
      <c r="G249" s="2671">
        <f t="shared" si="14"/>
        <v>100000</v>
      </c>
      <c r="H249" s="1900" t="s">
        <v>3044</v>
      </c>
      <c r="I249" s="2633" t="s">
        <v>1530</v>
      </c>
      <c r="J249" s="118"/>
      <c r="K249" s="118"/>
      <c r="L249" s="118"/>
      <c r="M249" s="1779"/>
      <c r="N249" s="1779"/>
      <c r="O249" s="1779"/>
      <c r="P249" s="1216"/>
      <c r="Q249" s="2"/>
    </row>
    <row r="250" spans="1:17" ht="15" customHeight="1" x14ac:dyDescent="0.3">
      <c r="A250" s="3626"/>
      <c r="B250" s="2607">
        <v>13024</v>
      </c>
      <c r="C250" s="2596">
        <v>0.1</v>
      </c>
      <c r="D250" s="1447" t="s">
        <v>3190</v>
      </c>
      <c r="E250" s="1631">
        <v>1000000</v>
      </c>
      <c r="F250" s="1939">
        <v>0.1</v>
      </c>
      <c r="G250" s="2671">
        <f t="shared" si="14"/>
        <v>100000</v>
      </c>
      <c r="H250" s="1900" t="s">
        <v>3044</v>
      </c>
      <c r="I250" s="2633" t="s">
        <v>1976</v>
      </c>
      <c r="J250" s="118"/>
      <c r="K250" s="118"/>
      <c r="L250" s="118"/>
      <c r="M250" s="1779"/>
      <c r="N250" s="1779"/>
      <c r="O250" s="1779"/>
      <c r="P250" s="1216"/>
      <c r="Q250" s="2"/>
    </row>
    <row r="251" spans="1:17" ht="15" customHeight="1" x14ac:dyDescent="0.3">
      <c r="A251" s="3626"/>
      <c r="B251" s="2607">
        <v>13054</v>
      </c>
      <c r="C251" s="2596">
        <v>0.1</v>
      </c>
      <c r="D251" s="86" t="s">
        <v>3173</v>
      </c>
      <c r="E251" s="1631">
        <v>1200000</v>
      </c>
      <c r="F251" s="1939">
        <v>0.05</v>
      </c>
      <c r="G251" s="2671">
        <f t="shared" si="14"/>
        <v>60000</v>
      </c>
      <c r="H251" s="1900" t="s">
        <v>2993</v>
      </c>
      <c r="I251" s="2633" t="s">
        <v>217</v>
      </c>
      <c r="J251" s="118"/>
      <c r="K251" s="118"/>
      <c r="L251" s="118"/>
      <c r="M251" s="1779"/>
      <c r="N251" s="1779"/>
      <c r="O251" s="1779"/>
      <c r="P251" s="1216"/>
      <c r="Q251" s="2"/>
    </row>
    <row r="252" spans="1:17" ht="15" customHeight="1" x14ac:dyDescent="0.3">
      <c r="A252" s="3626"/>
      <c r="B252" s="2607">
        <v>13085</v>
      </c>
      <c r="C252" s="2596">
        <v>0.1</v>
      </c>
      <c r="D252" s="2670" t="s">
        <v>3191</v>
      </c>
      <c r="E252" s="1631">
        <v>960000</v>
      </c>
      <c r="F252" s="1939">
        <v>0.06</v>
      </c>
      <c r="G252" s="2671">
        <f t="shared" si="14"/>
        <v>57600</v>
      </c>
      <c r="H252" s="1900" t="s">
        <v>118</v>
      </c>
      <c r="I252" s="2633" t="s">
        <v>1530</v>
      </c>
      <c r="J252" s="118"/>
      <c r="K252" s="118"/>
      <c r="L252" s="118"/>
      <c r="M252" s="1779"/>
      <c r="N252" s="1779"/>
      <c r="O252" s="1779"/>
      <c r="P252" s="1216"/>
      <c r="Q252" s="2"/>
    </row>
    <row r="253" spans="1:17" ht="15" customHeight="1" x14ac:dyDescent="0.3">
      <c r="A253" s="3626"/>
      <c r="B253" s="2607">
        <v>13119</v>
      </c>
      <c r="C253" s="2596">
        <v>0.1</v>
      </c>
      <c r="D253" s="86" t="s">
        <v>3175</v>
      </c>
      <c r="E253" s="1631">
        <v>700000</v>
      </c>
      <c r="F253" s="1939">
        <v>0.05</v>
      </c>
      <c r="G253" s="2671">
        <f t="shared" si="14"/>
        <v>35000</v>
      </c>
      <c r="H253" s="1900" t="s">
        <v>2993</v>
      </c>
      <c r="I253" s="2633" t="s">
        <v>217</v>
      </c>
      <c r="J253" s="118"/>
      <c r="K253" s="118"/>
      <c r="L253" s="118"/>
      <c r="M253" s="1779"/>
      <c r="N253" s="1779"/>
      <c r="O253" s="1779"/>
      <c r="P253" s="1216"/>
      <c r="Q253" s="2"/>
    </row>
    <row r="254" spans="1:17" ht="15" customHeight="1" x14ac:dyDescent="0.3">
      <c r="A254" s="3626"/>
      <c r="B254" s="2409" t="s">
        <v>3192</v>
      </c>
      <c r="C254" s="2661"/>
      <c r="D254" s="1793" t="s">
        <v>3193</v>
      </c>
      <c r="E254" s="1631"/>
      <c r="F254" s="1939"/>
      <c r="G254" s="2063"/>
      <c r="H254" s="1900"/>
      <c r="I254" s="2633" t="s">
        <v>1530</v>
      </c>
      <c r="J254" s="118"/>
      <c r="K254" s="118"/>
      <c r="L254" s="118"/>
      <c r="M254" s="1779"/>
      <c r="N254" s="1779"/>
      <c r="O254" s="1779"/>
      <c r="P254" s="1216"/>
      <c r="Q254" s="2"/>
    </row>
    <row r="255" spans="1:17" ht="15" customHeight="1" x14ac:dyDescent="0.3">
      <c r="A255" s="3626"/>
      <c r="B255" s="2652" t="s">
        <v>3145</v>
      </c>
      <c r="C255" s="2653"/>
      <c r="D255" s="2349" t="s">
        <v>3194</v>
      </c>
      <c r="E255" s="1631"/>
      <c r="F255" s="1943"/>
      <c r="G255" s="2368"/>
      <c r="H255" s="1905"/>
      <c r="I255" s="2638" t="s">
        <v>217</v>
      </c>
      <c r="J255" s="118"/>
      <c r="K255" s="118"/>
      <c r="L255" s="118"/>
      <c r="M255" s="1779"/>
      <c r="N255" s="1779"/>
      <c r="O255" s="1779"/>
      <c r="P255" s="1216"/>
      <c r="Q255" s="2"/>
    </row>
    <row r="256" spans="1:17" ht="15" customHeight="1" x14ac:dyDescent="0.3">
      <c r="A256" s="3626"/>
      <c r="B256" s="2652" t="s">
        <v>3195</v>
      </c>
      <c r="C256" s="2513"/>
      <c r="D256" s="2349" t="s">
        <v>3196</v>
      </c>
      <c r="E256" s="1631"/>
      <c r="F256" s="1939"/>
      <c r="G256" s="2063"/>
      <c r="H256" s="1900"/>
      <c r="I256" s="2633" t="s">
        <v>1530</v>
      </c>
      <c r="J256" s="118"/>
      <c r="K256" s="118"/>
      <c r="L256" s="118"/>
      <c r="M256" s="1779"/>
      <c r="N256" s="1779"/>
      <c r="O256" s="1779"/>
      <c r="P256" s="1216"/>
      <c r="Q256" s="2"/>
    </row>
    <row r="257" spans="1:17" ht="15" customHeight="1" x14ac:dyDescent="0.3">
      <c r="A257" s="3626"/>
      <c r="B257" s="1947"/>
      <c r="C257" s="1911"/>
      <c r="D257" s="1909" t="s">
        <v>3000</v>
      </c>
      <c r="E257" s="1910">
        <f>SUM(E246:E256)</f>
        <v>9130000</v>
      </c>
      <c r="F257" s="1911"/>
      <c r="G257" s="1912">
        <f>SUM(G246:G256)</f>
        <v>679800</v>
      </c>
      <c r="H257" s="1911"/>
      <c r="I257" s="2634"/>
      <c r="J257" s="2841"/>
      <c r="K257" s="1913"/>
      <c r="L257" s="2841"/>
      <c r="M257" s="895"/>
      <c r="N257" s="3640" t="s">
        <v>3026</v>
      </c>
      <c r="O257" s="3640"/>
      <c r="P257" s="3640"/>
      <c r="Q257" s="1268">
        <f>SUM(Q246:Q256)</f>
        <v>60000</v>
      </c>
    </row>
    <row r="258" spans="1:17" ht="15" customHeight="1" x14ac:dyDescent="0.3">
      <c r="A258" s="3627"/>
      <c r="B258" s="1914"/>
      <c r="C258" s="1918"/>
      <c r="D258" s="2533" t="s">
        <v>3002</v>
      </c>
      <c r="E258" s="1917">
        <f>G257+Q257</f>
        <v>739800</v>
      </c>
      <c r="F258" s="1918"/>
      <c r="G258" s="1919"/>
      <c r="H258" s="1918"/>
      <c r="I258" s="2635"/>
      <c r="J258" s="1920"/>
      <c r="K258" s="1920"/>
      <c r="L258" s="1920"/>
      <c r="M258" s="287"/>
      <c r="N258" s="968"/>
      <c r="O258" s="968"/>
      <c r="P258" s="2073"/>
      <c r="Q258" s="294"/>
    </row>
    <row r="259" spans="1:17" ht="15.6" x14ac:dyDescent="0.3">
      <c r="A259" s="1921"/>
      <c r="B259" s="1925"/>
      <c r="C259" s="1925"/>
      <c r="D259" s="1922"/>
      <c r="E259" s="1923"/>
      <c r="F259" s="1922"/>
      <c r="G259" s="1924"/>
      <c r="H259" s="1922"/>
      <c r="I259" s="2636"/>
      <c r="J259" s="1922"/>
      <c r="K259" s="1922"/>
      <c r="L259" s="1922"/>
      <c r="M259" s="468"/>
      <c r="N259" s="469"/>
      <c r="O259" s="469"/>
      <c r="P259" s="3289"/>
      <c r="Q259" s="463"/>
    </row>
    <row r="260" spans="1:17" ht="15.6" x14ac:dyDescent="0.3">
      <c r="A260" s="1921"/>
      <c r="B260" s="1925"/>
      <c r="C260" s="1925"/>
      <c r="D260" s="1925"/>
      <c r="E260" s="1926"/>
      <c r="F260" s="1925"/>
      <c r="G260" s="1927"/>
      <c r="H260" s="1925"/>
      <c r="I260" s="2637"/>
      <c r="J260" s="1925"/>
      <c r="K260" s="1925"/>
      <c r="L260" s="1925"/>
      <c r="M260" s="829"/>
      <c r="N260" s="830"/>
      <c r="O260" s="830"/>
      <c r="P260" s="3290"/>
      <c r="Q260" s="831"/>
    </row>
    <row r="261" spans="1:17" ht="21" x14ac:dyDescent="0.3">
      <c r="A261" s="3618" t="s">
        <v>3197</v>
      </c>
      <c r="B261" s="3618"/>
      <c r="C261" s="3618"/>
      <c r="D261" s="3618"/>
      <c r="E261" s="3618"/>
      <c r="F261" s="3618"/>
      <c r="G261" s="3618"/>
      <c r="H261" s="3532"/>
      <c r="I261" s="3618"/>
      <c r="J261" s="3618"/>
      <c r="K261" s="3618"/>
      <c r="L261" s="3029"/>
      <c r="M261" s="287"/>
      <c r="N261" s="845"/>
      <c r="O261" s="845"/>
      <c r="P261" s="3291"/>
      <c r="Q261" s="294"/>
    </row>
    <row r="262" spans="1:17" x14ac:dyDescent="0.3">
      <c r="A262" s="1928" t="s">
        <v>2974</v>
      </c>
      <c r="B262" s="1928" t="s">
        <v>2975</v>
      </c>
      <c r="C262" s="1928" t="s">
        <v>3004</v>
      </c>
      <c r="D262" s="1928" t="s">
        <v>2977</v>
      </c>
      <c r="E262" s="2370" t="s">
        <v>2978</v>
      </c>
      <c r="F262" s="1928" t="s">
        <v>2979</v>
      </c>
      <c r="G262" s="2371" t="s">
        <v>2980</v>
      </c>
      <c r="H262" s="2746" t="s">
        <v>2981</v>
      </c>
      <c r="I262" s="2326" t="s">
        <v>2982</v>
      </c>
      <c r="J262" s="2372"/>
      <c r="K262" s="2372" t="s">
        <v>2983</v>
      </c>
      <c r="L262" s="2372"/>
      <c r="M262" s="1658" t="s">
        <v>2975</v>
      </c>
      <c r="N262" s="1779" t="s">
        <v>2977</v>
      </c>
      <c r="O262" s="1779" t="s">
        <v>2984</v>
      </c>
      <c r="P262" s="1216" t="s">
        <v>2979</v>
      </c>
      <c r="Q262" s="2" t="s">
        <v>2985</v>
      </c>
    </row>
    <row r="263" spans="1:17" ht="15" customHeight="1" x14ac:dyDescent="0.3">
      <c r="A263" s="3613" t="s">
        <v>3198</v>
      </c>
      <c r="B263" s="2607">
        <v>12932</v>
      </c>
      <c r="C263" s="2608">
        <v>0.1</v>
      </c>
      <c r="D263" s="1447" t="s">
        <v>3199</v>
      </c>
      <c r="E263" s="1631">
        <v>900000</v>
      </c>
      <c r="F263" s="2638">
        <v>0.08</v>
      </c>
      <c r="G263" s="321">
        <f>E263*F263</f>
        <v>72000</v>
      </c>
      <c r="H263" s="1900" t="s">
        <v>3104</v>
      </c>
      <c r="I263" s="2644" t="s">
        <v>1770</v>
      </c>
      <c r="J263" s="3043"/>
      <c r="K263" s="2506"/>
      <c r="L263" s="3043"/>
      <c r="M263" s="2598"/>
      <c r="N263" s="2598"/>
      <c r="O263" s="2503"/>
      <c r="P263" s="1720"/>
      <c r="Q263" s="2"/>
    </row>
    <row r="264" spans="1:17" ht="15" customHeight="1" x14ac:dyDescent="0.3">
      <c r="A264" s="3614"/>
      <c r="B264" s="1010">
        <v>12907</v>
      </c>
      <c r="C264" s="553">
        <v>0.08</v>
      </c>
      <c r="D264" s="1256" t="s">
        <v>3200</v>
      </c>
      <c r="E264" s="1631">
        <v>1100000</v>
      </c>
      <c r="F264" s="2655">
        <v>0.06</v>
      </c>
      <c r="G264" s="321">
        <f>E264*F264</f>
        <v>66000</v>
      </c>
      <c r="H264" s="1900" t="s">
        <v>3104</v>
      </c>
      <c r="I264" s="2644" t="s">
        <v>217</v>
      </c>
      <c r="J264" s="3043"/>
      <c r="K264" s="2506"/>
      <c r="L264" s="3043"/>
      <c r="M264" s="64"/>
      <c r="N264" s="64"/>
      <c r="O264" s="1779"/>
      <c r="P264" s="1216"/>
      <c r="Q264" s="2"/>
    </row>
    <row r="265" spans="1:17" ht="15" customHeight="1" x14ac:dyDescent="0.3">
      <c r="A265" s="3614"/>
      <c r="B265" s="2450">
        <v>12904</v>
      </c>
      <c r="C265" s="2596">
        <v>0.1</v>
      </c>
      <c r="D265" s="86" t="s">
        <v>3201</v>
      </c>
      <c r="E265" s="1631">
        <v>900000</v>
      </c>
      <c r="F265" s="1939">
        <v>0.04</v>
      </c>
      <c r="G265" s="321">
        <f>E265*F265</f>
        <v>36000</v>
      </c>
      <c r="H265" s="1900" t="s">
        <v>1482</v>
      </c>
      <c r="I265" s="2644" t="s">
        <v>1530</v>
      </c>
      <c r="J265" s="3043"/>
      <c r="K265" s="2506"/>
      <c r="L265" s="3043"/>
      <c r="M265" s="64"/>
      <c r="N265" s="64"/>
      <c r="O265" s="1779"/>
      <c r="P265" s="1216"/>
      <c r="Q265" s="2"/>
    </row>
    <row r="266" spans="1:17" ht="15" customHeight="1" x14ac:dyDescent="0.3">
      <c r="A266" s="3614"/>
      <c r="B266" s="2614">
        <v>12933</v>
      </c>
      <c r="C266" s="2596">
        <v>0.1</v>
      </c>
      <c r="D266" s="86" t="s">
        <v>3156</v>
      </c>
      <c r="E266" s="1631">
        <v>1100000</v>
      </c>
      <c r="F266" s="1939">
        <v>0.04</v>
      </c>
      <c r="G266" s="321">
        <f>E266*F266</f>
        <v>44000</v>
      </c>
      <c r="H266" s="1900" t="s">
        <v>3010</v>
      </c>
      <c r="I266" s="2644" t="s">
        <v>1530</v>
      </c>
      <c r="J266" s="3043"/>
      <c r="K266" s="2506"/>
      <c r="L266" s="3043"/>
      <c r="M266" s="64"/>
      <c r="N266" s="64"/>
      <c r="O266" s="1779"/>
      <c r="P266" s="1216"/>
      <c r="Q266" s="2"/>
    </row>
    <row r="267" spans="1:17" ht="15" customHeight="1" x14ac:dyDescent="0.3">
      <c r="A267" s="3614"/>
      <c r="B267" s="2527" t="s">
        <v>3022</v>
      </c>
      <c r="C267" s="2513"/>
      <c r="D267" s="2349" t="s">
        <v>3202</v>
      </c>
      <c r="E267" s="1631"/>
      <c r="F267" s="1943"/>
      <c r="G267" s="2368"/>
      <c r="H267" s="1905"/>
      <c r="I267" s="2638"/>
      <c r="J267" s="1424"/>
      <c r="K267" s="1173"/>
      <c r="L267" s="1424"/>
      <c r="M267" s="64"/>
      <c r="N267" s="64"/>
      <c r="O267" s="1779"/>
      <c r="P267" s="1216"/>
      <c r="Q267" s="2"/>
    </row>
    <row r="268" spans="1:17" ht="15" customHeight="1" x14ac:dyDescent="0.3">
      <c r="A268" s="3614"/>
      <c r="B268" s="2527" t="s">
        <v>3203</v>
      </c>
      <c r="C268" s="2513"/>
      <c r="D268" s="2349" t="s">
        <v>3204</v>
      </c>
      <c r="E268" s="1631"/>
      <c r="F268" s="1943"/>
      <c r="G268" s="2368"/>
      <c r="H268" s="1905"/>
      <c r="I268" s="2638"/>
      <c r="J268" s="3044"/>
      <c r="K268" s="1905"/>
      <c r="L268" s="3044"/>
      <c r="M268" s="64"/>
      <c r="N268" s="64"/>
      <c r="O268" s="1779"/>
      <c r="P268" s="1216"/>
      <c r="Q268" s="2"/>
    </row>
    <row r="269" spans="1:17" ht="15" customHeight="1" x14ac:dyDescent="0.3">
      <c r="A269" s="3614"/>
      <c r="B269" s="2612" t="s">
        <v>3020</v>
      </c>
      <c r="C269" s="1237"/>
      <c r="D269" s="1169" t="s">
        <v>3205</v>
      </c>
      <c r="E269" s="1631"/>
      <c r="F269" s="1939"/>
      <c r="G269" s="2063"/>
      <c r="H269" s="1900"/>
      <c r="I269" s="2644"/>
      <c r="J269" s="3043"/>
      <c r="K269" s="2506"/>
      <c r="L269" s="3043"/>
      <c r="M269" s="64"/>
      <c r="N269" s="64"/>
      <c r="O269" s="1779"/>
      <c r="P269" s="1216"/>
      <c r="Q269" s="2"/>
    </row>
    <row r="270" spans="1:17" ht="15" customHeight="1" x14ac:dyDescent="0.3">
      <c r="A270" s="3614"/>
      <c r="B270" s="2605" t="s">
        <v>3022</v>
      </c>
      <c r="C270" s="409"/>
      <c r="D270" s="1433" t="s">
        <v>3206</v>
      </c>
      <c r="E270" s="1631"/>
      <c r="F270" s="1943"/>
      <c r="G270" s="1944"/>
      <c r="H270" s="1905"/>
      <c r="I270" s="2632"/>
      <c r="J270" s="1905"/>
      <c r="K270" s="1905"/>
      <c r="L270" s="1905"/>
      <c r="M270" s="1779"/>
      <c r="N270" s="1484"/>
      <c r="O270" s="1484"/>
      <c r="P270" s="3293"/>
      <c r="Q270" s="2"/>
    </row>
    <row r="271" spans="1:17" ht="15" customHeight="1" x14ac:dyDescent="0.3">
      <c r="A271" s="3614"/>
      <c r="B271" s="1947"/>
      <c r="C271" s="1911"/>
      <c r="D271" s="1948" t="s">
        <v>3000</v>
      </c>
      <c r="E271" s="1910">
        <f>SUM(E263:E270)</f>
        <v>4000000</v>
      </c>
      <c r="F271" s="1911"/>
      <c r="G271" s="1912">
        <f>SUM(G263:G270)</f>
        <v>218000</v>
      </c>
      <c r="H271" s="1911"/>
      <c r="I271" s="2634"/>
      <c r="J271" s="1911"/>
      <c r="K271" s="1911"/>
      <c r="L271" s="1911"/>
      <c r="M271" s="287"/>
      <c r="N271" s="3593" t="s">
        <v>3026</v>
      </c>
      <c r="O271" s="3593"/>
      <c r="P271" s="3593"/>
      <c r="Q271" s="848"/>
    </row>
    <row r="272" spans="1:17" ht="15" customHeight="1" x14ac:dyDescent="0.3">
      <c r="A272" s="3615"/>
      <c r="B272" s="1949"/>
      <c r="C272" s="1915"/>
      <c r="D272" s="2373" t="s">
        <v>3002</v>
      </c>
      <c r="E272" s="2374">
        <f>G271</f>
        <v>218000</v>
      </c>
      <c r="F272" s="1915"/>
      <c r="G272" s="2375"/>
      <c r="H272" s="1915"/>
      <c r="I272" s="2639"/>
      <c r="J272" s="2376"/>
      <c r="K272" s="2376"/>
      <c r="L272" s="2376"/>
      <c r="M272" s="895"/>
      <c r="N272" s="968"/>
      <c r="O272" s="968"/>
      <c r="P272" s="2073"/>
      <c r="Q272" s="294"/>
    </row>
    <row r="274" spans="1:17" ht="21" x14ac:dyDescent="0.3">
      <c r="A274" s="3618" t="s">
        <v>3207</v>
      </c>
      <c r="B274" s="3618"/>
      <c r="C274" s="3618"/>
      <c r="D274" s="3618"/>
      <c r="E274" s="3618"/>
      <c r="F274" s="3618"/>
      <c r="G274" s="3618"/>
      <c r="H274" s="3532"/>
      <c r="I274" s="3618"/>
      <c r="J274" s="3618"/>
      <c r="K274" s="3618"/>
      <c r="L274" s="3029"/>
      <c r="M274" s="287"/>
      <c r="N274" s="845"/>
      <c r="O274" s="845"/>
      <c r="P274" s="3291"/>
      <c r="Q274" s="294"/>
    </row>
    <row r="275" spans="1:17" x14ac:dyDescent="0.3">
      <c r="A275" s="1928" t="s">
        <v>2974</v>
      </c>
      <c r="B275" s="1928" t="s">
        <v>2975</v>
      </c>
      <c r="C275" s="1928" t="s">
        <v>3004</v>
      </c>
      <c r="D275" s="1928" t="s">
        <v>2977</v>
      </c>
      <c r="E275" s="2370" t="s">
        <v>2978</v>
      </c>
      <c r="F275" s="1928" t="s">
        <v>2979</v>
      </c>
      <c r="G275" s="2371" t="s">
        <v>2980</v>
      </c>
      <c r="H275" s="2746" t="s">
        <v>2981</v>
      </c>
      <c r="I275" s="2326" t="s">
        <v>2982</v>
      </c>
      <c r="J275" s="2372"/>
      <c r="K275" s="2372" t="s">
        <v>2983</v>
      </c>
      <c r="L275" s="2372"/>
      <c r="M275" s="1658" t="s">
        <v>2975</v>
      </c>
      <c r="N275" s="1779" t="s">
        <v>2977</v>
      </c>
      <c r="O275" s="1779" t="s">
        <v>2984</v>
      </c>
      <c r="P275" s="1216" t="s">
        <v>2979</v>
      </c>
      <c r="Q275" s="2" t="s">
        <v>2985</v>
      </c>
    </row>
    <row r="276" spans="1:17" ht="26.25" customHeight="1" x14ac:dyDescent="0.3">
      <c r="A276" s="3534"/>
      <c r="B276" s="2609" t="s">
        <v>3018</v>
      </c>
      <c r="C276" s="2660"/>
      <c r="D276" s="1433" t="s">
        <v>3208</v>
      </c>
      <c r="E276" s="1631"/>
      <c r="F276" s="1943"/>
      <c r="G276" s="2368"/>
      <c r="H276" s="1905"/>
      <c r="I276" s="2638" t="s">
        <v>1976</v>
      </c>
      <c r="J276" s="3193"/>
      <c r="K276" s="2145" t="s">
        <v>3209</v>
      </c>
      <c r="L276" s="3193"/>
      <c r="M276" s="64"/>
      <c r="N276" s="64"/>
      <c r="O276" s="1779"/>
      <c r="P276" s="1216"/>
      <c r="Q276" s="2"/>
    </row>
    <row r="277" spans="1:17" ht="15" customHeight="1" x14ac:dyDescent="0.3">
      <c r="A277" s="3535"/>
      <c r="B277" s="2609" t="s">
        <v>3062</v>
      </c>
      <c r="C277" s="2660"/>
      <c r="D277" s="1412" t="s">
        <v>3210</v>
      </c>
      <c r="E277" s="1631"/>
      <c r="F277" s="1943"/>
      <c r="G277" s="2368"/>
      <c r="H277" s="1905"/>
      <c r="I277" s="2638" t="s">
        <v>1976</v>
      </c>
      <c r="J277" s="371"/>
      <c r="K277" s="1058"/>
      <c r="L277" s="371"/>
      <c r="M277" s="64"/>
      <c r="N277" s="64"/>
      <c r="O277" s="1779"/>
      <c r="P277" s="1216"/>
      <c r="Q277" s="2"/>
    </row>
    <row r="278" spans="1:17" ht="15" customHeight="1" x14ac:dyDescent="0.3">
      <c r="A278" s="3535"/>
      <c r="B278" s="1947"/>
      <c r="C278" s="1911"/>
      <c r="D278" s="1948" t="s">
        <v>3000</v>
      </c>
      <c r="E278" s="1910"/>
      <c r="F278" s="1911"/>
      <c r="G278" s="1912"/>
      <c r="H278" s="1911"/>
      <c r="I278" s="2634"/>
      <c r="J278" s="1911"/>
      <c r="K278" s="1911"/>
      <c r="L278" s="1911"/>
      <c r="M278" s="287"/>
      <c r="N278" s="3593" t="s">
        <v>3026</v>
      </c>
      <c r="O278" s="3593"/>
      <c r="P278" s="3593"/>
      <c r="Q278" s="848"/>
    </row>
    <row r="279" spans="1:17" ht="15" customHeight="1" x14ac:dyDescent="0.3">
      <c r="A279" s="3536"/>
      <c r="B279" s="1949"/>
      <c r="C279" s="1915"/>
      <c r="D279" s="2373" t="s">
        <v>3002</v>
      </c>
      <c r="E279" s="2374"/>
      <c r="F279" s="1915"/>
      <c r="G279" s="2375"/>
      <c r="H279" s="1915"/>
      <c r="I279" s="2639"/>
      <c r="J279" s="2376"/>
      <c r="K279" s="2376"/>
      <c r="L279" s="2376"/>
      <c r="M279" s="895"/>
      <c r="N279" s="968"/>
      <c r="O279" s="968"/>
      <c r="P279" s="2073"/>
      <c r="Q279" s="294"/>
    </row>
    <row r="281" spans="1:17" ht="15" customHeight="1" x14ac:dyDescent="0.3">
      <c r="A281" s="3603" t="s">
        <v>3064</v>
      </c>
      <c r="B281" s="3604"/>
      <c r="C281" s="79"/>
      <c r="D281" s="1249">
        <f>E200+E220+E240+E257+E271+E278</f>
        <v>48880000</v>
      </c>
    </row>
    <row r="282" spans="1:17" ht="15" customHeight="1" x14ac:dyDescent="0.3">
      <c r="A282" s="3605" t="s">
        <v>3065</v>
      </c>
      <c r="B282" s="3606"/>
      <c r="C282" s="41"/>
      <c r="D282" s="1437"/>
    </row>
    <row r="283" spans="1:17" ht="15" customHeight="1" x14ac:dyDescent="0.3">
      <c r="A283" s="3607" t="s">
        <v>3066</v>
      </c>
      <c r="B283" s="3608"/>
      <c r="C283" s="45"/>
      <c r="D283" s="2500"/>
    </row>
    <row r="284" spans="1:17" ht="15" customHeight="1" x14ac:dyDescent="0.3">
      <c r="A284" s="3609" t="s">
        <v>3067</v>
      </c>
      <c r="B284" s="3610"/>
      <c r="C284" s="651"/>
      <c r="D284" s="1573"/>
    </row>
    <row r="285" spans="1:17" ht="15" customHeight="1" x14ac:dyDescent="0.3">
      <c r="A285" s="3611" t="s">
        <v>3068</v>
      </c>
      <c r="B285" s="3612"/>
      <c r="C285" s="1513"/>
      <c r="D285" s="729"/>
    </row>
    <row r="286" spans="1:17" ht="15" customHeight="1" x14ac:dyDescent="0.3">
      <c r="A286" s="3580" t="s">
        <v>3069</v>
      </c>
      <c r="B286" s="3580"/>
      <c r="C286" s="1513"/>
      <c r="D286" s="2529"/>
    </row>
    <row r="287" spans="1:17" x14ac:dyDescent="0.3">
      <c r="A287" s="2234"/>
      <c r="B287" s="2410" t="s">
        <v>3070</v>
      </c>
      <c r="C287" s="43"/>
      <c r="D287" s="35">
        <f>SUM(D281:D286)</f>
        <v>48880000</v>
      </c>
    </row>
    <row r="290" spans="1:17" ht="46.2" x14ac:dyDescent="0.85">
      <c r="A290" s="3623" t="s">
        <v>3211</v>
      </c>
      <c r="B290" s="3623"/>
      <c r="C290" s="3623"/>
      <c r="D290" s="3623"/>
      <c r="E290" s="3623"/>
      <c r="F290" s="3623"/>
      <c r="G290" s="3623"/>
      <c r="H290" s="3585"/>
      <c r="I290" s="3623"/>
      <c r="J290" s="3623"/>
      <c r="K290" s="3623"/>
      <c r="L290" s="3033"/>
    </row>
    <row r="292" spans="1:17" ht="21" customHeight="1" x14ac:dyDescent="0.4">
      <c r="A292" s="3641" t="s">
        <v>3212</v>
      </c>
      <c r="B292" s="3641"/>
      <c r="C292" s="3641"/>
      <c r="D292" s="3641"/>
      <c r="E292" s="3641"/>
      <c r="F292" s="3641"/>
      <c r="G292" s="3641"/>
      <c r="H292" s="3555"/>
      <c r="I292" s="3641"/>
      <c r="J292" s="3641"/>
      <c r="K292" s="3641"/>
      <c r="L292" s="3039"/>
      <c r="M292" s="3642" t="s">
        <v>2973</v>
      </c>
      <c r="N292" s="3642"/>
      <c r="O292" s="3642"/>
      <c r="P292" s="3642"/>
      <c r="Q292" s="2"/>
    </row>
    <row r="293" spans="1:17" ht="15" customHeight="1" x14ac:dyDescent="0.3">
      <c r="A293" s="1666" t="s">
        <v>2974</v>
      </c>
      <c r="B293" s="1928" t="s">
        <v>2975</v>
      </c>
      <c r="C293" s="809" t="s">
        <v>2976</v>
      </c>
      <c r="D293" s="1083" t="s">
        <v>2977</v>
      </c>
      <c r="E293" s="805" t="s">
        <v>2978</v>
      </c>
      <c r="F293" s="1666" t="s">
        <v>2979</v>
      </c>
      <c r="G293" s="167" t="s">
        <v>2980</v>
      </c>
      <c r="H293" s="2746" t="s">
        <v>2981</v>
      </c>
      <c r="I293" s="2276" t="s">
        <v>2982</v>
      </c>
      <c r="J293" s="26"/>
      <c r="K293" s="1666" t="s">
        <v>2983</v>
      </c>
      <c r="L293" s="26"/>
      <c r="M293" s="26" t="s">
        <v>2975</v>
      </c>
      <c r="N293" s="26" t="s">
        <v>2977</v>
      </c>
      <c r="O293" s="26" t="s">
        <v>2984</v>
      </c>
      <c r="P293" s="3288" t="s">
        <v>2979</v>
      </c>
      <c r="Q293" s="2" t="s">
        <v>2985</v>
      </c>
    </row>
    <row r="294" spans="1:17" ht="15" customHeight="1" x14ac:dyDescent="0.3">
      <c r="A294" s="3625" t="s">
        <v>2986</v>
      </c>
      <c r="B294" s="1010">
        <v>13207</v>
      </c>
      <c r="C294" s="333">
        <v>0.1</v>
      </c>
      <c r="D294" s="67" t="s">
        <v>3213</v>
      </c>
      <c r="E294" s="1632">
        <v>1500000</v>
      </c>
      <c r="F294" s="1216">
        <v>0.12</v>
      </c>
      <c r="G294" s="2368">
        <f t="shared" ref="G294:G303" si="15">E294*F294</f>
        <v>180000</v>
      </c>
      <c r="H294" s="1900" t="s">
        <v>1482</v>
      </c>
      <c r="I294" s="2620" t="s">
        <v>1530</v>
      </c>
      <c r="J294" s="1548"/>
      <c r="K294" s="1762"/>
      <c r="L294" s="1548"/>
      <c r="M294" s="1010">
        <v>13232</v>
      </c>
      <c r="N294" s="67" t="s">
        <v>3214</v>
      </c>
      <c r="O294" s="1628">
        <v>1100000</v>
      </c>
      <c r="P294" s="2788">
        <v>0.05</v>
      </c>
      <c r="Q294" s="2518">
        <f>O294*P294</f>
        <v>55000</v>
      </c>
    </row>
    <row r="295" spans="1:17" ht="15" customHeight="1" x14ac:dyDescent="0.3">
      <c r="A295" s="3626"/>
      <c r="B295" s="1010">
        <v>13242</v>
      </c>
      <c r="C295" s="333">
        <v>0.1</v>
      </c>
      <c r="D295" s="67" t="s">
        <v>3215</v>
      </c>
      <c r="E295" s="1631">
        <v>1400000</v>
      </c>
      <c r="F295" s="1943">
        <v>0.12</v>
      </c>
      <c r="G295" s="2368">
        <f t="shared" si="15"/>
        <v>168000</v>
      </c>
      <c r="H295" s="1905" t="s">
        <v>1482</v>
      </c>
      <c r="I295" s="2638" t="s">
        <v>1530</v>
      </c>
      <c r="J295" s="307"/>
      <c r="K295" s="1058"/>
      <c r="L295" s="307"/>
      <c r="M295" s="1010">
        <v>13214</v>
      </c>
      <c r="N295" s="67" t="s">
        <v>3216</v>
      </c>
      <c r="O295" s="2676">
        <v>1100000</v>
      </c>
      <c r="P295" s="2788">
        <v>0.05</v>
      </c>
      <c r="Q295" s="2518">
        <f>O295*P295</f>
        <v>55000</v>
      </c>
    </row>
    <row r="296" spans="1:17" ht="15" customHeight="1" x14ac:dyDescent="0.3">
      <c r="A296" s="3626"/>
      <c r="B296" s="1010">
        <v>13228</v>
      </c>
      <c r="C296" s="2693">
        <v>0.08</v>
      </c>
      <c r="D296" s="1256" t="s">
        <v>3217</v>
      </c>
      <c r="E296" s="1632">
        <v>1300000</v>
      </c>
      <c r="F296" s="2456">
        <v>0.06</v>
      </c>
      <c r="G296" s="2368">
        <f t="shared" si="15"/>
        <v>78000</v>
      </c>
      <c r="H296" s="1900" t="s">
        <v>2993</v>
      </c>
      <c r="I296" s="2620" t="s">
        <v>217</v>
      </c>
      <c r="J296" s="2281"/>
      <c r="K296" s="1124"/>
      <c r="L296" s="2281"/>
      <c r="M296" s="863">
        <v>13388</v>
      </c>
      <c r="N296" s="2058" t="s">
        <v>3218</v>
      </c>
      <c r="O296" s="2676">
        <v>1100000</v>
      </c>
      <c r="P296" s="2812">
        <v>0.05</v>
      </c>
      <c r="Q296" s="2518">
        <f>O296*P296</f>
        <v>55000</v>
      </c>
    </row>
    <row r="297" spans="1:17" ht="15" customHeight="1" x14ac:dyDescent="0.3">
      <c r="A297" s="3626"/>
      <c r="B297" s="1010">
        <v>13244</v>
      </c>
      <c r="C297" s="2608">
        <v>0.1</v>
      </c>
      <c r="D297" s="1256" t="s">
        <v>3219</v>
      </c>
      <c r="E297" s="1632">
        <v>1450000</v>
      </c>
      <c r="F297" s="320">
        <v>7.0000000000000007E-2</v>
      </c>
      <c r="G297" s="2368">
        <f t="shared" si="15"/>
        <v>101500.00000000001</v>
      </c>
      <c r="H297" s="1900" t="s">
        <v>3010</v>
      </c>
      <c r="I297" s="2620" t="s">
        <v>1530</v>
      </c>
      <c r="J297" s="1779"/>
      <c r="K297" s="1307"/>
      <c r="L297" s="1779"/>
      <c r="M297" s="863">
        <v>12904</v>
      </c>
      <c r="N297" s="2058" t="s">
        <v>3220</v>
      </c>
      <c r="O297" s="2676">
        <v>900000</v>
      </c>
      <c r="P297" s="2812">
        <v>0.05</v>
      </c>
      <c r="Q297" s="2518">
        <f>O297*P297</f>
        <v>45000</v>
      </c>
    </row>
    <row r="298" spans="1:17" ht="15" customHeight="1" x14ac:dyDescent="0.3">
      <c r="A298" s="3626"/>
      <c r="B298" s="1010">
        <v>13251</v>
      </c>
      <c r="C298" s="333">
        <v>0.1</v>
      </c>
      <c r="D298" s="67" t="s">
        <v>3221</v>
      </c>
      <c r="E298" s="1632">
        <v>1200000</v>
      </c>
      <c r="F298" s="320">
        <v>7.0000000000000007E-2</v>
      </c>
      <c r="G298" s="2368">
        <f t="shared" si="15"/>
        <v>84000.000000000015</v>
      </c>
      <c r="H298" s="1900" t="s">
        <v>3010</v>
      </c>
      <c r="I298" s="2620" t="s">
        <v>217</v>
      </c>
      <c r="J298" s="2281"/>
      <c r="K298" s="1124"/>
      <c r="L298" s="2281"/>
      <c r="M298" s="1779"/>
      <c r="N298" s="64"/>
      <c r="O298" s="1541"/>
      <c r="P298" s="1644"/>
      <c r="Q298" s="1059"/>
    </row>
    <row r="299" spans="1:17" ht="15" customHeight="1" x14ac:dyDescent="0.3">
      <c r="A299" s="3626"/>
      <c r="B299" s="1010">
        <v>13283</v>
      </c>
      <c r="C299" s="2608">
        <v>0.1</v>
      </c>
      <c r="D299" s="1256" t="s">
        <v>3222</v>
      </c>
      <c r="E299" s="1632">
        <v>1200000</v>
      </c>
      <c r="F299" s="320">
        <v>0.12</v>
      </c>
      <c r="G299" s="2368">
        <f t="shared" si="15"/>
        <v>144000</v>
      </c>
      <c r="H299" s="1900" t="s">
        <v>1482</v>
      </c>
      <c r="I299" s="2620" t="s">
        <v>1770</v>
      </c>
      <c r="J299" s="2281"/>
      <c r="K299" s="1124"/>
      <c r="L299" s="2281"/>
      <c r="M299" s="1779"/>
      <c r="N299" s="64"/>
      <c r="O299" s="1541"/>
      <c r="P299" s="1644"/>
      <c r="Q299" s="1059"/>
    </row>
    <row r="300" spans="1:17" ht="15" customHeight="1" x14ac:dyDescent="0.3">
      <c r="A300" s="3626"/>
      <c r="B300" s="1010">
        <v>13336</v>
      </c>
      <c r="C300" s="333">
        <v>0.1</v>
      </c>
      <c r="D300" s="67" t="s">
        <v>3223</v>
      </c>
      <c r="E300" s="1632">
        <v>1200000</v>
      </c>
      <c r="F300" s="320">
        <v>0.12</v>
      </c>
      <c r="G300" s="2368">
        <f t="shared" si="15"/>
        <v>144000</v>
      </c>
      <c r="H300" s="1900" t="s">
        <v>1482</v>
      </c>
      <c r="I300" s="2620" t="s">
        <v>217</v>
      </c>
      <c r="J300" s="2281"/>
      <c r="K300" s="1124"/>
      <c r="L300" s="2281"/>
      <c r="M300" s="1779"/>
      <c r="N300" s="64"/>
      <c r="O300" s="1541"/>
      <c r="P300" s="1644"/>
      <c r="Q300" s="1059"/>
    </row>
    <row r="301" spans="1:17" ht="15" customHeight="1" x14ac:dyDescent="0.3">
      <c r="A301" s="3626"/>
      <c r="B301" s="1010">
        <v>13359</v>
      </c>
      <c r="C301" s="333">
        <v>0.1</v>
      </c>
      <c r="D301" s="67" t="s">
        <v>3224</v>
      </c>
      <c r="E301" s="1632">
        <v>1450000</v>
      </c>
      <c r="F301" s="320">
        <v>0.12</v>
      </c>
      <c r="G301" s="2368">
        <f t="shared" si="15"/>
        <v>174000</v>
      </c>
      <c r="H301" s="1900" t="s">
        <v>1482</v>
      </c>
      <c r="I301" s="2620" t="s">
        <v>217</v>
      </c>
      <c r="J301" s="1658"/>
      <c r="K301" s="1492"/>
      <c r="L301" s="1658"/>
      <c r="M301" s="1658"/>
      <c r="N301" s="406"/>
      <c r="O301" s="2656"/>
      <c r="P301" s="2738"/>
      <c r="Q301" s="2484"/>
    </row>
    <row r="302" spans="1:17" ht="15" customHeight="1" x14ac:dyDescent="0.3">
      <c r="A302" s="3626"/>
      <c r="B302" s="1010">
        <v>13354</v>
      </c>
      <c r="C302" s="333">
        <v>0.1</v>
      </c>
      <c r="D302" s="67" t="s">
        <v>3225</v>
      </c>
      <c r="E302" s="1632">
        <v>1300000</v>
      </c>
      <c r="F302" s="320">
        <v>0.12</v>
      </c>
      <c r="G302" s="2368">
        <f t="shared" si="15"/>
        <v>156000</v>
      </c>
      <c r="H302" s="1900" t="s">
        <v>1482</v>
      </c>
      <c r="I302" s="2621" t="s">
        <v>1770</v>
      </c>
      <c r="J302" s="1779"/>
      <c r="K302" s="1307"/>
      <c r="L302" s="1779"/>
      <c r="M302" s="1779"/>
      <c r="N302" s="1779"/>
      <c r="O302" s="1779"/>
      <c r="P302" s="1216"/>
      <c r="Q302" s="51"/>
    </row>
    <row r="303" spans="1:17" ht="15" customHeight="1" x14ac:dyDescent="0.3">
      <c r="A303" s="3626"/>
      <c r="B303" s="2444" t="s">
        <v>3226</v>
      </c>
      <c r="C303" s="333">
        <v>0.1</v>
      </c>
      <c r="D303" s="1538" t="s">
        <v>3227</v>
      </c>
      <c r="E303" s="1628">
        <v>1000000</v>
      </c>
      <c r="F303" s="320">
        <v>0.12</v>
      </c>
      <c r="G303" s="2368">
        <f t="shared" si="15"/>
        <v>120000</v>
      </c>
      <c r="H303" s="1904" t="s">
        <v>1482</v>
      </c>
      <c r="I303" s="2640" t="s">
        <v>217</v>
      </c>
      <c r="J303" s="316"/>
      <c r="K303" s="335"/>
      <c r="L303" s="316"/>
      <c r="M303" s="1779"/>
      <c r="N303" s="1779"/>
      <c r="O303" s="1779"/>
      <c r="P303" s="1216"/>
      <c r="Q303" s="51"/>
    </row>
    <row r="304" spans="1:17" ht="30.75" customHeight="1" x14ac:dyDescent="0.3">
      <c r="A304" s="3626"/>
      <c r="B304" s="2723" t="s">
        <v>3192</v>
      </c>
      <c r="C304" s="2723"/>
      <c r="D304" s="98" t="s">
        <v>3228</v>
      </c>
      <c r="E304" s="1632"/>
      <c r="F304" s="320"/>
      <c r="G304" s="321"/>
      <c r="H304" s="1900"/>
      <c r="I304" s="2621" t="s">
        <v>217</v>
      </c>
      <c r="J304" s="3194"/>
      <c r="K304" s="2727" t="s">
        <v>3229</v>
      </c>
      <c r="L304" s="3194"/>
      <c r="M304" s="1779"/>
      <c r="N304" s="1779"/>
      <c r="O304" s="1779"/>
      <c r="P304" s="1216"/>
      <c r="Q304" s="51"/>
    </row>
    <row r="305" spans="1:17" ht="15" customHeight="1" x14ac:dyDescent="0.3">
      <c r="A305" s="3626"/>
      <c r="B305" s="2617" t="s">
        <v>3022</v>
      </c>
      <c r="C305" s="2723"/>
      <c r="D305" s="98" t="s">
        <v>3230</v>
      </c>
      <c r="E305" s="1632"/>
      <c r="F305" s="1216"/>
      <c r="G305" s="833"/>
      <c r="H305" s="1900"/>
      <c r="I305" s="2621" t="s">
        <v>1530</v>
      </c>
      <c r="J305" s="1548"/>
      <c r="K305" s="1762" t="s">
        <v>3122</v>
      </c>
      <c r="L305" s="1548"/>
      <c r="M305" s="1779"/>
      <c r="N305" s="1779"/>
      <c r="O305" s="1779"/>
      <c r="P305" s="1216"/>
      <c r="Q305" s="51"/>
    </row>
    <row r="306" spans="1:17" ht="15" customHeight="1" x14ac:dyDescent="0.3">
      <c r="A306" s="3626"/>
      <c r="B306" s="2617" t="s">
        <v>3022</v>
      </c>
      <c r="C306" s="2723"/>
      <c r="D306" s="98" t="s">
        <v>3231</v>
      </c>
      <c r="E306" s="1631"/>
      <c r="F306" s="1943"/>
      <c r="G306" s="2368"/>
      <c r="H306" s="1905"/>
      <c r="I306" s="2786" t="s">
        <v>217</v>
      </c>
      <c r="J306" s="307"/>
      <c r="K306" s="1058" t="s">
        <v>3232</v>
      </c>
      <c r="L306" s="307"/>
      <c r="M306" s="1779"/>
      <c r="N306" s="1779"/>
      <c r="O306" s="1779"/>
      <c r="P306" s="1216"/>
      <c r="Q306" s="51"/>
    </row>
    <row r="307" spans="1:17" ht="15.75" customHeight="1" x14ac:dyDescent="0.3">
      <c r="A307" s="3626"/>
      <c r="B307" s="2659" t="s">
        <v>3203</v>
      </c>
      <c r="C307" s="2723"/>
      <c r="D307" s="98" t="s">
        <v>3233</v>
      </c>
      <c r="E307" s="1631"/>
      <c r="F307" s="1943"/>
      <c r="G307" s="2368"/>
      <c r="H307" s="1905"/>
      <c r="I307" s="2786" t="s">
        <v>1530</v>
      </c>
      <c r="J307" s="307"/>
      <c r="K307" s="1058" t="s">
        <v>3234</v>
      </c>
      <c r="L307" s="307"/>
      <c r="M307" s="1940"/>
      <c r="N307" s="716"/>
      <c r="O307" s="1745"/>
      <c r="P307" s="376"/>
      <c r="Q307" s="376"/>
    </row>
    <row r="308" spans="1:17" ht="15.75" customHeight="1" x14ac:dyDescent="0.3">
      <c r="A308" s="3626"/>
      <c r="B308" s="2398"/>
      <c r="C308" s="638"/>
      <c r="D308" s="1116" t="s">
        <v>3000</v>
      </c>
      <c r="E308" s="1634">
        <f>SUM(E294:E307)</f>
        <v>13000000</v>
      </c>
      <c r="F308" s="956"/>
      <c r="G308" s="1207">
        <f>SUM(G294:G307)</f>
        <v>1349500</v>
      </c>
      <c r="H308" s="2724"/>
      <c r="I308" s="2787"/>
      <c r="J308" s="638"/>
      <c r="K308" s="2690"/>
      <c r="L308" s="638"/>
      <c r="M308" s="316"/>
      <c r="N308" s="3599" t="s">
        <v>3001</v>
      </c>
      <c r="O308" s="3599"/>
      <c r="P308" s="3599"/>
      <c r="Q308" s="297">
        <f>SUM(Q294:Q307)</f>
        <v>210000</v>
      </c>
    </row>
    <row r="309" spans="1:17" ht="15" customHeight="1" x14ac:dyDescent="0.3">
      <c r="A309" s="3627"/>
      <c r="B309" s="1918"/>
      <c r="C309" s="840"/>
      <c r="D309" s="1182" t="s">
        <v>3002</v>
      </c>
      <c r="E309" s="953">
        <f>G308+Q308</f>
        <v>1559500</v>
      </c>
      <c r="F309" s="840"/>
      <c r="G309" s="842"/>
      <c r="H309" s="1918"/>
      <c r="I309" s="2623"/>
      <c r="J309" s="1210"/>
      <c r="K309" s="2365"/>
      <c r="L309" s="1210"/>
      <c r="M309" s="895"/>
      <c r="N309" s="2726"/>
      <c r="O309" s="895"/>
      <c r="P309" s="992"/>
      <c r="Q309" s="430"/>
    </row>
    <row r="310" spans="1:17" ht="15" customHeight="1" x14ac:dyDescent="0.3">
      <c r="A310" s="17"/>
      <c r="B310" s="2399"/>
      <c r="C310" s="17"/>
      <c r="D310" s="1085"/>
      <c r="E310" s="19"/>
      <c r="F310" s="17"/>
      <c r="G310" s="20"/>
      <c r="H310" s="1925"/>
      <c r="I310" s="2230"/>
      <c r="J310" s="17"/>
      <c r="K310" s="18"/>
      <c r="L310" s="17"/>
      <c r="Q310" s="1"/>
    </row>
    <row r="311" spans="1:17" ht="17.25" customHeight="1" x14ac:dyDescent="0.3">
      <c r="A311" s="17"/>
      <c r="B311" s="2399"/>
      <c r="C311" s="17"/>
      <c r="D311" s="1085"/>
      <c r="E311" s="19"/>
      <c r="F311" s="17"/>
      <c r="G311" s="20"/>
      <c r="H311" s="1925"/>
      <c r="I311" s="2230"/>
      <c r="J311" s="17"/>
      <c r="K311" s="18"/>
      <c r="L311" s="17"/>
      <c r="Q311" s="1"/>
    </row>
    <row r="312" spans="1:17" ht="19.5" customHeight="1" x14ac:dyDescent="0.4">
      <c r="A312" s="3643" t="s">
        <v>3149</v>
      </c>
      <c r="B312" s="3643"/>
      <c r="C312" s="3643"/>
      <c r="D312" s="3643"/>
      <c r="E312" s="3643"/>
      <c r="F312" s="3643"/>
      <c r="G312" s="3643"/>
      <c r="H312" s="3600"/>
      <c r="I312" s="3643"/>
      <c r="J312" s="3643"/>
      <c r="K312" s="3643"/>
      <c r="L312" s="3040"/>
      <c r="M312" s="3644" t="s">
        <v>2973</v>
      </c>
      <c r="N312" s="3644"/>
      <c r="O312" s="3644"/>
      <c r="P312" s="3644"/>
      <c r="Q312" s="268"/>
    </row>
    <row r="313" spans="1:17" ht="15" customHeight="1" x14ac:dyDescent="0.3">
      <c r="A313" s="1779" t="s">
        <v>2974</v>
      </c>
      <c r="B313" s="2421" t="s">
        <v>2975</v>
      </c>
      <c r="C313" s="1658" t="s">
        <v>3004</v>
      </c>
      <c r="D313" s="2422" t="s">
        <v>2977</v>
      </c>
      <c r="E313" s="1613" t="s">
        <v>2978</v>
      </c>
      <c r="F313" s="1658" t="s">
        <v>2979</v>
      </c>
      <c r="G313" s="1614" t="s">
        <v>2980</v>
      </c>
      <c r="H313" s="2761" t="s">
        <v>2981</v>
      </c>
      <c r="I313" s="2630" t="s">
        <v>2982</v>
      </c>
      <c r="J313" s="1658"/>
      <c r="K313" s="1658" t="s">
        <v>2983</v>
      </c>
      <c r="L313" s="1658"/>
      <c r="M313" s="1779" t="s">
        <v>2975</v>
      </c>
      <c r="N313" s="1779" t="s">
        <v>2977</v>
      </c>
      <c r="O313" s="1779" t="s">
        <v>2984</v>
      </c>
      <c r="P313" s="1216" t="s">
        <v>2979</v>
      </c>
      <c r="Q313" s="51" t="s">
        <v>2985</v>
      </c>
    </row>
    <row r="314" spans="1:17" ht="15" customHeight="1" x14ac:dyDescent="0.3">
      <c r="A314" s="1735"/>
      <c r="B314" s="1010">
        <v>13210</v>
      </c>
      <c r="C314" s="2608">
        <v>0.1</v>
      </c>
      <c r="D314" s="1256" t="s">
        <v>3235</v>
      </c>
      <c r="E314" s="2046">
        <v>1200000</v>
      </c>
      <c r="F314" s="614">
        <v>0.1</v>
      </c>
      <c r="G314" s="2368">
        <f t="shared" ref="G314:G319" si="16">E314*F314</f>
        <v>120000</v>
      </c>
      <c r="H314" s="2718" t="s">
        <v>3010</v>
      </c>
      <c r="I314" s="1595" t="s">
        <v>217</v>
      </c>
      <c r="J314" s="1658"/>
      <c r="K314" s="1658"/>
      <c r="L314" s="1658"/>
      <c r="M314" s="1010">
        <v>13244</v>
      </c>
      <c r="N314" s="1256" t="s">
        <v>3219</v>
      </c>
      <c r="O314" s="1632">
        <v>1450000</v>
      </c>
      <c r="P314" s="1216">
        <v>0.05</v>
      </c>
      <c r="Q314" s="2518">
        <f>O314*P314</f>
        <v>72500</v>
      </c>
    </row>
    <row r="315" spans="1:17" ht="15" customHeight="1" x14ac:dyDescent="0.3">
      <c r="A315" s="3626" t="s">
        <v>2986</v>
      </c>
      <c r="B315" s="1010">
        <v>13322</v>
      </c>
      <c r="C315" s="333">
        <v>0.1</v>
      </c>
      <c r="D315" s="67" t="s">
        <v>3236</v>
      </c>
      <c r="E315" s="1637">
        <v>1100000</v>
      </c>
      <c r="F315" s="376">
        <v>0.05</v>
      </c>
      <c r="G315" s="2368">
        <f t="shared" si="16"/>
        <v>55000</v>
      </c>
      <c r="H315" s="1904" t="s">
        <v>3237</v>
      </c>
      <c r="I315" s="2640" t="s">
        <v>1770</v>
      </c>
      <c r="J315" s="316"/>
      <c r="K315" s="335"/>
      <c r="L315" s="316"/>
      <c r="M315" s="1010">
        <v>13251</v>
      </c>
      <c r="N315" s="67" t="s">
        <v>3221</v>
      </c>
      <c r="O315" s="1632">
        <v>1200000</v>
      </c>
      <c r="P315" s="1216">
        <v>0.05</v>
      </c>
      <c r="Q315" s="2518">
        <f t="shared" ref="Q315:Q318" si="17">O315*P315</f>
        <v>60000</v>
      </c>
    </row>
    <row r="316" spans="1:17" ht="15" customHeight="1" x14ac:dyDescent="0.3">
      <c r="A316" s="3626"/>
      <c r="B316" s="2733">
        <v>13315</v>
      </c>
      <c r="C316" s="333">
        <v>0.1</v>
      </c>
      <c r="D316" s="2670" t="s">
        <v>3238</v>
      </c>
      <c r="E316" s="1628">
        <v>1000000</v>
      </c>
      <c r="F316" s="376">
        <v>0.06</v>
      </c>
      <c r="G316" s="2368">
        <f t="shared" si="16"/>
        <v>60000</v>
      </c>
      <c r="H316" s="1904" t="s">
        <v>118</v>
      </c>
      <c r="I316" s="2640" t="s">
        <v>1770</v>
      </c>
      <c r="J316" s="1061"/>
      <c r="K316" s="2689"/>
      <c r="L316" s="1061"/>
      <c r="M316" s="1010">
        <v>13286</v>
      </c>
      <c r="N316" s="67" t="s">
        <v>3239</v>
      </c>
      <c r="O316" s="1628">
        <v>1200000</v>
      </c>
      <c r="P316" s="1216">
        <v>0.05</v>
      </c>
      <c r="Q316" s="2518">
        <f t="shared" si="17"/>
        <v>60000</v>
      </c>
    </row>
    <row r="317" spans="1:17" ht="15" customHeight="1" x14ac:dyDescent="0.3">
      <c r="A317" s="3626"/>
      <c r="B317" s="2452">
        <v>13387</v>
      </c>
      <c r="C317" s="2734">
        <v>0.1</v>
      </c>
      <c r="D317" s="1448" t="s">
        <v>3240</v>
      </c>
      <c r="E317" s="1771">
        <v>900000</v>
      </c>
      <c r="F317" s="614">
        <v>0.1</v>
      </c>
      <c r="G317" s="2368">
        <f t="shared" si="16"/>
        <v>90000</v>
      </c>
      <c r="H317" s="2718" t="s">
        <v>3010</v>
      </c>
      <c r="I317" s="2641" t="s">
        <v>217</v>
      </c>
      <c r="J317" s="316"/>
      <c r="K317" s="335"/>
      <c r="L317" s="316"/>
      <c r="M317" s="1010">
        <v>13393</v>
      </c>
      <c r="N317" s="1256" t="s">
        <v>3241</v>
      </c>
      <c r="O317" s="2676">
        <v>1250000</v>
      </c>
      <c r="P317" s="1216">
        <v>0.05</v>
      </c>
      <c r="Q317" s="2518">
        <f t="shared" si="17"/>
        <v>62500</v>
      </c>
    </row>
    <row r="318" spans="1:17" ht="15" customHeight="1" x14ac:dyDescent="0.3">
      <c r="A318" s="3626"/>
      <c r="B318" s="2452">
        <v>13394</v>
      </c>
      <c r="C318" s="2734">
        <v>0.1</v>
      </c>
      <c r="D318" s="1448" t="s">
        <v>3242</v>
      </c>
      <c r="E318" s="1771">
        <v>1150000</v>
      </c>
      <c r="F318" s="614">
        <v>0.1</v>
      </c>
      <c r="G318" s="2794">
        <f t="shared" si="16"/>
        <v>115000</v>
      </c>
      <c r="H318" s="2718" t="s">
        <v>3010</v>
      </c>
      <c r="I318" s="2641" t="s">
        <v>1770</v>
      </c>
      <c r="J318" s="1061"/>
      <c r="K318" s="2689"/>
      <c r="L318" s="1061"/>
      <c r="M318" s="1010" t="s">
        <v>3226</v>
      </c>
      <c r="N318" s="1256" t="s">
        <v>3243</v>
      </c>
      <c r="O318" s="2676">
        <v>1250000</v>
      </c>
      <c r="P318" s="1216">
        <v>0.05</v>
      </c>
      <c r="Q318" s="2518">
        <f t="shared" si="17"/>
        <v>62500</v>
      </c>
    </row>
    <row r="319" spans="1:17" ht="15" customHeight="1" x14ac:dyDescent="0.3">
      <c r="A319" s="3626"/>
      <c r="B319" s="2449">
        <v>13360</v>
      </c>
      <c r="C319" s="333">
        <v>0.1</v>
      </c>
      <c r="D319" s="120" t="s">
        <v>3244</v>
      </c>
      <c r="E319" s="1628">
        <v>1200000</v>
      </c>
      <c r="F319" s="376">
        <v>0.1</v>
      </c>
      <c r="G319" s="2368">
        <f t="shared" si="16"/>
        <v>120000</v>
      </c>
      <c r="H319" s="2756" t="s">
        <v>3010</v>
      </c>
      <c r="I319" s="2308" t="s">
        <v>217</v>
      </c>
      <c r="J319" s="2308"/>
      <c r="K319" s="2308"/>
      <c r="L319" s="2308"/>
      <c r="M319" s="1010">
        <v>13288</v>
      </c>
      <c r="N319" s="67" t="s">
        <v>3245</v>
      </c>
      <c r="O319" s="2676">
        <v>740000</v>
      </c>
      <c r="P319" s="2813">
        <v>0.04</v>
      </c>
      <c r="Q319" s="2473">
        <f>O319*P319</f>
        <v>29600</v>
      </c>
    </row>
    <row r="320" spans="1:17" ht="15" customHeight="1" x14ac:dyDescent="0.3">
      <c r="A320" s="3626"/>
      <c r="B320" s="2617" t="s">
        <v>3192</v>
      </c>
      <c r="C320" s="2610"/>
      <c r="D320" s="2791" t="s">
        <v>3246</v>
      </c>
      <c r="E320" s="1628"/>
      <c r="F320" s="376"/>
      <c r="G320" s="321"/>
      <c r="H320" s="1904"/>
      <c r="I320" s="2281" t="s">
        <v>217</v>
      </c>
      <c r="J320" s="482"/>
      <c r="K320" s="335"/>
      <c r="L320" s="482"/>
      <c r="M320" s="64"/>
      <c r="N320" s="1779"/>
      <c r="O320" s="1779"/>
      <c r="P320" s="1216"/>
      <c r="Q320" s="51"/>
    </row>
    <row r="321" spans="1:17" ht="15" customHeight="1" x14ac:dyDescent="0.3">
      <c r="A321" s="3626"/>
      <c r="B321" s="2659" t="s">
        <v>3247</v>
      </c>
      <c r="C321" s="2723"/>
      <c r="D321" s="2792" t="s">
        <v>3244</v>
      </c>
      <c r="E321" s="414"/>
      <c r="F321" s="376"/>
      <c r="G321" s="321"/>
      <c r="H321" s="2427"/>
      <c r="I321" s="2281" t="s">
        <v>1770</v>
      </c>
      <c r="J321" s="482"/>
      <c r="K321" s="335" t="s">
        <v>3234</v>
      </c>
      <c r="L321" s="482"/>
      <c r="M321" s="64"/>
      <c r="N321" s="1779"/>
      <c r="O321" s="1779"/>
      <c r="P321" s="1216"/>
      <c r="Q321" s="51"/>
    </row>
    <row r="322" spans="1:17" ht="15" customHeight="1" x14ac:dyDescent="0.3">
      <c r="A322" s="3626"/>
      <c r="B322" s="2486" t="s">
        <v>3022</v>
      </c>
      <c r="C322" s="2516"/>
      <c r="D322" s="2793" t="s">
        <v>3241</v>
      </c>
      <c r="E322" s="1628"/>
      <c r="F322" s="376"/>
      <c r="G322" s="321"/>
      <c r="H322" s="1904"/>
      <c r="I322" s="2281" t="s">
        <v>1530</v>
      </c>
      <c r="J322" s="482"/>
      <c r="K322" s="335" t="s">
        <v>3248</v>
      </c>
      <c r="L322" s="482"/>
      <c r="M322" s="64"/>
      <c r="N322" s="1779"/>
      <c r="O322" s="1779"/>
      <c r="P322" s="1216"/>
      <c r="Q322" s="51"/>
    </row>
    <row r="323" spans="1:17" ht="15" customHeight="1" x14ac:dyDescent="0.3">
      <c r="A323" s="3626"/>
      <c r="B323" s="2617" t="s">
        <v>3022</v>
      </c>
      <c r="C323" s="2707"/>
      <c r="D323" s="2792" t="s">
        <v>3249</v>
      </c>
      <c r="E323" s="1628"/>
      <c r="F323" s="376"/>
      <c r="G323" s="321"/>
      <c r="H323" s="2427"/>
      <c r="I323" s="2620" t="s">
        <v>217</v>
      </c>
      <c r="J323" s="482"/>
      <c r="K323" s="335" t="s">
        <v>3250</v>
      </c>
      <c r="L323" s="482"/>
      <c r="M323" s="64"/>
      <c r="N323" s="1779"/>
      <c r="O323" s="1779"/>
      <c r="P323" s="1216"/>
      <c r="Q323" s="51"/>
    </row>
    <row r="324" spans="1:17" ht="15" customHeight="1" x14ac:dyDescent="0.3">
      <c r="A324" s="3626"/>
      <c r="B324" s="1908"/>
      <c r="C324" s="689"/>
      <c r="D324" s="1171" t="s">
        <v>3000</v>
      </c>
      <c r="E324" s="2494">
        <f>SUM(E314:E323)</f>
        <v>6550000</v>
      </c>
      <c r="F324" s="1579"/>
      <c r="G324" s="2662">
        <f>SUM(G314:G323)</f>
        <v>560000</v>
      </c>
      <c r="H324" s="2066"/>
      <c r="I324" s="2687"/>
      <c r="J324" s="1579"/>
      <c r="K324" s="2496"/>
      <c r="L324" s="1579"/>
      <c r="M324" s="287"/>
      <c r="N324" s="3602" t="s">
        <v>3026</v>
      </c>
      <c r="O324" s="3602"/>
      <c r="P324" s="3602"/>
      <c r="Q324" s="848">
        <f>SUM(Q314:Q323)</f>
        <v>347100</v>
      </c>
    </row>
    <row r="325" spans="1:17" ht="15" customHeight="1" x14ac:dyDescent="0.3">
      <c r="A325" s="3626"/>
      <c r="B325" s="1918"/>
      <c r="C325" s="815"/>
      <c r="D325" s="1184" t="s">
        <v>3002</v>
      </c>
      <c r="E325" s="964">
        <f>G324+Q324</f>
        <v>907100</v>
      </c>
      <c r="F325" s="458"/>
      <c r="G325" s="489"/>
      <c r="H325" s="2426"/>
      <c r="I325" s="2688"/>
      <c r="J325" s="840"/>
      <c r="K325" s="843"/>
      <c r="L325" s="840"/>
      <c r="M325" s="287"/>
      <c r="N325" s="968"/>
      <c r="O325" s="968"/>
      <c r="P325" s="2073"/>
      <c r="Q325" s="294"/>
    </row>
    <row r="326" spans="1:17" ht="15" customHeight="1" x14ac:dyDescent="0.3">
      <c r="A326" s="816"/>
      <c r="B326" s="1925"/>
      <c r="C326" s="464"/>
      <c r="D326" s="1118"/>
      <c r="E326" s="466"/>
      <c r="F326" s="464"/>
      <c r="G326" s="467"/>
      <c r="H326" s="1922"/>
      <c r="I326" s="2627"/>
      <c r="J326" s="825"/>
      <c r="K326" s="826"/>
      <c r="L326" s="825"/>
      <c r="M326" s="829"/>
      <c r="N326" s="830"/>
      <c r="O326" s="830"/>
      <c r="P326" s="3290"/>
      <c r="Q326" s="831"/>
    </row>
    <row r="327" spans="1:17" ht="15" customHeight="1" x14ac:dyDescent="0.3">
      <c r="A327" s="816"/>
      <c r="B327" s="1925"/>
      <c r="C327" s="825"/>
      <c r="D327" s="1172"/>
      <c r="E327" s="827"/>
      <c r="F327" s="825"/>
      <c r="G327" s="828"/>
      <c r="H327" s="1925"/>
      <c r="I327" s="2628"/>
      <c r="J327" s="825"/>
      <c r="K327" s="826"/>
      <c r="L327" s="825"/>
      <c r="M327" s="829"/>
      <c r="N327" s="830"/>
      <c r="O327" s="830"/>
      <c r="P327" s="3290"/>
      <c r="Q327" s="831"/>
    </row>
    <row r="328" spans="1:17" ht="18" customHeight="1" x14ac:dyDescent="0.4">
      <c r="A328" s="3624" t="s">
        <v>3170</v>
      </c>
      <c r="B328" s="3624"/>
      <c r="C328" s="3624"/>
      <c r="D328" s="3624"/>
      <c r="E328" s="3624"/>
      <c r="F328" s="3624"/>
      <c r="G328" s="3624"/>
      <c r="H328" s="3493"/>
      <c r="I328" s="3624"/>
      <c r="J328" s="3624"/>
      <c r="K328" s="3624"/>
      <c r="L328" s="3032"/>
      <c r="M328" s="3636" t="s">
        <v>2973</v>
      </c>
      <c r="N328" s="3636"/>
      <c r="O328" s="3636"/>
      <c r="P328" s="3636"/>
      <c r="Q328" s="2"/>
    </row>
    <row r="329" spans="1:17" ht="15" customHeight="1" x14ac:dyDescent="0.3">
      <c r="A329" s="23" t="s">
        <v>2974</v>
      </c>
      <c r="B329" s="1928" t="s">
        <v>2975</v>
      </c>
      <c r="C329" s="1666" t="s">
        <v>3004</v>
      </c>
      <c r="D329" s="1083" t="s">
        <v>2977</v>
      </c>
      <c r="E329" s="805" t="s">
        <v>2978</v>
      </c>
      <c r="F329" s="1666" t="s">
        <v>2979</v>
      </c>
      <c r="G329" s="167" t="s">
        <v>2980</v>
      </c>
      <c r="H329" s="2746" t="s">
        <v>2981</v>
      </c>
      <c r="I329" s="2276" t="s">
        <v>2982</v>
      </c>
      <c r="J329" s="1666"/>
      <c r="K329" s="1666" t="s">
        <v>2983</v>
      </c>
      <c r="L329" s="1666"/>
      <c r="M329" s="1658" t="s">
        <v>2975</v>
      </c>
      <c r="N329" s="1658" t="s">
        <v>2977</v>
      </c>
      <c r="O329" s="1658" t="s">
        <v>2984</v>
      </c>
      <c r="P329" s="2471" t="s">
        <v>2979</v>
      </c>
      <c r="Q329" s="268" t="s">
        <v>2985</v>
      </c>
    </row>
    <row r="330" spans="1:17" ht="15" customHeight="1" x14ac:dyDescent="0.3">
      <c r="A330" s="3613" t="s">
        <v>2986</v>
      </c>
      <c r="B330" s="1010">
        <v>13145</v>
      </c>
      <c r="C330" s="2608">
        <v>0.1</v>
      </c>
      <c r="D330" s="1256" t="s">
        <v>3167</v>
      </c>
      <c r="E330" s="1628">
        <v>1500000</v>
      </c>
      <c r="F330" s="1216">
        <v>0.1</v>
      </c>
      <c r="G330" s="2368">
        <f t="shared" ref="G330:G337" si="18">E330*F330</f>
        <v>150000</v>
      </c>
      <c r="H330" s="2756" t="s">
        <v>2993</v>
      </c>
      <c r="I330" s="2308" t="s">
        <v>217</v>
      </c>
      <c r="J330" s="1779"/>
      <c r="K330" s="1779"/>
      <c r="L330" s="1779"/>
      <c r="M330" s="1010">
        <v>13228</v>
      </c>
      <c r="N330" s="1256" t="s">
        <v>3217</v>
      </c>
      <c r="O330" s="1632">
        <v>1300000</v>
      </c>
      <c r="P330" s="2695">
        <v>0.04</v>
      </c>
      <c r="Q330" s="2473">
        <f>O330*P330</f>
        <v>52000</v>
      </c>
    </row>
    <row r="331" spans="1:17" ht="15" customHeight="1" x14ac:dyDescent="0.3">
      <c r="A331" s="3614"/>
      <c r="B331" s="1010">
        <v>13191</v>
      </c>
      <c r="C331" s="2608">
        <v>0.1</v>
      </c>
      <c r="D331" s="1256" t="s">
        <v>3251</v>
      </c>
      <c r="E331" s="1628">
        <v>1200000</v>
      </c>
      <c r="F331" s="1216">
        <v>0.06</v>
      </c>
      <c r="G331" s="2368">
        <f t="shared" si="18"/>
        <v>72000</v>
      </c>
      <c r="H331" s="2756" t="s">
        <v>118</v>
      </c>
      <c r="I331" s="2308" t="s">
        <v>217</v>
      </c>
      <c r="J331" s="1779"/>
      <c r="K331" s="1779"/>
      <c r="L331" s="1779"/>
      <c r="M331" s="1010" t="s">
        <v>3226</v>
      </c>
      <c r="N331" s="1256" t="s">
        <v>3252</v>
      </c>
      <c r="O331" s="2676">
        <v>1250000</v>
      </c>
      <c r="P331" s="2695">
        <v>0.04</v>
      </c>
      <c r="Q331" s="2473">
        <f>O331*P331</f>
        <v>50000</v>
      </c>
    </row>
    <row r="332" spans="1:17" ht="15" customHeight="1" x14ac:dyDescent="0.3">
      <c r="A332" s="3614"/>
      <c r="B332" s="1010">
        <v>13205</v>
      </c>
      <c r="C332" s="2608">
        <v>0.1</v>
      </c>
      <c r="D332" s="1256" t="s">
        <v>3253</v>
      </c>
      <c r="E332" s="1628">
        <v>1200000</v>
      </c>
      <c r="F332" s="1720">
        <v>0.1</v>
      </c>
      <c r="G332" s="2368">
        <f t="shared" si="18"/>
        <v>120000</v>
      </c>
      <c r="H332" s="2756" t="s">
        <v>2993</v>
      </c>
      <c r="I332" s="2308" t="s">
        <v>217</v>
      </c>
      <c r="J332" s="1779"/>
      <c r="K332" s="1779"/>
      <c r="L332" s="1779"/>
      <c r="M332" s="2632"/>
      <c r="N332" s="1680"/>
      <c r="O332" s="2676"/>
      <c r="P332" s="2695"/>
      <c r="Q332" s="2814"/>
    </row>
    <row r="333" spans="1:17" ht="15" customHeight="1" x14ac:dyDescent="0.3">
      <c r="A333" s="3614"/>
      <c r="B333" s="1010">
        <v>13232</v>
      </c>
      <c r="C333" s="2608">
        <v>0.1</v>
      </c>
      <c r="D333" s="67" t="s">
        <v>3214</v>
      </c>
      <c r="E333" s="1628">
        <v>1100000</v>
      </c>
      <c r="F333" s="1216">
        <v>0.05</v>
      </c>
      <c r="G333" s="2368">
        <f t="shared" si="18"/>
        <v>55000</v>
      </c>
      <c r="H333" s="2756" t="s">
        <v>1482</v>
      </c>
      <c r="I333" s="2308" t="s">
        <v>1770</v>
      </c>
      <c r="J333" s="406"/>
      <c r="K333" s="1779"/>
      <c r="L333" s="406"/>
      <c r="M333" s="406"/>
      <c r="N333" s="1658"/>
      <c r="O333" s="1658"/>
      <c r="P333" s="3294"/>
      <c r="Q333" s="268"/>
    </row>
    <row r="334" spans="1:17" ht="15" customHeight="1" x14ac:dyDescent="0.3">
      <c r="A334" s="3614"/>
      <c r="B334" s="1010">
        <v>13286</v>
      </c>
      <c r="C334" s="2608">
        <v>0.1</v>
      </c>
      <c r="D334" s="67" t="s">
        <v>3239</v>
      </c>
      <c r="E334" s="1628">
        <v>1200000</v>
      </c>
      <c r="F334" s="1216">
        <v>0.05</v>
      </c>
      <c r="G334" s="2368">
        <f t="shared" si="18"/>
        <v>60000</v>
      </c>
      <c r="H334" s="2756" t="s">
        <v>3010</v>
      </c>
      <c r="I334" s="2308" t="s">
        <v>1770</v>
      </c>
      <c r="J334" s="3045"/>
      <c r="K334" s="2308"/>
      <c r="L334" s="3045"/>
      <c r="M334" s="406"/>
      <c r="N334" s="1658"/>
      <c r="O334" s="1658"/>
      <c r="P334" s="3294"/>
      <c r="Q334" s="268"/>
    </row>
    <row r="335" spans="1:17" ht="15" customHeight="1" x14ac:dyDescent="0.3">
      <c r="A335" s="3614"/>
      <c r="B335" s="1010">
        <v>13307</v>
      </c>
      <c r="C335" s="2608">
        <v>0.1</v>
      </c>
      <c r="D335" s="67" t="s">
        <v>3254</v>
      </c>
      <c r="E335" s="1628">
        <v>1300000</v>
      </c>
      <c r="F335" s="1216">
        <v>0.1</v>
      </c>
      <c r="G335" s="2368">
        <f t="shared" si="18"/>
        <v>130000</v>
      </c>
      <c r="H335" s="2756" t="s">
        <v>2993</v>
      </c>
      <c r="I335" s="2308" t="s">
        <v>217</v>
      </c>
      <c r="J335" s="3045"/>
      <c r="K335" s="2308" t="s">
        <v>3255</v>
      </c>
      <c r="L335" s="3045"/>
      <c r="M335" s="406"/>
      <c r="N335" s="1658"/>
      <c r="O335" s="1658"/>
      <c r="P335" s="3294"/>
      <c r="Q335" s="268"/>
    </row>
    <row r="336" spans="1:17" ht="15" customHeight="1" x14ac:dyDescent="0.3">
      <c r="A336" s="3614"/>
      <c r="B336" s="1010">
        <v>13382</v>
      </c>
      <c r="C336" s="2693">
        <v>0.08</v>
      </c>
      <c r="D336" s="67" t="s">
        <v>3256</v>
      </c>
      <c r="E336" s="1628">
        <v>1350000</v>
      </c>
      <c r="F336" s="2468">
        <v>0.08</v>
      </c>
      <c r="G336" s="2368">
        <f t="shared" si="18"/>
        <v>108000</v>
      </c>
      <c r="H336" s="2756" t="s">
        <v>2993</v>
      </c>
      <c r="I336" s="2308" t="s">
        <v>217</v>
      </c>
      <c r="J336" s="3045"/>
      <c r="K336" s="2308"/>
      <c r="L336" s="3045"/>
      <c r="M336" s="406"/>
      <c r="N336" s="1658"/>
      <c r="O336" s="1658"/>
      <c r="P336" s="3294"/>
      <c r="Q336" s="268"/>
    </row>
    <row r="337" spans="1:17" ht="15" customHeight="1" x14ac:dyDescent="0.3">
      <c r="A337" s="3614"/>
      <c r="B337" s="1010">
        <v>13386</v>
      </c>
      <c r="C337" s="2693">
        <v>0.08</v>
      </c>
      <c r="D337" s="67" t="s">
        <v>3257</v>
      </c>
      <c r="E337" s="1628">
        <v>1250000</v>
      </c>
      <c r="F337" s="2468">
        <v>0.08</v>
      </c>
      <c r="G337" s="2368">
        <f t="shared" si="18"/>
        <v>100000</v>
      </c>
      <c r="H337" s="2756" t="s">
        <v>2993</v>
      </c>
      <c r="I337" s="2308" t="s">
        <v>2118</v>
      </c>
      <c r="J337" s="3045"/>
      <c r="K337" s="2308"/>
      <c r="L337" s="3045"/>
      <c r="M337" s="406"/>
      <c r="N337" s="1658"/>
      <c r="O337" s="1658"/>
      <c r="P337" s="3294"/>
      <c r="Q337" s="268"/>
    </row>
    <row r="338" spans="1:17" ht="15" customHeight="1" x14ac:dyDescent="0.3">
      <c r="A338" s="3614"/>
      <c r="B338" s="2720" t="s">
        <v>3022</v>
      </c>
      <c r="C338" s="2653"/>
      <c r="D338" s="2349" t="s">
        <v>3239</v>
      </c>
      <c r="E338" s="2130"/>
      <c r="F338" s="2738"/>
      <c r="G338" s="2731"/>
      <c r="H338" s="3071"/>
      <c r="I338" s="2739" t="s">
        <v>1530</v>
      </c>
      <c r="J338" s="2656"/>
      <c r="K338" s="1665" t="s">
        <v>3258</v>
      </c>
      <c r="L338" s="2656"/>
      <c r="M338" s="406"/>
      <c r="N338" s="406"/>
      <c r="O338" s="406"/>
      <c r="P338" s="3294"/>
      <c r="Q338" s="268"/>
    </row>
    <row r="339" spans="1:17" ht="15" customHeight="1" x14ac:dyDescent="0.3">
      <c r="A339" s="3614"/>
      <c r="B339" s="1911"/>
      <c r="C339" s="2361"/>
      <c r="D339" s="1116" t="s">
        <v>3000</v>
      </c>
      <c r="E339" s="1631">
        <f>SUM(E330:E338)</f>
        <v>10100000</v>
      </c>
      <c r="F339" s="514"/>
      <c r="G339" s="483">
        <f>SUM(G330:G338)</f>
        <v>795000</v>
      </c>
      <c r="H339" s="1911"/>
      <c r="I339" s="2625"/>
      <c r="J339" s="514"/>
      <c r="K339" s="342"/>
      <c r="L339" s="514"/>
      <c r="M339" s="287"/>
      <c r="N339" s="3594" t="s">
        <v>3026</v>
      </c>
      <c r="O339" s="3594"/>
      <c r="P339" s="3594"/>
      <c r="Q339" s="848">
        <f>SUM(Q330:Q338)</f>
        <v>102000</v>
      </c>
    </row>
    <row r="340" spans="1:17" ht="15.75" customHeight="1" x14ac:dyDescent="0.3">
      <c r="A340" s="3614"/>
      <c r="B340" s="1918"/>
      <c r="C340" s="840"/>
      <c r="D340" s="2363" t="s">
        <v>3002</v>
      </c>
      <c r="E340" s="1499">
        <f>G339+Q339</f>
        <v>897000</v>
      </c>
      <c r="F340" s="1210"/>
      <c r="G340" s="2364"/>
      <c r="H340" s="1915"/>
      <c r="I340" s="2631"/>
      <c r="J340" s="1210"/>
      <c r="K340" s="2365"/>
      <c r="L340" s="1210"/>
      <c r="M340" s="895"/>
      <c r="N340" s="844"/>
      <c r="O340" s="844"/>
      <c r="P340" s="2094"/>
      <c r="Q340" s="294"/>
    </row>
    <row r="341" spans="1:17" ht="15.6" x14ac:dyDescent="0.3">
      <c r="A341" s="816"/>
      <c r="B341" s="1922"/>
      <c r="C341" s="464"/>
      <c r="D341" s="1118"/>
      <c r="E341" s="466"/>
      <c r="F341" s="464"/>
      <c r="G341" s="467"/>
      <c r="H341" s="1922"/>
      <c r="I341" s="2627"/>
      <c r="J341" s="464"/>
      <c r="K341" s="465"/>
      <c r="L341" s="464"/>
      <c r="M341" s="468"/>
      <c r="N341" s="469"/>
      <c r="O341" s="469"/>
      <c r="P341" s="3289"/>
      <c r="Q341" s="463"/>
    </row>
    <row r="342" spans="1:17" ht="15.6" x14ac:dyDescent="0.3">
      <c r="A342" s="816"/>
      <c r="B342" s="1925"/>
      <c r="C342" s="825"/>
      <c r="D342" s="1172"/>
      <c r="E342" s="827"/>
      <c r="F342" s="825"/>
      <c r="G342" s="828"/>
      <c r="H342" s="1925"/>
      <c r="I342" s="2628"/>
      <c r="J342" s="825"/>
      <c r="K342" s="826"/>
      <c r="L342" s="825"/>
      <c r="M342" s="829"/>
      <c r="N342" s="830"/>
      <c r="O342" s="830"/>
      <c r="P342" s="3290"/>
      <c r="Q342" s="831"/>
    </row>
    <row r="343" spans="1:17" ht="21" x14ac:dyDescent="0.4">
      <c r="A343" s="3619" t="s">
        <v>3185</v>
      </c>
      <c r="B343" s="3619"/>
      <c r="C343" s="3619"/>
      <c r="D343" s="3619"/>
      <c r="E343" s="3619"/>
      <c r="F343" s="3619"/>
      <c r="G343" s="3619"/>
      <c r="H343" s="3574"/>
      <c r="I343" s="3619"/>
      <c r="J343" s="3619"/>
      <c r="K343" s="3619"/>
      <c r="L343" s="3031"/>
      <c r="M343" s="287"/>
      <c r="N343" s="845"/>
      <c r="O343" s="845"/>
      <c r="P343" s="3291"/>
      <c r="Q343" s="294"/>
    </row>
    <row r="344" spans="1:17" x14ac:dyDescent="0.3">
      <c r="A344" s="809" t="s">
        <v>2974</v>
      </c>
      <c r="B344" s="1928" t="s">
        <v>2975</v>
      </c>
      <c r="C344" s="1666" t="s">
        <v>3004</v>
      </c>
      <c r="D344" s="2722" t="s">
        <v>2977</v>
      </c>
      <c r="E344" s="32" t="s">
        <v>2978</v>
      </c>
      <c r="F344" s="1666" t="s">
        <v>2979</v>
      </c>
      <c r="G344" s="167" t="s">
        <v>2980</v>
      </c>
      <c r="H344" s="2746" t="s">
        <v>2981</v>
      </c>
      <c r="I344" s="2276" t="s">
        <v>2982</v>
      </c>
      <c r="J344" s="809"/>
      <c r="K344" s="809" t="s">
        <v>2983</v>
      </c>
      <c r="L344" s="809"/>
      <c r="M344" s="1779" t="s">
        <v>2975</v>
      </c>
      <c r="N344" s="1779" t="s">
        <v>2977</v>
      </c>
      <c r="O344" s="1779" t="s">
        <v>2984</v>
      </c>
      <c r="P344" s="1216" t="s">
        <v>2979</v>
      </c>
      <c r="Q344" s="2" t="s">
        <v>2985</v>
      </c>
    </row>
    <row r="345" spans="1:17" ht="15" customHeight="1" x14ac:dyDescent="0.3">
      <c r="A345" s="3620" t="s">
        <v>2986</v>
      </c>
      <c r="B345" s="1010">
        <v>13139</v>
      </c>
      <c r="C345" s="333">
        <v>0.1</v>
      </c>
      <c r="D345" s="67" t="s">
        <v>3259</v>
      </c>
      <c r="E345" s="1631">
        <v>1000000</v>
      </c>
      <c r="F345" s="1899">
        <v>0.1</v>
      </c>
      <c r="G345" s="2368">
        <f t="shared" ref="G345:G353" si="19">E345*F345</f>
        <v>100000</v>
      </c>
      <c r="H345" s="1900" t="s">
        <v>3044</v>
      </c>
      <c r="I345" s="2633" t="s">
        <v>217</v>
      </c>
      <c r="J345" s="64"/>
      <c r="K345" s="1779"/>
      <c r="L345" s="64"/>
      <c r="M345" s="64"/>
      <c r="N345" s="118"/>
      <c r="O345" s="1484"/>
      <c r="P345" s="3293"/>
      <c r="Q345" s="2"/>
    </row>
    <row r="346" spans="1:17" ht="16.5" customHeight="1" x14ac:dyDescent="0.3">
      <c r="A346" s="3621"/>
      <c r="B346" s="1010">
        <v>13214</v>
      </c>
      <c r="C346" s="333">
        <v>0.1</v>
      </c>
      <c r="D346" s="67" t="s">
        <v>3216</v>
      </c>
      <c r="E346" s="2676">
        <v>1100000</v>
      </c>
      <c r="F346" s="1899">
        <v>0.05</v>
      </c>
      <c r="G346" s="2368">
        <f t="shared" si="19"/>
        <v>55000</v>
      </c>
      <c r="H346" s="1900" t="s">
        <v>1482</v>
      </c>
      <c r="I346" s="2633" t="s">
        <v>217</v>
      </c>
      <c r="J346" s="64"/>
      <c r="K346" s="1779"/>
      <c r="L346" s="64"/>
      <c r="M346" s="64"/>
      <c r="N346" s="118"/>
      <c r="O346" s="1484"/>
      <c r="P346" s="3293"/>
      <c r="Q346" s="2"/>
    </row>
    <row r="347" spans="1:17" ht="15" customHeight="1" x14ac:dyDescent="0.3">
      <c r="A347" s="3621"/>
      <c r="B347" s="1010">
        <v>13288</v>
      </c>
      <c r="C347" s="553">
        <v>0.08</v>
      </c>
      <c r="D347" s="67" t="s">
        <v>3245</v>
      </c>
      <c r="E347" s="2676">
        <v>740000</v>
      </c>
      <c r="F347" s="2466">
        <v>0.04</v>
      </c>
      <c r="G347" s="2368">
        <f t="shared" si="19"/>
        <v>29600</v>
      </c>
      <c r="H347" s="1900" t="s">
        <v>3010</v>
      </c>
      <c r="I347" s="2633" t="s">
        <v>217</v>
      </c>
      <c r="J347" s="64"/>
      <c r="K347" s="1779"/>
      <c r="L347" s="64"/>
      <c r="M347" s="64"/>
      <c r="N347" s="118"/>
      <c r="O347" s="1484"/>
      <c r="P347" s="3293"/>
      <c r="Q347" s="2"/>
    </row>
    <row r="348" spans="1:17" ht="15" customHeight="1" x14ac:dyDescent="0.3">
      <c r="A348" s="3621"/>
      <c r="B348" s="1010">
        <v>13325</v>
      </c>
      <c r="C348" s="333">
        <v>0.1</v>
      </c>
      <c r="D348" s="67" t="s">
        <v>3260</v>
      </c>
      <c r="E348" s="2676">
        <v>820000</v>
      </c>
      <c r="F348" s="1899">
        <v>0.1</v>
      </c>
      <c r="G348" s="2368">
        <f t="shared" si="19"/>
        <v>82000</v>
      </c>
      <c r="H348" s="1900" t="s">
        <v>3044</v>
      </c>
      <c r="I348" s="2633" t="s">
        <v>1770</v>
      </c>
      <c r="J348" s="64"/>
      <c r="K348" s="1779"/>
      <c r="L348" s="64"/>
      <c r="M348" s="64"/>
      <c r="N348" s="118"/>
      <c r="O348" s="1484"/>
      <c r="P348" s="3293"/>
      <c r="Q348" s="2"/>
    </row>
    <row r="349" spans="1:17" ht="15" customHeight="1" x14ac:dyDescent="0.3">
      <c r="A349" s="3621"/>
      <c r="B349" s="1010">
        <v>13343</v>
      </c>
      <c r="C349" s="553">
        <v>0.08</v>
      </c>
      <c r="D349" s="67" t="s">
        <v>3261</v>
      </c>
      <c r="E349" s="2676">
        <v>1200000</v>
      </c>
      <c r="F349" s="2466">
        <v>0.05</v>
      </c>
      <c r="G349" s="2368">
        <f t="shared" si="19"/>
        <v>60000</v>
      </c>
      <c r="H349" s="1900" t="s">
        <v>118</v>
      </c>
      <c r="I349" s="2633" t="s">
        <v>217</v>
      </c>
      <c r="J349" s="64"/>
      <c r="K349" s="1779"/>
      <c r="L349" s="64"/>
      <c r="M349" s="64"/>
      <c r="N349" s="118"/>
      <c r="O349" s="1484"/>
      <c r="P349" s="3293"/>
      <c r="Q349" s="2"/>
    </row>
    <row r="350" spans="1:17" ht="15" customHeight="1" x14ac:dyDescent="0.3">
      <c r="A350" s="3621"/>
      <c r="B350" s="1010">
        <v>13393</v>
      </c>
      <c r="C350" s="2608">
        <v>0.1</v>
      </c>
      <c r="D350" s="1256" t="s">
        <v>3241</v>
      </c>
      <c r="E350" s="2676">
        <v>1250000</v>
      </c>
      <c r="F350" s="1899">
        <v>0.05</v>
      </c>
      <c r="G350" s="2368">
        <f t="shared" si="19"/>
        <v>62500</v>
      </c>
      <c r="H350" s="1900" t="s">
        <v>3010</v>
      </c>
      <c r="I350" s="2633" t="s">
        <v>217</v>
      </c>
      <c r="J350" s="64"/>
      <c r="K350" s="1779"/>
      <c r="L350" s="64"/>
      <c r="M350" s="64"/>
      <c r="N350" s="118"/>
      <c r="O350" s="1484"/>
      <c r="P350" s="3293"/>
      <c r="Q350" s="2"/>
    </row>
    <row r="351" spans="1:17" ht="15" customHeight="1" x14ac:dyDescent="0.3">
      <c r="A351" s="3621"/>
      <c r="B351" s="1010">
        <v>13380</v>
      </c>
      <c r="C351" s="2608">
        <v>0.1</v>
      </c>
      <c r="D351" s="1256" t="s">
        <v>3262</v>
      </c>
      <c r="E351" s="2676">
        <v>1200000</v>
      </c>
      <c r="F351" s="1899">
        <v>0.1</v>
      </c>
      <c r="G351" s="2368">
        <f t="shared" si="19"/>
        <v>120000</v>
      </c>
      <c r="H351" s="1900" t="s">
        <v>3044</v>
      </c>
      <c r="I351" s="2633" t="s">
        <v>1770</v>
      </c>
      <c r="J351" s="64"/>
      <c r="K351" s="1779"/>
      <c r="L351" s="64"/>
      <c r="M351" s="64"/>
      <c r="N351" s="118"/>
      <c r="O351" s="1484"/>
      <c r="P351" s="3293"/>
      <c r="Q351" s="2"/>
    </row>
    <row r="352" spans="1:17" ht="15" customHeight="1" x14ac:dyDescent="0.3">
      <c r="A352" s="3621"/>
      <c r="B352" s="1010">
        <v>13397</v>
      </c>
      <c r="C352" s="553">
        <v>0.08</v>
      </c>
      <c r="D352" s="1256" t="s">
        <v>3252</v>
      </c>
      <c r="E352" s="2676">
        <v>1250000</v>
      </c>
      <c r="F352" s="2466">
        <v>0.04</v>
      </c>
      <c r="G352" s="2368">
        <f t="shared" si="19"/>
        <v>50000</v>
      </c>
      <c r="H352" s="1900" t="s">
        <v>2993</v>
      </c>
      <c r="I352" s="2633" t="s">
        <v>1770</v>
      </c>
      <c r="J352" s="64"/>
      <c r="K352" s="1779"/>
      <c r="L352" s="64"/>
      <c r="M352" s="64"/>
      <c r="N352" s="118"/>
      <c r="O352" s="1484"/>
      <c r="P352" s="3293"/>
      <c r="Q352" s="2"/>
    </row>
    <row r="353" spans="1:17" ht="15" customHeight="1" x14ac:dyDescent="0.3">
      <c r="A353" s="3621"/>
      <c r="B353" s="1010" t="s">
        <v>3226</v>
      </c>
      <c r="C353" s="2608">
        <v>0.1</v>
      </c>
      <c r="D353" s="1256" t="s">
        <v>3243</v>
      </c>
      <c r="E353" s="2676">
        <v>1250000</v>
      </c>
      <c r="F353" s="1899">
        <v>0.05</v>
      </c>
      <c r="G353" s="2368">
        <f t="shared" si="19"/>
        <v>62500</v>
      </c>
      <c r="H353" s="1900" t="s">
        <v>3010</v>
      </c>
      <c r="I353" s="2633" t="s">
        <v>2118</v>
      </c>
      <c r="J353" s="64"/>
      <c r="K353" s="1779"/>
      <c r="L353" s="64"/>
      <c r="M353" s="64"/>
      <c r="N353" s="118"/>
      <c r="O353" s="1484"/>
      <c r="P353" s="3293"/>
      <c r="Q353" s="2"/>
    </row>
    <row r="354" spans="1:17" ht="15" customHeight="1" x14ac:dyDescent="0.3">
      <c r="A354" s="3621"/>
      <c r="B354" s="2617" t="s">
        <v>3192</v>
      </c>
      <c r="C354" s="2660"/>
      <c r="D354" s="1289" t="s">
        <v>3263</v>
      </c>
      <c r="E354" s="2676"/>
      <c r="F354" s="1899"/>
      <c r="G354" s="1900"/>
      <c r="H354" s="1900"/>
      <c r="I354" s="2633" t="s">
        <v>1770</v>
      </c>
      <c r="J354" s="64"/>
      <c r="K354" s="1779" t="s">
        <v>3264</v>
      </c>
      <c r="L354" s="64"/>
      <c r="M354" s="64"/>
      <c r="N354" s="118"/>
      <c r="O354" s="1484"/>
      <c r="P354" s="3293"/>
      <c r="Q354" s="2"/>
    </row>
    <row r="355" spans="1:17" ht="15" customHeight="1" x14ac:dyDescent="0.3">
      <c r="A355" s="3621"/>
      <c r="B355" s="2617" t="s">
        <v>3022</v>
      </c>
      <c r="C355" s="2660"/>
      <c r="D355" s="1289" t="s">
        <v>3265</v>
      </c>
      <c r="E355" s="2676"/>
      <c r="F355" s="1899"/>
      <c r="G355" s="1900"/>
      <c r="H355" s="1900"/>
      <c r="I355" s="2633" t="s">
        <v>1770</v>
      </c>
      <c r="J355" s="64"/>
      <c r="K355" s="1779"/>
      <c r="L355" s="64"/>
      <c r="M355" s="64"/>
      <c r="N355" s="118"/>
      <c r="O355" s="1484"/>
      <c r="P355" s="3293"/>
      <c r="Q355" s="2"/>
    </row>
    <row r="356" spans="1:17" ht="15" customHeight="1" x14ac:dyDescent="0.3">
      <c r="A356" s="3621"/>
      <c r="B356" s="2723" t="s">
        <v>3192</v>
      </c>
      <c r="C356" s="2723"/>
      <c r="D356" s="98" t="s">
        <v>3266</v>
      </c>
      <c r="E356" s="2676"/>
      <c r="F356" s="1899"/>
      <c r="G356" s="1901"/>
      <c r="H356" s="1900"/>
      <c r="I356" s="2633" t="s">
        <v>1770</v>
      </c>
      <c r="J356" s="64"/>
      <c r="K356" s="1779" t="s">
        <v>3267</v>
      </c>
      <c r="L356" s="64"/>
      <c r="M356" s="64"/>
      <c r="N356" s="118"/>
      <c r="O356" s="1484"/>
      <c r="P356" s="3293"/>
      <c r="Q356" s="2"/>
    </row>
    <row r="357" spans="1:17" ht="15" customHeight="1" x14ac:dyDescent="0.3">
      <c r="A357" s="3621"/>
      <c r="B357" s="2723" t="s">
        <v>3192</v>
      </c>
      <c r="C357" s="2723"/>
      <c r="D357" s="98" t="s">
        <v>3268</v>
      </c>
      <c r="E357" s="2676"/>
      <c r="F357" s="1899"/>
      <c r="G357" s="1901"/>
      <c r="H357" s="1900"/>
      <c r="I357" s="2633" t="s">
        <v>1770</v>
      </c>
      <c r="J357" s="64"/>
      <c r="K357" s="1779" t="s">
        <v>3269</v>
      </c>
      <c r="L357" s="64"/>
      <c r="M357" s="64"/>
      <c r="N357" s="118"/>
      <c r="O357" s="1484"/>
      <c r="P357" s="3293"/>
      <c r="Q357" s="2"/>
    </row>
    <row r="358" spans="1:17" ht="15" customHeight="1" x14ac:dyDescent="0.3">
      <c r="A358" s="3621"/>
      <c r="B358" s="2723" t="s">
        <v>3192</v>
      </c>
      <c r="C358" s="2723"/>
      <c r="D358" s="98" t="s">
        <v>3270</v>
      </c>
      <c r="E358" s="2676"/>
      <c r="F358" s="1899"/>
      <c r="G358" s="1901"/>
      <c r="H358" s="1900"/>
      <c r="I358" s="2633" t="s">
        <v>1770</v>
      </c>
      <c r="J358" s="64"/>
      <c r="K358" s="1779" t="s">
        <v>3041</v>
      </c>
      <c r="L358" s="64"/>
      <c r="M358" s="64"/>
      <c r="N358" s="118"/>
      <c r="O358" s="1484"/>
      <c r="P358" s="3293"/>
      <c r="Q358" s="2"/>
    </row>
    <row r="359" spans="1:17" ht="15" customHeight="1" x14ac:dyDescent="0.3">
      <c r="A359" s="3621"/>
      <c r="B359" s="2617" t="s">
        <v>3192</v>
      </c>
      <c r="C359" s="2660"/>
      <c r="D359" s="1289" t="s">
        <v>3271</v>
      </c>
      <c r="E359" s="2676"/>
      <c r="F359" s="1899"/>
      <c r="G359" s="1901"/>
      <c r="H359" s="1900"/>
      <c r="I359" s="2633" t="s">
        <v>217</v>
      </c>
      <c r="J359" s="64"/>
      <c r="K359" s="1779" t="s">
        <v>3272</v>
      </c>
      <c r="L359" s="64"/>
      <c r="M359" s="64"/>
      <c r="N359" s="118"/>
      <c r="O359" s="1484"/>
      <c r="P359" s="3293"/>
      <c r="Q359" s="2"/>
    </row>
    <row r="360" spans="1:17" ht="15" customHeight="1" x14ac:dyDescent="0.3">
      <c r="A360" s="3621"/>
      <c r="B360" s="2409" t="s">
        <v>3020</v>
      </c>
      <c r="C360" s="2705"/>
      <c r="D360" s="1793" t="s">
        <v>3273</v>
      </c>
      <c r="E360" s="2494"/>
      <c r="F360" s="2161"/>
      <c r="G360" s="2742"/>
      <c r="H360" s="2743"/>
      <c r="I360" s="2744" t="s">
        <v>1530</v>
      </c>
      <c r="J360" s="1394"/>
      <c r="K360" s="1394" t="s">
        <v>3122</v>
      </c>
      <c r="L360" s="1394"/>
      <c r="M360" s="1779"/>
      <c r="N360" s="118"/>
      <c r="O360" s="1484"/>
      <c r="P360" s="3293"/>
      <c r="Q360" s="2"/>
    </row>
    <row r="361" spans="1:17" ht="15" customHeight="1" x14ac:dyDescent="0.3">
      <c r="A361" s="3621"/>
      <c r="B361" s="1947"/>
      <c r="C361" s="1911"/>
      <c r="D361" s="1909" t="s">
        <v>3000</v>
      </c>
      <c r="E361" s="1910">
        <f>SUM(E345:E360)</f>
        <v>9810000</v>
      </c>
      <c r="F361" s="1911"/>
      <c r="G361" s="1912">
        <f>SUM(G345:G360)</f>
        <v>621600</v>
      </c>
      <c r="H361" s="1911"/>
      <c r="I361" s="2634"/>
      <c r="J361" s="1913"/>
      <c r="K361" s="1913"/>
      <c r="L361" s="1913"/>
      <c r="M361" s="287"/>
      <c r="N361" s="3590" t="s">
        <v>3026</v>
      </c>
      <c r="O361" s="3593"/>
      <c r="P361" s="3594"/>
      <c r="Q361" s="848"/>
    </row>
    <row r="362" spans="1:17" ht="15" customHeight="1" x14ac:dyDescent="0.3">
      <c r="A362" s="3622"/>
      <c r="B362" s="1914"/>
      <c r="C362" s="1918"/>
      <c r="D362" s="2533" t="s">
        <v>3002</v>
      </c>
      <c r="E362" s="1917">
        <f>G361+Q361</f>
        <v>621600</v>
      </c>
      <c r="F362" s="1918"/>
      <c r="G362" s="1919"/>
      <c r="H362" s="1918"/>
      <c r="I362" s="2635"/>
      <c r="J362" s="1920"/>
      <c r="K362" s="1920"/>
      <c r="L362" s="1920"/>
      <c r="M362" s="287"/>
      <c r="N362" s="968"/>
      <c r="O362" s="968"/>
      <c r="P362" s="2073"/>
      <c r="Q362" s="294"/>
    </row>
    <row r="363" spans="1:17" ht="15.6" x14ac:dyDescent="0.3">
      <c r="A363" s="1921"/>
      <c r="B363" s="1925"/>
      <c r="C363" s="1925"/>
      <c r="D363" s="1922"/>
      <c r="E363" s="1923"/>
      <c r="F363" s="1922"/>
      <c r="G363" s="1924"/>
      <c r="H363" s="1922"/>
      <c r="I363" s="2636"/>
      <c r="J363" s="1922"/>
      <c r="K363" s="1922"/>
      <c r="L363" s="1922"/>
      <c r="M363" s="468"/>
      <c r="N363" s="469"/>
      <c r="O363" s="469"/>
      <c r="P363" s="3289"/>
      <c r="Q363" s="463"/>
    </row>
    <row r="364" spans="1:17" ht="15.6" x14ac:dyDescent="0.3">
      <c r="A364" s="1921"/>
      <c r="B364" s="1925"/>
      <c r="C364" s="1925"/>
      <c r="D364" s="1925"/>
      <c r="E364" s="1926"/>
      <c r="F364" s="1925"/>
      <c r="G364" s="1927"/>
      <c r="H364" s="1925"/>
      <c r="I364" s="2637"/>
      <c r="J364" s="1925"/>
      <c r="K364" s="1925"/>
      <c r="L364" s="1925"/>
      <c r="M364" s="829"/>
      <c r="N364" s="830"/>
      <c r="O364" s="830"/>
      <c r="P364" s="3290"/>
      <c r="Q364" s="831"/>
    </row>
    <row r="365" spans="1:17" ht="21" x14ac:dyDescent="0.3">
      <c r="A365" s="3618" t="s">
        <v>3274</v>
      </c>
      <c r="B365" s="3618"/>
      <c r="C365" s="3618"/>
      <c r="D365" s="3618"/>
      <c r="E365" s="3618"/>
      <c r="F365" s="3618"/>
      <c r="G365" s="3618"/>
      <c r="H365" s="3533"/>
      <c r="I365" s="3618"/>
      <c r="J365" s="3618"/>
      <c r="K365" s="3618"/>
      <c r="L365" s="3030"/>
      <c r="M365" s="287"/>
      <c r="N365" s="845"/>
      <c r="O365" s="845"/>
      <c r="P365" s="3291"/>
      <c r="Q365" s="294"/>
    </row>
    <row r="366" spans="1:17" x14ac:dyDescent="0.3">
      <c r="A366" s="1928" t="s">
        <v>2974</v>
      </c>
      <c r="B366" s="1928" t="s">
        <v>2975</v>
      </c>
      <c r="C366" s="1928" t="s">
        <v>3004</v>
      </c>
      <c r="D366" s="1928" t="s">
        <v>2977</v>
      </c>
      <c r="E366" s="2370" t="s">
        <v>2978</v>
      </c>
      <c r="F366" s="1928" t="s">
        <v>2979</v>
      </c>
      <c r="G366" s="2371" t="s">
        <v>2980</v>
      </c>
      <c r="H366" s="2746" t="s">
        <v>2981</v>
      </c>
      <c r="I366" s="2326" t="s">
        <v>2982</v>
      </c>
      <c r="J366" s="2372"/>
      <c r="K366" s="2372" t="s">
        <v>2983</v>
      </c>
      <c r="L366" s="2372"/>
      <c r="M366" s="1658" t="s">
        <v>2975</v>
      </c>
      <c r="N366" s="1779" t="s">
        <v>2977</v>
      </c>
      <c r="O366" s="1779" t="s">
        <v>2984</v>
      </c>
      <c r="P366" s="1216" t="s">
        <v>2979</v>
      </c>
      <c r="Q366" s="2" t="s">
        <v>2985</v>
      </c>
    </row>
    <row r="367" spans="1:17" ht="24" customHeight="1" x14ac:dyDescent="0.3">
      <c r="A367" s="3613">
        <v>3</v>
      </c>
      <c r="B367" s="2607">
        <v>13372</v>
      </c>
      <c r="C367" s="2608">
        <v>0.1</v>
      </c>
      <c r="D367" s="937" t="s">
        <v>3275</v>
      </c>
      <c r="E367" s="2676">
        <v>1500000</v>
      </c>
      <c r="F367" s="1943">
        <v>0.04</v>
      </c>
      <c r="G367" s="2368">
        <f>E367*F367</f>
        <v>60000</v>
      </c>
      <c r="H367" s="1905" t="s">
        <v>118</v>
      </c>
      <c r="I367" s="2638" t="s">
        <v>1770</v>
      </c>
      <c r="J367" s="3193"/>
      <c r="K367" s="2145" t="s">
        <v>3276</v>
      </c>
      <c r="L367" s="3193"/>
      <c r="M367" s="2598"/>
      <c r="N367" s="2598"/>
      <c r="O367" s="2503"/>
      <c r="P367" s="1720"/>
      <c r="Q367" s="2"/>
    </row>
    <row r="368" spans="1:17" ht="15" customHeight="1" x14ac:dyDescent="0.3">
      <c r="A368" s="3614"/>
      <c r="B368" s="2632"/>
      <c r="C368" s="2563"/>
      <c r="D368" s="1680"/>
      <c r="E368" s="2676"/>
      <c r="F368" s="2655"/>
      <c r="G368" s="321"/>
      <c r="H368" s="1900"/>
      <c r="I368" s="2644"/>
      <c r="J368" s="3043"/>
      <c r="K368" s="2506"/>
      <c r="L368" s="3043"/>
      <c r="M368" s="64"/>
      <c r="N368" s="64"/>
      <c r="O368" s="1779"/>
      <c r="P368" s="1216"/>
      <c r="Q368" s="2"/>
    </row>
    <row r="369" spans="1:17" ht="15" customHeight="1" x14ac:dyDescent="0.3">
      <c r="A369" s="3614"/>
      <c r="B369" s="2673"/>
      <c r="C369" s="2674"/>
      <c r="D369" s="1576"/>
      <c r="E369" s="2676"/>
      <c r="F369" s="1939"/>
      <c r="G369" s="321"/>
      <c r="H369" s="1900"/>
      <c r="I369" s="2644"/>
      <c r="J369" s="3043"/>
      <c r="K369" s="2506"/>
      <c r="L369" s="3043"/>
      <c r="M369" s="64"/>
      <c r="N369" s="64"/>
      <c r="O369" s="1779"/>
      <c r="P369" s="1216"/>
      <c r="Q369" s="2"/>
    </row>
    <row r="370" spans="1:17" ht="15" customHeight="1" x14ac:dyDescent="0.3">
      <c r="A370" s="3614"/>
      <c r="B370" s="1947"/>
      <c r="C370" s="1911"/>
      <c r="D370" s="1948" t="s">
        <v>3000</v>
      </c>
      <c r="E370" s="1910">
        <f>SUM(E367:E369)</f>
        <v>1500000</v>
      </c>
      <c r="F370" s="1911"/>
      <c r="G370" s="1912">
        <f>SUM(G367:G369)</f>
        <v>60000</v>
      </c>
      <c r="H370" s="1911"/>
      <c r="I370" s="2634"/>
      <c r="J370" s="1911"/>
      <c r="K370" s="1911"/>
      <c r="L370" s="1911"/>
      <c r="M370" s="287"/>
      <c r="N370" s="3593" t="s">
        <v>3026</v>
      </c>
      <c r="O370" s="3593"/>
      <c r="P370" s="3594"/>
      <c r="Q370" s="848"/>
    </row>
    <row r="371" spans="1:17" ht="15" customHeight="1" x14ac:dyDescent="0.3">
      <c r="A371" s="3615"/>
      <c r="B371" s="1949"/>
      <c r="C371" s="1915"/>
      <c r="D371" s="2373" t="s">
        <v>3002</v>
      </c>
      <c r="E371" s="2374">
        <f>G370</f>
        <v>60000</v>
      </c>
      <c r="F371" s="1915"/>
      <c r="G371" s="2375"/>
      <c r="H371" s="1915"/>
      <c r="I371" s="2639"/>
      <c r="J371" s="2376"/>
      <c r="K371" s="2376"/>
      <c r="L371" s="2376"/>
      <c r="M371" s="895"/>
      <c r="N371" s="968"/>
      <c r="O371" s="968"/>
      <c r="P371" s="2073"/>
      <c r="Q371" s="294"/>
    </row>
    <row r="373" spans="1:17" ht="21" x14ac:dyDescent="0.3">
      <c r="A373" s="3618" t="s">
        <v>118</v>
      </c>
      <c r="B373" s="3618"/>
      <c r="C373" s="3618"/>
      <c r="D373" s="3618"/>
      <c r="E373" s="3618"/>
      <c r="F373" s="3618"/>
      <c r="G373" s="3618"/>
      <c r="H373" s="3533"/>
      <c r="I373" s="3618"/>
      <c r="J373" s="3618"/>
      <c r="K373" s="3618"/>
      <c r="L373" s="3030"/>
      <c r="M373" s="287"/>
      <c r="N373" s="845"/>
      <c r="O373" s="845"/>
      <c r="P373" s="3291"/>
      <c r="Q373" s="294"/>
    </row>
    <row r="374" spans="1:17" x14ac:dyDescent="0.3">
      <c r="A374" s="1928" t="s">
        <v>2974</v>
      </c>
      <c r="B374" s="1928" t="s">
        <v>2975</v>
      </c>
      <c r="C374" s="1928" t="s">
        <v>3004</v>
      </c>
      <c r="D374" s="1928" t="s">
        <v>2977</v>
      </c>
      <c r="E374" s="2370" t="s">
        <v>2978</v>
      </c>
      <c r="F374" s="1928" t="s">
        <v>2979</v>
      </c>
      <c r="G374" s="2371" t="s">
        <v>2980</v>
      </c>
      <c r="H374" s="2746" t="s">
        <v>2981</v>
      </c>
      <c r="I374" s="2326" t="s">
        <v>2982</v>
      </c>
      <c r="J374" s="2372"/>
      <c r="K374" s="2372" t="s">
        <v>2983</v>
      </c>
      <c r="L374" s="2372"/>
      <c r="M374" s="1658" t="s">
        <v>2975</v>
      </c>
      <c r="N374" s="1779" t="s">
        <v>2977</v>
      </c>
      <c r="O374" s="1779" t="s">
        <v>2984</v>
      </c>
      <c r="P374" s="1216" t="s">
        <v>2979</v>
      </c>
      <c r="Q374" s="2" t="s">
        <v>2985</v>
      </c>
    </row>
    <row r="375" spans="1:17" ht="15" customHeight="1" x14ac:dyDescent="0.3">
      <c r="A375" s="3534"/>
      <c r="B375" s="2643"/>
      <c r="C375" s="2675"/>
      <c r="D375" s="2532"/>
      <c r="E375" s="2676"/>
      <c r="F375" s="1943"/>
      <c r="G375" s="2368"/>
      <c r="H375" s="1905"/>
      <c r="I375" s="2638"/>
      <c r="J375" s="371"/>
      <c r="K375" s="1058"/>
      <c r="L375" s="371"/>
      <c r="M375" s="64"/>
      <c r="N375" s="64"/>
      <c r="O375" s="1779"/>
      <c r="P375" s="1216"/>
      <c r="Q375" s="2"/>
    </row>
    <row r="376" spans="1:17" ht="15" customHeight="1" x14ac:dyDescent="0.3">
      <c r="A376" s="3535"/>
      <c r="B376" s="2673"/>
      <c r="C376" s="2674"/>
      <c r="D376" s="1576"/>
      <c r="E376" s="2676"/>
      <c r="F376" s="1943"/>
      <c r="G376" s="2368"/>
      <c r="H376" s="1905"/>
      <c r="I376" s="2638"/>
      <c r="J376" s="371"/>
      <c r="K376" s="1058"/>
      <c r="L376" s="371"/>
      <c r="M376" s="64"/>
      <c r="N376" s="64"/>
      <c r="O376" s="1779"/>
      <c r="P376" s="1216"/>
      <c r="Q376" s="2"/>
    </row>
    <row r="377" spans="1:17" ht="15" customHeight="1" x14ac:dyDescent="0.3">
      <c r="A377" s="3535"/>
      <c r="B377" s="1947"/>
      <c r="C377" s="1911"/>
      <c r="D377" s="1948" t="s">
        <v>3000</v>
      </c>
      <c r="E377" s="1910"/>
      <c r="F377" s="1911"/>
      <c r="G377" s="1912"/>
      <c r="H377" s="1911"/>
      <c r="I377" s="2634"/>
      <c r="J377" s="1911"/>
      <c r="K377" s="1911"/>
      <c r="L377" s="1911"/>
      <c r="M377" s="287"/>
      <c r="N377" s="3593" t="s">
        <v>3026</v>
      </c>
      <c r="O377" s="3593"/>
      <c r="P377" s="3594"/>
      <c r="Q377" s="848"/>
    </row>
    <row r="378" spans="1:17" ht="15" customHeight="1" x14ac:dyDescent="0.3">
      <c r="A378" s="3536"/>
      <c r="B378" s="1949"/>
      <c r="C378" s="1915"/>
      <c r="D378" s="2373" t="s">
        <v>3002</v>
      </c>
      <c r="E378" s="2785"/>
      <c r="F378" s="1915"/>
      <c r="G378" s="2375"/>
      <c r="H378" s="1915"/>
      <c r="I378" s="2639"/>
      <c r="J378" s="2376"/>
      <c r="K378" s="2376"/>
      <c r="L378" s="2376"/>
      <c r="M378" s="895"/>
      <c r="N378" s="968"/>
      <c r="O378" s="968"/>
      <c r="P378" s="2073"/>
      <c r="Q378" s="294"/>
    </row>
    <row r="379" spans="1:17" x14ac:dyDescent="0.3">
      <c r="E379" s="11"/>
    </row>
    <row r="380" spans="1:17" ht="15" customHeight="1" x14ac:dyDescent="0.3">
      <c r="A380" s="3603" t="s">
        <v>3064</v>
      </c>
      <c r="B380" s="3604"/>
      <c r="C380" s="79"/>
      <c r="D380" s="2728">
        <f>E308+E324+E339+E361+E370</f>
        <v>40960000</v>
      </c>
      <c r="E380" s="35"/>
    </row>
    <row r="381" spans="1:17" ht="15" customHeight="1" x14ac:dyDescent="0.3">
      <c r="A381" s="3605" t="s">
        <v>3065</v>
      </c>
      <c r="B381" s="3606"/>
      <c r="C381" s="41"/>
      <c r="D381" s="2729"/>
      <c r="E381" s="2783"/>
    </row>
    <row r="382" spans="1:17" ht="15" customHeight="1" x14ac:dyDescent="0.3">
      <c r="A382" s="3607" t="s">
        <v>3066</v>
      </c>
      <c r="B382" s="3608"/>
      <c r="C382" s="45"/>
      <c r="D382" s="2730"/>
      <c r="E382" s="2783"/>
    </row>
    <row r="383" spans="1:17" ht="15" customHeight="1" x14ac:dyDescent="0.3">
      <c r="A383" s="3609" t="s">
        <v>3067</v>
      </c>
      <c r="B383" s="3610"/>
      <c r="C383" s="651"/>
      <c r="D383" s="1573"/>
      <c r="E383" s="11"/>
    </row>
    <row r="384" spans="1:17" ht="15" customHeight="1" x14ac:dyDescent="0.3">
      <c r="A384" s="3611" t="s">
        <v>3068</v>
      </c>
      <c r="B384" s="3612"/>
      <c r="C384" s="1513"/>
      <c r="D384" s="923"/>
      <c r="E384" s="11"/>
    </row>
    <row r="385" spans="1:17" ht="15" customHeight="1" x14ac:dyDescent="0.3">
      <c r="A385" s="3580" t="s">
        <v>3069</v>
      </c>
      <c r="B385" s="3580"/>
      <c r="C385" s="1513"/>
      <c r="D385" s="2784"/>
      <c r="E385" s="11"/>
    </row>
    <row r="386" spans="1:17" x14ac:dyDescent="0.3">
      <c r="A386" s="2234"/>
      <c r="B386" s="2410" t="s">
        <v>3070</v>
      </c>
      <c r="C386" s="43"/>
      <c r="D386" s="35">
        <f>SUM(D380:D385)</f>
        <v>40960000</v>
      </c>
    </row>
    <row r="387" spans="1:17" x14ac:dyDescent="0.3">
      <c r="A387" s="2950"/>
      <c r="B387" s="2951"/>
      <c r="C387" s="2952"/>
      <c r="D387" s="2953"/>
    </row>
    <row r="389" spans="1:17" ht="46.5" customHeight="1" x14ac:dyDescent="0.85">
      <c r="A389" s="3585" t="s">
        <v>3277</v>
      </c>
      <c r="B389" s="3585"/>
      <c r="C389" s="3585"/>
      <c r="D389" s="3585"/>
      <c r="E389" s="3585"/>
      <c r="F389" s="3585"/>
      <c r="G389" s="3585"/>
      <c r="H389" s="3585"/>
      <c r="I389" s="3585"/>
      <c r="J389" s="3585"/>
      <c r="K389" s="3585"/>
      <c r="L389" s="3024"/>
    </row>
    <row r="391" spans="1:17" ht="20.25" customHeight="1" x14ac:dyDescent="0.4">
      <c r="A391" s="3555" t="s">
        <v>3212</v>
      </c>
      <c r="B391" s="3555"/>
      <c r="C391" s="3555"/>
      <c r="D391" s="3555"/>
      <c r="E391" s="3555"/>
      <c r="F391" s="3555"/>
      <c r="G391" s="3555"/>
      <c r="H391" s="3555"/>
      <c r="I391" s="3555"/>
      <c r="J391" s="3555"/>
      <c r="K391" s="3555"/>
      <c r="L391" s="3046"/>
      <c r="M391" s="3556" t="s">
        <v>2973</v>
      </c>
      <c r="N391" s="3556"/>
      <c r="O391" s="3556"/>
      <c r="P391" s="3556"/>
      <c r="Q391" s="2"/>
    </row>
    <row r="392" spans="1:17" ht="15" customHeight="1" x14ac:dyDescent="0.3">
      <c r="A392" s="2745" t="s">
        <v>2974</v>
      </c>
      <c r="B392" s="2746" t="s">
        <v>2975</v>
      </c>
      <c r="C392" s="2747" t="s">
        <v>2976</v>
      </c>
      <c r="D392" s="2748" t="s">
        <v>2977</v>
      </c>
      <c r="E392" s="2749" t="s">
        <v>2978</v>
      </c>
      <c r="F392" s="2745" t="s">
        <v>2979</v>
      </c>
      <c r="G392" s="2750" t="s">
        <v>2980</v>
      </c>
      <c r="H392" s="2746" t="s">
        <v>2981</v>
      </c>
      <c r="I392" s="2751" t="s">
        <v>2982</v>
      </c>
      <c r="J392" s="2752"/>
      <c r="K392" s="2745" t="s">
        <v>2983</v>
      </c>
      <c r="L392" s="2752"/>
      <c r="M392" s="2752" t="s">
        <v>2975</v>
      </c>
      <c r="N392" s="2752" t="s">
        <v>2977</v>
      </c>
      <c r="O392" s="2752" t="s">
        <v>2984</v>
      </c>
      <c r="P392" s="3295" t="s">
        <v>2979</v>
      </c>
      <c r="Q392" s="268" t="s">
        <v>2985</v>
      </c>
    </row>
    <row r="393" spans="1:17" ht="15" customHeight="1" x14ac:dyDescent="0.3">
      <c r="A393" s="3613" t="s">
        <v>2986</v>
      </c>
      <c r="B393" s="1010">
        <v>13476</v>
      </c>
      <c r="C393" s="333">
        <v>0.1</v>
      </c>
      <c r="D393" s="67" t="s">
        <v>3278</v>
      </c>
      <c r="E393" s="1632">
        <v>1350000</v>
      </c>
      <c r="F393" s="320">
        <v>0.12</v>
      </c>
      <c r="G393" s="321">
        <f t="shared" ref="G393:G403" si="20">E393*F393</f>
        <v>162000</v>
      </c>
      <c r="H393" s="1900" t="s">
        <v>1482</v>
      </c>
      <c r="I393" s="2621" t="s">
        <v>1770</v>
      </c>
      <c r="J393" s="2503"/>
      <c r="K393" s="2597"/>
      <c r="L393" s="2503"/>
      <c r="M393" s="1010">
        <v>13542</v>
      </c>
      <c r="N393" s="67" t="s">
        <v>3279</v>
      </c>
      <c r="O393" s="1628">
        <v>1200000</v>
      </c>
      <c r="P393" s="1720">
        <v>0.05</v>
      </c>
      <c r="Q393" s="2518">
        <f>O393*P393</f>
        <v>60000</v>
      </c>
    </row>
    <row r="394" spans="1:17" ht="15" customHeight="1" x14ac:dyDescent="0.3">
      <c r="A394" s="3614"/>
      <c r="B394" s="1010">
        <v>13461</v>
      </c>
      <c r="C394" s="333">
        <v>0.1</v>
      </c>
      <c r="D394" s="67" t="s">
        <v>3280</v>
      </c>
      <c r="E394" s="1632">
        <v>1300000</v>
      </c>
      <c r="F394" s="1720">
        <v>7.0000000000000007E-2</v>
      </c>
      <c r="G394" s="321">
        <f t="shared" si="20"/>
        <v>91000.000000000015</v>
      </c>
      <c r="H394" s="1900" t="s">
        <v>3010</v>
      </c>
      <c r="I394" s="2621" t="s">
        <v>217</v>
      </c>
      <c r="J394" s="1548"/>
      <c r="K394" s="1762"/>
      <c r="L394" s="1548"/>
      <c r="M394" s="1010">
        <v>13581</v>
      </c>
      <c r="N394" s="67" t="s">
        <v>3281</v>
      </c>
      <c r="O394" s="1628">
        <v>1600000</v>
      </c>
      <c r="P394" s="1720">
        <v>0.05</v>
      </c>
      <c r="Q394" s="2518">
        <f t="shared" ref="Q394:Q396" si="21">O394*P394</f>
        <v>80000</v>
      </c>
    </row>
    <row r="395" spans="1:17" ht="15" customHeight="1" x14ac:dyDescent="0.3">
      <c r="A395" s="3614"/>
      <c r="B395" s="1010">
        <v>13460</v>
      </c>
      <c r="C395" s="553">
        <v>0.08</v>
      </c>
      <c r="D395" s="67" t="s">
        <v>3282</v>
      </c>
      <c r="E395" s="2676">
        <v>1350000</v>
      </c>
      <c r="F395" s="2466">
        <v>0.1</v>
      </c>
      <c r="G395" s="321">
        <f t="shared" si="20"/>
        <v>135000</v>
      </c>
      <c r="H395" s="1905" t="s">
        <v>1482</v>
      </c>
      <c r="I395" s="2786" t="s">
        <v>1770</v>
      </c>
      <c r="J395" s="307"/>
      <c r="K395" s="1058"/>
      <c r="L395" s="307"/>
      <c r="M395" s="1010">
        <v>13474</v>
      </c>
      <c r="N395" s="67" t="s">
        <v>3283</v>
      </c>
      <c r="O395" s="2676">
        <v>1350000</v>
      </c>
      <c r="P395" s="2469">
        <v>0.04</v>
      </c>
      <c r="Q395" s="2518">
        <f t="shared" si="21"/>
        <v>54000</v>
      </c>
    </row>
    <row r="396" spans="1:17" ht="15" customHeight="1" x14ac:dyDescent="0.3">
      <c r="A396" s="3614"/>
      <c r="B396" s="1010">
        <v>13510</v>
      </c>
      <c r="C396" s="333">
        <v>0.1</v>
      </c>
      <c r="D396" s="67" t="s">
        <v>3284</v>
      </c>
      <c r="E396" s="1632">
        <v>1300000</v>
      </c>
      <c r="F396" s="1720">
        <v>7.0000000000000007E-2</v>
      </c>
      <c r="G396" s="321">
        <f t="shared" si="20"/>
        <v>91000.000000000015</v>
      </c>
      <c r="H396" s="1900" t="s">
        <v>3010</v>
      </c>
      <c r="I396" s="2621" t="s">
        <v>217</v>
      </c>
      <c r="J396" s="1548"/>
      <c r="K396" s="1762"/>
      <c r="L396" s="1548"/>
      <c r="M396" s="1010">
        <v>13451</v>
      </c>
      <c r="N396" s="67" t="s">
        <v>3285</v>
      </c>
      <c r="O396" s="2676">
        <v>1200000</v>
      </c>
      <c r="P396" s="1720">
        <v>0.05</v>
      </c>
      <c r="Q396" s="2518">
        <f t="shared" si="21"/>
        <v>60000</v>
      </c>
    </row>
    <row r="397" spans="1:17" ht="15" customHeight="1" x14ac:dyDescent="0.3">
      <c r="A397" s="3614"/>
      <c r="B397" s="1010">
        <v>13523</v>
      </c>
      <c r="C397" s="333">
        <v>0.1</v>
      </c>
      <c r="D397" s="67" t="s">
        <v>3286</v>
      </c>
      <c r="E397" s="1632">
        <v>2200000</v>
      </c>
      <c r="F397" s="320">
        <v>7.0000000000000007E-2</v>
      </c>
      <c r="G397" s="321">
        <f t="shared" si="20"/>
        <v>154000.00000000003</v>
      </c>
      <c r="H397" s="1900" t="s">
        <v>118</v>
      </c>
      <c r="I397" s="2621" t="s">
        <v>1770</v>
      </c>
      <c r="J397" s="1548"/>
      <c r="K397" s="1762"/>
      <c r="L397" s="1548"/>
      <c r="M397" s="2503"/>
      <c r="N397" s="2503"/>
      <c r="O397" s="2503"/>
      <c r="P397" s="1720"/>
      <c r="Q397" s="51"/>
    </row>
    <row r="398" spans="1:17" ht="15" customHeight="1" x14ac:dyDescent="0.3">
      <c r="A398" s="3614"/>
      <c r="B398" s="2449">
        <v>13524</v>
      </c>
      <c r="C398" s="333">
        <v>0.1</v>
      </c>
      <c r="D398" s="67" t="s">
        <v>3287</v>
      </c>
      <c r="E398" s="1632">
        <v>1550000</v>
      </c>
      <c r="F398" s="320">
        <v>0.12</v>
      </c>
      <c r="G398" s="321">
        <f t="shared" si="20"/>
        <v>186000</v>
      </c>
      <c r="H398" s="1900" t="s">
        <v>1482</v>
      </c>
      <c r="I398" s="2621" t="s">
        <v>1770</v>
      </c>
      <c r="J398" s="2"/>
      <c r="K398" s="11"/>
      <c r="L398" s="2"/>
      <c r="M398" s="2503"/>
      <c r="N398" s="2503"/>
      <c r="O398" s="2503"/>
      <c r="P398" s="1720"/>
      <c r="Q398" s="51"/>
    </row>
    <row r="399" spans="1:17" ht="15" customHeight="1" x14ac:dyDescent="0.3">
      <c r="A399" s="3614"/>
      <c r="B399" s="2449">
        <v>13549</v>
      </c>
      <c r="C399" s="333">
        <v>0.1</v>
      </c>
      <c r="D399" s="67" t="s">
        <v>3288</v>
      </c>
      <c r="E399" s="1632">
        <v>1300000</v>
      </c>
      <c r="F399" s="320">
        <v>0.12</v>
      </c>
      <c r="G399" s="321">
        <f t="shared" si="20"/>
        <v>156000</v>
      </c>
      <c r="H399" s="1900" t="s">
        <v>1482</v>
      </c>
      <c r="I399" s="2621" t="s">
        <v>217</v>
      </c>
      <c r="J399" s="2"/>
      <c r="K399" s="11"/>
      <c r="L399" s="2"/>
      <c r="M399" s="2503"/>
      <c r="N399" s="2503"/>
      <c r="O399" s="2503"/>
      <c r="P399" s="1720"/>
      <c r="Q399" s="51"/>
    </row>
    <row r="400" spans="1:17" ht="15" customHeight="1" x14ac:dyDescent="0.3">
      <c r="A400" s="3614"/>
      <c r="B400" s="2449">
        <v>13537</v>
      </c>
      <c r="C400" s="553">
        <v>0.08</v>
      </c>
      <c r="D400" s="67" t="s">
        <v>3289</v>
      </c>
      <c r="E400" s="1632">
        <v>4500000</v>
      </c>
      <c r="F400" s="2456">
        <v>0.06</v>
      </c>
      <c r="G400" s="321">
        <f t="shared" si="20"/>
        <v>270000</v>
      </c>
      <c r="H400" s="1900" t="s">
        <v>118</v>
      </c>
      <c r="I400" s="2621" t="s">
        <v>1770</v>
      </c>
      <c r="J400" s="2503"/>
      <c r="K400" s="2597"/>
      <c r="L400" s="2503"/>
      <c r="M400" s="2503"/>
      <c r="N400" s="2503"/>
      <c r="O400" s="2503"/>
      <c r="P400" s="1720"/>
      <c r="Q400" s="51"/>
    </row>
    <row r="401" spans="1:17" ht="15" customHeight="1" x14ac:dyDescent="0.3">
      <c r="A401" s="3614"/>
      <c r="B401" s="2449">
        <v>13634</v>
      </c>
      <c r="C401" s="2596">
        <v>0.1</v>
      </c>
      <c r="D401" s="85" t="s">
        <v>3290</v>
      </c>
      <c r="E401" s="1628">
        <v>800000</v>
      </c>
      <c r="F401" s="320">
        <v>0.12</v>
      </c>
      <c r="G401" s="321">
        <f t="shared" si="20"/>
        <v>96000</v>
      </c>
      <c r="H401" s="2756" t="s">
        <v>1482</v>
      </c>
      <c r="I401" s="2834" t="s">
        <v>2118</v>
      </c>
      <c r="J401" s="2503"/>
      <c r="K401" s="2597"/>
      <c r="L401" s="2503"/>
      <c r="M401" s="2503"/>
      <c r="N401" s="2503"/>
      <c r="O401" s="2503"/>
      <c r="P401" s="1720"/>
      <c r="Q401" s="51"/>
    </row>
    <row r="402" spans="1:17" ht="15.75" customHeight="1" x14ac:dyDescent="0.3">
      <c r="A402" s="3614"/>
      <c r="B402" s="2449">
        <v>13645</v>
      </c>
      <c r="C402" s="333">
        <v>0.1</v>
      </c>
      <c r="D402" s="85" t="s">
        <v>3291</v>
      </c>
      <c r="E402" s="1632">
        <v>1700000</v>
      </c>
      <c r="F402" s="320">
        <v>0.12</v>
      </c>
      <c r="G402" s="321">
        <f t="shared" si="20"/>
        <v>204000</v>
      </c>
      <c r="H402" s="1900" t="s">
        <v>1482</v>
      </c>
      <c r="I402" s="2621" t="s">
        <v>217</v>
      </c>
      <c r="J402" s="2503"/>
      <c r="K402" s="2597"/>
      <c r="L402" s="2503"/>
      <c r="M402" s="2503"/>
      <c r="N402" s="2503"/>
      <c r="O402" s="2503"/>
      <c r="P402" s="1720"/>
      <c r="Q402" s="51"/>
    </row>
    <row r="403" spans="1:17" ht="15.75" customHeight="1" x14ac:dyDescent="0.3">
      <c r="A403" s="3614"/>
      <c r="B403" s="2449">
        <v>13654</v>
      </c>
      <c r="C403" s="2596">
        <v>0.1</v>
      </c>
      <c r="D403" s="85" t="s">
        <v>3292</v>
      </c>
      <c r="E403" s="1632">
        <v>1400000</v>
      </c>
      <c r="F403" s="320">
        <v>0.12</v>
      </c>
      <c r="G403" s="321">
        <f t="shared" si="20"/>
        <v>168000</v>
      </c>
      <c r="H403" s="1900" t="s">
        <v>118</v>
      </c>
      <c r="I403" s="2621" t="s">
        <v>133</v>
      </c>
      <c r="J403" s="2503"/>
      <c r="K403" s="2597"/>
      <c r="L403" s="2503"/>
      <c r="M403" s="2503"/>
      <c r="N403" s="2503"/>
      <c r="O403" s="2503"/>
      <c r="P403" s="1720"/>
      <c r="Q403" s="51"/>
    </row>
    <row r="404" spans="1:17" ht="15" customHeight="1" x14ac:dyDescent="0.3">
      <c r="A404" s="3614"/>
      <c r="B404" s="2486" t="s">
        <v>3192</v>
      </c>
      <c r="C404" s="2513" t="s">
        <v>3293</v>
      </c>
      <c r="D404" s="2349" t="s">
        <v>3294</v>
      </c>
      <c r="E404" s="1632"/>
      <c r="F404" s="320"/>
      <c r="G404" s="321"/>
      <c r="H404" s="1900"/>
      <c r="I404" s="2621" t="s">
        <v>217</v>
      </c>
      <c r="J404" s="2503"/>
      <c r="K404" s="2597" t="s">
        <v>3295</v>
      </c>
      <c r="L404" s="2503"/>
      <c r="M404" s="2756"/>
      <c r="N404" s="716"/>
      <c r="O404" s="1745"/>
      <c r="P404" s="376"/>
      <c r="Q404" s="376"/>
    </row>
    <row r="405" spans="1:17" ht="15" customHeight="1" x14ac:dyDescent="0.3">
      <c r="A405" s="3614"/>
      <c r="B405" s="2486" t="s">
        <v>3296</v>
      </c>
      <c r="C405" s="2513"/>
      <c r="D405" s="2822" t="s">
        <v>3297</v>
      </c>
      <c r="E405" s="1632"/>
      <c r="F405" s="320"/>
      <c r="G405" s="321"/>
      <c r="H405" s="1900"/>
      <c r="I405" s="2621" t="s">
        <v>1770</v>
      </c>
      <c r="J405" s="2503"/>
      <c r="K405" s="2597" t="s">
        <v>3298</v>
      </c>
      <c r="L405" s="2503"/>
      <c r="M405" s="2756"/>
      <c r="N405" s="716"/>
      <c r="O405" s="1745"/>
      <c r="P405" s="376"/>
      <c r="Q405" s="376"/>
    </row>
    <row r="406" spans="1:17" ht="15" customHeight="1" x14ac:dyDescent="0.3">
      <c r="A406" s="3614"/>
      <c r="B406" s="2486" t="s">
        <v>3299</v>
      </c>
      <c r="C406" s="2513"/>
      <c r="D406" s="2822" t="s">
        <v>3300</v>
      </c>
      <c r="E406" s="1628"/>
      <c r="F406" s="320"/>
      <c r="G406" s="321"/>
      <c r="H406" s="2756"/>
      <c r="I406" s="2834" t="s">
        <v>2118</v>
      </c>
      <c r="J406" s="2503"/>
      <c r="K406" s="2597" t="s">
        <v>3301</v>
      </c>
      <c r="L406" s="2503"/>
      <c r="M406" s="2756"/>
      <c r="N406" s="716"/>
      <c r="O406" s="1745"/>
      <c r="P406" s="376"/>
      <c r="Q406" s="376"/>
    </row>
    <row r="407" spans="1:17" ht="15" customHeight="1" x14ac:dyDescent="0.3">
      <c r="A407" s="3614"/>
      <c r="B407" s="2617" t="s">
        <v>3302</v>
      </c>
      <c r="C407" s="2816">
        <v>0.08</v>
      </c>
      <c r="D407" s="98" t="s">
        <v>3303</v>
      </c>
      <c r="E407" s="1631"/>
      <c r="F407" s="1943"/>
      <c r="G407" s="2368"/>
      <c r="H407" s="1905"/>
      <c r="I407" s="2786" t="s">
        <v>217</v>
      </c>
      <c r="J407" s="307"/>
      <c r="K407" s="1058" t="s">
        <v>3304</v>
      </c>
      <c r="L407" s="307"/>
      <c r="M407" s="2756"/>
      <c r="N407" s="716"/>
      <c r="O407" s="1745"/>
      <c r="P407" s="376"/>
      <c r="Q407" s="376"/>
    </row>
    <row r="408" spans="1:17" ht="15" customHeight="1" x14ac:dyDescent="0.3">
      <c r="A408" s="3614"/>
      <c r="B408" s="2398"/>
      <c r="C408" s="638"/>
      <c r="D408" s="1116" t="s">
        <v>3000</v>
      </c>
      <c r="E408" s="1634">
        <f>SUM(E393:E407)</f>
        <v>18750000</v>
      </c>
      <c r="F408" s="956"/>
      <c r="G408" s="1207">
        <f>SUM(G393:G407)</f>
        <v>1713000</v>
      </c>
      <c r="H408" s="2724"/>
      <c r="I408" s="2725"/>
      <c r="J408" s="686"/>
      <c r="K408" s="2835"/>
      <c r="L408" s="686"/>
      <c r="M408" s="532"/>
      <c r="N408" s="3616" t="s">
        <v>3001</v>
      </c>
      <c r="O408" s="3617"/>
      <c r="P408" s="3617"/>
      <c r="Q408" s="612">
        <f>SUM(Q393:Q407)</f>
        <v>254000</v>
      </c>
    </row>
    <row r="409" spans="1:17" ht="15" customHeight="1" x14ac:dyDescent="0.3">
      <c r="A409" s="3615"/>
      <c r="B409" s="1918"/>
      <c r="C409" s="840"/>
      <c r="D409" s="1182" t="s">
        <v>3002</v>
      </c>
      <c r="E409" s="953">
        <f>G408+Q408</f>
        <v>1967000</v>
      </c>
      <c r="F409" s="840"/>
      <c r="G409" s="842"/>
      <c r="H409" s="1918"/>
      <c r="I409" s="2623"/>
      <c r="J409" s="840"/>
      <c r="K409" s="843"/>
      <c r="L409" s="840"/>
      <c r="M409" s="287"/>
      <c r="N409" s="2726"/>
      <c r="O409" s="895"/>
      <c r="P409" s="992"/>
      <c r="Q409" s="430"/>
    </row>
    <row r="410" spans="1:17" ht="15" customHeight="1" x14ac:dyDescent="0.3">
      <c r="A410" s="825"/>
      <c r="B410" s="1925"/>
      <c r="C410" s="825"/>
      <c r="D410" s="1172"/>
      <c r="E410" s="827"/>
      <c r="F410" s="825"/>
      <c r="G410" s="828"/>
      <c r="H410" s="1925"/>
      <c r="I410" s="2628"/>
      <c r="J410" s="825"/>
      <c r="K410" s="826"/>
      <c r="L410" s="825"/>
      <c r="Q410" s="1"/>
    </row>
    <row r="411" spans="1:17" ht="15" customHeight="1" x14ac:dyDescent="0.3">
      <c r="A411" s="825"/>
      <c r="B411" s="1925"/>
      <c r="C411" s="825"/>
      <c r="D411" s="1172"/>
      <c r="E411" s="827"/>
      <c r="F411" s="825"/>
      <c r="G411" s="828"/>
      <c r="H411" s="1925"/>
      <c r="I411" s="2628"/>
      <c r="J411" s="825"/>
      <c r="K411" s="826"/>
      <c r="L411" s="825"/>
      <c r="Q411" s="1"/>
    </row>
    <row r="412" spans="1:17" ht="20.25" customHeight="1" x14ac:dyDescent="0.4">
      <c r="A412" s="3600" t="s">
        <v>3149</v>
      </c>
      <c r="B412" s="3600"/>
      <c r="C412" s="3600"/>
      <c r="D412" s="3600"/>
      <c r="E412" s="3600"/>
      <c r="F412" s="3600"/>
      <c r="G412" s="3600"/>
      <c r="H412" s="3600"/>
      <c r="I412" s="3600"/>
      <c r="J412" s="3600"/>
      <c r="K412" s="3600"/>
      <c r="L412" s="3047"/>
      <c r="M412" s="3601" t="s">
        <v>2973</v>
      </c>
      <c r="N412" s="3601"/>
      <c r="O412" s="3601"/>
      <c r="P412" s="3601"/>
      <c r="Q412" s="268"/>
    </row>
    <row r="413" spans="1:17" ht="15" customHeight="1" x14ac:dyDescent="0.3">
      <c r="A413" s="2503" t="s">
        <v>2974</v>
      </c>
      <c r="B413" s="2757" t="s">
        <v>2975</v>
      </c>
      <c r="C413" s="2740" t="s">
        <v>3004</v>
      </c>
      <c r="D413" s="2758" t="s">
        <v>2977</v>
      </c>
      <c r="E413" s="2759" t="s">
        <v>2978</v>
      </c>
      <c r="F413" s="2740" t="s">
        <v>2979</v>
      </c>
      <c r="G413" s="2760" t="s">
        <v>2980</v>
      </c>
      <c r="H413" s="2761" t="s">
        <v>2981</v>
      </c>
      <c r="I413" s="2735" t="s">
        <v>2982</v>
      </c>
      <c r="J413" s="2740"/>
      <c r="K413" s="2740" t="s">
        <v>2983</v>
      </c>
      <c r="L413" s="2740"/>
      <c r="M413" s="2740" t="s">
        <v>2975</v>
      </c>
      <c r="N413" s="2740" t="s">
        <v>2977</v>
      </c>
      <c r="O413" s="2740" t="s">
        <v>2984</v>
      </c>
      <c r="P413" s="2472" t="s">
        <v>2979</v>
      </c>
      <c r="Q413" s="1071" t="s">
        <v>2985</v>
      </c>
    </row>
    <row r="414" spans="1:17" ht="15" customHeight="1" x14ac:dyDescent="0.3">
      <c r="A414" s="3613" t="s">
        <v>2986</v>
      </c>
      <c r="B414" s="2452">
        <v>13446</v>
      </c>
      <c r="C414" s="2832">
        <v>0.08</v>
      </c>
      <c r="D414" s="1448" t="s">
        <v>3305</v>
      </c>
      <c r="E414" s="1771">
        <v>1300000</v>
      </c>
      <c r="F414" s="2833">
        <v>0.04</v>
      </c>
      <c r="G414" s="633">
        <f t="shared" ref="G414:G424" si="22">E414*F414</f>
        <v>52000</v>
      </c>
      <c r="H414" s="2718" t="s">
        <v>1685</v>
      </c>
      <c r="I414" s="2641" t="s">
        <v>1770</v>
      </c>
      <c r="J414" s="316"/>
      <c r="K414" s="335"/>
      <c r="L414" s="316"/>
      <c r="M414" s="1010">
        <v>13461</v>
      </c>
      <c r="N414" s="67" t="s">
        <v>3280</v>
      </c>
      <c r="O414" s="1632">
        <v>1300000</v>
      </c>
      <c r="P414" s="1720">
        <v>0.05</v>
      </c>
      <c r="Q414" s="2518">
        <f>O414*P414</f>
        <v>65000</v>
      </c>
    </row>
    <row r="415" spans="1:17" ht="15" customHeight="1" x14ac:dyDescent="0.3">
      <c r="A415" s="3614"/>
      <c r="B415" s="2452">
        <v>13445</v>
      </c>
      <c r="C415" s="333">
        <v>0.1</v>
      </c>
      <c r="D415" s="67" t="s">
        <v>3306</v>
      </c>
      <c r="E415" s="1771">
        <v>1100000</v>
      </c>
      <c r="F415" s="985">
        <v>0.1</v>
      </c>
      <c r="G415" s="633">
        <f t="shared" si="22"/>
        <v>110000</v>
      </c>
      <c r="H415" s="1904" t="s">
        <v>3010</v>
      </c>
      <c r="I415" s="2640" t="s">
        <v>217</v>
      </c>
      <c r="J415" s="316"/>
      <c r="K415" s="335"/>
      <c r="L415" s="316"/>
      <c r="M415" s="1010">
        <v>13510</v>
      </c>
      <c r="N415" s="67" t="s">
        <v>3284</v>
      </c>
      <c r="O415" s="1632">
        <v>1300000</v>
      </c>
      <c r="P415" s="1720">
        <v>0.05</v>
      </c>
      <c r="Q415" s="2518">
        <f>O415*P415</f>
        <v>65000</v>
      </c>
    </row>
    <row r="416" spans="1:17" ht="15" customHeight="1" x14ac:dyDescent="0.3">
      <c r="A416" s="3614"/>
      <c r="B416" s="1010">
        <v>13473</v>
      </c>
      <c r="C416" s="2737">
        <v>0.1</v>
      </c>
      <c r="D416" s="67" t="s">
        <v>3307</v>
      </c>
      <c r="E416" s="1771">
        <v>1100000</v>
      </c>
      <c r="F416" s="985">
        <v>0.05</v>
      </c>
      <c r="G416" s="633">
        <f t="shared" si="22"/>
        <v>55000</v>
      </c>
      <c r="H416" s="2427" t="s">
        <v>1685</v>
      </c>
      <c r="I416" s="2640" t="s">
        <v>1770</v>
      </c>
      <c r="J416" s="316"/>
      <c r="K416" s="335"/>
      <c r="L416" s="316"/>
      <c r="M416" s="2503"/>
      <c r="N416" s="2503"/>
      <c r="O416" s="2503"/>
      <c r="P416" s="1720"/>
      <c r="Q416" s="51"/>
    </row>
    <row r="417" spans="1:17" ht="15" customHeight="1" x14ac:dyDescent="0.3">
      <c r="A417" s="3614"/>
      <c r="B417" s="2449">
        <v>13555</v>
      </c>
      <c r="C417" s="2824">
        <v>0.1</v>
      </c>
      <c r="D417" s="86" t="s">
        <v>3308</v>
      </c>
      <c r="E417" s="1628">
        <v>1200000</v>
      </c>
      <c r="F417" s="985">
        <v>0.1</v>
      </c>
      <c r="G417" s="633">
        <f t="shared" si="22"/>
        <v>120000</v>
      </c>
      <c r="H417" s="2756" t="s">
        <v>3010</v>
      </c>
      <c r="I417" s="2834" t="s">
        <v>217</v>
      </c>
      <c r="J417" s="316"/>
      <c r="K417" s="335"/>
      <c r="L417" s="316"/>
      <c r="M417" s="2503"/>
      <c r="N417" s="2503"/>
      <c r="O417" s="2503"/>
      <c r="P417" s="1720"/>
      <c r="Q417" s="51"/>
    </row>
    <row r="418" spans="1:17" ht="15" customHeight="1" x14ac:dyDescent="0.3">
      <c r="A418" s="3614"/>
      <c r="B418" s="1010">
        <v>13605</v>
      </c>
      <c r="C418" s="2737">
        <v>0.1</v>
      </c>
      <c r="D418" s="67" t="s">
        <v>3309</v>
      </c>
      <c r="E418" s="1628">
        <v>650000</v>
      </c>
      <c r="F418" s="985">
        <v>0.1</v>
      </c>
      <c r="G418" s="633">
        <f t="shared" si="22"/>
        <v>65000</v>
      </c>
      <c r="H418" s="2756" t="s">
        <v>3010</v>
      </c>
      <c r="I418" s="2834" t="s">
        <v>1770</v>
      </c>
      <c r="J418" s="316"/>
      <c r="K418" s="335"/>
      <c r="L418" s="316"/>
      <c r="M418" s="2503"/>
      <c r="N418" s="2503"/>
      <c r="O418" s="2503"/>
      <c r="P418" s="1720"/>
      <c r="Q418" s="51"/>
    </row>
    <row r="419" spans="1:17" ht="15" customHeight="1" x14ac:dyDescent="0.3">
      <c r="A419" s="3614"/>
      <c r="B419" s="1010">
        <v>13631</v>
      </c>
      <c r="C419" s="2737">
        <v>0.1</v>
      </c>
      <c r="D419" s="67" t="s">
        <v>3310</v>
      </c>
      <c r="E419" s="1771">
        <v>900000</v>
      </c>
      <c r="F419" s="985">
        <v>0.06</v>
      </c>
      <c r="G419" s="633">
        <f t="shared" si="22"/>
        <v>54000</v>
      </c>
      <c r="H419" s="2718" t="s">
        <v>118</v>
      </c>
      <c r="I419" s="2641" t="s">
        <v>217</v>
      </c>
      <c r="J419" s="316"/>
      <c r="K419" s="335"/>
      <c r="L419" s="316"/>
      <c r="M419" s="2503"/>
      <c r="N419" s="2503"/>
      <c r="O419" s="2503"/>
      <c r="P419" s="1720"/>
      <c r="Q419" s="51"/>
    </row>
    <row r="420" spans="1:17" ht="15" customHeight="1" x14ac:dyDescent="0.3">
      <c r="A420" s="3614"/>
      <c r="B420" s="1010">
        <v>13629</v>
      </c>
      <c r="C420" s="2824">
        <v>0.1</v>
      </c>
      <c r="D420" s="85" t="s">
        <v>3311</v>
      </c>
      <c r="E420" s="1628">
        <v>1200000</v>
      </c>
      <c r="F420" s="985">
        <v>0.1</v>
      </c>
      <c r="G420" s="633">
        <f t="shared" si="22"/>
        <v>120000</v>
      </c>
      <c r="H420" s="2756" t="s">
        <v>3010</v>
      </c>
      <c r="I420" s="2834" t="s">
        <v>2118</v>
      </c>
      <c r="J420" s="316"/>
      <c r="K420" s="335"/>
      <c r="L420" s="316"/>
      <c r="M420" s="2503"/>
      <c r="N420" s="2503"/>
      <c r="O420" s="2503"/>
      <c r="P420" s="1720"/>
      <c r="Q420" s="51"/>
    </row>
    <row r="421" spans="1:17" ht="15" customHeight="1" x14ac:dyDescent="0.3">
      <c r="A421" s="3614"/>
      <c r="B421" s="2450">
        <v>13658</v>
      </c>
      <c r="C421" s="333">
        <v>0.1</v>
      </c>
      <c r="D421" s="120" t="s">
        <v>3312</v>
      </c>
      <c r="E421" s="1628">
        <v>1200000</v>
      </c>
      <c r="F421" s="985">
        <v>0.06</v>
      </c>
      <c r="G421" s="633">
        <f t="shared" si="22"/>
        <v>72000</v>
      </c>
      <c r="H421" s="2756" t="s">
        <v>118</v>
      </c>
      <c r="I421" s="2834" t="s">
        <v>1770</v>
      </c>
      <c r="J421" s="316"/>
      <c r="K421" s="335"/>
      <c r="L421" s="316"/>
      <c r="M421" s="2503"/>
      <c r="N421" s="2503"/>
      <c r="O421" s="2503"/>
      <c r="P421" s="1720"/>
      <c r="Q421" s="51"/>
    </row>
    <row r="422" spans="1:17" ht="15" customHeight="1" x14ac:dyDescent="0.3">
      <c r="A422" s="3614"/>
      <c r="B422" s="2450">
        <v>13644</v>
      </c>
      <c r="C422" s="333">
        <v>0.1</v>
      </c>
      <c r="D422" s="85" t="s">
        <v>3313</v>
      </c>
      <c r="E422" s="1628">
        <v>1050000</v>
      </c>
      <c r="F422" s="985">
        <v>0.1</v>
      </c>
      <c r="G422" s="633">
        <f t="shared" si="22"/>
        <v>105000</v>
      </c>
      <c r="H422" s="2756" t="s">
        <v>3010</v>
      </c>
      <c r="I422" s="2834" t="s">
        <v>2118</v>
      </c>
      <c r="J422" s="316"/>
      <c r="K422" s="335"/>
      <c r="L422" s="316"/>
      <c r="M422" s="2503"/>
      <c r="N422" s="2503"/>
      <c r="O422" s="2503"/>
      <c r="P422" s="1720"/>
      <c r="Q422" s="51"/>
    </row>
    <row r="423" spans="1:17" ht="15" customHeight="1" x14ac:dyDescent="0.3">
      <c r="A423" s="3614"/>
      <c r="B423" s="2444">
        <v>13640</v>
      </c>
      <c r="C423" s="2596">
        <v>0.1</v>
      </c>
      <c r="D423" s="85" t="s">
        <v>3314</v>
      </c>
      <c r="E423" s="1628">
        <v>1100000</v>
      </c>
      <c r="F423" s="985">
        <v>0.1</v>
      </c>
      <c r="G423" s="633">
        <f t="shared" si="22"/>
        <v>110000</v>
      </c>
      <c r="H423" s="2756" t="s">
        <v>3010</v>
      </c>
      <c r="I423" s="2834" t="s">
        <v>1770</v>
      </c>
      <c r="J423" s="316"/>
      <c r="K423" s="335"/>
      <c r="L423" s="316"/>
      <c r="M423" s="2503"/>
      <c r="N423" s="2503"/>
      <c r="O423" s="2503"/>
      <c r="P423" s="1720"/>
      <c r="Q423" s="51"/>
    </row>
    <row r="424" spans="1:17" ht="15" customHeight="1" x14ac:dyDescent="0.3">
      <c r="A424" s="3614"/>
      <c r="B424" s="2450">
        <v>13649</v>
      </c>
      <c r="C424" s="2596">
        <v>0.1</v>
      </c>
      <c r="D424" s="85" t="s">
        <v>3315</v>
      </c>
      <c r="E424" s="1628">
        <v>1000000</v>
      </c>
      <c r="F424" s="985">
        <v>0.1</v>
      </c>
      <c r="G424" s="633">
        <f t="shared" si="22"/>
        <v>100000</v>
      </c>
      <c r="H424" s="2756" t="s">
        <v>3010</v>
      </c>
      <c r="I424" s="2834" t="s">
        <v>133</v>
      </c>
      <c r="J424" s="316"/>
      <c r="K424" s="335"/>
      <c r="L424" s="316"/>
      <c r="M424" s="2503"/>
      <c r="N424" s="2503"/>
      <c r="O424" s="2503"/>
      <c r="P424" s="1720"/>
      <c r="Q424" s="51"/>
    </row>
    <row r="425" spans="1:17" ht="15" customHeight="1" x14ac:dyDescent="0.3">
      <c r="A425" s="3614"/>
      <c r="B425" s="1908"/>
      <c r="C425" s="689"/>
      <c r="D425" s="2818" t="s">
        <v>3000</v>
      </c>
      <c r="E425" s="2845">
        <f ca="1">SUM(E414:E512)</f>
        <v>11800000</v>
      </c>
      <c r="F425" s="514"/>
      <c r="G425" s="2817">
        <f ca="1">SUM(G414:G512)</f>
        <v>0</v>
      </c>
      <c r="H425" s="1911"/>
      <c r="I425" s="2836"/>
      <c r="J425" s="514"/>
      <c r="K425" s="342"/>
      <c r="L425" s="514"/>
      <c r="M425" s="287"/>
      <c r="N425" s="3602" t="s">
        <v>3026</v>
      </c>
      <c r="O425" s="3602"/>
      <c r="P425" s="3602"/>
      <c r="Q425" s="848">
        <f>SUM(Q414:Q424)</f>
        <v>130000</v>
      </c>
    </row>
    <row r="426" spans="1:17" ht="15" customHeight="1" x14ac:dyDescent="0.3">
      <c r="A426" s="3614"/>
      <c r="B426" s="1918"/>
      <c r="C426" s="815"/>
      <c r="D426" s="1184" t="s">
        <v>3002</v>
      </c>
      <c r="E426" s="964">
        <f ca="1">G425+Q425</f>
        <v>1093000</v>
      </c>
      <c r="F426" s="458"/>
      <c r="G426" s="489"/>
      <c r="H426" s="2426"/>
      <c r="I426" s="2626"/>
      <c r="J426" s="3187"/>
      <c r="K426" s="490"/>
      <c r="L426" s="3187"/>
      <c r="M426" s="2837"/>
      <c r="N426" s="2838"/>
      <c r="O426" s="2838"/>
      <c r="P426" s="3296"/>
      <c r="Q426" s="831"/>
    </row>
    <row r="427" spans="1:17" ht="15.75" customHeight="1" x14ac:dyDescent="0.3">
      <c r="A427" s="816"/>
      <c r="B427" s="1925"/>
      <c r="C427" s="464"/>
      <c r="D427" s="1118"/>
      <c r="E427" s="466"/>
      <c r="F427" s="464"/>
      <c r="G427" s="467"/>
      <c r="H427" s="1922"/>
      <c r="I427" s="2627"/>
      <c r="J427" s="464"/>
      <c r="K427" s="465"/>
      <c r="L427" s="464"/>
      <c r="M427" s="468"/>
      <c r="N427" s="469"/>
      <c r="O427" s="469"/>
      <c r="P427" s="3289"/>
      <c r="Q427" s="463"/>
    </row>
    <row r="428" spans="1:17" ht="15.75" customHeight="1" x14ac:dyDescent="0.3">
      <c r="A428" s="816"/>
      <c r="B428" s="1925"/>
      <c r="C428" s="825"/>
      <c r="D428" s="1172"/>
      <c r="E428" s="827"/>
      <c r="F428" s="825"/>
      <c r="G428" s="828"/>
      <c r="H428" s="1925"/>
      <c r="I428" s="2628"/>
      <c r="J428" s="825"/>
      <c r="K428" s="826"/>
      <c r="L428" s="825"/>
      <c r="M428" s="829"/>
      <c r="N428" s="830"/>
      <c r="O428" s="830"/>
      <c r="P428" s="3290"/>
      <c r="Q428" s="831"/>
    </row>
    <row r="429" spans="1:17" ht="20.25" customHeight="1" x14ac:dyDescent="0.4">
      <c r="A429" s="3493" t="s">
        <v>3170</v>
      </c>
      <c r="B429" s="3493"/>
      <c r="C429" s="3493"/>
      <c r="D429" s="3493"/>
      <c r="E429" s="3493"/>
      <c r="F429" s="3493"/>
      <c r="G429" s="3493"/>
      <c r="H429" s="3493"/>
      <c r="I429" s="3493"/>
      <c r="J429" s="3493"/>
      <c r="K429" s="3493"/>
      <c r="L429" s="3025"/>
      <c r="M429" s="3523" t="s">
        <v>2973</v>
      </c>
      <c r="N429" s="3523"/>
      <c r="O429" s="3523"/>
      <c r="P429" s="3523"/>
      <c r="Q429" s="2"/>
    </row>
    <row r="430" spans="1:17" ht="15" customHeight="1" x14ac:dyDescent="0.3">
      <c r="A430" s="2765" t="s">
        <v>2974</v>
      </c>
      <c r="B430" s="2746" t="s">
        <v>2975</v>
      </c>
      <c r="C430" s="2745" t="s">
        <v>3004</v>
      </c>
      <c r="D430" s="2748" t="s">
        <v>2977</v>
      </c>
      <c r="E430" s="2749" t="s">
        <v>2978</v>
      </c>
      <c r="F430" s="2745" t="s">
        <v>2979</v>
      </c>
      <c r="G430" s="2750" t="s">
        <v>2980</v>
      </c>
      <c r="H430" s="2746" t="s">
        <v>2981</v>
      </c>
      <c r="I430" s="2751" t="s">
        <v>2982</v>
      </c>
      <c r="J430" s="2745"/>
      <c r="K430" s="2745" t="s">
        <v>2983</v>
      </c>
      <c r="L430" s="2745"/>
      <c r="M430" s="2740" t="s">
        <v>2975</v>
      </c>
      <c r="N430" s="2740" t="s">
        <v>2977</v>
      </c>
      <c r="O430" s="2740" t="s">
        <v>2984</v>
      </c>
      <c r="P430" s="2472" t="s">
        <v>2979</v>
      </c>
      <c r="Q430" s="268" t="s">
        <v>2985</v>
      </c>
    </row>
    <row r="431" spans="1:17" ht="15" customHeight="1" x14ac:dyDescent="0.3">
      <c r="A431" s="3613" t="s">
        <v>2986</v>
      </c>
      <c r="B431" s="1010">
        <v>13420</v>
      </c>
      <c r="C431" s="333">
        <v>0.1</v>
      </c>
      <c r="D431" s="67" t="s">
        <v>3316</v>
      </c>
      <c r="E431" s="1628">
        <v>1200000</v>
      </c>
      <c r="F431" s="1720">
        <v>0.1</v>
      </c>
      <c r="G431" s="2753">
        <f t="shared" ref="G431:G439" si="23">E431*F431</f>
        <v>120000</v>
      </c>
      <c r="H431" s="2756" t="s">
        <v>2993</v>
      </c>
      <c r="I431" s="2764" t="s">
        <v>1770</v>
      </c>
      <c r="J431" s="3038"/>
      <c r="K431" s="2764"/>
      <c r="L431" s="3038"/>
      <c r="M431" s="2741"/>
      <c r="N431" s="2740"/>
      <c r="O431" s="2740"/>
      <c r="P431" s="2472"/>
      <c r="Q431" s="268"/>
    </row>
    <row r="432" spans="1:17" ht="15" customHeight="1" x14ac:dyDescent="0.3">
      <c r="A432" s="3614"/>
      <c r="B432" s="1010">
        <v>13431</v>
      </c>
      <c r="C432" s="553">
        <v>0.08</v>
      </c>
      <c r="D432" s="67" t="s">
        <v>3317</v>
      </c>
      <c r="E432" s="1628">
        <v>1250000</v>
      </c>
      <c r="F432" s="2469">
        <v>0.08</v>
      </c>
      <c r="G432" s="2753">
        <f t="shared" si="23"/>
        <v>100000</v>
      </c>
      <c r="H432" s="2756" t="s">
        <v>2993</v>
      </c>
      <c r="I432" s="2764" t="s">
        <v>217</v>
      </c>
      <c r="J432" s="3038"/>
      <c r="K432" s="2764"/>
      <c r="L432" s="3038"/>
      <c r="M432" s="2741"/>
      <c r="N432" s="2740"/>
      <c r="O432" s="2740"/>
      <c r="P432" s="2472"/>
      <c r="Q432" s="268"/>
    </row>
    <row r="433" spans="1:17" ht="15" customHeight="1" x14ac:dyDescent="0.3">
      <c r="A433" s="3614"/>
      <c r="B433" s="1010">
        <v>13448</v>
      </c>
      <c r="C433" s="333">
        <v>0.1</v>
      </c>
      <c r="D433" s="67" t="s">
        <v>3318</v>
      </c>
      <c r="E433" s="1628">
        <v>1200000</v>
      </c>
      <c r="F433" s="1720">
        <v>0.1</v>
      </c>
      <c r="G433" s="2753">
        <f t="shared" si="23"/>
        <v>120000</v>
      </c>
      <c r="H433" s="2756" t="s">
        <v>2993</v>
      </c>
      <c r="I433" s="2764" t="s">
        <v>2193</v>
      </c>
      <c r="J433" s="2741"/>
      <c r="K433" s="2503"/>
      <c r="L433" s="2741"/>
      <c r="M433" s="2741"/>
      <c r="N433" s="2740"/>
      <c r="O433" s="2740"/>
      <c r="P433" s="2472"/>
      <c r="Q433" s="268"/>
    </row>
    <row r="434" spans="1:17" ht="15" customHeight="1" x14ac:dyDescent="0.3">
      <c r="A434" s="3614"/>
      <c r="B434" s="1010">
        <v>13507</v>
      </c>
      <c r="C434" s="333">
        <v>0.1</v>
      </c>
      <c r="D434" s="67" t="s">
        <v>3319</v>
      </c>
      <c r="E434" s="1628">
        <v>1200000</v>
      </c>
      <c r="F434" s="1720">
        <v>0.1</v>
      </c>
      <c r="G434" s="2753">
        <f t="shared" si="23"/>
        <v>120000</v>
      </c>
      <c r="H434" s="2756" t="s">
        <v>2993</v>
      </c>
      <c r="I434" s="2764" t="s">
        <v>1770</v>
      </c>
      <c r="J434" s="3038"/>
      <c r="K434" s="2764"/>
      <c r="L434" s="3038"/>
      <c r="M434" s="2741"/>
      <c r="N434" s="2740"/>
      <c r="O434" s="2740"/>
      <c r="P434" s="3297"/>
      <c r="Q434" s="268"/>
    </row>
    <row r="435" spans="1:17" ht="15" customHeight="1" x14ac:dyDescent="0.3">
      <c r="A435" s="3614"/>
      <c r="B435" s="2450">
        <v>13548</v>
      </c>
      <c r="C435" s="2694">
        <v>0.08</v>
      </c>
      <c r="D435" s="86" t="s">
        <v>3320</v>
      </c>
      <c r="E435" s="1628">
        <v>1400000</v>
      </c>
      <c r="F435" s="2469">
        <v>0.08</v>
      </c>
      <c r="G435" s="2753">
        <f t="shared" si="23"/>
        <v>112000</v>
      </c>
      <c r="H435" s="2756" t="s">
        <v>2993</v>
      </c>
      <c r="I435" s="2764" t="s">
        <v>217</v>
      </c>
      <c r="J435" s="2741"/>
      <c r="K435" s="2503"/>
      <c r="L435" s="2741"/>
      <c r="M435" s="2741"/>
      <c r="N435" s="2740"/>
      <c r="O435" s="2740"/>
      <c r="P435" s="3297"/>
      <c r="Q435" s="268"/>
    </row>
    <row r="436" spans="1:17" ht="15" customHeight="1" x14ac:dyDescent="0.3">
      <c r="A436" s="3614"/>
      <c r="B436" s="1010">
        <v>13556</v>
      </c>
      <c r="C436" s="333">
        <v>0.1</v>
      </c>
      <c r="D436" s="67" t="s">
        <v>3321</v>
      </c>
      <c r="E436" s="1628">
        <v>1200000</v>
      </c>
      <c r="F436" s="1720">
        <v>0.1</v>
      </c>
      <c r="G436" s="2753">
        <f t="shared" si="23"/>
        <v>120000</v>
      </c>
      <c r="H436" s="2756" t="s">
        <v>2993</v>
      </c>
      <c r="I436" s="2764" t="s">
        <v>217</v>
      </c>
      <c r="J436" s="3038"/>
      <c r="K436" s="2764"/>
      <c r="L436" s="3038"/>
      <c r="M436" s="2741"/>
      <c r="N436" s="2740"/>
      <c r="O436" s="2740"/>
      <c r="P436" s="3297"/>
      <c r="Q436" s="268"/>
    </row>
    <row r="437" spans="1:17" ht="15" customHeight="1" x14ac:dyDescent="0.3">
      <c r="A437" s="3614"/>
      <c r="B437" s="1010">
        <v>13542</v>
      </c>
      <c r="C437" s="333">
        <v>0.1</v>
      </c>
      <c r="D437" s="67" t="s">
        <v>3279</v>
      </c>
      <c r="E437" s="1628">
        <v>1200000</v>
      </c>
      <c r="F437" s="1720">
        <v>0.05</v>
      </c>
      <c r="G437" s="2753">
        <f t="shared" si="23"/>
        <v>60000</v>
      </c>
      <c r="H437" s="2756" t="s">
        <v>1482</v>
      </c>
      <c r="I437" s="2764" t="s">
        <v>2118</v>
      </c>
      <c r="J437" s="3038"/>
      <c r="K437" s="2764"/>
      <c r="L437" s="3038"/>
      <c r="M437" s="2741"/>
      <c r="N437" s="2740"/>
      <c r="O437" s="2740"/>
      <c r="P437" s="3297"/>
      <c r="Q437" s="268"/>
    </row>
    <row r="438" spans="1:17" ht="15" customHeight="1" x14ac:dyDescent="0.3">
      <c r="A438" s="3614"/>
      <c r="B438" s="1010">
        <v>13581</v>
      </c>
      <c r="C438" s="333">
        <v>0.1</v>
      </c>
      <c r="D438" s="67" t="s">
        <v>3281</v>
      </c>
      <c r="E438" s="1628">
        <v>1600000</v>
      </c>
      <c r="F438" s="1720">
        <v>0.05</v>
      </c>
      <c r="G438" s="2753">
        <f t="shared" si="23"/>
        <v>80000</v>
      </c>
      <c r="H438" s="2756" t="s">
        <v>1482</v>
      </c>
      <c r="I438" s="2764" t="s">
        <v>217</v>
      </c>
      <c r="J438" s="3038"/>
      <c r="K438" s="2764"/>
      <c r="L438" s="3038"/>
      <c r="M438" s="2741"/>
      <c r="N438" s="2740"/>
      <c r="O438" s="2740"/>
      <c r="P438" s="3297"/>
      <c r="Q438" s="268"/>
    </row>
    <row r="439" spans="1:17" ht="15" customHeight="1" x14ac:dyDescent="0.3">
      <c r="A439" s="3614"/>
      <c r="B439" s="1010">
        <v>13615</v>
      </c>
      <c r="C439" s="553">
        <v>0.08</v>
      </c>
      <c r="D439" s="67" t="s">
        <v>3322</v>
      </c>
      <c r="E439" s="1628">
        <v>1300000</v>
      </c>
      <c r="F439" s="2469">
        <v>0.08</v>
      </c>
      <c r="G439" s="2753">
        <f t="shared" si="23"/>
        <v>104000</v>
      </c>
      <c r="H439" s="2756" t="s">
        <v>2993</v>
      </c>
      <c r="I439" s="2764" t="s">
        <v>1770</v>
      </c>
      <c r="J439" s="3038"/>
      <c r="K439" s="2764"/>
      <c r="L439" s="3038"/>
      <c r="M439" s="2741"/>
      <c r="N439" s="2740"/>
      <c r="O439" s="2740"/>
      <c r="P439" s="3297"/>
      <c r="Q439" s="268"/>
    </row>
    <row r="440" spans="1:17" ht="15" customHeight="1" x14ac:dyDescent="0.3">
      <c r="A440" s="3614"/>
      <c r="B440" s="2617" t="s">
        <v>3302</v>
      </c>
      <c r="C440" s="2723"/>
      <c r="D440" s="98" t="s">
        <v>3323</v>
      </c>
      <c r="E440" s="1628"/>
      <c r="F440" s="1720"/>
      <c r="G440" s="2753"/>
      <c r="H440" s="2756"/>
      <c r="I440" s="2764" t="s">
        <v>2118</v>
      </c>
      <c r="J440" s="3038"/>
      <c r="K440" s="2764" t="s">
        <v>3324</v>
      </c>
      <c r="L440" s="3038"/>
      <c r="M440" s="2741"/>
      <c r="N440" s="2740"/>
      <c r="O440" s="2740"/>
      <c r="P440" s="3297"/>
      <c r="Q440" s="268"/>
    </row>
    <row r="441" spans="1:17" ht="15" customHeight="1" x14ac:dyDescent="0.3">
      <c r="A441" s="3614"/>
      <c r="B441" s="2617" t="s">
        <v>3302</v>
      </c>
      <c r="C441" s="2723"/>
      <c r="D441" s="98" t="s">
        <v>3325</v>
      </c>
      <c r="E441" s="1628"/>
      <c r="F441" s="1720"/>
      <c r="G441" s="2753"/>
      <c r="H441" s="2756"/>
      <c r="I441" s="2764" t="s">
        <v>217</v>
      </c>
      <c r="J441" s="3038"/>
      <c r="K441" s="2764" t="s">
        <v>3326</v>
      </c>
      <c r="L441" s="3038"/>
      <c r="M441" s="2741"/>
      <c r="N441" s="2740"/>
      <c r="O441" s="2740"/>
      <c r="P441" s="3297"/>
      <c r="Q441" s="268"/>
    </row>
    <row r="442" spans="1:17" ht="15" customHeight="1" x14ac:dyDescent="0.3">
      <c r="A442" s="3614"/>
      <c r="B442" s="2486" t="s">
        <v>3299</v>
      </c>
      <c r="C442" s="2516"/>
      <c r="D442" s="2823" t="s">
        <v>3327</v>
      </c>
      <c r="E442" s="1628"/>
      <c r="F442" s="1720"/>
      <c r="G442" s="2753"/>
      <c r="H442" s="2756"/>
      <c r="I442" s="2764" t="s">
        <v>2118</v>
      </c>
      <c r="J442" s="3038"/>
      <c r="K442" s="2764" t="s">
        <v>3328</v>
      </c>
      <c r="L442" s="3038"/>
      <c r="M442" s="2741"/>
      <c r="N442" s="2740"/>
      <c r="O442" s="2740"/>
      <c r="P442" s="3297"/>
      <c r="Q442" s="268"/>
    </row>
    <row r="443" spans="1:17" ht="15" customHeight="1" x14ac:dyDescent="0.3">
      <c r="A443" s="3614"/>
      <c r="B443" s="2617" t="s">
        <v>3329</v>
      </c>
      <c r="C443" s="2723"/>
      <c r="D443" s="98" t="s">
        <v>3330</v>
      </c>
      <c r="E443" s="1628"/>
      <c r="F443" s="1720"/>
      <c r="G443" s="2753"/>
      <c r="H443" s="2756"/>
      <c r="I443" s="2764"/>
      <c r="J443" s="3038"/>
      <c r="K443" s="2764"/>
      <c r="L443" s="3038"/>
      <c r="M443" s="2741"/>
      <c r="N443" s="2740"/>
      <c r="O443" s="2740"/>
      <c r="P443" s="3297"/>
      <c r="Q443" s="268"/>
    </row>
    <row r="444" spans="1:17" ht="15" customHeight="1" x14ac:dyDescent="0.3">
      <c r="A444" s="3614"/>
      <c r="B444" s="2617" t="s">
        <v>3329</v>
      </c>
      <c r="C444" s="2723"/>
      <c r="D444" s="98" t="s">
        <v>3331</v>
      </c>
      <c r="E444" s="1628"/>
      <c r="F444" s="1720"/>
      <c r="G444" s="2753"/>
      <c r="H444" s="2756"/>
      <c r="I444" s="2764"/>
      <c r="J444" s="3038"/>
      <c r="K444" s="2764"/>
      <c r="L444" s="3038"/>
      <c r="M444" s="2741"/>
      <c r="N444" s="2740"/>
      <c r="O444" s="2740"/>
      <c r="P444" s="3297"/>
      <c r="Q444" s="268"/>
    </row>
    <row r="445" spans="1:17" ht="15" customHeight="1" x14ac:dyDescent="0.3">
      <c r="A445" s="3614"/>
      <c r="B445" s="1911"/>
      <c r="C445" s="2361"/>
      <c r="D445" s="1116" t="s">
        <v>3000</v>
      </c>
      <c r="E445" s="1631">
        <f>SUM(E431:E444)</f>
        <v>11550000</v>
      </c>
      <c r="F445" s="514"/>
      <c r="G445" s="483">
        <f>SUM(G431:G444)</f>
        <v>936000</v>
      </c>
      <c r="H445" s="1911"/>
      <c r="I445" s="2625"/>
      <c r="J445" s="514"/>
      <c r="K445" s="342"/>
      <c r="L445" s="514"/>
      <c r="M445" s="287"/>
      <c r="N445" s="3594" t="s">
        <v>3026</v>
      </c>
      <c r="O445" s="3594"/>
      <c r="P445" s="3594"/>
      <c r="Q445" s="848"/>
    </row>
    <row r="446" spans="1:17" ht="15.75" customHeight="1" x14ac:dyDescent="0.3">
      <c r="A446" s="3614"/>
      <c r="B446" s="1918"/>
      <c r="C446" s="840"/>
      <c r="D446" s="2363" t="s">
        <v>3002</v>
      </c>
      <c r="E446" s="1499"/>
      <c r="F446" s="1210"/>
      <c r="G446" s="2364"/>
      <c r="H446" s="1915"/>
      <c r="I446" s="2631"/>
      <c r="J446" s="1210"/>
      <c r="K446" s="2365"/>
      <c r="L446" s="1210"/>
      <c r="M446" s="895"/>
      <c r="N446" s="844"/>
      <c r="O446" s="844"/>
      <c r="P446" s="2094"/>
      <c r="Q446" s="294"/>
    </row>
    <row r="447" spans="1:17" ht="15.6" x14ac:dyDescent="0.3">
      <c r="A447" s="816"/>
      <c r="B447" s="1922"/>
      <c r="C447" s="464"/>
      <c r="D447" s="1118"/>
      <c r="E447" s="466"/>
      <c r="F447" s="464"/>
      <c r="G447" s="467"/>
      <c r="H447" s="1922"/>
      <c r="I447" s="2627"/>
      <c r="J447" s="464"/>
      <c r="K447" s="465"/>
      <c r="L447" s="464"/>
      <c r="M447" s="468"/>
      <c r="N447" s="469"/>
      <c r="O447" s="469"/>
      <c r="P447" s="3289"/>
      <c r="Q447" s="463"/>
    </row>
    <row r="448" spans="1:17" ht="15.6" x14ac:dyDescent="0.3">
      <c r="A448" s="816"/>
      <c r="B448" s="1925"/>
      <c r="C448" s="825"/>
      <c r="D448" s="1172"/>
      <c r="E448" s="827"/>
      <c r="F448" s="825"/>
      <c r="G448" s="828"/>
      <c r="H448" s="1925"/>
      <c r="I448" s="2628"/>
      <c r="J448" s="825"/>
      <c r="K448" s="826"/>
      <c r="L448" s="825"/>
      <c r="M448" s="829"/>
      <c r="N448" s="830"/>
      <c r="O448" s="830"/>
      <c r="P448" s="3290"/>
      <c r="Q448" s="831"/>
    </row>
    <row r="449" spans="1:17" ht="21" x14ac:dyDescent="0.4">
      <c r="A449" s="3574" t="s">
        <v>3185</v>
      </c>
      <c r="B449" s="3574"/>
      <c r="C449" s="3574"/>
      <c r="D449" s="3574"/>
      <c r="E449" s="3574"/>
      <c r="F449" s="3574"/>
      <c r="G449" s="3574"/>
      <c r="H449" s="3574"/>
      <c r="I449" s="3574"/>
      <c r="J449" s="3574"/>
      <c r="K449" s="3574"/>
      <c r="L449" s="3027"/>
      <c r="M449" s="287"/>
      <c r="N449" s="845"/>
      <c r="O449" s="845"/>
      <c r="P449" s="3291"/>
      <c r="Q449" s="294"/>
    </row>
    <row r="450" spans="1:17" x14ac:dyDescent="0.3">
      <c r="A450" s="2747" t="s">
        <v>2974</v>
      </c>
      <c r="B450" s="2746" t="s">
        <v>2975</v>
      </c>
      <c r="C450" s="2745" t="s">
        <v>3004</v>
      </c>
      <c r="D450" s="2766" t="s">
        <v>2977</v>
      </c>
      <c r="E450" s="2767" t="s">
        <v>2978</v>
      </c>
      <c r="F450" s="2745" t="s">
        <v>2979</v>
      </c>
      <c r="G450" s="2750" t="s">
        <v>2980</v>
      </c>
      <c r="H450" s="2746" t="s">
        <v>2981</v>
      </c>
      <c r="I450" s="2751" t="s">
        <v>2982</v>
      </c>
      <c r="J450" s="2747"/>
      <c r="K450" s="2747" t="s">
        <v>2983</v>
      </c>
      <c r="L450" s="2747"/>
      <c r="M450" s="2740" t="s">
        <v>2975</v>
      </c>
      <c r="N450" s="2740" t="s">
        <v>2977</v>
      </c>
      <c r="O450" s="2740" t="s">
        <v>2984</v>
      </c>
      <c r="P450" s="2472" t="s">
        <v>2979</v>
      </c>
      <c r="Q450" s="268" t="s">
        <v>2985</v>
      </c>
    </row>
    <row r="451" spans="1:17" ht="15" customHeight="1" x14ac:dyDescent="0.3">
      <c r="A451" s="3637" t="s">
        <v>2986</v>
      </c>
      <c r="B451" s="1010">
        <v>13474</v>
      </c>
      <c r="C451" s="553">
        <v>0.08</v>
      </c>
      <c r="D451" s="67" t="s">
        <v>3283</v>
      </c>
      <c r="E451" s="2676">
        <v>1350000</v>
      </c>
      <c r="F451" s="2466">
        <v>0.04</v>
      </c>
      <c r="G451" s="1901">
        <f t="shared" ref="G451:G456" si="24">E451*F451</f>
        <v>54000</v>
      </c>
      <c r="H451" s="1900" t="s">
        <v>1482</v>
      </c>
      <c r="I451" s="2644" t="s">
        <v>217</v>
      </c>
      <c r="J451" s="2503"/>
      <c r="K451" s="2503"/>
      <c r="L451" s="2503"/>
      <c r="M451" s="1010">
        <v>13446</v>
      </c>
      <c r="N451" s="1256" t="s">
        <v>3305</v>
      </c>
      <c r="O451" s="1628">
        <v>1300000</v>
      </c>
      <c r="P451" s="2469">
        <v>0.04</v>
      </c>
      <c r="Q451" s="2474">
        <f>O451*P451</f>
        <v>52000</v>
      </c>
    </row>
    <row r="452" spans="1:17" ht="15" customHeight="1" x14ac:dyDescent="0.3">
      <c r="A452" s="3638"/>
      <c r="B452" s="1010">
        <v>13451</v>
      </c>
      <c r="C452" s="333">
        <v>0.1</v>
      </c>
      <c r="D452" s="67" t="s">
        <v>3285</v>
      </c>
      <c r="E452" s="2676">
        <v>1200000</v>
      </c>
      <c r="F452" s="1899">
        <v>0.05</v>
      </c>
      <c r="G452" s="1901">
        <f t="shared" si="24"/>
        <v>60000</v>
      </c>
      <c r="H452" s="1900" t="s">
        <v>1482</v>
      </c>
      <c r="I452" s="2644" t="s">
        <v>2118</v>
      </c>
      <c r="J452" s="2503"/>
      <c r="K452" s="2503"/>
      <c r="L452" s="2503"/>
      <c r="M452" s="1010">
        <v>13473</v>
      </c>
      <c r="N452" s="67" t="s">
        <v>3307</v>
      </c>
      <c r="O452" s="1628">
        <v>1100000</v>
      </c>
      <c r="P452" s="1720">
        <v>0.05</v>
      </c>
      <c r="Q452" s="2474">
        <f t="shared" ref="Q452:Q453" si="25">O452*P452</f>
        <v>55000</v>
      </c>
    </row>
    <row r="453" spans="1:17" ht="15" customHeight="1" x14ac:dyDescent="0.3">
      <c r="A453" s="3638"/>
      <c r="B453" s="1010">
        <v>13464</v>
      </c>
      <c r="C453" s="333">
        <v>0.1</v>
      </c>
      <c r="D453" s="67" t="s">
        <v>3332</v>
      </c>
      <c r="E453" s="2676">
        <v>700000</v>
      </c>
      <c r="F453" s="1899">
        <v>0.1</v>
      </c>
      <c r="G453" s="1901">
        <f t="shared" si="24"/>
        <v>70000</v>
      </c>
      <c r="H453" s="1900" t="s">
        <v>1685</v>
      </c>
      <c r="I453" s="2644" t="s">
        <v>217</v>
      </c>
      <c r="J453" s="2503"/>
      <c r="K453" s="2503"/>
      <c r="L453" s="2503"/>
      <c r="M453" s="1010">
        <v>13444</v>
      </c>
      <c r="N453" s="1256" t="s">
        <v>3333</v>
      </c>
      <c r="O453" s="2676">
        <v>1500000</v>
      </c>
      <c r="P453" s="1720">
        <v>0.05</v>
      </c>
      <c r="Q453" s="2474">
        <f t="shared" si="25"/>
        <v>75000</v>
      </c>
    </row>
    <row r="454" spans="1:17" ht="15" customHeight="1" x14ac:dyDescent="0.3">
      <c r="A454" s="3638"/>
      <c r="B454" s="1010">
        <v>13536</v>
      </c>
      <c r="C454" s="333">
        <v>0.1</v>
      </c>
      <c r="D454" s="67" t="s">
        <v>3334</v>
      </c>
      <c r="E454" s="2676">
        <v>1200000</v>
      </c>
      <c r="F454" s="1899">
        <v>0.05</v>
      </c>
      <c r="G454" s="1901">
        <f t="shared" si="24"/>
        <v>60000</v>
      </c>
      <c r="H454" s="1900" t="s">
        <v>2313</v>
      </c>
      <c r="I454" s="2644" t="s">
        <v>217</v>
      </c>
      <c r="J454" s="2503"/>
      <c r="K454" s="2503"/>
      <c r="L454" s="2503"/>
      <c r="M454" s="2503"/>
      <c r="N454" s="2503"/>
      <c r="O454" s="2503"/>
      <c r="P454" s="1720"/>
      <c r="Q454" s="2"/>
    </row>
    <row r="455" spans="1:17" ht="15" customHeight="1" x14ac:dyDescent="0.3">
      <c r="A455" s="3638"/>
      <c r="B455" s="1010">
        <v>13544</v>
      </c>
      <c r="C455" s="333">
        <v>0.1</v>
      </c>
      <c r="D455" s="67" t="s">
        <v>3335</v>
      </c>
      <c r="E455" s="2676">
        <v>1000000</v>
      </c>
      <c r="F455" s="1899">
        <v>0.1</v>
      </c>
      <c r="G455" s="1901">
        <f t="shared" si="24"/>
        <v>100000</v>
      </c>
      <c r="H455" s="1900" t="s">
        <v>1685</v>
      </c>
      <c r="I455" s="2644" t="s">
        <v>1770</v>
      </c>
      <c r="J455" s="2503"/>
      <c r="K455" s="2503"/>
      <c r="L455" s="2503"/>
      <c r="M455" s="2503"/>
      <c r="N455" s="2503"/>
      <c r="O455" s="2503"/>
      <c r="P455" s="1720"/>
      <c r="Q455" s="2"/>
    </row>
    <row r="456" spans="1:17" ht="15" customHeight="1" x14ac:dyDescent="0.3">
      <c r="A456" s="3638"/>
      <c r="B456" s="1010">
        <v>13625</v>
      </c>
      <c r="C456" s="333">
        <v>0.1</v>
      </c>
      <c r="D456" s="2670" t="s">
        <v>3336</v>
      </c>
      <c r="E456" s="2676">
        <v>1000000</v>
      </c>
      <c r="F456" s="1899">
        <v>0.05</v>
      </c>
      <c r="G456" s="1901">
        <f t="shared" si="24"/>
        <v>50000</v>
      </c>
      <c r="H456" s="1900" t="s">
        <v>3337</v>
      </c>
      <c r="I456" s="2644" t="s">
        <v>1770</v>
      </c>
      <c r="J456" s="2503"/>
      <c r="K456" s="2503"/>
      <c r="L456" s="2503"/>
      <c r="M456" s="2503"/>
      <c r="N456" s="2503"/>
      <c r="O456" s="2503"/>
      <c r="P456" s="1720"/>
      <c r="Q456" s="2"/>
    </row>
    <row r="457" spans="1:17" ht="15" customHeight="1" x14ac:dyDescent="0.3">
      <c r="A457" s="3638"/>
      <c r="B457" s="2825" t="s">
        <v>3020</v>
      </c>
      <c r="C457" s="2723"/>
      <c r="D457" s="2826" t="s">
        <v>3338</v>
      </c>
      <c r="E457" s="2676"/>
      <c r="F457" s="1899"/>
      <c r="G457" s="1901"/>
      <c r="H457" s="1900"/>
      <c r="I457" s="2644" t="s">
        <v>217</v>
      </c>
      <c r="J457" s="2503"/>
      <c r="K457" s="2503" t="s">
        <v>3339</v>
      </c>
      <c r="L457" s="2503"/>
      <c r="M457" s="2503"/>
      <c r="N457" s="2503"/>
      <c r="O457" s="2503"/>
      <c r="P457" s="1720"/>
      <c r="Q457" s="2"/>
    </row>
    <row r="458" spans="1:17" ht="15" customHeight="1" x14ac:dyDescent="0.3">
      <c r="A458" s="3638"/>
      <c r="B458" s="2617" t="s">
        <v>3302</v>
      </c>
      <c r="C458" s="2723"/>
      <c r="D458" s="98" t="s">
        <v>3340</v>
      </c>
      <c r="E458" s="2676"/>
      <c r="F458" s="1899"/>
      <c r="G458" s="1901"/>
      <c r="H458" s="1900"/>
      <c r="I458" s="2644" t="s">
        <v>133</v>
      </c>
      <c r="J458" s="2503"/>
      <c r="K458" s="2503" t="s">
        <v>3341</v>
      </c>
      <c r="L458" s="2503"/>
      <c r="M458" s="2503"/>
      <c r="N458" s="2503"/>
      <c r="O458" s="2503"/>
      <c r="P458" s="1720"/>
      <c r="Q458" s="2"/>
    </row>
    <row r="459" spans="1:17" ht="15" customHeight="1" x14ac:dyDescent="0.3">
      <c r="A459" s="3638"/>
      <c r="B459" s="1947"/>
      <c r="C459" s="1911"/>
      <c r="D459" s="1909" t="s">
        <v>3000</v>
      </c>
      <c r="E459" s="1910">
        <f>SUM(E451:E457)</f>
        <v>6450000</v>
      </c>
      <c r="F459" s="1911"/>
      <c r="G459" s="1912">
        <f>SUM(G451:G458)</f>
        <v>394000</v>
      </c>
      <c r="H459" s="1911"/>
      <c r="I459" s="2634"/>
      <c r="J459" s="2841"/>
      <c r="K459" s="2841"/>
      <c r="L459" s="2841"/>
      <c r="M459" s="895"/>
      <c r="N459" s="3640" t="s">
        <v>3026</v>
      </c>
      <c r="O459" s="3591"/>
      <c r="P459" s="3592"/>
      <c r="Q459" s="1268">
        <f>SUM(Q451:Q458)</f>
        <v>182000</v>
      </c>
    </row>
    <row r="460" spans="1:17" ht="15" customHeight="1" x14ac:dyDescent="0.3">
      <c r="A460" s="3639"/>
      <c r="B460" s="1914"/>
      <c r="C460" s="1918"/>
      <c r="D460" s="2533" t="s">
        <v>3002</v>
      </c>
      <c r="E460" s="1917">
        <f>G459+Q459</f>
        <v>576000</v>
      </c>
      <c r="F460" s="1918"/>
      <c r="G460" s="1919"/>
      <c r="H460" s="1918"/>
      <c r="I460" s="2635"/>
      <c r="J460" s="1920"/>
      <c r="K460" s="1920"/>
      <c r="L460" s="1920"/>
      <c r="M460" s="287"/>
      <c r="N460" s="968"/>
      <c r="O460" s="968"/>
      <c r="P460" s="2073"/>
      <c r="Q460" s="294"/>
    </row>
    <row r="461" spans="1:17" ht="15.6" x14ac:dyDescent="0.3">
      <c r="A461" s="1921"/>
      <c r="B461" s="1925"/>
      <c r="C461" s="1925"/>
      <c r="D461" s="1922"/>
      <c r="E461" s="1923"/>
      <c r="F461" s="1922"/>
      <c r="G461" s="1924"/>
      <c r="H461" s="1922"/>
      <c r="I461" s="2636"/>
      <c r="J461" s="1922"/>
      <c r="K461" s="1922"/>
      <c r="L461" s="1922"/>
      <c r="M461" s="468"/>
      <c r="N461" s="469"/>
      <c r="O461" s="469"/>
      <c r="P461" s="3289"/>
      <c r="Q461" s="463"/>
    </row>
    <row r="462" spans="1:17" ht="15.6" x14ac:dyDescent="0.3">
      <c r="A462" s="1921"/>
      <c r="B462" s="1925"/>
      <c r="C462" s="1925"/>
      <c r="D462" s="1925"/>
      <c r="E462" s="1926"/>
      <c r="F462" s="1925"/>
      <c r="G462" s="1927"/>
      <c r="H462" s="1925"/>
      <c r="I462" s="2637"/>
      <c r="J462" s="1925"/>
      <c r="K462" s="1925"/>
      <c r="L462" s="1925"/>
      <c r="M462" s="829"/>
      <c r="N462" s="830"/>
      <c r="O462" s="830"/>
      <c r="P462" s="3290"/>
      <c r="Q462" s="831"/>
    </row>
    <row r="463" spans="1:17" ht="21" x14ac:dyDescent="0.3">
      <c r="A463" s="3532" t="s">
        <v>3342</v>
      </c>
      <c r="B463" s="3532"/>
      <c r="C463" s="3532"/>
      <c r="D463" s="3532"/>
      <c r="E463" s="3532"/>
      <c r="F463" s="3532"/>
      <c r="G463" s="3532"/>
      <c r="H463" s="3533"/>
      <c r="I463" s="3532"/>
      <c r="J463" s="3532"/>
      <c r="K463" s="3532"/>
      <c r="L463" s="3028"/>
      <c r="M463" s="287"/>
      <c r="N463" s="845"/>
      <c r="O463" s="845"/>
      <c r="P463" s="3291"/>
      <c r="Q463" s="294"/>
    </row>
    <row r="464" spans="1:17" x14ac:dyDescent="0.3">
      <c r="A464" s="2746" t="s">
        <v>2974</v>
      </c>
      <c r="B464" s="2746" t="s">
        <v>2975</v>
      </c>
      <c r="C464" s="2746" t="s">
        <v>3004</v>
      </c>
      <c r="D464" s="2746" t="s">
        <v>2977</v>
      </c>
      <c r="E464" s="2768" t="s">
        <v>2978</v>
      </c>
      <c r="F464" s="2746" t="s">
        <v>2979</v>
      </c>
      <c r="G464" s="2769" t="s">
        <v>2980</v>
      </c>
      <c r="H464" s="2746" t="s">
        <v>2981</v>
      </c>
      <c r="I464" s="2770" t="s">
        <v>2982</v>
      </c>
      <c r="J464" s="2771"/>
      <c r="K464" s="2771" t="s">
        <v>2983</v>
      </c>
      <c r="L464" s="2771"/>
      <c r="M464" s="2740" t="s">
        <v>2975</v>
      </c>
      <c r="N464" s="2503" t="s">
        <v>2977</v>
      </c>
      <c r="O464" s="2503" t="s">
        <v>2984</v>
      </c>
      <c r="P464" s="1720" t="s">
        <v>2979</v>
      </c>
      <c r="Q464" s="2" t="s">
        <v>2985</v>
      </c>
    </row>
    <row r="465" spans="1:17" ht="15" customHeight="1" x14ac:dyDescent="0.3">
      <c r="A465" s="3613" t="s">
        <v>2986</v>
      </c>
      <c r="B465" s="2607">
        <v>13444</v>
      </c>
      <c r="C465" s="2608">
        <v>0.1</v>
      </c>
      <c r="D465" s="1447" t="s">
        <v>3333</v>
      </c>
      <c r="E465" s="2676">
        <v>1500000</v>
      </c>
      <c r="F465" s="2638">
        <v>0.05</v>
      </c>
      <c r="G465" s="321">
        <f>E465*F465</f>
        <v>75000</v>
      </c>
      <c r="H465" s="1900" t="s">
        <v>1685</v>
      </c>
      <c r="I465" s="2644" t="s">
        <v>2118</v>
      </c>
      <c r="J465" s="2840"/>
      <c r="K465" s="2840"/>
      <c r="L465" s="2840"/>
      <c r="M465" s="1010">
        <v>13625</v>
      </c>
      <c r="N465" s="2670" t="s">
        <v>3336</v>
      </c>
      <c r="O465" s="2676">
        <v>1000000</v>
      </c>
      <c r="P465" s="1720">
        <v>0.05</v>
      </c>
      <c r="Q465" s="2474">
        <f>O465*P465</f>
        <v>50000</v>
      </c>
    </row>
    <row r="466" spans="1:17" ht="15" customHeight="1" x14ac:dyDescent="0.3">
      <c r="A466" s="3614"/>
      <c r="B466" s="2607">
        <v>13435</v>
      </c>
      <c r="C466" s="2596">
        <v>0.1</v>
      </c>
      <c r="D466" s="1256" t="s">
        <v>3343</v>
      </c>
      <c r="E466" s="2676">
        <v>1100000</v>
      </c>
      <c r="F466" s="1902">
        <v>0.06</v>
      </c>
      <c r="G466" s="321">
        <f>E466*F466</f>
        <v>66000</v>
      </c>
      <c r="H466" s="1900" t="s">
        <v>118</v>
      </c>
      <c r="I466" s="2644" t="s">
        <v>217</v>
      </c>
      <c r="J466" s="1905"/>
      <c r="K466" s="1905"/>
      <c r="L466" s="1905"/>
      <c r="M466" s="2503"/>
      <c r="N466" s="2503"/>
      <c r="O466" s="2503"/>
      <c r="P466" s="1720"/>
      <c r="Q466" s="2"/>
    </row>
    <row r="467" spans="1:17" ht="15" customHeight="1" x14ac:dyDescent="0.3">
      <c r="A467" s="3614"/>
      <c r="B467" s="2444">
        <v>13546</v>
      </c>
      <c r="C467" s="2611">
        <v>0.1</v>
      </c>
      <c r="D467" s="1514" t="s">
        <v>3344</v>
      </c>
      <c r="E467" s="2676">
        <v>850000</v>
      </c>
      <c r="F467" s="1939">
        <v>0.1</v>
      </c>
      <c r="G467" s="321">
        <f>E467*F467</f>
        <v>85000</v>
      </c>
      <c r="H467" s="1900" t="s">
        <v>3337</v>
      </c>
      <c r="I467" s="2644" t="s">
        <v>2118</v>
      </c>
      <c r="J467" s="1905"/>
      <c r="K467" s="1905"/>
      <c r="L467" s="1905"/>
      <c r="M467" s="2503"/>
      <c r="N467" s="2503"/>
      <c r="O467" s="2503"/>
      <c r="P467" s="1720"/>
      <c r="Q467" s="2"/>
    </row>
    <row r="468" spans="1:17" ht="15.75" customHeight="1" x14ac:dyDescent="0.3">
      <c r="A468" s="3614"/>
      <c r="B468" s="2444">
        <v>13561</v>
      </c>
      <c r="C468" s="2596">
        <v>0.1</v>
      </c>
      <c r="D468" s="85" t="s">
        <v>3345</v>
      </c>
      <c r="E468" s="2676">
        <v>1400000</v>
      </c>
      <c r="F468" s="1939">
        <v>0.06</v>
      </c>
      <c r="G468" s="321">
        <f>E468*F468</f>
        <v>84000</v>
      </c>
      <c r="H468" s="1900" t="s">
        <v>118</v>
      </c>
      <c r="I468" s="2644" t="s">
        <v>2118</v>
      </c>
      <c r="J468" s="1905"/>
      <c r="K468" s="1905"/>
      <c r="L468" s="1905"/>
      <c r="M468" s="2503"/>
      <c r="N468" s="2503"/>
      <c r="O468" s="2503"/>
      <c r="P468" s="1720"/>
      <c r="Q468" s="2"/>
    </row>
    <row r="469" spans="1:17" ht="45" customHeight="1" x14ac:dyDescent="0.3">
      <c r="A469" s="3614"/>
      <c r="B469" s="2527" t="s">
        <v>3302</v>
      </c>
      <c r="C469" s="2513"/>
      <c r="D469" s="2349" t="s">
        <v>3346</v>
      </c>
      <c r="E469" s="2676"/>
      <c r="F469" s="1939"/>
      <c r="G469" s="321"/>
      <c r="H469" s="1900"/>
      <c r="I469" s="2644" t="s">
        <v>217</v>
      </c>
      <c r="J469" s="2839"/>
      <c r="K469" s="2839" t="s">
        <v>3347</v>
      </c>
      <c r="L469" s="2839"/>
      <c r="M469" s="2503"/>
      <c r="N469" s="2503"/>
      <c r="O469" s="2503"/>
      <c r="P469" s="1720"/>
      <c r="Q469" s="2"/>
    </row>
    <row r="470" spans="1:17" ht="15" customHeight="1" x14ac:dyDescent="0.3">
      <c r="A470" s="3614"/>
      <c r="B470" s="1947"/>
      <c r="C470" s="1911"/>
      <c r="D470" s="1948" t="s">
        <v>3000</v>
      </c>
      <c r="E470" s="1910">
        <f>SUM(E465:E469)</f>
        <v>4850000</v>
      </c>
      <c r="F470" s="1911"/>
      <c r="G470" s="1912">
        <f>SUM(G465:G469)</f>
        <v>310000</v>
      </c>
      <c r="H470" s="1911"/>
      <c r="I470" s="2634"/>
      <c r="J470" s="1908"/>
      <c r="K470" s="1908"/>
      <c r="L470" s="1908"/>
      <c r="M470" s="895"/>
      <c r="N470" s="3591" t="s">
        <v>3026</v>
      </c>
      <c r="O470" s="3591"/>
      <c r="P470" s="3592"/>
      <c r="Q470" s="1268">
        <f>SUM(Q465:Q469)</f>
        <v>50000</v>
      </c>
    </row>
    <row r="471" spans="1:17" ht="15" customHeight="1" x14ac:dyDescent="0.3">
      <c r="A471" s="3615"/>
      <c r="B471" s="1949"/>
      <c r="C471" s="1915"/>
      <c r="D471" s="2373" t="s">
        <v>3002</v>
      </c>
      <c r="E471" s="2374">
        <f>G470+Q470</f>
        <v>360000</v>
      </c>
      <c r="F471" s="1915"/>
      <c r="G471" s="2375"/>
      <c r="H471" s="1915"/>
      <c r="I471" s="2639"/>
      <c r="J471" s="2376"/>
      <c r="K471" s="2376"/>
      <c r="L471" s="2376"/>
      <c r="M471" s="895"/>
      <c r="N471" s="968"/>
      <c r="O471" s="968"/>
      <c r="P471" s="2073"/>
      <c r="Q471" s="294"/>
    </row>
    <row r="473" spans="1:17" ht="21" x14ac:dyDescent="0.3">
      <c r="A473" s="3532" t="s">
        <v>3348</v>
      </c>
      <c r="B473" s="3532"/>
      <c r="C473" s="3532"/>
      <c r="D473" s="3532"/>
      <c r="E473" s="3532"/>
      <c r="F473" s="3532"/>
      <c r="G473" s="3532"/>
      <c r="H473" s="3533"/>
      <c r="I473" s="3532"/>
      <c r="J473" s="3532"/>
      <c r="K473" s="3532"/>
      <c r="L473" s="3028"/>
      <c r="M473" s="287"/>
      <c r="N473" s="845"/>
      <c r="O473" s="845"/>
      <c r="P473" s="3291"/>
      <c r="Q473" s="294"/>
    </row>
    <row r="474" spans="1:17" x14ac:dyDescent="0.3">
      <c r="A474" s="2746" t="s">
        <v>2974</v>
      </c>
      <c r="B474" s="2771" t="s">
        <v>2975</v>
      </c>
      <c r="C474" s="2843" t="s">
        <v>3004</v>
      </c>
      <c r="D474" s="2844" t="s">
        <v>2977</v>
      </c>
      <c r="E474" s="2768" t="s">
        <v>2978</v>
      </c>
      <c r="F474" s="2746" t="s">
        <v>2979</v>
      </c>
      <c r="G474" s="2769" t="s">
        <v>2980</v>
      </c>
      <c r="H474" s="2746" t="s">
        <v>2981</v>
      </c>
      <c r="I474" s="2770" t="s">
        <v>2982</v>
      </c>
      <c r="J474" s="2771"/>
      <c r="K474" s="2771" t="s">
        <v>2983</v>
      </c>
      <c r="L474" s="2771"/>
      <c r="M474" s="2740" t="s">
        <v>2975</v>
      </c>
      <c r="N474" s="2503" t="s">
        <v>2977</v>
      </c>
      <c r="O474" s="2503" t="s">
        <v>2984</v>
      </c>
      <c r="P474" s="1720" t="s">
        <v>2979</v>
      </c>
      <c r="Q474" s="2" t="s">
        <v>2985</v>
      </c>
    </row>
    <row r="475" spans="1:17" ht="15" customHeight="1" x14ac:dyDescent="0.3">
      <c r="A475" s="3534"/>
      <c r="B475" s="2643"/>
      <c r="C475" s="2172"/>
      <c r="D475" s="2532"/>
      <c r="E475" s="2676"/>
      <c r="F475" s="1943"/>
      <c r="G475" s="2368"/>
      <c r="H475" s="1905"/>
      <c r="I475" s="2638"/>
      <c r="J475" s="307"/>
      <c r="K475" s="1058"/>
      <c r="L475" s="307"/>
      <c r="M475" s="2632"/>
      <c r="N475" s="2828"/>
      <c r="O475" s="2676"/>
      <c r="P475" s="1720"/>
      <c r="Q475" s="51"/>
    </row>
    <row r="476" spans="1:17" ht="15" customHeight="1" x14ac:dyDescent="0.3">
      <c r="A476" s="3535"/>
      <c r="B476" s="2830"/>
      <c r="C476" s="2674"/>
      <c r="D476" s="2050"/>
      <c r="E476" s="2676"/>
      <c r="F476" s="1943"/>
      <c r="G476" s="2368"/>
      <c r="H476" s="1905"/>
      <c r="I476" s="2638"/>
      <c r="J476" s="371"/>
      <c r="K476" s="1058"/>
      <c r="L476" s="371"/>
      <c r="M476" s="2829"/>
      <c r="N476" s="2828"/>
      <c r="O476" s="2676"/>
      <c r="P476" s="1720"/>
      <c r="Q476" s="51"/>
    </row>
    <row r="477" spans="1:17" ht="15" customHeight="1" x14ac:dyDescent="0.3">
      <c r="A477" s="3535"/>
      <c r="B477" s="2830"/>
      <c r="C477" s="2674"/>
      <c r="D477" s="2050"/>
      <c r="E477" s="2676"/>
      <c r="F477" s="1943"/>
      <c r="G477" s="2368"/>
      <c r="H477" s="1905"/>
      <c r="I477" s="2638"/>
      <c r="J477" s="371"/>
      <c r="K477" s="1058"/>
      <c r="L477" s="371"/>
      <c r="M477" s="2829"/>
      <c r="N477" s="2828"/>
      <c r="O477" s="2676"/>
      <c r="P477" s="1720"/>
      <c r="Q477" s="51"/>
    </row>
    <row r="478" spans="1:17" ht="15" customHeight="1" x14ac:dyDescent="0.3">
      <c r="A478" s="3535"/>
      <c r="B478" s="2673"/>
      <c r="C478" s="2674"/>
      <c r="D478" s="1576"/>
      <c r="E478" s="2676"/>
      <c r="F478" s="1943"/>
      <c r="G478" s="2368"/>
      <c r="H478" s="1905"/>
      <c r="I478" s="2638"/>
      <c r="J478" s="371"/>
      <c r="K478" s="1058"/>
      <c r="L478" s="371"/>
      <c r="M478" s="2598"/>
      <c r="N478" s="2598"/>
      <c r="O478" s="2503"/>
      <c r="P478" s="1720"/>
      <c r="Q478" s="2"/>
    </row>
    <row r="479" spans="1:17" ht="15" customHeight="1" x14ac:dyDescent="0.3">
      <c r="A479" s="3535"/>
      <c r="B479" s="1947"/>
      <c r="C479" s="1911"/>
      <c r="D479" s="1948" t="s">
        <v>3000</v>
      </c>
      <c r="E479" s="1910">
        <f>SUM(E475:E478)</f>
        <v>0</v>
      </c>
      <c r="F479" s="1911"/>
      <c r="G479" s="1912"/>
      <c r="H479" s="1911"/>
      <c r="I479" s="2634"/>
      <c r="J479" s="1911"/>
      <c r="K479" s="1911"/>
      <c r="L479" s="1911"/>
      <c r="M479" s="287"/>
      <c r="N479" s="3593" t="s">
        <v>3026</v>
      </c>
      <c r="O479" s="3593"/>
      <c r="P479" s="3594"/>
      <c r="Q479" s="848"/>
    </row>
    <row r="480" spans="1:17" ht="15" customHeight="1" x14ac:dyDescent="0.3">
      <c r="A480" s="3536"/>
      <c r="B480" s="1949"/>
      <c r="C480" s="1915"/>
      <c r="D480" s="2373" t="s">
        <v>3002</v>
      </c>
      <c r="E480" s="2374"/>
      <c r="F480" s="1915"/>
      <c r="G480" s="2375"/>
      <c r="H480" s="1915"/>
      <c r="I480" s="2639"/>
      <c r="J480" s="2376"/>
      <c r="K480" s="2376"/>
      <c r="L480" s="2376"/>
      <c r="M480" s="895"/>
      <c r="N480" s="968"/>
      <c r="O480" s="968"/>
      <c r="P480" s="2073"/>
      <c r="Q480" s="294"/>
    </row>
    <row r="482" spans="1:17" ht="15" customHeight="1" x14ac:dyDescent="0.3">
      <c r="A482" s="3565" t="s">
        <v>3064</v>
      </c>
      <c r="B482" s="3566"/>
      <c r="C482" s="2361"/>
      <c r="D482" s="2772">
        <v>53400000</v>
      </c>
      <c r="E482" s="2773"/>
    </row>
    <row r="483" spans="1:17" ht="15" customHeight="1" x14ac:dyDescent="0.3">
      <c r="A483" s="3567" t="s">
        <v>3065</v>
      </c>
      <c r="B483" s="3568"/>
      <c r="C483" s="1392"/>
      <c r="D483" s="2774"/>
      <c r="E483" s="2775"/>
    </row>
    <row r="484" spans="1:17" ht="15" customHeight="1" x14ac:dyDescent="0.3">
      <c r="A484" s="3569" t="s">
        <v>3066</v>
      </c>
      <c r="B484" s="3570"/>
      <c r="C484" s="2776"/>
      <c r="D484" s="2777"/>
      <c r="E484" s="2775"/>
    </row>
    <row r="485" spans="1:17" ht="15" customHeight="1" x14ac:dyDescent="0.3">
      <c r="A485" s="3551" t="s">
        <v>3067</v>
      </c>
      <c r="B485" s="3552"/>
      <c r="C485" s="2778"/>
      <c r="D485" s="2779"/>
    </row>
    <row r="486" spans="1:17" ht="15" customHeight="1" x14ac:dyDescent="0.3">
      <c r="A486" s="3571" t="s">
        <v>3068</v>
      </c>
      <c r="B486" s="3572"/>
      <c r="C486" s="2780"/>
      <c r="D486" s="729"/>
    </row>
    <row r="487" spans="1:17" ht="15" customHeight="1" x14ac:dyDescent="0.3">
      <c r="A487" s="3573" t="s">
        <v>3069</v>
      </c>
      <c r="B487" s="3573"/>
      <c r="C487" s="2780"/>
      <c r="D487" s="2529"/>
    </row>
    <row r="488" spans="1:17" x14ac:dyDescent="0.3">
      <c r="A488" s="2781"/>
      <c r="B488" s="2066" t="s">
        <v>3070</v>
      </c>
      <c r="C488" s="1581"/>
      <c r="D488" s="2782"/>
    </row>
    <row r="491" spans="1:17" ht="48.75" customHeight="1" x14ac:dyDescent="0.85">
      <c r="A491" s="3585" t="s">
        <v>3349</v>
      </c>
      <c r="B491" s="3585"/>
      <c r="C491" s="3585"/>
      <c r="D491" s="3585"/>
      <c r="E491" s="3585"/>
      <c r="F491" s="3585"/>
      <c r="G491" s="3585"/>
      <c r="H491" s="3585"/>
      <c r="I491" s="3585"/>
      <c r="J491" s="3585"/>
      <c r="K491" s="3585"/>
      <c r="L491" s="3024"/>
    </row>
    <row r="493" spans="1:17" ht="20.25" customHeight="1" x14ac:dyDescent="0.4">
      <c r="A493" s="3555" t="s">
        <v>3212</v>
      </c>
      <c r="B493" s="3555"/>
      <c r="C493" s="3555"/>
      <c r="D493" s="3555"/>
      <c r="E493" s="3555"/>
      <c r="F493" s="3555"/>
      <c r="G493" s="3555"/>
      <c r="H493" s="3555"/>
      <c r="I493" s="3555"/>
      <c r="J493" s="3555"/>
      <c r="K493" s="3555"/>
      <c r="L493" s="3046"/>
      <c r="M493" s="3556" t="s">
        <v>2973</v>
      </c>
      <c r="N493" s="3556"/>
      <c r="O493" s="3556"/>
      <c r="P493" s="3556"/>
      <c r="Q493" s="2"/>
    </row>
    <row r="494" spans="1:17" ht="15" customHeight="1" x14ac:dyDescent="0.3">
      <c r="A494" s="2745" t="s">
        <v>2974</v>
      </c>
      <c r="B494" s="2746" t="s">
        <v>2975</v>
      </c>
      <c r="C494" s="2747" t="s">
        <v>2976</v>
      </c>
      <c r="D494" s="2748" t="s">
        <v>2977</v>
      </c>
      <c r="E494" s="2749" t="s">
        <v>2978</v>
      </c>
      <c r="F494" s="2745" t="s">
        <v>2979</v>
      </c>
      <c r="G494" s="2750" t="s">
        <v>2980</v>
      </c>
      <c r="H494" s="2746" t="s">
        <v>2981</v>
      </c>
      <c r="I494" s="2751" t="s">
        <v>2982</v>
      </c>
      <c r="J494" s="2752"/>
      <c r="K494" s="2745" t="s">
        <v>2983</v>
      </c>
      <c r="L494" s="2752"/>
      <c r="M494" s="2752" t="s">
        <v>2975</v>
      </c>
      <c r="N494" s="2752" t="s">
        <v>2977</v>
      </c>
      <c r="O494" s="2752" t="s">
        <v>2984</v>
      </c>
      <c r="P494" s="3295" t="s">
        <v>2979</v>
      </c>
      <c r="Q494" s="268" t="s">
        <v>2985</v>
      </c>
    </row>
    <row r="495" spans="1:17" ht="15" customHeight="1" x14ac:dyDescent="0.3">
      <c r="A495" s="3596" t="s">
        <v>3350</v>
      </c>
      <c r="B495" s="2444">
        <v>13761</v>
      </c>
      <c r="C495" s="2596">
        <v>0.1</v>
      </c>
      <c r="D495" s="85" t="s">
        <v>3351</v>
      </c>
      <c r="E495" s="1628">
        <v>1000000</v>
      </c>
      <c r="F495" s="320">
        <v>0.08</v>
      </c>
      <c r="G495" s="321">
        <f t="shared" ref="G495:G500" si="26">E495*F495</f>
        <v>80000</v>
      </c>
      <c r="H495" s="2756" t="s">
        <v>1482</v>
      </c>
      <c r="I495" s="2764" t="s">
        <v>1770</v>
      </c>
      <c r="J495" s="3195"/>
      <c r="K495" s="2870"/>
      <c r="L495" s="3195"/>
      <c r="M495" s="2444" t="s">
        <v>3226</v>
      </c>
      <c r="N495" s="2852" t="s">
        <v>3352</v>
      </c>
      <c r="O495" s="1628">
        <v>1350000</v>
      </c>
      <c r="P495" s="1720">
        <v>0.04</v>
      </c>
      <c r="Q495" s="2518">
        <f>O495*P495</f>
        <v>54000</v>
      </c>
    </row>
    <row r="496" spans="1:17" ht="15" customHeight="1" x14ac:dyDescent="0.3">
      <c r="A496" s="3597"/>
      <c r="B496" s="2450">
        <v>13694</v>
      </c>
      <c r="C496" s="2596">
        <v>0.1</v>
      </c>
      <c r="D496" s="85" t="s">
        <v>3353</v>
      </c>
      <c r="E496" s="1632">
        <v>1400000</v>
      </c>
      <c r="F496" s="320">
        <v>0.04</v>
      </c>
      <c r="G496" s="321">
        <f t="shared" si="26"/>
        <v>56000</v>
      </c>
      <c r="H496" s="1900" t="s">
        <v>2993</v>
      </c>
      <c r="I496" s="2620" t="s">
        <v>1770</v>
      </c>
      <c r="J496" s="2504"/>
      <c r="K496" s="2870"/>
      <c r="L496" s="2504"/>
      <c r="M496" s="1010">
        <v>13689</v>
      </c>
      <c r="N496" s="2670" t="s">
        <v>3354</v>
      </c>
      <c r="O496" s="2676">
        <v>1300000</v>
      </c>
      <c r="P496" s="1720">
        <v>0.04</v>
      </c>
      <c r="Q496" s="2518">
        <f t="shared" ref="Q496" si="27">O496*P496</f>
        <v>52000</v>
      </c>
    </row>
    <row r="497" spans="1:17" ht="15" customHeight="1" x14ac:dyDescent="0.3">
      <c r="A497" s="3597"/>
      <c r="B497" s="2449">
        <v>13732</v>
      </c>
      <c r="C497" s="333">
        <v>0.1</v>
      </c>
      <c r="D497" s="67" t="s">
        <v>3355</v>
      </c>
      <c r="E497" s="1632">
        <v>1300000</v>
      </c>
      <c r="F497" s="320">
        <v>0.04</v>
      </c>
      <c r="G497" s="321">
        <f t="shared" si="26"/>
        <v>52000</v>
      </c>
      <c r="H497" s="1900" t="s">
        <v>2993</v>
      </c>
      <c r="I497" s="2620" t="s">
        <v>133</v>
      </c>
      <c r="J497" s="3167"/>
      <c r="K497" s="511"/>
      <c r="L497" s="3167"/>
      <c r="M497" s="2503"/>
      <c r="N497" s="2503"/>
      <c r="O497" s="2503"/>
      <c r="P497" s="1720"/>
      <c r="Q497" s="2518"/>
    </row>
    <row r="498" spans="1:17" ht="15" customHeight="1" x14ac:dyDescent="0.3">
      <c r="A498" s="3597"/>
      <c r="B498" s="1010">
        <v>13686</v>
      </c>
      <c r="C498" s="333">
        <v>0.1</v>
      </c>
      <c r="D498" s="67" t="s">
        <v>3356</v>
      </c>
      <c r="E498" s="1632">
        <v>1400000</v>
      </c>
      <c r="F498" s="320">
        <v>0.04</v>
      </c>
      <c r="G498" s="321">
        <f t="shared" si="26"/>
        <v>56000</v>
      </c>
      <c r="H498" s="1900" t="s">
        <v>1685</v>
      </c>
      <c r="I498" s="2620" t="s">
        <v>133</v>
      </c>
      <c r="J498" s="3196"/>
      <c r="K498" s="2871"/>
      <c r="L498" s="3196"/>
      <c r="M498" s="2503"/>
      <c r="N498" s="2503"/>
      <c r="O498" s="2503"/>
      <c r="P498" s="1720"/>
      <c r="Q498" s="51"/>
    </row>
    <row r="499" spans="1:17" ht="15" customHeight="1" x14ac:dyDescent="0.3">
      <c r="A499" s="3597"/>
      <c r="B499" s="2607">
        <v>13739</v>
      </c>
      <c r="C499" s="333">
        <v>0.1</v>
      </c>
      <c r="D499" s="210" t="s">
        <v>3357</v>
      </c>
      <c r="E499" s="1632">
        <v>1350000</v>
      </c>
      <c r="F499" s="320">
        <v>0.04</v>
      </c>
      <c r="G499" s="321">
        <f t="shared" si="26"/>
        <v>54000</v>
      </c>
      <c r="H499" s="1900" t="s">
        <v>2993</v>
      </c>
      <c r="I499" s="2620" t="s">
        <v>133</v>
      </c>
      <c r="J499" s="3196"/>
      <c r="K499" s="2871"/>
      <c r="L499" s="3196"/>
      <c r="M499" s="2503"/>
      <c r="N499" s="2503"/>
      <c r="O499" s="2503"/>
      <c r="P499" s="1720"/>
      <c r="Q499" s="51"/>
    </row>
    <row r="500" spans="1:17" ht="15" customHeight="1" x14ac:dyDescent="0.3">
      <c r="A500" s="3597"/>
      <c r="B500" s="2444">
        <v>13755</v>
      </c>
      <c r="C500" s="2694">
        <v>0.08</v>
      </c>
      <c r="D500" s="182" t="s">
        <v>3358</v>
      </c>
      <c r="E500" s="1632">
        <v>1050000</v>
      </c>
      <c r="F500" s="2456">
        <v>0.06</v>
      </c>
      <c r="G500" s="321">
        <f t="shared" si="26"/>
        <v>63000</v>
      </c>
      <c r="H500" s="1900" t="s">
        <v>1482</v>
      </c>
      <c r="I500" s="2620" t="s">
        <v>133</v>
      </c>
      <c r="J500" s="3196"/>
      <c r="K500" s="2871"/>
      <c r="L500" s="3196"/>
      <c r="M500" s="2503"/>
      <c r="N500" s="2503"/>
      <c r="O500" s="2503"/>
      <c r="P500" s="1720"/>
      <c r="Q500" s="51"/>
    </row>
    <row r="501" spans="1:17" ht="15" customHeight="1" x14ac:dyDescent="0.3">
      <c r="A501" s="3597"/>
      <c r="B501" s="2609" t="s">
        <v>3296</v>
      </c>
      <c r="C501" s="2723"/>
      <c r="D501" s="2853" t="s">
        <v>3359</v>
      </c>
      <c r="E501" s="1632"/>
      <c r="F501" s="320"/>
      <c r="G501" s="321"/>
      <c r="H501" s="1900"/>
      <c r="I501" s="2620" t="s">
        <v>1770</v>
      </c>
      <c r="J501" s="3196"/>
      <c r="K501" s="2871"/>
      <c r="L501" s="3196"/>
      <c r="M501" s="2503"/>
      <c r="N501" s="2503"/>
      <c r="O501" s="2503"/>
      <c r="P501" s="1720"/>
      <c r="Q501" s="51"/>
    </row>
    <row r="502" spans="1:17" ht="15" customHeight="1" x14ac:dyDescent="0.3">
      <c r="A502" s="3597"/>
      <c r="B502" s="2609" t="s">
        <v>3302</v>
      </c>
      <c r="C502" s="2660"/>
      <c r="D502" s="1412" t="s">
        <v>3360</v>
      </c>
      <c r="E502" s="2676"/>
      <c r="F502" s="1943"/>
      <c r="G502" s="2368"/>
      <c r="H502" s="1905"/>
      <c r="I502" s="2638" t="s">
        <v>2118</v>
      </c>
      <c r="J502" s="852"/>
      <c r="K502" s="1517" t="s">
        <v>3122</v>
      </c>
      <c r="L502" s="852"/>
      <c r="M502" s="2503"/>
      <c r="N502" s="2503"/>
      <c r="O502" s="2503"/>
      <c r="P502" s="1720"/>
      <c r="Q502" s="51"/>
    </row>
    <row r="503" spans="1:17" ht="15.75" customHeight="1" x14ac:dyDescent="0.3">
      <c r="A503" s="3597"/>
      <c r="B503" s="2486" t="s">
        <v>3361</v>
      </c>
      <c r="C503" s="2513"/>
      <c r="D503" s="2822" t="s">
        <v>3281</v>
      </c>
      <c r="E503" s="1628"/>
      <c r="F503" s="320"/>
      <c r="G503" s="321"/>
      <c r="H503" s="2756"/>
      <c r="I503" s="2764" t="s">
        <v>2118</v>
      </c>
      <c r="J503" s="2504"/>
      <c r="K503" s="2870" t="s">
        <v>3362</v>
      </c>
      <c r="L503" s="2504"/>
      <c r="M503" s="2503"/>
      <c r="N503" s="2503"/>
      <c r="O503" s="2503"/>
      <c r="P503" s="1720"/>
      <c r="Q503" s="51"/>
    </row>
    <row r="504" spans="1:17" ht="15.75" customHeight="1" x14ac:dyDescent="0.3">
      <c r="A504" s="3597"/>
      <c r="B504" s="2609" t="s">
        <v>3192</v>
      </c>
      <c r="C504" s="2723"/>
      <c r="D504" s="2853" t="s">
        <v>3363</v>
      </c>
      <c r="E504" s="1632"/>
      <c r="F504" s="320"/>
      <c r="G504" s="321"/>
      <c r="H504" s="1900"/>
      <c r="I504" s="2620" t="s">
        <v>1770</v>
      </c>
      <c r="J504" s="3196"/>
      <c r="K504" s="2871" t="s">
        <v>3364</v>
      </c>
      <c r="L504" s="3196"/>
      <c r="M504" s="2503"/>
      <c r="N504" s="2503"/>
      <c r="O504" s="2503"/>
      <c r="P504" s="1720"/>
      <c r="Q504" s="51"/>
    </row>
    <row r="505" spans="1:17" ht="15.75" customHeight="1" x14ac:dyDescent="0.3">
      <c r="A505" s="3597"/>
      <c r="B505" s="2486" t="s">
        <v>3296</v>
      </c>
      <c r="C505" s="2513"/>
      <c r="D505" s="2822" t="s">
        <v>3365</v>
      </c>
      <c r="E505" s="1628"/>
      <c r="F505" s="320"/>
      <c r="G505" s="321"/>
      <c r="H505" s="2756"/>
      <c r="I505" s="2764" t="s">
        <v>1770</v>
      </c>
      <c r="J505" s="3196"/>
      <c r="K505" s="2871" t="s">
        <v>3364</v>
      </c>
      <c r="L505" s="3196"/>
      <c r="M505" s="2503"/>
      <c r="N505" s="2503"/>
      <c r="O505" s="2503"/>
      <c r="P505" s="1720"/>
      <c r="Q505" s="51"/>
    </row>
    <row r="506" spans="1:17" ht="15" customHeight="1" x14ac:dyDescent="0.3">
      <c r="A506" s="3597"/>
      <c r="B506" s="2398"/>
      <c r="C506" s="638"/>
      <c r="D506" s="1116" t="s">
        <v>3000</v>
      </c>
      <c r="E506" s="1634">
        <f>SUM(E495:E505)</f>
        <v>7500000</v>
      </c>
      <c r="F506" s="956"/>
      <c r="G506" s="1207">
        <f>SUM(G495:G505)</f>
        <v>361000</v>
      </c>
      <c r="H506" s="2724"/>
      <c r="I506" s="2725"/>
      <c r="J506" s="3197"/>
      <c r="K506" s="2872"/>
      <c r="L506" s="3197"/>
      <c r="M506" s="316"/>
      <c r="N506" s="3599" t="s">
        <v>3001</v>
      </c>
      <c r="O506" s="3599"/>
      <c r="P506" s="3599"/>
      <c r="Q506" s="297">
        <f>SUM(Q495:Q505)</f>
        <v>106000</v>
      </c>
    </row>
    <row r="507" spans="1:17" ht="15" customHeight="1" x14ac:dyDescent="0.3">
      <c r="A507" s="3598"/>
      <c r="B507" s="1918"/>
      <c r="C507" s="840"/>
      <c r="D507" s="1182" t="s">
        <v>3002</v>
      </c>
      <c r="E507" s="953">
        <f>G506+Q506</f>
        <v>467000</v>
      </c>
      <c r="F507" s="840"/>
      <c r="G507" s="842"/>
      <c r="H507" s="1918"/>
      <c r="I507" s="2623"/>
      <c r="J507" s="1210"/>
      <c r="K507" s="843"/>
      <c r="L507" s="1210"/>
      <c r="M507" s="895"/>
      <c r="N507" s="2726"/>
      <c r="O507" s="895"/>
      <c r="P507" s="992"/>
      <c r="Q507" s="430"/>
    </row>
    <row r="508" spans="1:17" ht="15" customHeight="1" x14ac:dyDescent="0.3">
      <c r="A508" s="825"/>
      <c r="B508" s="1925"/>
      <c r="C508" s="825"/>
      <c r="D508" s="1172"/>
      <c r="E508" s="827"/>
      <c r="F508" s="825"/>
      <c r="G508" s="828"/>
      <c r="H508" s="1925"/>
      <c r="I508" s="2628"/>
      <c r="J508" s="825"/>
      <c r="K508" s="826"/>
      <c r="L508" s="825"/>
      <c r="Q508" s="1"/>
    </row>
    <row r="509" spans="1:17" ht="15" customHeight="1" x14ac:dyDescent="0.3">
      <c r="A509" s="825"/>
      <c r="B509" s="1925"/>
      <c r="C509" s="825"/>
      <c r="D509" s="1172"/>
      <c r="E509" s="827"/>
      <c r="F509" s="825"/>
      <c r="G509" s="828"/>
      <c r="H509" s="1925"/>
      <c r="I509" s="2628"/>
      <c r="J509" s="825"/>
      <c r="K509" s="826"/>
      <c r="L509" s="825"/>
      <c r="Q509" s="1"/>
    </row>
    <row r="510" spans="1:17" ht="20.25" customHeight="1" x14ac:dyDescent="0.4">
      <c r="A510" s="3600" t="s">
        <v>3149</v>
      </c>
      <c r="B510" s="3600"/>
      <c r="C510" s="3600"/>
      <c r="D510" s="3600"/>
      <c r="E510" s="3600"/>
      <c r="F510" s="3600"/>
      <c r="G510" s="3600"/>
      <c r="H510" s="3600"/>
      <c r="I510" s="3600"/>
      <c r="J510" s="3600"/>
      <c r="K510" s="3600"/>
      <c r="L510" s="3047"/>
      <c r="M510" s="3601" t="s">
        <v>2973</v>
      </c>
      <c r="N510" s="3601"/>
      <c r="O510" s="3601"/>
      <c r="P510" s="3601"/>
      <c r="Q510" s="268"/>
    </row>
    <row r="511" spans="1:17" ht="15" customHeight="1" x14ac:dyDescent="0.3">
      <c r="A511" s="2503" t="s">
        <v>2974</v>
      </c>
      <c r="B511" s="2757" t="s">
        <v>2975</v>
      </c>
      <c r="C511" s="2740" t="s">
        <v>3004</v>
      </c>
      <c r="D511" s="2758" t="s">
        <v>2977</v>
      </c>
      <c r="E511" s="2759" t="s">
        <v>2978</v>
      </c>
      <c r="F511" s="2740" t="s">
        <v>2979</v>
      </c>
      <c r="G511" s="2760" t="s">
        <v>2980</v>
      </c>
      <c r="H511" s="2761" t="s">
        <v>2981</v>
      </c>
      <c r="I511" s="2735" t="s">
        <v>2982</v>
      </c>
      <c r="J511" s="2740"/>
      <c r="K511" s="2740" t="s">
        <v>2983</v>
      </c>
      <c r="L511" s="2740"/>
      <c r="M511" s="2740" t="s">
        <v>2975</v>
      </c>
      <c r="N511" s="2740" t="s">
        <v>2977</v>
      </c>
      <c r="O511" s="2740" t="s">
        <v>2984</v>
      </c>
      <c r="P511" s="2472" t="s">
        <v>2979</v>
      </c>
      <c r="Q511" s="1071" t="s">
        <v>2985</v>
      </c>
    </row>
    <row r="512" spans="1:17" ht="15" customHeight="1" x14ac:dyDescent="0.3">
      <c r="A512" s="3596" t="s">
        <v>3366</v>
      </c>
      <c r="B512" s="1010">
        <v>13669</v>
      </c>
      <c r="C512" s="333">
        <v>0.1</v>
      </c>
      <c r="D512" s="67" t="s">
        <v>3367</v>
      </c>
      <c r="E512" s="1628">
        <v>1100000</v>
      </c>
      <c r="F512" s="376">
        <v>0.1</v>
      </c>
      <c r="G512" s="321">
        <f t="shared" ref="G512:G523" si="28">E512*F512</f>
        <v>110000</v>
      </c>
      <c r="H512" s="2756" t="s">
        <v>3010</v>
      </c>
      <c r="I512" s="2834" t="s">
        <v>1770</v>
      </c>
      <c r="J512" s="532"/>
      <c r="K512" s="335"/>
      <c r="L512" s="532"/>
      <c r="M512" s="2444">
        <v>13745</v>
      </c>
      <c r="N512" s="67" t="s">
        <v>3368</v>
      </c>
      <c r="O512" s="1628">
        <v>1050000</v>
      </c>
      <c r="P512" s="1720">
        <v>0.05</v>
      </c>
      <c r="Q512" s="2518">
        <f>O512*P512</f>
        <v>52500</v>
      </c>
    </row>
    <row r="513" spans="1:17" ht="15" customHeight="1" x14ac:dyDescent="0.3">
      <c r="A513" s="3597"/>
      <c r="B513" s="2444">
        <v>13701</v>
      </c>
      <c r="C513" s="2596">
        <v>0.1</v>
      </c>
      <c r="D513" s="85" t="s">
        <v>3369</v>
      </c>
      <c r="E513" s="1771">
        <v>1000000</v>
      </c>
      <c r="F513" s="1643">
        <v>0.1</v>
      </c>
      <c r="G513" s="321">
        <f t="shared" si="28"/>
        <v>100000</v>
      </c>
      <c r="H513" s="2761" t="s">
        <v>3010</v>
      </c>
      <c r="I513" s="2854" t="s">
        <v>133</v>
      </c>
      <c r="J513" s="532"/>
      <c r="K513" s="335"/>
      <c r="L513" s="532"/>
      <c r="M513" s="2444">
        <v>13791</v>
      </c>
      <c r="N513" s="67" t="s">
        <v>3325</v>
      </c>
      <c r="O513" s="1628">
        <v>1450000</v>
      </c>
      <c r="P513" s="1720">
        <v>0.05</v>
      </c>
      <c r="Q513" s="2518">
        <f>O513*P513</f>
        <v>72500</v>
      </c>
    </row>
    <row r="514" spans="1:17" ht="15" customHeight="1" x14ac:dyDescent="0.3">
      <c r="A514" s="3597"/>
      <c r="B514" s="2444">
        <v>13774</v>
      </c>
      <c r="C514" s="2596">
        <v>0.1</v>
      </c>
      <c r="D514" s="2852" t="s">
        <v>3370</v>
      </c>
      <c r="E514" s="1628">
        <v>1600000</v>
      </c>
      <c r="F514" s="376">
        <v>0.05</v>
      </c>
      <c r="G514" s="321">
        <f t="shared" si="28"/>
        <v>80000</v>
      </c>
      <c r="H514" s="2756" t="s">
        <v>3337</v>
      </c>
      <c r="I514" s="2834" t="s">
        <v>1770</v>
      </c>
      <c r="J514" s="2"/>
      <c r="K514" s="11"/>
      <c r="L514" s="2"/>
      <c r="M514" s="2503"/>
      <c r="N514" s="2503"/>
      <c r="O514" s="2503"/>
      <c r="P514" s="1720"/>
      <c r="Q514" s="51"/>
    </row>
    <row r="515" spans="1:17" ht="15" customHeight="1" x14ac:dyDescent="0.3">
      <c r="A515" s="3597"/>
      <c r="B515" s="2444">
        <v>13818</v>
      </c>
      <c r="C515" s="2694">
        <v>0.08</v>
      </c>
      <c r="D515" s="2852" t="s">
        <v>3371</v>
      </c>
      <c r="E515" s="1628">
        <v>1350000</v>
      </c>
      <c r="F515" s="2456">
        <v>0.04</v>
      </c>
      <c r="G515" s="321">
        <f t="shared" si="28"/>
        <v>54000</v>
      </c>
      <c r="H515" s="2756" t="s">
        <v>2993</v>
      </c>
      <c r="I515" s="2834" t="s">
        <v>1770</v>
      </c>
      <c r="J515" s="316"/>
      <c r="K515" s="335"/>
      <c r="L515" s="316"/>
      <c r="M515" s="2503"/>
      <c r="N515" s="2503"/>
      <c r="O515" s="2503"/>
      <c r="P515" s="1720"/>
      <c r="Q515" s="51"/>
    </row>
    <row r="516" spans="1:17" ht="15" customHeight="1" x14ac:dyDescent="0.3">
      <c r="A516" s="3597"/>
      <c r="B516" s="2444">
        <v>13825</v>
      </c>
      <c r="C516" s="2596">
        <v>0.1</v>
      </c>
      <c r="D516" s="2852" t="s">
        <v>3372</v>
      </c>
      <c r="E516" s="1628">
        <v>800000</v>
      </c>
      <c r="F516" s="376">
        <v>0.05</v>
      </c>
      <c r="G516" s="321">
        <f t="shared" si="28"/>
        <v>40000</v>
      </c>
      <c r="H516" s="2756" t="s">
        <v>118</v>
      </c>
      <c r="I516" s="2834" t="s">
        <v>1770</v>
      </c>
      <c r="J516" s="316"/>
      <c r="K516" s="335"/>
      <c r="L516" s="316"/>
      <c r="M516" s="2503"/>
      <c r="N516" s="2503"/>
      <c r="O516" s="2503"/>
      <c r="P516" s="1720"/>
      <c r="Q516" s="51"/>
    </row>
    <row r="517" spans="1:17" ht="15" customHeight="1" x14ac:dyDescent="0.3">
      <c r="A517" s="3597"/>
      <c r="B517" s="2444">
        <v>13836</v>
      </c>
      <c r="C517" s="333">
        <v>0.1</v>
      </c>
      <c r="D517" s="2852" t="s">
        <v>3373</v>
      </c>
      <c r="E517" s="1628">
        <v>1250000</v>
      </c>
      <c r="F517" s="376">
        <v>0.1</v>
      </c>
      <c r="G517" s="321">
        <f t="shared" si="28"/>
        <v>125000</v>
      </c>
      <c r="H517" s="2756" t="s">
        <v>3010</v>
      </c>
      <c r="I517" s="2834" t="s">
        <v>133</v>
      </c>
      <c r="J517" s="316"/>
      <c r="K517" s="335"/>
      <c r="L517" s="316"/>
      <c r="M517" s="2503"/>
      <c r="N517" s="2503"/>
      <c r="O517" s="2503"/>
      <c r="P517" s="1720"/>
      <c r="Q517" s="51"/>
    </row>
    <row r="518" spans="1:17" ht="15" customHeight="1" x14ac:dyDescent="0.3">
      <c r="A518" s="3597"/>
      <c r="B518" s="2444">
        <v>13840</v>
      </c>
      <c r="C518" s="2596">
        <v>0.1</v>
      </c>
      <c r="D518" s="2852" t="s">
        <v>3374</v>
      </c>
      <c r="E518" s="1628">
        <v>1500000</v>
      </c>
      <c r="F518" s="376">
        <v>0.05</v>
      </c>
      <c r="G518" s="321">
        <f t="shared" si="28"/>
        <v>75000</v>
      </c>
      <c r="H518" s="2756" t="s">
        <v>3337</v>
      </c>
      <c r="I518" s="2854" t="s">
        <v>1770</v>
      </c>
      <c r="J518" s="316"/>
      <c r="K518" s="335"/>
      <c r="L518" s="316"/>
      <c r="M518" s="2503"/>
      <c r="N518" s="2503"/>
      <c r="O518" s="2503"/>
      <c r="P518" s="1720"/>
      <c r="Q518" s="51"/>
    </row>
    <row r="519" spans="1:17" ht="15" customHeight="1" x14ac:dyDescent="0.3">
      <c r="A519" s="3597"/>
      <c r="B519" s="2444">
        <v>13848</v>
      </c>
      <c r="C519" s="2596">
        <v>0.1</v>
      </c>
      <c r="D519" s="2852" t="s">
        <v>3375</v>
      </c>
      <c r="E519" s="1628">
        <v>1000000</v>
      </c>
      <c r="F519" s="376">
        <v>0.1</v>
      </c>
      <c r="G519" s="321">
        <f t="shared" si="28"/>
        <v>100000</v>
      </c>
      <c r="H519" s="2869" t="s">
        <v>3010</v>
      </c>
      <c r="I519" s="2834" t="s">
        <v>1770</v>
      </c>
      <c r="J519" s="316"/>
      <c r="K519" s="335"/>
      <c r="L519" s="316"/>
      <c r="M519" s="2503"/>
      <c r="N519" s="2503"/>
      <c r="O519" s="2503"/>
      <c r="P519" s="1720"/>
      <c r="Q519" s="51"/>
    </row>
    <row r="520" spans="1:17" ht="15" customHeight="1" x14ac:dyDescent="0.3">
      <c r="A520" s="3597"/>
      <c r="B520" s="2444">
        <v>13866</v>
      </c>
      <c r="C520" s="2596">
        <v>0.1</v>
      </c>
      <c r="D520" s="2852" t="s">
        <v>3376</v>
      </c>
      <c r="E520" s="1628">
        <v>1300000</v>
      </c>
      <c r="F520" s="376">
        <v>0.05</v>
      </c>
      <c r="G520" s="321">
        <f t="shared" si="28"/>
        <v>65000</v>
      </c>
      <c r="H520" s="2869" t="s">
        <v>2993</v>
      </c>
      <c r="I520" s="2834" t="s">
        <v>1770</v>
      </c>
      <c r="J520" s="316"/>
      <c r="K520" s="335"/>
      <c r="L520" s="316"/>
      <c r="M520" s="2503"/>
      <c r="N520" s="2503"/>
      <c r="O520" s="2503"/>
      <c r="P520" s="1720"/>
      <c r="Q520" s="51"/>
    </row>
    <row r="521" spans="1:17" ht="15" customHeight="1" x14ac:dyDescent="0.3">
      <c r="A521" s="3597"/>
      <c r="B521" s="2444">
        <v>13868</v>
      </c>
      <c r="C521" s="2596">
        <v>0.1</v>
      </c>
      <c r="D521" s="2852" t="s">
        <v>3377</v>
      </c>
      <c r="E521" s="1628">
        <v>1050000</v>
      </c>
      <c r="F521" s="376">
        <v>0.1</v>
      </c>
      <c r="G521" s="321">
        <f t="shared" si="28"/>
        <v>105000</v>
      </c>
      <c r="H521" s="2756" t="s">
        <v>3010</v>
      </c>
      <c r="I521" s="2834" t="s">
        <v>1770</v>
      </c>
      <c r="J521" s="316"/>
      <c r="K521" s="335"/>
      <c r="L521" s="316"/>
      <c r="M521" s="2503"/>
      <c r="N521" s="2503"/>
      <c r="O521" s="2503"/>
      <c r="P521" s="1720"/>
      <c r="Q521" s="51"/>
    </row>
    <row r="522" spans="1:17" ht="15" customHeight="1" x14ac:dyDescent="0.3">
      <c r="A522" s="3597"/>
      <c r="B522" s="2444">
        <v>13865</v>
      </c>
      <c r="C522" s="2596">
        <v>0.1</v>
      </c>
      <c r="D522" s="2852" t="s">
        <v>3352</v>
      </c>
      <c r="E522" s="1628">
        <v>1350000</v>
      </c>
      <c r="F522" s="376">
        <v>0.05</v>
      </c>
      <c r="G522" s="321">
        <f t="shared" si="28"/>
        <v>67500</v>
      </c>
      <c r="H522" s="2869" t="s">
        <v>1482</v>
      </c>
      <c r="I522" s="2834" t="s">
        <v>1770</v>
      </c>
      <c r="J522" s="316"/>
      <c r="K522" s="335"/>
      <c r="L522" s="316"/>
      <c r="M522" s="2503"/>
      <c r="N522" s="2503"/>
      <c r="O522" s="2503"/>
      <c r="P522" s="1720"/>
      <c r="Q522" s="51"/>
    </row>
    <row r="523" spans="1:17" ht="15" customHeight="1" x14ac:dyDescent="0.3">
      <c r="A523" s="3597"/>
      <c r="B523" s="2444">
        <v>13879</v>
      </c>
      <c r="C523" s="2596">
        <v>0.1</v>
      </c>
      <c r="D523" s="2852" t="s">
        <v>3378</v>
      </c>
      <c r="E523" s="1628">
        <v>1300000</v>
      </c>
      <c r="F523" s="376">
        <v>0.05</v>
      </c>
      <c r="G523" s="321">
        <f t="shared" si="28"/>
        <v>65000</v>
      </c>
      <c r="H523" s="2869" t="s">
        <v>2993</v>
      </c>
      <c r="I523" s="2834" t="s">
        <v>133</v>
      </c>
      <c r="J523" s="316"/>
      <c r="K523" s="335"/>
      <c r="L523" s="316"/>
      <c r="M523" s="2503"/>
      <c r="N523" s="2503"/>
      <c r="O523" s="2503"/>
      <c r="P523" s="1720"/>
      <c r="Q523" s="51"/>
    </row>
    <row r="524" spans="1:17" ht="15" customHeight="1" x14ac:dyDescent="0.3">
      <c r="A524" s="3597"/>
      <c r="B524" s="2486" t="s">
        <v>3302</v>
      </c>
      <c r="C524" s="2513"/>
      <c r="D524" s="2851" t="s">
        <v>3379</v>
      </c>
      <c r="E524" s="1628"/>
      <c r="F524" s="376"/>
      <c r="G524" s="321"/>
      <c r="H524" s="2869"/>
      <c r="I524" s="2834" t="s">
        <v>1770</v>
      </c>
      <c r="J524" s="2"/>
      <c r="K524" s="11"/>
      <c r="L524" s="2"/>
      <c r="M524" s="2503"/>
      <c r="N524" s="2503"/>
      <c r="O524" s="2503"/>
      <c r="P524" s="1720"/>
      <c r="Q524" s="51"/>
    </row>
    <row r="525" spans="1:17" ht="15" customHeight="1" x14ac:dyDescent="0.3">
      <c r="A525" s="3597"/>
      <c r="B525" s="2486" t="s">
        <v>3099</v>
      </c>
      <c r="C525" s="2513"/>
      <c r="D525" s="2851" t="s">
        <v>3380</v>
      </c>
      <c r="E525" s="1628"/>
      <c r="F525" s="376"/>
      <c r="G525" s="321"/>
      <c r="H525" s="2869"/>
      <c r="I525" s="2834" t="s">
        <v>2118</v>
      </c>
      <c r="J525" s="316"/>
      <c r="K525" s="335" t="s">
        <v>3381</v>
      </c>
      <c r="L525" s="316"/>
      <c r="M525" s="2503"/>
      <c r="N525" s="2503"/>
      <c r="O525" s="2503"/>
      <c r="P525" s="1720"/>
      <c r="Q525" s="51"/>
    </row>
    <row r="526" spans="1:17" ht="15" customHeight="1" x14ac:dyDescent="0.3">
      <c r="A526" s="3597"/>
      <c r="B526" s="2486" t="s">
        <v>3382</v>
      </c>
      <c r="C526" s="2513"/>
      <c r="D526" s="2822" t="s">
        <v>3383</v>
      </c>
      <c r="E526" s="1628"/>
      <c r="F526" s="376"/>
      <c r="G526" s="321"/>
      <c r="H526" s="2756"/>
      <c r="I526" s="2873" t="s">
        <v>1770</v>
      </c>
      <c r="J526" s="316"/>
      <c r="K526" s="335" t="s">
        <v>3022</v>
      </c>
      <c r="L526" s="316"/>
      <c r="M526" s="2503"/>
      <c r="N526" s="2503"/>
      <c r="O526" s="2503"/>
      <c r="P526" s="1720"/>
      <c r="Q526" s="51"/>
    </row>
    <row r="527" spans="1:17" ht="30" customHeight="1" x14ac:dyDescent="0.3">
      <c r="A527" s="3597"/>
      <c r="B527" s="2617" t="s">
        <v>3192</v>
      </c>
      <c r="C527" s="2723"/>
      <c r="D527" s="2792" t="s">
        <v>3325</v>
      </c>
      <c r="E527" s="1628"/>
      <c r="F527" s="376"/>
      <c r="G527" s="321"/>
      <c r="H527" s="2756"/>
      <c r="I527" s="2834" t="s">
        <v>1770</v>
      </c>
      <c r="J527" s="3198"/>
      <c r="K527" s="609" t="s">
        <v>3384</v>
      </c>
      <c r="L527" s="3198"/>
      <c r="M527" s="2503"/>
      <c r="N527" s="2503"/>
      <c r="O527" s="2503"/>
      <c r="P527" s="1720"/>
      <c r="Q527" s="51"/>
    </row>
    <row r="528" spans="1:17" ht="15" customHeight="1" x14ac:dyDescent="0.3">
      <c r="A528" s="3597"/>
      <c r="B528" s="2480"/>
      <c r="C528" s="2674"/>
      <c r="D528" s="2827"/>
      <c r="E528" s="1628"/>
      <c r="F528" s="376"/>
      <c r="G528" s="321"/>
      <c r="H528" s="2756"/>
      <c r="I528" s="2834"/>
      <c r="J528" s="316"/>
      <c r="K528" s="335"/>
      <c r="L528" s="316"/>
      <c r="M528" s="2503"/>
      <c r="N528" s="2503"/>
      <c r="O528" s="2503"/>
      <c r="P528" s="1720"/>
      <c r="Q528" s="51"/>
    </row>
    <row r="529" spans="1:17" ht="15" customHeight="1" x14ac:dyDescent="0.3">
      <c r="A529" s="3597"/>
      <c r="B529" s="1908"/>
      <c r="C529" s="689"/>
      <c r="D529" s="2818" t="s">
        <v>3000</v>
      </c>
      <c r="E529" s="2494">
        <f>SUM(E512:E528)</f>
        <v>14600000</v>
      </c>
      <c r="F529" s="1579"/>
      <c r="G529" s="2662">
        <f>SUM(G512:G528)</f>
        <v>986500</v>
      </c>
      <c r="H529" s="1908"/>
      <c r="I529" s="2687"/>
      <c r="J529" s="514"/>
      <c r="K529" s="342"/>
      <c r="L529" s="514"/>
      <c r="M529" s="287"/>
      <c r="N529" s="3602" t="s">
        <v>3026</v>
      </c>
      <c r="O529" s="3602"/>
      <c r="P529" s="3602"/>
      <c r="Q529" s="848">
        <f>SUM(Q512:Q528)</f>
        <v>125000</v>
      </c>
    </row>
    <row r="530" spans="1:17" ht="15" customHeight="1" x14ac:dyDescent="0.3">
      <c r="A530" s="3597"/>
      <c r="B530" s="1918"/>
      <c r="C530" s="815"/>
      <c r="D530" s="1184" t="s">
        <v>3002</v>
      </c>
      <c r="E530" s="964">
        <f>G529+Q529</f>
        <v>1111500</v>
      </c>
      <c r="F530" s="458"/>
      <c r="G530" s="489"/>
      <c r="H530" s="2426"/>
      <c r="I530" s="2626"/>
      <c r="J530" s="3187"/>
      <c r="K530" s="490"/>
      <c r="L530" s="3187"/>
      <c r="M530" s="2837"/>
      <c r="N530" s="2838"/>
      <c r="O530" s="2838"/>
      <c r="P530" s="3296"/>
      <c r="Q530" s="831"/>
    </row>
    <row r="531" spans="1:17" ht="15.75" customHeight="1" x14ac:dyDescent="0.3">
      <c r="A531" s="816"/>
      <c r="B531" s="1925"/>
      <c r="C531" s="464"/>
      <c r="D531" s="1118"/>
      <c r="E531" s="466"/>
      <c r="F531" s="464"/>
      <c r="G531" s="467"/>
      <c r="H531" s="1922"/>
      <c r="I531" s="2627"/>
      <c r="J531" s="464"/>
      <c r="K531" s="465"/>
      <c r="L531" s="464"/>
      <c r="M531" s="468"/>
      <c r="N531" s="469"/>
      <c r="O531" s="469"/>
      <c r="P531" s="3289"/>
      <c r="Q531" s="463"/>
    </row>
    <row r="532" spans="1:17" ht="15.75" customHeight="1" x14ac:dyDescent="0.3">
      <c r="A532" s="816"/>
      <c r="B532" s="1925"/>
      <c r="C532" s="825"/>
      <c r="D532" s="1172"/>
      <c r="E532" s="827"/>
      <c r="F532" s="825"/>
      <c r="G532" s="828"/>
      <c r="H532" s="1925"/>
      <c r="I532" s="2628"/>
      <c r="J532" s="825"/>
      <c r="K532" s="826"/>
      <c r="L532" s="825"/>
      <c r="M532" s="829"/>
      <c r="N532" s="830"/>
      <c r="O532" s="830"/>
      <c r="P532" s="3290"/>
      <c r="Q532" s="831"/>
    </row>
    <row r="533" spans="1:17" ht="20.25" customHeight="1" x14ac:dyDescent="0.4">
      <c r="A533" s="3493" t="s">
        <v>3170</v>
      </c>
      <c r="B533" s="3493"/>
      <c r="C533" s="3493"/>
      <c r="D533" s="3493"/>
      <c r="E533" s="3493"/>
      <c r="F533" s="3493"/>
      <c r="G533" s="3493"/>
      <c r="H533" s="3493"/>
      <c r="I533" s="3493"/>
      <c r="J533" s="3493"/>
      <c r="K533" s="3493"/>
      <c r="L533" s="3025"/>
      <c r="M533" s="3523" t="s">
        <v>2973</v>
      </c>
      <c r="N533" s="3523"/>
      <c r="O533" s="3523"/>
      <c r="P533" s="3523"/>
      <c r="Q533" s="2"/>
    </row>
    <row r="534" spans="1:17" ht="15" customHeight="1" x14ac:dyDescent="0.3">
      <c r="A534" s="2765" t="s">
        <v>2974</v>
      </c>
      <c r="B534" s="2746" t="s">
        <v>2975</v>
      </c>
      <c r="C534" s="2745" t="s">
        <v>3004</v>
      </c>
      <c r="D534" s="2748" t="s">
        <v>2977</v>
      </c>
      <c r="E534" s="2749" t="s">
        <v>2978</v>
      </c>
      <c r="F534" s="2745" t="s">
        <v>2979</v>
      </c>
      <c r="G534" s="2750" t="s">
        <v>2980</v>
      </c>
      <c r="H534" s="2746" t="s">
        <v>2981</v>
      </c>
      <c r="I534" s="2751" t="s">
        <v>2982</v>
      </c>
      <c r="J534" s="2745"/>
      <c r="K534" s="2745" t="s">
        <v>2983</v>
      </c>
      <c r="L534" s="2745"/>
      <c r="M534" s="2740" t="s">
        <v>2975</v>
      </c>
      <c r="N534" s="2740" t="s">
        <v>2977</v>
      </c>
      <c r="O534" s="2740" t="s">
        <v>2984</v>
      </c>
      <c r="P534" s="2472" t="s">
        <v>2979</v>
      </c>
      <c r="Q534" s="268" t="s">
        <v>2985</v>
      </c>
    </row>
    <row r="535" spans="1:17" ht="15" customHeight="1" x14ac:dyDescent="0.3">
      <c r="A535" s="3596" t="s">
        <v>3366</v>
      </c>
      <c r="B535" s="1010">
        <v>13667</v>
      </c>
      <c r="C535" s="333">
        <v>0.1</v>
      </c>
      <c r="D535" s="67" t="s">
        <v>3385</v>
      </c>
      <c r="E535" s="1628">
        <v>1300000</v>
      </c>
      <c r="F535" s="1720">
        <v>0.1</v>
      </c>
      <c r="G535" s="2753">
        <f t="shared" ref="G535:G542" si="29">E535*F535</f>
        <v>130000</v>
      </c>
      <c r="H535" s="2756" t="s">
        <v>2993</v>
      </c>
      <c r="I535" s="2764" t="s">
        <v>1770</v>
      </c>
      <c r="J535" s="2834"/>
      <c r="K535" s="2834"/>
      <c r="L535" s="2834"/>
      <c r="M535" s="2449">
        <v>13694</v>
      </c>
      <c r="N535" s="67" t="s">
        <v>3353</v>
      </c>
      <c r="O535" s="1632">
        <v>1400000</v>
      </c>
      <c r="P535" s="320">
        <v>0.05</v>
      </c>
      <c r="Q535" s="2876">
        <f>O535*P535</f>
        <v>70000</v>
      </c>
    </row>
    <row r="536" spans="1:17" ht="15" customHeight="1" x14ac:dyDescent="0.3">
      <c r="A536" s="3597"/>
      <c r="B536" s="2444">
        <v>13729</v>
      </c>
      <c r="C536" s="553">
        <v>0.08</v>
      </c>
      <c r="D536" s="67" t="s">
        <v>3386</v>
      </c>
      <c r="E536" s="1628">
        <v>820000</v>
      </c>
      <c r="F536" s="2469">
        <v>0.08</v>
      </c>
      <c r="G536" s="2753">
        <f t="shared" si="29"/>
        <v>65600</v>
      </c>
      <c r="H536" s="2756" t="s">
        <v>2993</v>
      </c>
      <c r="I536" s="2764" t="s">
        <v>1770</v>
      </c>
      <c r="J536" s="2834"/>
      <c r="K536" s="2834"/>
      <c r="L536" s="2834"/>
      <c r="M536" s="2449">
        <v>13732</v>
      </c>
      <c r="N536" s="67" t="s">
        <v>3355</v>
      </c>
      <c r="O536" s="1632">
        <v>1300000</v>
      </c>
      <c r="P536" s="320">
        <v>0.05</v>
      </c>
      <c r="Q536" s="2876">
        <f t="shared" ref="Q536:Q540" si="30">O536*P536</f>
        <v>65000</v>
      </c>
    </row>
    <row r="537" spans="1:17" ht="15" customHeight="1" x14ac:dyDescent="0.3">
      <c r="A537" s="3597"/>
      <c r="B537" s="2444">
        <v>13745</v>
      </c>
      <c r="C537" s="333">
        <v>0.1</v>
      </c>
      <c r="D537" s="67" t="s">
        <v>3368</v>
      </c>
      <c r="E537" s="1628">
        <v>1050000</v>
      </c>
      <c r="F537" s="1720">
        <v>0.05</v>
      </c>
      <c r="G537" s="2753">
        <f t="shared" si="29"/>
        <v>52500</v>
      </c>
      <c r="H537" s="2756" t="s">
        <v>3010</v>
      </c>
      <c r="I537" s="2764" t="s">
        <v>2118</v>
      </c>
      <c r="J537" s="2834"/>
      <c r="K537" s="2834"/>
      <c r="L537" s="2834"/>
      <c r="M537" s="1010">
        <v>13739</v>
      </c>
      <c r="N537" s="67" t="s">
        <v>3357</v>
      </c>
      <c r="O537" s="1632">
        <v>1350000</v>
      </c>
      <c r="P537" s="320">
        <v>0.05</v>
      </c>
      <c r="Q537" s="2876">
        <f t="shared" si="30"/>
        <v>67500</v>
      </c>
    </row>
    <row r="538" spans="1:17" ht="15" customHeight="1" x14ac:dyDescent="0.3">
      <c r="A538" s="3597"/>
      <c r="B538" s="2450">
        <v>13753</v>
      </c>
      <c r="C538" s="2596">
        <v>0.1</v>
      </c>
      <c r="D538" s="85" t="s">
        <v>3387</v>
      </c>
      <c r="E538" s="1628">
        <v>1250000</v>
      </c>
      <c r="F538" s="1720">
        <v>0.1</v>
      </c>
      <c r="G538" s="2753">
        <f t="shared" si="29"/>
        <v>125000</v>
      </c>
      <c r="H538" s="2756" t="s">
        <v>2993</v>
      </c>
      <c r="I538" s="2764" t="s">
        <v>1770</v>
      </c>
      <c r="J538" s="2854"/>
      <c r="K538" s="2834"/>
      <c r="L538" s="2854"/>
      <c r="M538" s="2311">
        <v>13818</v>
      </c>
      <c r="N538" s="67" t="s">
        <v>3371</v>
      </c>
      <c r="O538" s="1628">
        <v>1350000</v>
      </c>
      <c r="P538" s="2456">
        <v>0.04</v>
      </c>
      <c r="Q538" s="2876">
        <f t="shared" si="30"/>
        <v>54000</v>
      </c>
    </row>
    <row r="539" spans="1:17" ht="15" customHeight="1" x14ac:dyDescent="0.3">
      <c r="A539" s="3597"/>
      <c r="B539" s="2444">
        <v>13803</v>
      </c>
      <c r="C539" s="333">
        <v>0.1</v>
      </c>
      <c r="D539" s="67" t="s">
        <v>3388</v>
      </c>
      <c r="E539" s="1628">
        <v>1300000</v>
      </c>
      <c r="F539" s="1720">
        <v>0.06</v>
      </c>
      <c r="G539" s="2753">
        <f t="shared" si="29"/>
        <v>78000</v>
      </c>
      <c r="H539" s="2756" t="s">
        <v>118</v>
      </c>
      <c r="I539" s="2764" t="s">
        <v>133</v>
      </c>
      <c r="J539" s="2834"/>
      <c r="K539" s="2834"/>
      <c r="L539" s="2834"/>
      <c r="M539" s="1010" t="s">
        <v>3226</v>
      </c>
      <c r="N539" s="210" t="s">
        <v>3376</v>
      </c>
      <c r="O539" s="1628">
        <v>1300000</v>
      </c>
      <c r="P539" s="376">
        <v>0.05</v>
      </c>
      <c r="Q539" s="2876">
        <f t="shared" si="30"/>
        <v>65000</v>
      </c>
    </row>
    <row r="540" spans="1:17" ht="15" customHeight="1" x14ac:dyDescent="0.3">
      <c r="A540" s="3597"/>
      <c r="B540" s="2444">
        <v>13791</v>
      </c>
      <c r="C540" s="333">
        <v>0.1</v>
      </c>
      <c r="D540" s="67" t="s">
        <v>3325</v>
      </c>
      <c r="E540" s="1628">
        <v>1450000</v>
      </c>
      <c r="F540" s="1720">
        <v>0.05</v>
      </c>
      <c r="G540" s="2753">
        <f t="shared" si="29"/>
        <v>72500</v>
      </c>
      <c r="H540" s="2756" t="s">
        <v>3010</v>
      </c>
      <c r="I540" s="2764" t="s">
        <v>133</v>
      </c>
      <c r="J540" s="2854"/>
      <c r="K540" s="2834"/>
      <c r="L540" s="2854"/>
      <c r="M540" s="2311">
        <v>13879</v>
      </c>
      <c r="N540" s="944" t="s">
        <v>3378</v>
      </c>
      <c r="O540" s="1771">
        <v>1300000</v>
      </c>
      <c r="P540" s="614">
        <v>0.05</v>
      </c>
      <c r="Q540" s="2876">
        <f t="shared" si="30"/>
        <v>65000</v>
      </c>
    </row>
    <row r="541" spans="1:17" ht="15" customHeight="1" x14ac:dyDescent="0.3">
      <c r="A541" s="3597"/>
      <c r="B541" s="2444">
        <v>13817</v>
      </c>
      <c r="C541" s="333">
        <v>0.1</v>
      </c>
      <c r="D541" s="2670" t="s">
        <v>3389</v>
      </c>
      <c r="E541" s="1628">
        <v>1550000</v>
      </c>
      <c r="F541" s="1720">
        <v>0.05</v>
      </c>
      <c r="G541" s="2753">
        <f t="shared" si="29"/>
        <v>77500</v>
      </c>
      <c r="H541" s="2756" t="s">
        <v>1685</v>
      </c>
      <c r="I541" s="2764" t="s">
        <v>133</v>
      </c>
      <c r="J541" s="2834"/>
      <c r="K541" s="2834"/>
      <c r="L541" s="2834"/>
      <c r="M541" s="2503"/>
      <c r="N541" s="2503"/>
      <c r="O541" s="2503"/>
      <c r="P541" s="1720"/>
      <c r="Q541" s="1313"/>
    </row>
    <row r="542" spans="1:17" ht="15" customHeight="1" x14ac:dyDescent="0.3">
      <c r="A542" s="3597"/>
      <c r="B542" s="2444">
        <v>13863</v>
      </c>
      <c r="C542" s="2596">
        <v>0.1</v>
      </c>
      <c r="D542" s="85" t="s">
        <v>3390</v>
      </c>
      <c r="E542" s="1628">
        <v>1400000</v>
      </c>
      <c r="F542" s="1720">
        <v>0.05</v>
      </c>
      <c r="G542" s="2753">
        <f t="shared" si="29"/>
        <v>70000</v>
      </c>
      <c r="H542" s="2756" t="s">
        <v>3337</v>
      </c>
      <c r="I542" s="2764" t="s">
        <v>1770</v>
      </c>
      <c r="J542" s="2834"/>
      <c r="K542" s="2834"/>
      <c r="L542" s="2834"/>
      <c r="M542" s="2503"/>
      <c r="N542" s="2503"/>
      <c r="O542" s="2503"/>
      <c r="P542" s="1720"/>
      <c r="Q542" s="1313"/>
    </row>
    <row r="543" spans="1:17" ht="15" customHeight="1" x14ac:dyDescent="0.3">
      <c r="A543" s="3597"/>
      <c r="B543" s="2486" t="s">
        <v>3302</v>
      </c>
      <c r="C543" s="2723"/>
      <c r="D543" s="98" t="s">
        <v>3391</v>
      </c>
      <c r="E543" s="1628"/>
      <c r="F543" s="1720"/>
      <c r="G543" s="2753"/>
      <c r="H543" s="2756"/>
      <c r="I543" s="2764" t="s">
        <v>133</v>
      </c>
      <c r="J543" s="3048"/>
      <c r="K543" s="2764" t="s">
        <v>3392</v>
      </c>
      <c r="L543" s="3048"/>
      <c r="M543" s="2754"/>
      <c r="N543" s="2755"/>
      <c r="O543" s="2755"/>
      <c r="P543" s="3298"/>
      <c r="Q543" s="268"/>
    </row>
    <row r="544" spans="1:17" ht="27.75" customHeight="1" x14ac:dyDescent="0.3">
      <c r="A544" s="3597"/>
      <c r="B544" s="2486" t="s">
        <v>3302</v>
      </c>
      <c r="C544" s="2513"/>
      <c r="D544" s="2822" t="s">
        <v>3353</v>
      </c>
      <c r="E544" s="1628"/>
      <c r="F544" s="1720"/>
      <c r="G544" s="2753"/>
      <c r="H544" s="2756"/>
      <c r="I544" s="2764" t="s">
        <v>217</v>
      </c>
      <c r="J544" s="3049"/>
      <c r="K544" s="2850" t="s">
        <v>3393</v>
      </c>
      <c r="L544" s="3049"/>
      <c r="M544" s="2741"/>
      <c r="N544" s="2740"/>
      <c r="O544" s="2740"/>
      <c r="P544" s="3297"/>
      <c r="Q544" s="268"/>
    </row>
    <row r="545" spans="1:17" ht="15" customHeight="1" x14ac:dyDescent="0.3">
      <c r="A545" s="3597"/>
      <c r="B545" s="2486" t="s">
        <v>3022</v>
      </c>
      <c r="C545" s="2513"/>
      <c r="D545" s="2822" t="s">
        <v>3300</v>
      </c>
      <c r="E545" s="1628"/>
      <c r="F545" s="1720"/>
      <c r="G545" s="2753"/>
      <c r="H545" s="2756"/>
      <c r="I545" s="2764" t="s">
        <v>1770</v>
      </c>
      <c r="J545" s="3038"/>
      <c r="K545" s="2764" t="s">
        <v>3394</v>
      </c>
      <c r="L545" s="3038"/>
      <c r="M545" s="2741"/>
      <c r="N545" s="2740"/>
      <c r="O545" s="2740"/>
      <c r="P545" s="3297"/>
      <c r="Q545" s="268"/>
    </row>
    <row r="546" spans="1:17" ht="15" customHeight="1" x14ac:dyDescent="0.3">
      <c r="A546" s="3597"/>
      <c r="B546" s="2632"/>
      <c r="C546" s="2172"/>
      <c r="D546" s="34"/>
      <c r="E546" s="1628"/>
      <c r="F546" s="1720"/>
      <c r="G546" s="2753"/>
      <c r="H546" s="2756"/>
      <c r="I546" s="2764"/>
      <c r="J546" s="3038"/>
      <c r="K546" s="2764"/>
      <c r="L546" s="3038"/>
      <c r="M546" s="2741"/>
      <c r="N546" s="2740"/>
      <c r="O546" s="2740"/>
      <c r="P546" s="3297"/>
      <c r="Q546" s="268"/>
    </row>
    <row r="547" spans="1:17" ht="15" customHeight="1" x14ac:dyDescent="0.3">
      <c r="A547" s="3597"/>
      <c r="B547" s="2632"/>
      <c r="C547" s="2172"/>
      <c r="D547" s="34"/>
      <c r="E547" s="1628"/>
      <c r="F547" s="1720"/>
      <c r="G547" s="2753"/>
      <c r="H547" s="2756"/>
      <c r="I547" s="2764"/>
      <c r="J547" s="3038"/>
      <c r="K547" s="2764"/>
      <c r="L547" s="3038"/>
      <c r="M547" s="2741"/>
      <c r="N547" s="2740"/>
      <c r="O547" s="2740"/>
      <c r="P547" s="3297"/>
      <c r="Q547" s="268"/>
    </row>
    <row r="548" spans="1:17" ht="15" customHeight="1" x14ac:dyDescent="0.3">
      <c r="A548" s="3597"/>
      <c r="B548" s="1911"/>
      <c r="C548" s="2361"/>
      <c r="D548" s="1116" t="s">
        <v>3000</v>
      </c>
      <c r="E548" s="1631">
        <f>SUM(E535:E547)</f>
        <v>10120000</v>
      </c>
      <c r="F548" s="514"/>
      <c r="G548" s="483">
        <f>SUM(G535:G547)</f>
        <v>671100</v>
      </c>
      <c r="H548" s="1911"/>
      <c r="I548" s="2625"/>
      <c r="J548" s="514"/>
      <c r="K548" s="342"/>
      <c r="L548" s="514"/>
      <c r="M548" s="287"/>
      <c r="N548" s="3594" t="s">
        <v>3026</v>
      </c>
      <c r="O548" s="3594"/>
      <c r="P548" s="3594"/>
      <c r="Q548" s="848">
        <f>SUM(Q535:Q547)</f>
        <v>386500</v>
      </c>
    </row>
    <row r="549" spans="1:17" ht="15.75" customHeight="1" x14ac:dyDescent="0.3">
      <c r="A549" s="3597"/>
      <c r="B549" s="1918"/>
      <c r="C549" s="840"/>
      <c r="D549" s="2363" t="s">
        <v>3002</v>
      </c>
      <c r="E549" s="1499">
        <f>G548+Q548</f>
        <v>1057600</v>
      </c>
      <c r="F549" s="1210"/>
      <c r="G549" s="2364"/>
      <c r="H549" s="1915"/>
      <c r="I549" s="2631"/>
      <c r="J549" s="1210"/>
      <c r="K549" s="2365"/>
      <c r="L549" s="1210"/>
      <c r="M549" s="895"/>
      <c r="N549" s="844"/>
      <c r="O549" s="844"/>
      <c r="P549" s="2094"/>
      <c r="Q549" s="294"/>
    </row>
    <row r="550" spans="1:17" ht="15.6" x14ac:dyDescent="0.3">
      <c r="A550" s="816"/>
      <c r="B550" s="1922"/>
      <c r="C550" s="464"/>
      <c r="D550" s="1118"/>
      <c r="E550" s="466"/>
      <c r="F550" s="464"/>
      <c r="G550" s="467"/>
      <c r="H550" s="1922"/>
      <c r="I550" s="2627"/>
      <c r="J550" s="464"/>
      <c r="K550" s="465"/>
      <c r="L550" s="464"/>
      <c r="M550" s="468"/>
      <c r="N550" s="469"/>
      <c r="O550" s="469"/>
      <c r="P550" s="3289"/>
      <c r="Q550" s="463"/>
    </row>
    <row r="551" spans="1:17" ht="15.6" x14ac:dyDescent="0.3">
      <c r="A551" s="816"/>
      <c r="B551" s="1925"/>
      <c r="C551" s="825"/>
      <c r="D551" s="1172"/>
      <c r="E551" s="827"/>
      <c r="F551" s="825"/>
      <c r="G551" s="828"/>
      <c r="H551" s="1925"/>
      <c r="I551" s="2628"/>
      <c r="J551" s="825"/>
      <c r="K551" s="826"/>
      <c r="L551" s="825"/>
      <c r="M551" s="829"/>
      <c r="N551" s="830"/>
      <c r="O551" s="830"/>
      <c r="P551" s="3290"/>
      <c r="Q551" s="831"/>
    </row>
    <row r="552" spans="1:17" ht="21" x14ac:dyDescent="0.4">
      <c r="A552" s="3574" t="s">
        <v>3185</v>
      </c>
      <c r="B552" s="3574"/>
      <c r="C552" s="3574"/>
      <c r="D552" s="3574"/>
      <c r="E552" s="3574"/>
      <c r="F552" s="3574"/>
      <c r="G552" s="3574"/>
      <c r="H552" s="3574"/>
      <c r="I552" s="3574"/>
      <c r="J552" s="3574"/>
      <c r="K552" s="3574"/>
      <c r="L552" s="3027"/>
      <c r="M552" s="287"/>
      <c r="N552" s="845"/>
      <c r="O552" s="845"/>
      <c r="P552" s="3291"/>
      <c r="Q552" s="294"/>
    </row>
    <row r="553" spans="1:17" x14ac:dyDescent="0.3">
      <c r="A553" s="2747" t="s">
        <v>2974</v>
      </c>
      <c r="B553" s="2746" t="s">
        <v>2975</v>
      </c>
      <c r="C553" s="2745" t="s">
        <v>3004</v>
      </c>
      <c r="D553" s="2766" t="s">
        <v>2977</v>
      </c>
      <c r="E553" s="2767" t="s">
        <v>2978</v>
      </c>
      <c r="F553" s="2745" t="s">
        <v>2979</v>
      </c>
      <c r="G553" s="2750" t="s">
        <v>2980</v>
      </c>
      <c r="H553" s="2746" t="s">
        <v>2981</v>
      </c>
      <c r="I553" s="2751" t="s">
        <v>2982</v>
      </c>
      <c r="J553" s="2747"/>
      <c r="K553" s="2747" t="s">
        <v>2983</v>
      </c>
      <c r="L553" s="2747"/>
      <c r="M553" s="2740" t="s">
        <v>2975</v>
      </c>
      <c r="N553" s="2740" t="s">
        <v>2977</v>
      </c>
      <c r="O553" s="2740" t="s">
        <v>2984</v>
      </c>
      <c r="P553" s="2472" t="s">
        <v>2979</v>
      </c>
      <c r="Q553" s="268" t="s">
        <v>2985</v>
      </c>
    </row>
    <row r="554" spans="1:17" ht="15" customHeight="1" x14ac:dyDescent="0.3">
      <c r="A554" s="3586" t="s">
        <v>3366</v>
      </c>
      <c r="B554" s="1010">
        <v>13689</v>
      </c>
      <c r="C554" s="333">
        <v>0.1</v>
      </c>
      <c r="D554" s="2670" t="s">
        <v>3354</v>
      </c>
      <c r="E554" s="2676">
        <v>1300000</v>
      </c>
      <c r="F554" s="1899">
        <v>0.05</v>
      </c>
      <c r="G554" s="1901">
        <f t="shared" ref="G554:G568" si="31">E554*F554</f>
        <v>65000</v>
      </c>
      <c r="H554" s="1900" t="s">
        <v>1482</v>
      </c>
      <c r="I554" s="2644" t="s">
        <v>1770</v>
      </c>
      <c r="J554" s="2503"/>
      <c r="K554" s="2503"/>
      <c r="L554" s="2503"/>
      <c r="M554" s="1010">
        <v>13686</v>
      </c>
      <c r="N554" s="67" t="s">
        <v>3356</v>
      </c>
      <c r="O554" s="1632">
        <v>1400000</v>
      </c>
      <c r="P554" s="320">
        <v>0.05</v>
      </c>
      <c r="Q554" s="2474">
        <f>O554*P554</f>
        <v>70000</v>
      </c>
    </row>
    <row r="555" spans="1:17" ht="15" customHeight="1" x14ac:dyDescent="0.3">
      <c r="A555" s="3587"/>
      <c r="B555" s="1010">
        <v>13699</v>
      </c>
      <c r="C555" s="333">
        <v>0.1</v>
      </c>
      <c r="D555" s="67" t="s">
        <v>3395</v>
      </c>
      <c r="E555" s="2676">
        <v>950000</v>
      </c>
      <c r="F555" s="1899">
        <v>0.06</v>
      </c>
      <c r="G555" s="1901">
        <f t="shared" si="31"/>
        <v>57000</v>
      </c>
      <c r="H555" s="1900" t="s">
        <v>118</v>
      </c>
      <c r="I555" s="2644" t="s">
        <v>1770</v>
      </c>
      <c r="J555" s="2916"/>
      <c r="K555" s="2503"/>
      <c r="L555" s="2916"/>
      <c r="M555" s="2444">
        <v>13817</v>
      </c>
      <c r="N555" s="2670" t="s">
        <v>3389</v>
      </c>
      <c r="O555" s="1628">
        <v>1550000</v>
      </c>
      <c r="P555" s="1720">
        <v>0.05</v>
      </c>
      <c r="Q555" s="2474">
        <f>O555*P555</f>
        <v>77500</v>
      </c>
    </row>
    <row r="556" spans="1:17" ht="15" customHeight="1" x14ac:dyDescent="0.3">
      <c r="A556" s="3587"/>
      <c r="B556" s="1010">
        <v>13721</v>
      </c>
      <c r="C556" s="333">
        <v>0.1</v>
      </c>
      <c r="D556" s="2670" t="s">
        <v>3396</v>
      </c>
      <c r="E556" s="2676">
        <v>1150000</v>
      </c>
      <c r="F556" s="1899">
        <v>0.1</v>
      </c>
      <c r="G556" s="1901">
        <f t="shared" si="31"/>
        <v>115000</v>
      </c>
      <c r="H556" s="1900" t="s">
        <v>1685</v>
      </c>
      <c r="I556" s="2644" t="s">
        <v>1770</v>
      </c>
      <c r="J556" s="2503"/>
      <c r="K556" s="2503"/>
      <c r="L556" s="2503"/>
      <c r="M556" s="2503"/>
      <c r="N556" s="2503"/>
      <c r="O556" s="2503"/>
      <c r="P556" s="1720"/>
      <c r="Q556" s="2"/>
    </row>
    <row r="557" spans="1:17" ht="15" customHeight="1" x14ac:dyDescent="0.3">
      <c r="A557" s="3587"/>
      <c r="B557" s="1010">
        <v>13768</v>
      </c>
      <c r="C557" s="333">
        <v>0.1</v>
      </c>
      <c r="D557" s="2670" t="s">
        <v>3397</v>
      </c>
      <c r="E557" s="2676">
        <v>1000000</v>
      </c>
      <c r="F557" s="1899">
        <v>0.1</v>
      </c>
      <c r="G557" s="1901">
        <f t="shared" si="31"/>
        <v>100000</v>
      </c>
      <c r="H557" s="1900" t="s">
        <v>1685</v>
      </c>
      <c r="I557" s="2644" t="s">
        <v>2403</v>
      </c>
      <c r="J557" s="2503"/>
      <c r="K557" s="2503"/>
      <c r="L557" s="2503"/>
      <c r="M557" s="2503"/>
      <c r="N557" s="2503"/>
      <c r="O557" s="2503"/>
      <c r="P557" s="1720"/>
      <c r="Q557" s="2"/>
    </row>
    <row r="558" spans="1:17" ht="15" customHeight="1" x14ac:dyDescent="0.3">
      <c r="A558" s="3587"/>
      <c r="B558" s="2311">
        <v>13731</v>
      </c>
      <c r="C558" s="2442">
        <v>0.1</v>
      </c>
      <c r="D558" s="1284" t="s">
        <v>3398</v>
      </c>
      <c r="E558" s="2809">
        <v>1050000</v>
      </c>
      <c r="F558" s="2810">
        <v>0.1</v>
      </c>
      <c r="G558" s="1901">
        <f t="shared" si="31"/>
        <v>105000</v>
      </c>
      <c r="H558" s="2855" t="s">
        <v>1685</v>
      </c>
      <c r="I558" s="2856" t="s">
        <v>1770</v>
      </c>
      <c r="J558" s="2503"/>
      <c r="K558" s="2503"/>
      <c r="L558" s="2503"/>
      <c r="M558" s="2503"/>
      <c r="N558" s="2503"/>
      <c r="O558" s="2503"/>
      <c r="P558" s="1720"/>
      <c r="Q558" s="2"/>
    </row>
    <row r="559" spans="1:17" ht="15" customHeight="1" x14ac:dyDescent="0.3">
      <c r="A559" s="3587"/>
      <c r="B559" s="1010">
        <v>13754</v>
      </c>
      <c r="C559" s="333">
        <v>0.1</v>
      </c>
      <c r="D559" s="67" t="s">
        <v>3399</v>
      </c>
      <c r="E559" s="2676">
        <v>1200000</v>
      </c>
      <c r="F559" s="1899">
        <v>0.1</v>
      </c>
      <c r="G559" s="1901">
        <f t="shared" si="31"/>
        <v>120000</v>
      </c>
      <c r="H559" s="1900" t="s">
        <v>1685</v>
      </c>
      <c r="I559" s="2644" t="s">
        <v>133</v>
      </c>
      <c r="J559" s="2503"/>
      <c r="K559" s="2503"/>
      <c r="L559" s="2503"/>
      <c r="M559" s="2503"/>
      <c r="N559" s="2503"/>
      <c r="O559" s="2503"/>
      <c r="P559" s="1720"/>
      <c r="Q559" s="2"/>
    </row>
    <row r="560" spans="1:17" ht="15" customHeight="1" x14ac:dyDescent="0.3">
      <c r="A560" s="3587"/>
      <c r="B560" s="1010">
        <v>13765</v>
      </c>
      <c r="C560" s="333">
        <v>0.1</v>
      </c>
      <c r="D560" s="67" t="s">
        <v>3400</v>
      </c>
      <c r="E560" s="2676">
        <v>1050000</v>
      </c>
      <c r="F560" s="1899">
        <v>0.06</v>
      </c>
      <c r="G560" s="1901">
        <f t="shared" si="31"/>
        <v>63000</v>
      </c>
      <c r="H560" s="1900" t="s">
        <v>118</v>
      </c>
      <c r="I560" s="2644" t="s">
        <v>133</v>
      </c>
      <c r="J560" s="2503"/>
      <c r="K560" s="2503"/>
      <c r="L560" s="2503"/>
      <c r="M560" s="2503"/>
      <c r="N560" s="2503"/>
      <c r="O560" s="2503"/>
      <c r="P560" s="1720"/>
      <c r="Q560" s="2"/>
    </row>
    <row r="561" spans="1:17" ht="15" customHeight="1" x14ac:dyDescent="0.3">
      <c r="A561" s="3587"/>
      <c r="B561" s="1010">
        <v>13752</v>
      </c>
      <c r="C561" s="333">
        <v>0.1</v>
      </c>
      <c r="D561" s="67" t="s">
        <v>3401</v>
      </c>
      <c r="E561" s="2676">
        <v>1200000</v>
      </c>
      <c r="F561" s="1899">
        <v>0.1</v>
      </c>
      <c r="G561" s="1901">
        <f t="shared" si="31"/>
        <v>120000</v>
      </c>
      <c r="H561" s="1900" t="s">
        <v>1685</v>
      </c>
      <c r="I561" s="2644" t="s">
        <v>1770</v>
      </c>
      <c r="J561" s="2503"/>
      <c r="K561" s="2503"/>
      <c r="L561" s="2503"/>
      <c r="M561" s="2503"/>
      <c r="N561" s="2503"/>
      <c r="O561" s="2503"/>
      <c r="P561" s="1720"/>
      <c r="Q561" s="2"/>
    </row>
    <row r="562" spans="1:17" ht="15" customHeight="1" x14ac:dyDescent="0.3">
      <c r="A562" s="3587"/>
      <c r="B562" s="1010">
        <v>13787</v>
      </c>
      <c r="C562" s="333">
        <v>0.1</v>
      </c>
      <c r="D562" s="67" t="s">
        <v>3402</v>
      </c>
      <c r="E562" s="2676">
        <v>1100000</v>
      </c>
      <c r="F562" s="1899">
        <v>0.06</v>
      </c>
      <c r="G562" s="1901">
        <f t="shared" si="31"/>
        <v>66000</v>
      </c>
      <c r="H562" s="1900" t="s">
        <v>118</v>
      </c>
      <c r="I562" s="2644" t="s">
        <v>1770</v>
      </c>
      <c r="J562" s="2503"/>
      <c r="K562" s="2503"/>
      <c r="L562" s="2503"/>
      <c r="M562" s="2503"/>
      <c r="N562" s="2503"/>
      <c r="O562" s="2503"/>
      <c r="P562" s="1720"/>
      <c r="Q562" s="2"/>
    </row>
    <row r="563" spans="1:17" ht="15" customHeight="1" x14ac:dyDescent="0.3">
      <c r="A563" s="3587"/>
      <c r="B563" s="2444">
        <v>13777</v>
      </c>
      <c r="C563" s="2596">
        <v>0.1</v>
      </c>
      <c r="D563" s="2670" t="s">
        <v>3403</v>
      </c>
      <c r="E563" s="2857">
        <v>1100000</v>
      </c>
      <c r="F563" s="1897">
        <v>0.1</v>
      </c>
      <c r="G563" s="1901">
        <f t="shared" si="31"/>
        <v>110000</v>
      </c>
      <c r="H563" s="2743" t="s">
        <v>1685</v>
      </c>
      <c r="I563" s="2858" t="s">
        <v>1770</v>
      </c>
      <c r="J563" s="2503"/>
      <c r="K563" s="2503"/>
      <c r="L563" s="2503"/>
      <c r="M563" s="2503"/>
      <c r="N563" s="2503"/>
      <c r="O563" s="2503"/>
      <c r="P563" s="1720"/>
      <c r="Q563" s="2"/>
    </row>
    <row r="564" spans="1:17" ht="15" customHeight="1" x14ac:dyDescent="0.3">
      <c r="A564" s="3587"/>
      <c r="B564" s="1010">
        <v>13842</v>
      </c>
      <c r="C564" s="333">
        <v>0.1</v>
      </c>
      <c r="D564" s="2670" t="s">
        <v>3404</v>
      </c>
      <c r="E564" s="2676">
        <v>1600000</v>
      </c>
      <c r="F564" s="1897">
        <v>0.1</v>
      </c>
      <c r="G564" s="1901">
        <f t="shared" si="31"/>
        <v>160000</v>
      </c>
      <c r="H564" s="1900" t="s">
        <v>1685</v>
      </c>
      <c r="I564" s="2644" t="s">
        <v>1770</v>
      </c>
      <c r="J564" s="2503"/>
      <c r="K564" s="2503"/>
      <c r="L564" s="2503"/>
      <c r="M564" s="2503"/>
      <c r="N564" s="2503"/>
      <c r="O564" s="2503"/>
      <c r="P564" s="1720"/>
      <c r="Q564" s="2"/>
    </row>
    <row r="565" spans="1:17" ht="15" customHeight="1" x14ac:dyDescent="0.3">
      <c r="A565" s="3587"/>
      <c r="B565" s="2444">
        <v>13853</v>
      </c>
      <c r="C565" s="2596">
        <v>0.1</v>
      </c>
      <c r="D565" s="2670" t="s">
        <v>3405</v>
      </c>
      <c r="E565" s="2857">
        <v>850000</v>
      </c>
      <c r="F565" s="1897">
        <v>0.1</v>
      </c>
      <c r="G565" s="1901">
        <f t="shared" si="31"/>
        <v>85000</v>
      </c>
      <c r="H565" s="2743" t="s">
        <v>1685</v>
      </c>
      <c r="I565" s="2858" t="s">
        <v>133</v>
      </c>
      <c r="J565" s="2503"/>
      <c r="K565" s="2503"/>
      <c r="L565" s="2503"/>
      <c r="M565" s="2503"/>
      <c r="N565" s="2503"/>
      <c r="O565" s="2503"/>
      <c r="P565" s="1720"/>
      <c r="Q565" s="2"/>
    </row>
    <row r="566" spans="1:17" ht="15" customHeight="1" x14ac:dyDescent="0.3">
      <c r="A566" s="3587"/>
      <c r="B566" s="1010">
        <v>13857</v>
      </c>
      <c r="C566" s="333">
        <v>0.08</v>
      </c>
      <c r="D566" s="2670" t="s">
        <v>3406</v>
      </c>
      <c r="E566" s="2676">
        <v>1160000</v>
      </c>
      <c r="F566" s="1897">
        <v>0.1</v>
      </c>
      <c r="G566" s="1901">
        <f t="shared" si="31"/>
        <v>116000</v>
      </c>
      <c r="H566" s="1900" t="s">
        <v>1685</v>
      </c>
      <c r="I566" s="2644" t="s">
        <v>1770</v>
      </c>
      <c r="J566" s="2503"/>
      <c r="K566" s="2503"/>
      <c r="L566" s="2503"/>
      <c r="M566" s="2503"/>
      <c r="N566" s="2503"/>
      <c r="O566" s="2503"/>
      <c r="P566" s="1720"/>
      <c r="Q566" s="2"/>
    </row>
    <row r="567" spans="1:17" ht="15" customHeight="1" x14ac:dyDescent="0.3">
      <c r="A567" s="3587"/>
      <c r="B567" s="1010">
        <v>13864</v>
      </c>
      <c r="C567" s="333">
        <v>0.1</v>
      </c>
      <c r="D567" s="2670" t="s">
        <v>3407</v>
      </c>
      <c r="E567" s="2676">
        <v>650000</v>
      </c>
      <c r="F567" s="1897">
        <v>0.1</v>
      </c>
      <c r="G567" s="1901">
        <f t="shared" si="31"/>
        <v>65000</v>
      </c>
      <c r="H567" s="1900" t="s">
        <v>1685</v>
      </c>
      <c r="I567" s="2644" t="s">
        <v>133</v>
      </c>
      <c r="J567" s="2503"/>
      <c r="K567" s="2503"/>
      <c r="L567" s="2503"/>
      <c r="M567" s="2503"/>
      <c r="N567" s="2503"/>
      <c r="O567" s="2503"/>
      <c r="P567" s="1720"/>
      <c r="Q567" s="2"/>
    </row>
    <row r="568" spans="1:17" ht="15" customHeight="1" x14ac:dyDescent="0.3">
      <c r="A568" s="3587"/>
      <c r="B568" s="1010">
        <v>13855</v>
      </c>
      <c r="C568" s="333">
        <v>0.1</v>
      </c>
      <c r="D568" s="2670" t="s">
        <v>3408</v>
      </c>
      <c r="E568" s="2676">
        <v>1000000</v>
      </c>
      <c r="F568" s="1897">
        <v>0.1</v>
      </c>
      <c r="G568" s="1901">
        <f t="shared" si="31"/>
        <v>100000</v>
      </c>
      <c r="H568" s="1900" t="s">
        <v>1685</v>
      </c>
      <c r="I568" s="2644" t="s">
        <v>133</v>
      </c>
      <c r="J568" s="2503"/>
      <c r="K568" s="2503"/>
      <c r="L568" s="2503"/>
      <c r="M568" s="2503"/>
      <c r="N568" s="2503"/>
      <c r="O568" s="2503"/>
      <c r="P568" s="1720"/>
      <c r="Q568" s="2"/>
    </row>
    <row r="569" spans="1:17" ht="15" customHeight="1" x14ac:dyDescent="0.3">
      <c r="A569" s="3587"/>
      <c r="B569" s="2617" t="s">
        <v>3022</v>
      </c>
      <c r="C569" s="2723"/>
      <c r="D569" s="2826" t="s">
        <v>3409</v>
      </c>
      <c r="E569" s="2676"/>
      <c r="F569" s="1899"/>
      <c r="G569" s="1901"/>
      <c r="H569" s="1900"/>
      <c r="I569" s="2644" t="s">
        <v>2118</v>
      </c>
      <c r="J569" s="2503"/>
      <c r="K569" s="2503"/>
      <c r="L569" s="2503"/>
      <c r="M569" s="2503"/>
      <c r="N569" s="2503"/>
      <c r="O569" s="2503"/>
      <c r="P569" s="1720"/>
      <c r="Q569" s="2"/>
    </row>
    <row r="570" spans="1:17" ht="15" customHeight="1" x14ac:dyDescent="0.3">
      <c r="A570" s="3587"/>
      <c r="B570" s="2617" t="s">
        <v>3022</v>
      </c>
      <c r="C570" s="2723"/>
      <c r="D570" s="98" t="s">
        <v>3410</v>
      </c>
      <c r="E570" s="2676"/>
      <c r="F570" s="1899"/>
      <c r="G570" s="1901"/>
      <c r="H570" s="1900"/>
      <c r="I570" s="2644" t="s">
        <v>1770</v>
      </c>
      <c r="J570" s="2503"/>
      <c r="K570" s="2503"/>
      <c r="L570" s="2503"/>
      <c r="M570" s="2503"/>
      <c r="N570" s="2503"/>
      <c r="O570" s="2503"/>
      <c r="P570" s="1720"/>
      <c r="Q570" s="2"/>
    </row>
    <row r="571" spans="1:17" ht="15" customHeight="1" x14ac:dyDescent="0.3">
      <c r="A571" s="3587"/>
      <c r="B571" s="2617" t="s">
        <v>3099</v>
      </c>
      <c r="C571" s="2723"/>
      <c r="D571" s="2826" t="s">
        <v>3411</v>
      </c>
      <c r="E571" s="2676"/>
      <c r="F571" s="1899"/>
      <c r="G571" s="1901"/>
      <c r="H571" s="1900"/>
      <c r="I571" s="2644" t="s">
        <v>2118</v>
      </c>
      <c r="J571" s="2503"/>
      <c r="K571" s="2503"/>
      <c r="L571" s="2503"/>
      <c r="M571" s="2503"/>
      <c r="N571" s="2503"/>
      <c r="O571" s="2503"/>
      <c r="P571" s="1720"/>
      <c r="Q571" s="2"/>
    </row>
    <row r="572" spans="1:17" ht="15" customHeight="1" x14ac:dyDescent="0.3">
      <c r="A572" s="3587"/>
      <c r="B572" s="2879" t="s">
        <v>3099</v>
      </c>
      <c r="C572" s="2723"/>
      <c r="D572" s="2826" t="s">
        <v>3389</v>
      </c>
      <c r="E572" s="2676"/>
      <c r="F572" s="1899"/>
      <c r="G572" s="1901"/>
      <c r="H572" s="1900"/>
      <c r="I572" s="2644" t="s">
        <v>2118</v>
      </c>
      <c r="J572" s="2503"/>
      <c r="K572" s="2503"/>
      <c r="L572" s="2503"/>
      <c r="M572" s="2503"/>
      <c r="N572" s="2503"/>
      <c r="O572" s="2503"/>
      <c r="P572" s="1720"/>
      <c r="Q572" s="2"/>
    </row>
    <row r="573" spans="1:17" ht="15" customHeight="1" x14ac:dyDescent="0.3">
      <c r="A573" s="3587"/>
      <c r="B573" s="2632"/>
      <c r="C573" s="2878"/>
      <c r="D573" s="34"/>
      <c r="E573" s="2676"/>
      <c r="F573" s="1899"/>
      <c r="G573" s="1901"/>
      <c r="H573" s="1900"/>
      <c r="I573" s="2644"/>
      <c r="J573" s="2503"/>
      <c r="K573" s="2503"/>
      <c r="L573" s="2503"/>
      <c r="M573" s="2503"/>
      <c r="N573" s="2503"/>
      <c r="O573" s="2503"/>
      <c r="P573" s="1720"/>
      <c r="Q573" s="2"/>
    </row>
    <row r="574" spans="1:17" ht="15" customHeight="1" x14ac:dyDescent="0.3">
      <c r="A574" s="3587"/>
      <c r="B574" s="1911"/>
      <c r="C574" s="1947"/>
      <c r="D574" s="1909" t="s">
        <v>3000</v>
      </c>
      <c r="E574" s="1910">
        <f>SUM(E554:E573)</f>
        <v>16360000</v>
      </c>
      <c r="F574" s="1911"/>
      <c r="G574" s="1912">
        <f>SUM(G554:G573)</f>
        <v>1447000</v>
      </c>
      <c r="H574" s="1911"/>
      <c r="I574" s="2874"/>
      <c r="J574" s="1911"/>
      <c r="K574" s="1911"/>
      <c r="L574" s="1911"/>
      <c r="M574" s="287"/>
      <c r="N574" s="3602" t="s">
        <v>3026</v>
      </c>
      <c r="O574" s="3602"/>
      <c r="P574" s="3602"/>
      <c r="Q574" s="848">
        <f>SUM(Q554:Q573)</f>
        <v>147500</v>
      </c>
    </row>
    <row r="575" spans="1:17" ht="15" customHeight="1" x14ac:dyDescent="0.3">
      <c r="A575" s="3587"/>
      <c r="B575" s="1918"/>
      <c r="C575" s="1914"/>
      <c r="D575" s="2533" t="s">
        <v>3002</v>
      </c>
      <c r="E575" s="1917">
        <f>G574+Q574</f>
        <v>1594500</v>
      </c>
      <c r="F575" s="1918"/>
      <c r="G575" s="1919"/>
      <c r="H575" s="1918"/>
      <c r="I575" s="2635"/>
      <c r="J575" s="2376"/>
      <c r="K575" s="2376"/>
      <c r="L575" s="2376"/>
      <c r="M575" s="895"/>
      <c r="N575" s="2875"/>
      <c r="O575" s="2875"/>
      <c r="P575" s="3299"/>
      <c r="Q575" s="430"/>
    </row>
    <row r="576" spans="1:17" ht="15.6" x14ac:dyDescent="0.3">
      <c r="A576" s="1921"/>
      <c r="B576" s="1925"/>
      <c r="C576" s="1925"/>
      <c r="D576" s="1922"/>
      <c r="E576" s="1923"/>
      <c r="F576" s="1922"/>
      <c r="G576" s="1924"/>
      <c r="H576" s="1922"/>
      <c r="I576" s="2636"/>
      <c r="J576" s="1922"/>
      <c r="K576" s="1922"/>
      <c r="L576" s="1922"/>
      <c r="M576" s="468"/>
      <c r="N576" s="469"/>
      <c r="O576" s="469"/>
      <c r="P576" s="3289"/>
      <c r="Q576" s="463"/>
    </row>
    <row r="577" spans="1:17" ht="21" x14ac:dyDescent="0.3">
      <c r="A577" s="3532" t="s">
        <v>3348</v>
      </c>
      <c r="B577" s="3532"/>
      <c r="C577" s="3532"/>
      <c r="D577" s="3532"/>
      <c r="E577" s="3532"/>
      <c r="F577" s="3532"/>
      <c r="G577" s="3532"/>
      <c r="H577" s="3533"/>
      <c r="I577" s="3532"/>
      <c r="J577" s="3532"/>
      <c r="K577" s="3532"/>
      <c r="L577" s="3028"/>
      <c r="M577" s="287"/>
      <c r="N577" s="845"/>
      <c r="O577" s="845"/>
      <c r="P577" s="3291"/>
      <c r="Q577" s="294"/>
    </row>
    <row r="578" spans="1:17" x14ac:dyDescent="0.3">
      <c r="A578" s="2746" t="s">
        <v>2974</v>
      </c>
      <c r="B578" s="2746" t="s">
        <v>2975</v>
      </c>
      <c r="C578" s="2746" t="s">
        <v>3004</v>
      </c>
      <c r="D578" s="2746" t="s">
        <v>2977</v>
      </c>
      <c r="E578" s="2768" t="s">
        <v>2978</v>
      </c>
      <c r="F578" s="2746" t="s">
        <v>2979</v>
      </c>
      <c r="G578" s="2769" t="s">
        <v>2980</v>
      </c>
      <c r="H578" s="2746" t="s">
        <v>2981</v>
      </c>
      <c r="I578" s="2770" t="s">
        <v>2982</v>
      </c>
      <c r="J578" s="2771"/>
      <c r="K578" s="2771" t="s">
        <v>2983</v>
      </c>
      <c r="L578" s="2771"/>
      <c r="M578" s="2740" t="s">
        <v>2975</v>
      </c>
      <c r="N578" s="2503" t="s">
        <v>2977</v>
      </c>
      <c r="O578" s="2503" t="s">
        <v>2984</v>
      </c>
      <c r="P578" s="1720" t="s">
        <v>2979</v>
      </c>
      <c r="Q578" s="2" t="s">
        <v>2985</v>
      </c>
    </row>
    <row r="579" spans="1:17" ht="15" customHeight="1" x14ac:dyDescent="0.3">
      <c r="A579" s="3534"/>
      <c r="B579" s="2830"/>
      <c r="C579" s="2831"/>
      <c r="D579" s="2050"/>
      <c r="E579" s="2676"/>
      <c r="F579" s="1943"/>
      <c r="G579" s="2368"/>
      <c r="H579" s="1905"/>
      <c r="I579" s="2638"/>
      <c r="J579" s="371"/>
      <c r="K579" s="1058"/>
      <c r="L579" s="371"/>
      <c r="M579" s="2598"/>
      <c r="N579" s="2598"/>
      <c r="O579" s="2503"/>
      <c r="P579" s="1720"/>
      <c r="Q579" s="2"/>
    </row>
    <row r="580" spans="1:17" ht="15" customHeight="1" x14ac:dyDescent="0.3">
      <c r="A580" s="3535"/>
      <c r="B580" s="2830"/>
      <c r="C580" s="2831"/>
      <c r="D580" s="2050"/>
      <c r="E580" s="2676"/>
      <c r="F580" s="1943"/>
      <c r="G580" s="2368"/>
      <c r="H580" s="1905"/>
      <c r="I580" s="2638"/>
      <c r="J580" s="371"/>
      <c r="K580" s="1058"/>
      <c r="L580" s="371"/>
      <c r="M580" s="2598"/>
      <c r="N580" s="2598"/>
      <c r="O580" s="2503"/>
      <c r="P580" s="1720"/>
      <c r="Q580" s="2"/>
    </row>
    <row r="581" spans="1:17" ht="15" customHeight="1" x14ac:dyDescent="0.3">
      <c r="A581" s="3535"/>
      <c r="B581" s="2673"/>
      <c r="C581" s="2674"/>
      <c r="D581" s="1576"/>
      <c r="E581" s="2676"/>
      <c r="F581" s="1943"/>
      <c r="G581" s="2368"/>
      <c r="H581" s="1905"/>
      <c r="I581" s="2638"/>
      <c r="J581" s="371"/>
      <c r="K581" s="1058"/>
      <c r="L581" s="371"/>
      <c r="M581" s="2598"/>
      <c r="N581" s="2598"/>
      <c r="O581" s="2503"/>
      <c r="P581" s="1720"/>
      <c r="Q581" s="2"/>
    </row>
    <row r="582" spans="1:17" ht="15" customHeight="1" x14ac:dyDescent="0.3">
      <c r="A582" s="3535"/>
      <c r="B582" s="1947"/>
      <c r="C582" s="1911"/>
      <c r="D582" s="1948" t="s">
        <v>3000</v>
      </c>
      <c r="E582" s="1910">
        <f>SUM(E579:E581)</f>
        <v>0</v>
      </c>
      <c r="F582" s="1911"/>
      <c r="G582" s="1912"/>
      <c r="H582" s="1911"/>
      <c r="I582" s="2634"/>
      <c r="J582" s="1911"/>
      <c r="K582" s="1911"/>
      <c r="L582" s="1911"/>
      <c r="M582" s="287"/>
      <c r="N582" s="3593" t="s">
        <v>3026</v>
      </c>
      <c r="O582" s="3593"/>
      <c r="P582" s="3594"/>
      <c r="Q582" s="848"/>
    </row>
    <row r="583" spans="1:17" ht="15" customHeight="1" x14ac:dyDescent="0.3">
      <c r="A583" s="3536"/>
      <c r="B583" s="1949"/>
      <c r="C583" s="1915"/>
      <c r="D583" s="2373" t="s">
        <v>3002</v>
      </c>
      <c r="E583" s="2374"/>
      <c r="F583" s="1915"/>
      <c r="G583" s="2375"/>
      <c r="H583" s="1915"/>
      <c r="I583" s="2639"/>
      <c r="J583" s="2376"/>
      <c r="K583" s="2376"/>
      <c r="L583" s="2376"/>
      <c r="M583" s="895"/>
      <c r="N583" s="968"/>
      <c r="O583" s="968"/>
      <c r="P583" s="2073"/>
      <c r="Q583" s="294"/>
    </row>
    <row r="584" spans="1:17" x14ac:dyDescent="0.3">
      <c r="D584" s="2535"/>
    </row>
    <row r="585" spans="1:17" ht="15" customHeight="1" x14ac:dyDescent="0.3">
      <c r="A585" s="3565" t="s">
        <v>3064</v>
      </c>
      <c r="B585" s="3566"/>
      <c r="C585" s="2361"/>
      <c r="D585" s="2772">
        <f>E506+E529+E548+E574</f>
        <v>48580000</v>
      </c>
      <c r="E585" s="2773"/>
    </row>
    <row r="586" spans="1:17" ht="15" customHeight="1" x14ac:dyDescent="0.3">
      <c r="A586" s="3567" t="s">
        <v>3065</v>
      </c>
      <c r="B586" s="3568"/>
      <c r="C586" s="1392"/>
      <c r="D586" s="2774"/>
      <c r="E586" s="2775"/>
    </row>
    <row r="587" spans="1:17" ht="15" customHeight="1" x14ac:dyDescent="0.3">
      <c r="A587" s="3569" t="s">
        <v>3066</v>
      </c>
      <c r="B587" s="3570"/>
      <c r="C587" s="2776"/>
      <c r="D587" s="2777"/>
      <c r="E587" s="2775"/>
    </row>
    <row r="588" spans="1:17" ht="15" customHeight="1" x14ac:dyDescent="0.3">
      <c r="A588" s="3551" t="s">
        <v>3067</v>
      </c>
      <c r="B588" s="3552"/>
      <c r="C588" s="2778"/>
      <c r="D588" s="2779"/>
    </row>
    <row r="589" spans="1:17" ht="15" customHeight="1" x14ac:dyDescent="0.3">
      <c r="A589" s="3571" t="s">
        <v>3068</v>
      </c>
      <c r="B589" s="3572"/>
      <c r="C589" s="2780"/>
      <c r="D589" s="729"/>
    </row>
    <row r="590" spans="1:17" ht="15" customHeight="1" x14ac:dyDescent="0.3">
      <c r="A590" s="3573" t="s">
        <v>3069</v>
      </c>
      <c r="B590" s="3573"/>
      <c r="C590" s="2780"/>
      <c r="D590" s="2529"/>
    </row>
    <row r="591" spans="1:17" x14ac:dyDescent="0.3">
      <c r="A591" s="2781"/>
      <c r="B591" s="2066" t="s">
        <v>3070</v>
      </c>
      <c r="C591" s="1581"/>
      <c r="D591" s="2782">
        <f>SUM(D585:D590)</f>
        <v>48580000</v>
      </c>
    </row>
    <row r="594" spans="1:17" ht="46.2" x14ac:dyDescent="0.85">
      <c r="A594" s="3585" t="s">
        <v>3412</v>
      </c>
      <c r="B594" s="3585"/>
      <c r="C594" s="3585"/>
      <c r="D594" s="3585"/>
      <c r="E594" s="3585"/>
      <c r="F594" s="3585"/>
      <c r="G594" s="3585"/>
      <c r="H594" s="3585"/>
      <c r="I594" s="3585"/>
      <c r="J594" s="3585"/>
      <c r="K594" s="3585"/>
      <c r="L594" s="3024"/>
    </row>
    <row r="596" spans="1:17" ht="21" x14ac:dyDescent="0.4">
      <c r="A596" s="3555" t="s">
        <v>3212</v>
      </c>
      <c r="B596" s="3555"/>
      <c r="C596" s="3555"/>
      <c r="D596" s="3555"/>
      <c r="E596" s="3555"/>
      <c r="F596" s="3555"/>
      <c r="G596" s="3555"/>
      <c r="H596" s="3555"/>
      <c r="I596" s="3555"/>
      <c r="J596" s="3555"/>
      <c r="K596" s="3555"/>
      <c r="L596" s="3046"/>
      <c r="M596" s="3556" t="s">
        <v>2973</v>
      </c>
      <c r="N596" s="3556"/>
      <c r="O596" s="3556"/>
      <c r="P596" s="3556"/>
      <c r="Q596" s="2"/>
    </row>
    <row r="597" spans="1:17" x14ac:dyDescent="0.3">
      <c r="A597" s="2745" t="s">
        <v>2974</v>
      </c>
      <c r="B597" s="2746" t="s">
        <v>2975</v>
      </c>
      <c r="C597" s="2747" t="s">
        <v>2976</v>
      </c>
      <c r="D597" s="2748" t="s">
        <v>2977</v>
      </c>
      <c r="E597" s="2749" t="s">
        <v>2978</v>
      </c>
      <c r="F597" s="2745" t="s">
        <v>2979</v>
      </c>
      <c r="G597" s="2750" t="s">
        <v>2980</v>
      </c>
      <c r="H597" s="2746" t="s">
        <v>2981</v>
      </c>
      <c r="I597" s="2751" t="s">
        <v>2982</v>
      </c>
      <c r="J597" s="2752"/>
      <c r="K597" s="2745" t="s">
        <v>2983</v>
      </c>
      <c r="L597" s="2752"/>
      <c r="M597" s="2752" t="s">
        <v>2975</v>
      </c>
      <c r="N597" s="2752" t="s">
        <v>2977</v>
      </c>
      <c r="O597" s="2752" t="s">
        <v>2984</v>
      </c>
      <c r="P597" s="3295" t="s">
        <v>2979</v>
      </c>
      <c r="Q597" s="268" t="s">
        <v>2985</v>
      </c>
    </row>
    <row r="598" spans="1:17" ht="15" customHeight="1" x14ac:dyDescent="0.3">
      <c r="A598" s="3586">
        <v>4</v>
      </c>
      <c r="B598" s="2444">
        <v>13959</v>
      </c>
      <c r="C598" s="2596">
        <v>0.08</v>
      </c>
      <c r="D598" s="85" t="s">
        <v>3413</v>
      </c>
      <c r="E598" s="1632">
        <v>1500000</v>
      </c>
      <c r="F598" s="320">
        <v>0.04</v>
      </c>
      <c r="G598" s="321">
        <f>E598*F598</f>
        <v>60000</v>
      </c>
      <c r="H598" s="1900" t="s">
        <v>1482</v>
      </c>
      <c r="I598" s="2620" t="s">
        <v>133</v>
      </c>
      <c r="J598" s="3195"/>
      <c r="K598" s="2597"/>
      <c r="L598" s="3195"/>
      <c r="M598" s="2451">
        <v>14044</v>
      </c>
      <c r="N598" s="2896" t="s">
        <v>3414</v>
      </c>
      <c r="O598" s="2900">
        <v>1600000</v>
      </c>
      <c r="P598" s="1720">
        <v>0.04</v>
      </c>
      <c r="Q598" s="2897">
        <f>O598*P598</f>
        <v>64000</v>
      </c>
    </row>
    <row r="599" spans="1:17" ht="15" customHeight="1" x14ac:dyDescent="0.3">
      <c r="A599" s="3587"/>
      <c r="B599" s="2444">
        <v>13929</v>
      </c>
      <c r="C599" s="274">
        <v>0.1</v>
      </c>
      <c r="D599" s="132" t="s">
        <v>3415</v>
      </c>
      <c r="E599" s="1632">
        <v>1450000</v>
      </c>
      <c r="F599" s="320">
        <v>0.04</v>
      </c>
      <c r="G599" s="321">
        <f>E599*F599</f>
        <v>58000</v>
      </c>
      <c r="H599" s="1900" t="s">
        <v>1482</v>
      </c>
      <c r="I599" s="2620" t="s">
        <v>133</v>
      </c>
      <c r="J599" s="3167"/>
      <c r="K599" s="511"/>
      <c r="L599" s="3167"/>
      <c r="M599" s="2504"/>
      <c r="N599" s="2503"/>
      <c r="O599" s="2503"/>
      <c r="P599" s="1720"/>
      <c r="Q599" s="51"/>
    </row>
    <row r="600" spans="1:17" ht="15" customHeight="1" x14ac:dyDescent="0.3">
      <c r="A600" s="3587"/>
      <c r="B600" s="2486" t="s">
        <v>3022</v>
      </c>
      <c r="C600" s="2513"/>
      <c r="D600" s="2822" t="s">
        <v>3416</v>
      </c>
      <c r="E600" s="1632"/>
      <c r="F600" s="320"/>
      <c r="G600" s="321"/>
      <c r="H600" s="1900"/>
      <c r="I600" s="2620"/>
      <c r="J600" s="3196"/>
      <c r="K600" s="1762"/>
      <c r="L600" s="3196"/>
      <c r="M600" s="2504"/>
      <c r="N600" s="2503"/>
      <c r="O600" s="2503"/>
      <c r="P600" s="1720"/>
      <c r="Q600" s="51"/>
    </row>
    <row r="601" spans="1:17" ht="15" customHeight="1" x14ac:dyDescent="0.3">
      <c r="A601" s="3587"/>
      <c r="B601" s="2398"/>
      <c r="C601" s="638"/>
      <c r="D601" s="1116" t="s">
        <v>3000</v>
      </c>
      <c r="E601" s="1634">
        <f>SUM(E598:E600)</f>
        <v>2950000</v>
      </c>
      <c r="F601" s="956"/>
      <c r="G601" s="1207">
        <f>SUM(G598:G600)</f>
        <v>118000</v>
      </c>
      <c r="H601" s="2724"/>
      <c r="I601" s="2725"/>
      <c r="J601" s="638"/>
      <c r="K601" s="2690"/>
      <c r="L601" s="638"/>
      <c r="M601" s="316"/>
      <c r="N601" s="3530" t="s">
        <v>3001</v>
      </c>
      <c r="O601" s="3531"/>
      <c r="P601" s="3531"/>
      <c r="Q601" s="612">
        <f>SUM(Q598:Q600)</f>
        <v>64000</v>
      </c>
    </row>
    <row r="602" spans="1:17" ht="15" customHeight="1" x14ac:dyDescent="0.3">
      <c r="A602" s="3587"/>
      <c r="B602" s="1918"/>
      <c r="C602" s="840"/>
      <c r="D602" s="1182" t="s">
        <v>3002</v>
      </c>
      <c r="E602" s="953">
        <f>G601+Q601</f>
        <v>182000</v>
      </c>
      <c r="F602" s="840"/>
      <c r="G602" s="842"/>
      <c r="H602" s="1918"/>
      <c r="I602" s="2623"/>
      <c r="J602" s="840"/>
      <c r="K602" s="843"/>
      <c r="L602" s="840"/>
      <c r="M602" s="287"/>
      <c r="N602" s="2726"/>
      <c r="O602" s="895"/>
      <c r="P602" s="992"/>
      <c r="Q602" s="430"/>
    </row>
    <row r="603" spans="1:17" x14ac:dyDescent="0.3">
      <c r="A603" s="825"/>
      <c r="B603" s="1925"/>
      <c r="C603" s="825"/>
      <c r="D603" s="1172"/>
      <c r="E603" s="827"/>
      <c r="F603" s="825"/>
      <c r="G603" s="828"/>
      <c r="H603" s="1925"/>
      <c r="I603" s="2628"/>
      <c r="J603" s="825"/>
      <c r="K603" s="826"/>
      <c r="L603" s="825"/>
      <c r="Q603" s="1"/>
    </row>
    <row r="604" spans="1:17" x14ac:dyDescent="0.3">
      <c r="A604" s="825"/>
      <c r="B604" s="1925"/>
      <c r="C604" s="825"/>
      <c r="D604" s="1172"/>
      <c r="E604" s="827"/>
      <c r="F604" s="825"/>
      <c r="G604" s="828"/>
      <c r="H604" s="1925"/>
      <c r="I604" s="2628"/>
      <c r="J604" s="825"/>
      <c r="K604" s="826"/>
      <c r="L604" s="825"/>
      <c r="Q604" s="1"/>
    </row>
    <row r="605" spans="1:17" ht="21" x14ac:dyDescent="0.4">
      <c r="A605" s="3600" t="s">
        <v>3149</v>
      </c>
      <c r="B605" s="3600"/>
      <c r="C605" s="3600"/>
      <c r="D605" s="3600"/>
      <c r="E605" s="3600"/>
      <c r="F605" s="3600"/>
      <c r="G605" s="3600"/>
      <c r="H605" s="3600"/>
      <c r="I605" s="3600"/>
      <c r="J605" s="3600"/>
      <c r="K605" s="3600"/>
      <c r="L605" s="3047"/>
      <c r="M605" s="3601" t="s">
        <v>2973</v>
      </c>
      <c r="N605" s="3601"/>
      <c r="O605" s="3601"/>
      <c r="P605" s="3601"/>
      <c r="Q605" s="268"/>
    </row>
    <row r="606" spans="1:17" x14ac:dyDescent="0.3">
      <c r="A606" s="2167" t="s">
        <v>2974</v>
      </c>
      <c r="B606" s="2756" t="s">
        <v>2975</v>
      </c>
      <c r="C606" s="2503" t="s">
        <v>3004</v>
      </c>
      <c r="D606" s="2597" t="s">
        <v>2977</v>
      </c>
      <c r="E606" s="2892" t="s">
        <v>2978</v>
      </c>
      <c r="F606" s="2740" t="s">
        <v>2979</v>
      </c>
      <c r="G606" s="2760" t="s">
        <v>2980</v>
      </c>
      <c r="H606" s="2761" t="s">
        <v>2981</v>
      </c>
      <c r="I606" s="2735" t="s">
        <v>2982</v>
      </c>
      <c r="J606" s="2740"/>
      <c r="K606" s="2740" t="s">
        <v>2983</v>
      </c>
      <c r="L606" s="2740"/>
      <c r="M606" s="2503" t="s">
        <v>2975</v>
      </c>
      <c r="N606" s="2740" t="s">
        <v>2977</v>
      </c>
      <c r="O606" s="2740" t="s">
        <v>2984</v>
      </c>
      <c r="P606" s="2472" t="s">
        <v>2979</v>
      </c>
      <c r="Q606" s="1071" t="s">
        <v>2985</v>
      </c>
    </row>
    <row r="607" spans="1:17" ht="15" customHeight="1" x14ac:dyDescent="0.3">
      <c r="A607" s="3586" t="s">
        <v>3417</v>
      </c>
      <c r="B607" s="2544">
        <v>13990</v>
      </c>
      <c r="C607" s="2596">
        <v>0.1</v>
      </c>
      <c r="D607" s="86" t="s">
        <v>3418</v>
      </c>
      <c r="E607" s="1628">
        <v>1200000</v>
      </c>
      <c r="F607" s="376">
        <v>0.1</v>
      </c>
      <c r="G607" s="321">
        <f t="shared" ref="G607:G614" si="32">E607*F607</f>
        <v>120000</v>
      </c>
      <c r="H607" s="2869" t="s">
        <v>3010</v>
      </c>
      <c r="I607" s="2764" t="s">
        <v>2512</v>
      </c>
      <c r="J607" s="745"/>
      <c r="K607" s="335"/>
      <c r="L607" s="745"/>
      <c r="M607" s="2451">
        <v>14052</v>
      </c>
      <c r="N607" s="2896" t="s">
        <v>3419</v>
      </c>
      <c r="O607" s="1632">
        <v>1350000</v>
      </c>
      <c r="P607" s="1720">
        <v>0.05</v>
      </c>
      <c r="Q607" s="2897">
        <f>O607*P607</f>
        <v>67500</v>
      </c>
    </row>
    <row r="608" spans="1:17" ht="15" customHeight="1" x14ac:dyDescent="0.3">
      <c r="A608" s="3587"/>
      <c r="B608" s="2544">
        <v>14018</v>
      </c>
      <c r="C608" s="2694">
        <v>0.08</v>
      </c>
      <c r="D608" s="67" t="s">
        <v>3420</v>
      </c>
      <c r="E608" s="1628">
        <v>1000000</v>
      </c>
      <c r="F608" s="2563">
        <v>0.04</v>
      </c>
      <c r="G608" s="321">
        <f t="shared" si="32"/>
        <v>40000</v>
      </c>
      <c r="H608" s="2756" t="s">
        <v>1632</v>
      </c>
      <c r="I608" s="2764" t="s">
        <v>2512</v>
      </c>
      <c r="J608" s="2504"/>
      <c r="K608" s="2503"/>
      <c r="L608" s="2504"/>
      <c r="M608" s="2504"/>
      <c r="N608" s="2503"/>
      <c r="O608" s="1632"/>
      <c r="P608" s="1720"/>
      <c r="Q608" s="51"/>
    </row>
    <row r="609" spans="1:18" ht="15" customHeight="1" x14ac:dyDescent="0.3">
      <c r="A609" s="3587"/>
      <c r="B609" s="2544">
        <v>14048</v>
      </c>
      <c r="C609" s="2596">
        <v>0.1</v>
      </c>
      <c r="D609" s="67" t="s">
        <v>3421</v>
      </c>
      <c r="E609" s="1628">
        <v>1450000</v>
      </c>
      <c r="F609" s="376">
        <v>0.05</v>
      </c>
      <c r="G609" s="321">
        <f t="shared" si="32"/>
        <v>72500</v>
      </c>
      <c r="H609" s="2869" t="s">
        <v>2993</v>
      </c>
      <c r="I609" s="2764" t="s">
        <v>2512</v>
      </c>
      <c r="J609" s="2504"/>
      <c r="K609" s="2503"/>
      <c r="L609" s="2504"/>
      <c r="M609" s="2504"/>
      <c r="N609" s="2503"/>
      <c r="O609" s="1632"/>
      <c r="P609" s="1720"/>
      <c r="Q609" s="51"/>
      <c r="R609" s="2535"/>
    </row>
    <row r="610" spans="1:18" ht="15" customHeight="1" x14ac:dyDescent="0.3">
      <c r="A610" s="3587"/>
      <c r="B610" s="2544">
        <v>14044</v>
      </c>
      <c r="C610" s="2596">
        <v>0.1</v>
      </c>
      <c r="D610" s="120" t="s">
        <v>3422</v>
      </c>
      <c r="E610" s="1628">
        <v>1550000</v>
      </c>
      <c r="F610" s="376">
        <v>0.05</v>
      </c>
      <c r="G610" s="321">
        <f t="shared" si="32"/>
        <v>77500</v>
      </c>
      <c r="H610" s="2756" t="s">
        <v>1482</v>
      </c>
      <c r="I610" s="2764" t="s">
        <v>2512</v>
      </c>
      <c r="J610" s="2504"/>
      <c r="K610" s="2503"/>
      <c r="L610" s="2504"/>
      <c r="M610" s="2504"/>
      <c r="N610" s="2503"/>
      <c r="O610" s="1632"/>
      <c r="P610" s="1720"/>
      <c r="Q610" s="51"/>
    </row>
    <row r="611" spans="1:18" ht="15" customHeight="1" x14ac:dyDescent="0.3">
      <c r="A611" s="3587"/>
      <c r="B611" s="2544">
        <v>14040</v>
      </c>
      <c r="C611" s="2596">
        <v>0.1</v>
      </c>
      <c r="D611" s="85" t="s">
        <v>3423</v>
      </c>
      <c r="E611" s="1628">
        <v>1250000</v>
      </c>
      <c r="F611" s="376">
        <v>0.1</v>
      </c>
      <c r="G611" s="321">
        <f t="shared" si="32"/>
        <v>125000</v>
      </c>
      <c r="H611" s="2756" t="s">
        <v>3010</v>
      </c>
      <c r="I611" s="2764" t="s">
        <v>133</v>
      </c>
      <c r="J611" s="2504"/>
      <c r="K611" s="2503"/>
      <c r="L611" s="2504"/>
      <c r="M611" s="2504"/>
      <c r="N611" s="2503"/>
      <c r="O611" s="1632"/>
      <c r="P611" s="1720"/>
      <c r="Q611" s="51"/>
    </row>
    <row r="612" spans="1:18" ht="15" customHeight="1" x14ac:dyDescent="0.3">
      <c r="A612" s="3587"/>
      <c r="B612" s="2544">
        <v>14052</v>
      </c>
      <c r="C612" s="2596">
        <v>0.1</v>
      </c>
      <c r="D612" s="67" t="s">
        <v>3424</v>
      </c>
      <c r="E612" s="1637">
        <v>1050000</v>
      </c>
      <c r="F612" s="376">
        <v>0.05</v>
      </c>
      <c r="G612" s="321">
        <f t="shared" si="32"/>
        <v>52500</v>
      </c>
      <c r="H612" s="2869" t="s">
        <v>1685</v>
      </c>
      <c r="I612" s="2764" t="s">
        <v>2512</v>
      </c>
      <c r="J612" s="2763"/>
      <c r="K612" s="2503"/>
      <c r="L612" s="2763"/>
      <c r="M612" s="2763"/>
      <c r="N612" s="2503"/>
      <c r="O612" s="1632"/>
      <c r="P612" s="1720"/>
      <c r="Q612" s="51"/>
    </row>
    <row r="613" spans="1:18" ht="15" customHeight="1" x14ac:dyDescent="0.3">
      <c r="A613" s="3587"/>
      <c r="B613" s="2544">
        <v>14060</v>
      </c>
      <c r="C613" s="2596">
        <v>0.1</v>
      </c>
      <c r="D613" s="85" t="s">
        <v>3425</v>
      </c>
      <c r="E613" s="1628">
        <v>1200000</v>
      </c>
      <c r="F613" s="376">
        <v>0.1</v>
      </c>
      <c r="G613" s="321">
        <f t="shared" si="32"/>
        <v>120000</v>
      </c>
      <c r="H613" s="2756" t="s">
        <v>3010</v>
      </c>
      <c r="I613" s="2764" t="s">
        <v>133</v>
      </c>
      <c r="J613" s="3191"/>
      <c r="K613" s="335"/>
      <c r="L613" s="3191"/>
      <c r="M613" s="2504"/>
      <c r="N613" s="2503"/>
      <c r="O613" s="1632"/>
      <c r="P613" s="1720"/>
      <c r="Q613" s="51"/>
    </row>
    <row r="614" spans="1:18" ht="15" customHeight="1" x14ac:dyDescent="0.3">
      <c r="A614" s="3587"/>
      <c r="B614" s="2544">
        <v>14085</v>
      </c>
      <c r="C614" s="2596">
        <v>0.1</v>
      </c>
      <c r="D614" s="85" t="s">
        <v>3426</v>
      </c>
      <c r="E614" s="1628">
        <v>1200000</v>
      </c>
      <c r="F614" s="376">
        <v>0.05</v>
      </c>
      <c r="G614" s="321">
        <f t="shared" si="32"/>
        <v>60000</v>
      </c>
      <c r="H614" s="2756" t="s">
        <v>2993</v>
      </c>
      <c r="I614" s="2764" t="s">
        <v>2512</v>
      </c>
      <c r="J614" s="3199"/>
      <c r="K614" s="2689"/>
      <c r="L614" s="3199"/>
      <c r="M614" s="2504"/>
      <c r="N614" s="2503"/>
      <c r="O614" s="1632"/>
      <c r="P614" s="1720"/>
      <c r="Q614" s="51"/>
    </row>
    <row r="615" spans="1:18" ht="17.25" customHeight="1" x14ac:dyDescent="0.3">
      <c r="A615" s="3587"/>
      <c r="B615" s="2825" t="s">
        <v>3022</v>
      </c>
      <c r="C615" s="2723"/>
      <c r="D615" s="2792" t="s">
        <v>3427</v>
      </c>
      <c r="E615" s="1628"/>
      <c r="F615" s="376"/>
      <c r="G615" s="321"/>
      <c r="H615" s="2756"/>
      <c r="I615" s="2834" t="s">
        <v>133</v>
      </c>
      <c r="J615" s="3183"/>
      <c r="K615" s="11" t="s">
        <v>3428</v>
      </c>
      <c r="L615" s="3183"/>
      <c r="M615" s="2762"/>
      <c r="N615" s="2503"/>
      <c r="O615" s="1632"/>
      <c r="P615" s="1720"/>
      <c r="Q615" s="51"/>
    </row>
    <row r="616" spans="1:18" ht="15" customHeight="1" x14ac:dyDescent="0.3">
      <c r="A616" s="3587"/>
      <c r="B616" s="2908" t="s">
        <v>3022</v>
      </c>
      <c r="C616" s="2513"/>
      <c r="D616" s="2792" t="s">
        <v>3429</v>
      </c>
      <c r="E616" s="1628"/>
      <c r="F616" s="376"/>
      <c r="G616" s="321"/>
      <c r="H616" s="2756"/>
      <c r="I616" s="2834" t="s">
        <v>133</v>
      </c>
      <c r="J616" s="3183"/>
      <c r="K616" s="11" t="s">
        <v>3430</v>
      </c>
      <c r="L616" s="3183"/>
      <c r="M616" s="2762"/>
      <c r="N616" s="2503"/>
      <c r="O616" s="2503"/>
      <c r="P616" s="1720"/>
      <c r="Q616" s="51"/>
    </row>
    <row r="617" spans="1:18" ht="15" customHeight="1" x14ac:dyDescent="0.3">
      <c r="A617" s="3587"/>
      <c r="B617" s="2066"/>
      <c r="C617" s="689"/>
      <c r="D617" s="2818" t="s">
        <v>3000</v>
      </c>
      <c r="E617" s="2494">
        <f>SUM(E607:E616)</f>
        <v>9900000</v>
      </c>
      <c r="F617" s="1579"/>
      <c r="G617" s="2662">
        <f>SUM(G607:G616)</f>
        <v>667500</v>
      </c>
      <c r="H617" s="1908"/>
      <c r="I617" s="2687"/>
      <c r="J617" s="381"/>
      <c r="K617" s="335"/>
      <c r="L617" s="381"/>
      <c r="M617" s="829"/>
      <c r="N617" s="3602" t="s">
        <v>3026</v>
      </c>
      <c r="O617" s="3602"/>
      <c r="P617" s="3602"/>
      <c r="Q617" s="848">
        <f>SUM(Q607:Q616)</f>
        <v>67500</v>
      </c>
    </row>
    <row r="618" spans="1:18" ht="15" customHeight="1" x14ac:dyDescent="0.3">
      <c r="A618" s="3587"/>
      <c r="B618" s="1914"/>
      <c r="C618" s="815"/>
      <c r="D618" s="1184" t="s">
        <v>3002</v>
      </c>
      <c r="E618" s="964">
        <f>G617+Q617</f>
        <v>735000</v>
      </c>
      <c r="F618" s="458"/>
      <c r="G618" s="489"/>
      <c r="H618" s="2426"/>
      <c r="I618" s="2688"/>
      <c r="J618" s="464"/>
      <c r="K618" s="843"/>
      <c r="L618" s="464"/>
      <c r="M618" s="468"/>
      <c r="N618" s="2838"/>
      <c r="O618" s="2838"/>
      <c r="P618" s="3296"/>
      <c r="Q618" s="831"/>
    </row>
    <row r="619" spans="1:18" ht="15.75" customHeight="1" x14ac:dyDescent="0.3">
      <c r="A619" s="3595"/>
      <c r="B619" s="1925"/>
      <c r="C619" s="464"/>
      <c r="D619" s="1118"/>
      <c r="E619" s="466"/>
      <c r="F619" s="464"/>
      <c r="G619" s="467"/>
      <c r="H619" s="1922"/>
      <c r="I619" s="2627"/>
      <c r="J619" s="825"/>
      <c r="K619" s="826"/>
      <c r="L619" s="825"/>
      <c r="M619" s="468"/>
      <c r="N619" s="469"/>
      <c r="O619" s="469"/>
      <c r="P619" s="3289"/>
      <c r="Q619" s="463"/>
    </row>
    <row r="620" spans="1:18" ht="15.6" x14ac:dyDescent="0.3">
      <c r="A620" s="816"/>
      <c r="B620" s="1925"/>
      <c r="C620" s="825"/>
      <c r="D620" s="1172"/>
      <c r="E620" s="827"/>
      <c r="F620" s="825"/>
      <c r="G620" s="828"/>
      <c r="H620" s="1925"/>
      <c r="I620" s="2628"/>
      <c r="J620" s="825"/>
      <c r="K620" s="826"/>
      <c r="L620" s="825"/>
      <c r="M620" s="829"/>
      <c r="N620" s="830"/>
      <c r="O620" s="830"/>
      <c r="P620" s="3290"/>
      <c r="Q620" s="831"/>
    </row>
    <row r="621" spans="1:18" ht="21" x14ac:dyDescent="0.4">
      <c r="A621" s="3493" t="s">
        <v>3170</v>
      </c>
      <c r="B621" s="3493"/>
      <c r="C621" s="3493"/>
      <c r="D621" s="3493"/>
      <c r="E621" s="3493"/>
      <c r="F621" s="3493"/>
      <c r="G621" s="3493"/>
      <c r="H621" s="3493"/>
      <c r="I621" s="3493"/>
      <c r="J621" s="3493"/>
      <c r="K621" s="3493"/>
      <c r="L621" s="3025"/>
      <c r="M621" s="3523" t="s">
        <v>2973</v>
      </c>
      <c r="N621" s="3523"/>
      <c r="O621" s="3523"/>
      <c r="P621" s="3523"/>
      <c r="Q621" s="2"/>
    </row>
    <row r="622" spans="1:18" x14ac:dyDescent="0.3">
      <c r="A622" s="2765" t="s">
        <v>2974</v>
      </c>
      <c r="B622" s="2746" t="s">
        <v>2975</v>
      </c>
      <c r="C622" s="2747" t="s">
        <v>3004</v>
      </c>
      <c r="D622" s="2899" t="s">
        <v>2977</v>
      </c>
      <c r="E622" s="2749" t="s">
        <v>2978</v>
      </c>
      <c r="F622" s="2745" t="s">
        <v>2979</v>
      </c>
      <c r="G622" s="2750" t="s">
        <v>2980</v>
      </c>
      <c r="H622" s="2746" t="s">
        <v>2981</v>
      </c>
      <c r="I622" s="2751" t="s">
        <v>2982</v>
      </c>
      <c r="J622" s="2745"/>
      <c r="K622" s="2745" t="s">
        <v>2983</v>
      </c>
      <c r="L622" s="2745"/>
      <c r="M622" s="2740" t="s">
        <v>2975</v>
      </c>
      <c r="N622" s="2740" t="s">
        <v>2977</v>
      </c>
      <c r="O622" s="2740" t="s">
        <v>2984</v>
      </c>
      <c r="P622" s="2472" t="s">
        <v>2979</v>
      </c>
      <c r="Q622" s="268" t="s">
        <v>2985</v>
      </c>
    </row>
    <row r="623" spans="1:18" ht="15" customHeight="1" x14ac:dyDescent="0.3">
      <c r="A623" s="3586" t="s">
        <v>3417</v>
      </c>
      <c r="B623" s="2444">
        <v>13913</v>
      </c>
      <c r="C623" s="333">
        <v>0.1</v>
      </c>
      <c r="D623" s="2670" t="s">
        <v>3431</v>
      </c>
      <c r="E623" s="1628">
        <v>1350000</v>
      </c>
      <c r="F623" s="1720">
        <v>0.1</v>
      </c>
      <c r="G623" s="2753">
        <f t="shared" ref="G623:G633" si="33">E623*F623</f>
        <v>135000</v>
      </c>
      <c r="H623" s="2756" t="s">
        <v>2993</v>
      </c>
      <c r="I623" s="2764" t="s">
        <v>133</v>
      </c>
      <c r="J623" s="2754"/>
      <c r="K623" s="2741"/>
      <c r="L623" s="2754"/>
      <c r="M623" s="2444">
        <v>14048</v>
      </c>
      <c r="N623" s="67" t="s">
        <v>3421</v>
      </c>
      <c r="O623" s="1628">
        <v>1450000</v>
      </c>
      <c r="P623" s="2472">
        <v>0.05</v>
      </c>
      <c r="Q623" s="1628">
        <f>O623*P623</f>
        <v>72500</v>
      </c>
    </row>
    <row r="624" spans="1:18" ht="15" customHeight="1" x14ac:dyDescent="0.3">
      <c r="A624" s="3587"/>
      <c r="B624" s="2444">
        <v>13902</v>
      </c>
      <c r="C624" s="333">
        <v>0.1</v>
      </c>
      <c r="D624" s="2670" t="s">
        <v>3432</v>
      </c>
      <c r="E624" s="1628">
        <v>1350000</v>
      </c>
      <c r="F624" s="1720">
        <v>0.1</v>
      </c>
      <c r="G624" s="2753">
        <f t="shared" si="33"/>
        <v>135000</v>
      </c>
      <c r="H624" s="2756" t="s">
        <v>2993</v>
      </c>
      <c r="I624" s="2764" t="s">
        <v>133</v>
      </c>
      <c r="J624" s="2754"/>
      <c r="K624" s="2741"/>
      <c r="L624" s="2754"/>
      <c r="M624" s="2444">
        <v>14085</v>
      </c>
      <c r="N624" s="85" t="s">
        <v>3426</v>
      </c>
      <c r="O624" s="1628">
        <v>1200000</v>
      </c>
      <c r="P624" s="2472">
        <v>0.05</v>
      </c>
      <c r="Q624" s="1628">
        <f t="shared" ref="Q624" si="34">O624*P624</f>
        <v>60000</v>
      </c>
    </row>
    <row r="625" spans="1:17" ht="15" customHeight="1" x14ac:dyDescent="0.3">
      <c r="A625" s="3587"/>
      <c r="B625" s="2444">
        <v>13961</v>
      </c>
      <c r="C625" s="333">
        <v>0.1</v>
      </c>
      <c r="D625" s="2670" t="s">
        <v>3433</v>
      </c>
      <c r="E625" s="1628">
        <v>900000</v>
      </c>
      <c r="F625" s="1720">
        <v>0.1</v>
      </c>
      <c r="G625" s="2753">
        <f t="shared" si="33"/>
        <v>90000</v>
      </c>
      <c r="H625" s="2756" t="s">
        <v>2993</v>
      </c>
      <c r="I625" s="2764" t="s">
        <v>133</v>
      </c>
      <c r="J625" s="3038"/>
      <c r="K625" s="2764"/>
      <c r="L625" s="3038"/>
      <c r="M625" s="2741"/>
      <c r="N625" s="2740"/>
      <c r="O625" s="1628"/>
      <c r="P625" s="2472"/>
      <c r="Q625" s="1628"/>
    </row>
    <row r="626" spans="1:17" ht="15" customHeight="1" x14ac:dyDescent="0.3">
      <c r="A626" s="3587"/>
      <c r="B626" s="2444">
        <v>13893</v>
      </c>
      <c r="C626" s="333">
        <v>0.1</v>
      </c>
      <c r="D626" s="2670" t="s">
        <v>3434</v>
      </c>
      <c r="E626" s="1628">
        <v>1300000</v>
      </c>
      <c r="F626" s="1720">
        <v>0.1</v>
      </c>
      <c r="G626" s="2753">
        <f t="shared" si="33"/>
        <v>130000</v>
      </c>
      <c r="H626" s="2756" t="s">
        <v>2993</v>
      </c>
      <c r="I626" s="2764" t="s">
        <v>133</v>
      </c>
      <c r="J626" s="3038"/>
      <c r="K626" s="2764"/>
      <c r="L626" s="3038"/>
      <c r="M626" s="2741"/>
      <c r="N626" s="2740"/>
      <c r="O626" s="1632"/>
      <c r="P626" s="2472"/>
      <c r="Q626" s="2901"/>
    </row>
    <row r="627" spans="1:17" ht="15" customHeight="1" x14ac:dyDescent="0.3">
      <c r="A627" s="3587"/>
      <c r="B627" s="2444">
        <v>13966</v>
      </c>
      <c r="C627" s="333">
        <v>0.1</v>
      </c>
      <c r="D627" s="2670" t="s">
        <v>3435</v>
      </c>
      <c r="E627" s="1628">
        <v>1900000</v>
      </c>
      <c r="F627" s="1720">
        <v>0.1</v>
      </c>
      <c r="G627" s="2753">
        <f t="shared" si="33"/>
        <v>190000</v>
      </c>
      <c r="H627" s="2756" t="s">
        <v>2993</v>
      </c>
      <c r="I627" s="2764" t="s">
        <v>1770</v>
      </c>
      <c r="J627" s="3038"/>
      <c r="K627" s="2764"/>
      <c r="L627" s="3038"/>
      <c r="M627" s="2741"/>
      <c r="N627" s="2740"/>
      <c r="O627" s="1632"/>
      <c r="P627" s="2472"/>
      <c r="Q627" s="2901"/>
    </row>
    <row r="628" spans="1:17" ht="15" customHeight="1" x14ac:dyDescent="0.3">
      <c r="A628" s="3587"/>
      <c r="B628" s="2444">
        <v>13963</v>
      </c>
      <c r="C628" s="333">
        <v>0.1</v>
      </c>
      <c r="D628" s="2670" t="s">
        <v>3436</v>
      </c>
      <c r="E628" s="1628">
        <v>1450000</v>
      </c>
      <c r="F628" s="1720">
        <v>0.1</v>
      </c>
      <c r="G628" s="2753">
        <f t="shared" si="33"/>
        <v>145000</v>
      </c>
      <c r="H628" s="2756" t="s">
        <v>2993</v>
      </c>
      <c r="I628" s="2764" t="s">
        <v>1770</v>
      </c>
      <c r="J628" s="3038"/>
      <c r="K628" s="2764"/>
      <c r="L628" s="3038"/>
      <c r="M628" s="2741"/>
      <c r="N628" s="2740"/>
      <c r="O628" s="1632"/>
      <c r="P628" s="2472"/>
      <c r="Q628" s="2901"/>
    </row>
    <row r="629" spans="1:17" ht="15" customHeight="1" x14ac:dyDescent="0.3">
      <c r="A629" s="3587"/>
      <c r="B629" s="2444">
        <v>14007</v>
      </c>
      <c r="C629" s="333">
        <v>0.1</v>
      </c>
      <c r="D629" s="2670" t="s">
        <v>3437</v>
      </c>
      <c r="E629" s="1628">
        <v>1000000</v>
      </c>
      <c r="F629" s="1720">
        <v>0.05</v>
      </c>
      <c r="G629" s="2753">
        <f t="shared" si="33"/>
        <v>50000</v>
      </c>
      <c r="H629" s="2756" t="s">
        <v>1685</v>
      </c>
      <c r="I629" s="2764" t="s">
        <v>133</v>
      </c>
      <c r="J629" s="3038"/>
      <c r="K629" s="2764"/>
      <c r="L629" s="3038"/>
      <c r="M629" s="2741"/>
      <c r="N629" s="2740"/>
      <c r="O629" s="1632"/>
      <c r="P629" s="2472"/>
      <c r="Q629" s="2901"/>
    </row>
    <row r="630" spans="1:17" ht="15" customHeight="1" x14ac:dyDescent="0.3">
      <c r="A630" s="3587"/>
      <c r="B630" s="2444">
        <v>14013</v>
      </c>
      <c r="C630" s="553">
        <v>0.08</v>
      </c>
      <c r="D630" s="2883" t="s">
        <v>3416</v>
      </c>
      <c r="E630" s="1628">
        <v>2200000</v>
      </c>
      <c r="F630" s="2921">
        <v>0.04</v>
      </c>
      <c r="G630" s="2753">
        <f t="shared" si="33"/>
        <v>88000</v>
      </c>
      <c r="H630" s="2756" t="s">
        <v>727</v>
      </c>
      <c r="I630" s="2764" t="s">
        <v>133</v>
      </c>
      <c r="J630" s="3038"/>
      <c r="K630" s="2764"/>
      <c r="L630" s="3038"/>
      <c r="M630" s="2741"/>
      <c r="N630" s="2740"/>
      <c r="O630" s="1632"/>
      <c r="P630" s="2472"/>
      <c r="Q630" s="2901"/>
    </row>
    <row r="631" spans="1:17" ht="15" customHeight="1" x14ac:dyDescent="0.3">
      <c r="A631" s="3587"/>
      <c r="B631" s="2444">
        <v>14033</v>
      </c>
      <c r="C631" s="274">
        <v>0.1</v>
      </c>
      <c r="D631" s="2670" t="s">
        <v>3438</v>
      </c>
      <c r="E631" s="1628">
        <v>1350000</v>
      </c>
      <c r="F631" s="1720">
        <v>0.1</v>
      </c>
      <c r="G631" s="2753">
        <f t="shared" si="33"/>
        <v>135000</v>
      </c>
      <c r="H631" s="2756" t="s">
        <v>2993</v>
      </c>
      <c r="I631" s="2764" t="s">
        <v>133</v>
      </c>
      <c r="J631" s="3038"/>
      <c r="K631" s="2764"/>
      <c r="L631" s="3038"/>
      <c r="M631" s="2741"/>
      <c r="N631" s="2740"/>
      <c r="O631" s="1632"/>
      <c r="P631" s="2472"/>
      <c r="Q631" s="2901"/>
    </row>
    <row r="632" spans="1:17" ht="15" customHeight="1" x14ac:dyDescent="0.3">
      <c r="A632" s="3587"/>
      <c r="B632" s="2444">
        <v>14052</v>
      </c>
      <c r="C632" s="333">
        <v>0.1</v>
      </c>
      <c r="D632" s="2883" t="s">
        <v>3419</v>
      </c>
      <c r="E632" s="1628">
        <v>1350000</v>
      </c>
      <c r="F632" s="1720">
        <v>0.05</v>
      </c>
      <c r="G632" s="2753">
        <f t="shared" si="33"/>
        <v>67500</v>
      </c>
      <c r="H632" s="2756" t="s">
        <v>3010</v>
      </c>
      <c r="I632" s="2764" t="s">
        <v>133</v>
      </c>
      <c r="J632" s="3038"/>
      <c r="K632" s="2764"/>
      <c r="L632" s="3038"/>
      <c r="M632" s="2741"/>
      <c r="N632" s="2740"/>
      <c r="O632" s="1632"/>
      <c r="P632" s="2472"/>
      <c r="Q632" s="2901"/>
    </row>
    <row r="633" spans="1:17" ht="15" customHeight="1" x14ac:dyDescent="0.3">
      <c r="A633" s="3587"/>
      <c r="B633" s="2444">
        <v>14104</v>
      </c>
      <c r="C633" s="333">
        <v>0.1</v>
      </c>
      <c r="D633" s="2883" t="s">
        <v>3439</v>
      </c>
      <c r="E633" s="1628">
        <v>1100000</v>
      </c>
      <c r="F633" s="1720">
        <v>0.1</v>
      </c>
      <c r="G633" s="2753">
        <f t="shared" si="33"/>
        <v>110000</v>
      </c>
      <c r="H633" s="2756" t="s">
        <v>2993</v>
      </c>
      <c r="I633" s="2764" t="s">
        <v>133</v>
      </c>
      <c r="J633" s="3038"/>
      <c r="K633" s="2764"/>
      <c r="L633" s="3038"/>
      <c r="M633" s="2741"/>
      <c r="N633" s="2740"/>
      <c r="O633" s="2740"/>
      <c r="P633" s="2472"/>
      <c r="Q633" s="2901"/>
    </row>
    <row r="634" spans="1:17" ht="15" customHeight="1" x14ac:dyDescent="0.3">
      <c r="A634" s="3587"/>
      <c r="B634" s="2486" t="s">
        <v>3296</v>
      </c>
      <c r="C634" s="2723"/>
      <c r="D634" s="2826" t="s">
        <v>3440</v>
      </c>
      <c r="E634" s="1628"/>
      <c r="F634" s="1720"/>
      <c r="G634" s="2753"/>
      <c r="H634" s="2756"/>
      <c r="I634" s="2764" t="s">
        <v>133</v>
      </c>
      <c r="J634" s="3038"/>
      <c r="K634" s="2764" t="s">
        <v>3441</v>
      </c>
      <c r="L634" s="3038"/>
      <c r="M634" s="2741"/>
      <c r="N634" s="2740"/>
      <c r="O634" s="2740"/>
      <c r="P634" s="2472"/>
      <c r="Q634" s="2901"/>
    </row>
    <row r="635" spans="1:17" ht="15" customHeight="1" x14ac:dyDescent="0.3">
      <c r="A635" s="3595"/>
      <c r="B635" s="1911"/>
      <c r="C635" s="2361"/>
      <c r="D635" s="1116" t="s">
        <v>3000</v>
      </c>
      <c r="E635" s="1631">
        <f>SUM(E623:E634)</f>
        <v>15250000</v>
      </c>
      <c r="F635" s="514"/>
      <c r="G635" s="483">
        <f>SUM(G623:G634)</f>
        <v>1275500</v>
      </c>
      <c r="H635" s="1911"/>
      <c r="I635" s="2625"/>
      <c r="J635" s="514"/>
      <c r="K635" s="342"/>
      <c r="L635" s="514"/>
      <c r="M635" s="287"/>
      <c r="N635" s="3594" t="s">
        <v>3026</v>
      </c>
      <c r="O635" s="3594"/>
      <c r="P635" s="3594"/>
      <c r="Q635" s="848">
        <f>SUM(Q623:Q634)</f>
        <v>132500</v>
      </c>
    </row>
    <row r="636" spans="1:17" ht="15" customHeight="1" x14ac:dyDescent="0.3">
      <c r="A636" s="2894"/>
      <c r="B636" s="1918"/>
      <c r="C636" s="840"/>
      <c r="D636" s="1184" t="s">
        <v>3002</v>
      </c>
      <c r="E636" s="1212">
        <f>G635+Q635</f>
        <v>1408000</v>
      </c>
      <c r="F636" s="1210"/>
      <c r="G636" s="2364"/>
      <c r="H636" s="1915"/>
      <c r="I636" s="2631"/>
      <c r="J636" s="1210"/>
      <c r="K636" s="2365"/>
      <c r="L636" s="1210"/>
      <c r="M636" s="895"/>
      <c r="N636" s="844"/>
      <c r="O636" s="844"/>
      <c r="P636" s="2094"/>
      <c r="Q636" s="294"/>
    </row>
    <row r="637" spans="1:17" ht="15.6" x14ac:dyDescent="0.3">
      <c r="A637" s="816"/>
      <c r="B637" s="1922"/>
      <c r="C637" s="464"/>
      <c r="D637" s="1118"/>
      <c r="E637" s="466"/>
      <c r="F637" s="464"/>
      <c r="G637" s="467"/>
      <c r="H637" s="1922"/>
      <c r="I637" s="2627"/>
      <c r="J637" s="464"/>
      <c r="K637" s="465"/>
      <c r="L637" s="464"/>
      <c r="M637" s="468"/>
      <c r="N637" s="469"/>
      <c r="O637" s="469"/>
      <c r="P637" s="3289"/>
      <c r="Q637" s="463"/>
    </row>
    <row r="638" spans="1:17" ht="15.6" x14ac:dyDescent="0.3">
      <c r="A638" s="816"/>
      <c r="B638" s="1925"/>
      <c r="C638" s="825"/>
      <c r="D638" s="1172"/>
      <c r="E638" s="827"/>
      <c r="F638" s="825"/>
      <c r="G638" s="828"/>
      <c r="H638" s="1925"/>
      <c r="I638" s="2628"/>
      <c r="J638" s="825"/>
      <c r="K638" s="826"/>
      <c r="L638" s="825"/>
      <c r="M638" s="829"/>
      <c r="N638" s="830"/>
      <c r="O638" s="830"/>
      <c r="P638" s="3290"/>
      <c r="Q638" s="831"/>
    </row>
    <row r="639" spans="1:17" ht="21" x14ac:dyDescent="0.4">
      <c r="A639" s="3574" t="s">
        <v>3185</v>
      </c>
      <c r="B639" s="3574"/>
      <c r="C639" s="3574"/>
      <c r="D639" s="3574"/>
      <c r="E639" s="3574"/>
      <c r="F639" s="3574"/>
      <c r="G639" s="3574"/>
      <c r="H639" s="3574"/>
      <c r="I639" s="3574"/>
      <c r="J639" s="3574"/>
      <c r="K639" s="3574"/>
      <c r="L639" s="3027"/>
      <c r="M639" s="287"/>
      <c r="N639" s="845"/>
      <c r="O639" s="845"/>
      <c r="P639" s="3291"/>
      <c r="Q639" s="294"/>
    </row>
    <row r="640" spans="1:17" x14ac:dyDescent="0.3">
      <c r="A640" s="2747" t="s">
        <v>2974</v>
      </c>
      <c r="B640" s="2746" t="s">
        <v>2975</v>
      </c>
      <c r="C640" s="2745" t="s">
        <v>3004</v>
      </c>
      <c r="D640" s="2766" t="s">
        <v>2977</v>
      </c>
      <c r="E640" s="2767" t="s">
        <v>2978</v>
      </c>
      <c r="F640" s="2745" t="s">
        <v>2979</v>
      </c>
      <c r="G640" s="2750" t="s">
        <v>2980</v>
      </c>
      <c r="H640" s="2746" t="s">
        <v>2981</v>
      </c>
      <c r="I640" s="2751" t="s">
        <v>2982</v>
      </c>
      <c r="J640" s="2747"/>
      <c r="K640" s="2747" t="s">
        <v>2983</v>
      </c>
      <c r="L640" s="2747"/>
      <c r="M640" s="2503" t="s">
        <v>2975</v>
      </c>
      <c r="N640" s="2503" t="s">
        <v>2977</v>
      </c>
      <c r="O640" s="2740" t="s">
        <v>2984</v>
      </c>
      <c r="P640" s="2472" t="s">
        <v>2979</v>
      </c>
      <c r="Q640" s="2" t="s">
        <v>2985</v>
      </c>
    </row>
    <row r="641" spans="1:17" ht="15" customHeight="1" x14ac:dyDescent="0.3">
      <c r="A641" s="3586" t="s">
        <v>3417</v>
      </c>
      <c r="B641" s="2546">
        <v>14028</v>
      </c>
      <c r="C641" s="2443">
        <v>0.1</v>
      </c>
      <c r="D641" s="67" t="s">
        <v>3442</v>
      </c>
      <c r="E641" s="2885">
        <v>1450000</v>
      </c>
      <c r="F641" s="1899">
        <v>0.05</v>
      </c>
      <c r="G641" s="1901">
        <f>E641*F641</f>
        <v>72500</v>
      </c>
      <c r="H641" s="1900" t="s">
        <v>118</v>
      </c>
      <c r="I641" s="2644" t="s">
        <v>1770</v>
      </c>
      <c r="J641" s="2741"/>
      <c r="K641" s="2503"/>
      <c r="L641" s="2741"/>
      <c r="M641" s="2741"/>
      <c r="N641" s="120" t="s">
        <v>3424</v>
      </c>
      <c r="O641" s="2900">
        <v>1050000</v>
      </c>
      <c r="P641" s="1720">
        <v>0.04</v>
      </c>
      <c r="Q641" s="1901">
        <f>O641*P641</f>
        <v>42000</v>
      </c>
    </row>
    <row r="642" spans="1:17" ht="15" customHeight="1" x14ac:dyDescent="0.3">
      <c r="A642" s="3587"/>
      <c r="B642" s="2546">
        <v>13946</v>
      </c>
      <c r="C642" s="333">
        <v>0.1</v>
      </c>
      <c r="D642" s="2670" t="s">
        <v>3443</v>
      </c>
      <c r="E642" s="2676">
        <v>1200000</v>
      </c>
      <c r="F642" s="1899">
        <v>0.05</v>
      </c>
      <c r="G642" s="1901">
        <f>E642*F642</f>
        <v>60000</v>
      </c>
      <c r="H642" s="1900" t="s">
        <v>118</v>
      </c>
      <c r="I642" s="2644" t="s">
        <v>1770</v>
      </c>
      <c r="J642" s="2741"/>
      <c r="K642" s="2740"/>
      <c r="L642" s="2741"/>
      <c r="M642" s="2741"/>
      <c r="N642" s="2852" t="s">
        <v>3437</v>
      </c>
      <c r="O642" s="2900">
        <v>1000000</v>
      </c>
      <c r="P642" s="1720">
        <v>0.04</v>
      </c>
      <c r="Q642" s="1901">
        <f>O642*P642</f>
        <v>40000</v>
      </c>
    </row>
    <row r="643" spans="1:17" ht="15" customHeight="1" x14ac:dyDescent="0.3">
      <c r="A643" s="3587"/>
      <c r="B643" s="2546">
        <v>14073</v>
      </c>
      <c r="C643" s="333">
        <v>0.1</v>
      </c>
      <c r="D643" s="2670" t="s">
        <v>3444</v>
      </c>
      <c r="E643" s="2676">
        <v>1500000</v>
      </c>
      <c r="F643" s="1899">
        <v>0.08</v>
      </c>
      <c r="G643" s="1901">
        <f>E643*F643</f>
        <v>120000</v>
      </c>
      <c r="H643" s="1900" t="s">
        <v>1685</v>
      </c>
      <c r="I643" s="2644" t="s">
        <v>133</v>
      </c>
      <c r="J643" s="2741"/>
      <c r="K643" s="2503"/>
      <c r="L643" s="2741"/>
      <c r="M643" s="2741"/>
      <c r="N643" s="2762"/>
      <c r="O643" s="2503"/>
      <c r="P643" s="1720"/>
      <c r="Q643" s="2895"/>
    </row>
    <row r="644" spans="1:17" ht="15" customHeight="1" x14ac:dyDescent="0.3">
      <c r="A644" s="3587"/>
      <c r="B644" s="2546">
        <v>14110</v>
      </c>
      <c r="C644" s="333">
        <v>0.1</v>
      </c>
      <c r="D644" s="2670" t="s">
        <v>3445</v>
      </c>
      <c r="E644" s="2676">
        <v>1000000</v>
      </c>
      <c r="F644" s="1899">
        <v>0.08</v>
      </c>
      <c r="G644" s="1901">
        <f>E644*F644</f>
        <v>80000</v>
      </c>
      <c r="H644" s="1900" t="s">
        <v>1685</v>
      </c>
      <c r="I644" s="2644" t="s">
        <v>2512</v>
      </c>
      <c r="J644" s="2741"/>
      <c r="K644" s="2740"/>
      <c r="L644" s="2741"/>
      <c r="M644" s="2741"/>
      <c r="N644" s="2762"/>
      <c r="O644" s="2503"/>
      <c r="P644" s="1720"/>
      <c r="Q644" s="2895"/>
    </row>
    <row r="645" spans="1:17" ht="15" customHeight="1" x14ac:dyDescent="0.3">
      <c r="A645" s="3587"/>
      <c r="B645" s="2825" t="s">
        <v>3192</v>
      </c>
      <c r="C645" s="2723"/>
      <c r="D645" s="2826" t="s">
        <v>3446</v>
      </c>
      <c r="E645" s="2676"/>
      <c r="F645" s="1899"/>
      <c r="G645" s="1901"/>
      <c r="H645" s="1900"/>
      <c r="I645" s="2644" t="s">
        <v>2118</v>
      </c>
      <c r="J645" s="2503"/>
      <c r="K645" s="2503" t="s">
        <v>3447</v>
      </c>
      <c r="L645" s="2503"/>
      <c r="M645" s="2503"/>
      <c r="N645" s="2762"/>
      <c r="O645" s="2503"/>
      <c r="P645" s="1720"/>
      <c r="Q645" s="2895"/>
    </row>
    <row r="646" spans="1:17" ht="15" customHeight="1" x14ac:dyDescent="0.3">
      <c r="A646" s="3587"/>
      <c r="B646" s="2825" t="s">
        <v>3192</v>
      </c>
      <c r="C646" s="2723"/>
      <c r="D646" s="2826" t="s">
        <v>3448</v>
      </c>
      <c r="E646" s="2676"/>
      <c r="F646" s="1899"/>
      <c r="G646" s="1901"/>
      <c r="H646" s="1900"/>
      <c r="I646" s="2644" t="s">
        <v>1770</v>
      </c>
      <c r="J646" s="2741"/>
      <c r="K646" s="2503" t="s">
        <v>3449</v>
      </c>
      <c r="L646" s="2741"/>
      <c r="M646" s="2741"/>
      <c r="N646" s="2762"/>
      <c r="O646" s="2503"/>
      <c r="P646" s="1720"/>
      <c r="Q646" s="2895"/>
    </row>
    <row r="647" spans="1:17" ht="15" customHeight="1" x14ac:dyDescent="0.3">
      <c r="A647" s="3587"/>
      <c r="B647" s="1947"/>
      <c r="C647" s="1911"/>
      <c r="D647" s="1909" t="s">
        <v>3000</v>
      </c>
      <c r="E647" s="1910">
        <f>SUM(E641:E646)</f>
        <v>5150000</v>
      </c>
      <c r="F647" s="1911"/>
      <c r="G647" s="1912">
        <f>SUM(G641:G644)</f>
        <v>332500</v>
      </c>
      <c r="H647" s="1911"/>
      <c r="I647" s="2634"/>
      <c r="J647" s="2841"/>
      <c r="K647" s="2841"/>
      <c r="L647" s="2841"/>
      <c r="M647" s="895"/>
      <c r="Q647" s="848">
        <f>SUM(Q641:Q646)</f>
        <v>82000</v>
      </c>
    </row>
    <row r="648" spans="1:17" ht="15" customHeight="1" x14ac:dyDescent="0.3">
      <c r="A648" s="3595"/>
      <c r="B648" s="1914"/>
      <c r="C648" s="1918"/>
      <c r="D648" s="2533" t="s">
        <v>3002</v>
      </c>
      <c r="E648" s="1917">
        <f>G647+Q647</f>
        <v>414500</v>
      </c>
      <c r="F648" s="1918"/>
      <c r="G648" s="1919"/>
      <c r="H648" s="1918"/>
      <c r="I648" s="2635"/>
      <c r="J648" s="1920"/>
      <c r="K648" s="1920"/>
      <c r="L648" s="1920"/>
      <c r="M648" s="287"/>
      <c r="N648" s="3590" t="s">
        <v>3026</v>
      </c>
      <c r="O648" s="3591"/>
      <c r="P648" s="3592"/>
      <c r="Q648" s="1007"/>
    </row>
    <row r="649" spans="1:17" ht="15.6" x14ac:dyDescent="0.3">
      <c r="A649" s="1921"/>
      <c r="B649" s="1925"/>
      <c r="C649" s="1925"/>
      <c r="D649" s="1922"/>
      <c r="E649" s="1923"/>
      <c r="F649" s="1922"/>
      <c r="G649" s="1924"/>
      <c r="H649" s="1922"/>
      <c r="I649" s="2636"/>
      <c r="J649" s="1922"/>
      <c r="K649" s="1922"/>
      <c r="L649" s="1922"/>
      <c r="M649" s="468"/>
      <c r="N649" s="469"/>
      <c r="O649" s="469"/>
      <c r="P649" s="3289"/>
      <c r="Q649" s="463"/>
    </row>
    <row r="650" spans="1:17" ht="21" x14ac:dyDescent="0.3">
      <c r="A650" s="3532" t="s">
        <v>3348</v>
      </c>
      <c r="B650" s="3532"/>
      <c r="C650" s="3532"/>
      <c r="D650" s="3532"/>
      <c r="E650" s="3532"/>
      <c r="F650" s="3532"/>
      <c r="G650" s="3532"/>
      <c r="H650" s="3533"/>
      <c r="I650" s="3532"/>
      <c r="J650" s="3532"/>
      <c r="K650" s="3532"/>
      <c r="L650" s="3028"/>
      <c r="M650" s="287"/>
      <c r="N650" s="845"/>
      <c r="O650" s="845"/>
      <c r="P650" s="3291"/>
      <c r="Q650" s="294"/>
    </row>
    <row r="651" spans="1:17" x14ac:dyDescent="0.3">
      <c r="A651" s="2771" t="s">
        <v>2974</v>
      </c>
      <c r="B651" s="2843" t="s">
        <v>2975</v>
      </c>
      <c r="C651" s="2843" t="s">
        <v>3004</v>
      </c>
      <c r="D651" s="2843" t="s">
        <v>2977</v>
      </c>
      <c r="E651" s="2890" t="s">
        <v>2978</v>
      </c>
      <c r="F651" s="2746" t="s">
        <v>2979</v>
      </c>
      <c r="G651" s="2769" t="s">
        <v>2980</v>
      </c>
      <c r="H651" s="2746" t="s">
        <v>2981</v>
      </c>
      <c r="I651" s="2770" t="s">
        <v>2982</v>
      </c>
      <c r="J651" s="2771"/>
      <c r="K651" s="2771" t="s">
        <v>2983</v>
      </c>
      <c r="L651" s="2771"/>
      <c r="M651" s="2740" t="s">
        <v>2975</v>
      </c>
      <c r="N651" s="2503" t="s">
        <v>2977</v>
      </c>
      <c r="O651" s="2503" t="s">
        <v>2984</v>
      </c>
      <c r="P651" s="1720" t="s">
        <v>2979</v>
      </c>
      <c r="Q651" s="2" t="s">
        <v>2985</v>
      </c>
    </row>
    <row r="652" spans="1:17" ht="15" customHeight="1" x14ac:dyDescent="0.3">
      <c r="A652" s="3534"/>
      <c r="B652" s="2830"/>
      <c r="C652" s="2831"/>
      <c r="D652" s="2050"/>
      <c r="E652" s="2676"/>
      <c r="F652" s="1943"/>
      <c r="G652" s="2368"/>
      <c r="H652" s="1905"/>
      <c r="I652" s="2638"/>
      <c r="J652" s="371"/>
      <c r="K652" s="1058"/>
      <c r="L652" s="371"/>
      <c r="M652" s="2598"/>
      <c r="N652" s="2598"/>
      <c r="O652" s="2503"/>
      <c r="P652" s="1720"/>
      <c r="Q652" s="2"/>
    </row>
    <row r="653" spans="1:17" ht="15" customHeight="1" x14ac:dyDescent="0.3">
      <c r="A653" s="3535"/>
      <c r="B653" s="2830"/>
      <c r="C653" s="2831"/>
      <c r="D653" s="2050"/>
      <c r="E653" s="2676"/>
      <c r="F653" s="1943"/>
      <c r="G653" s="2368"/>
      <c r="H653" s="1905"/>
      <c r="I653" s="2638"/>
      <c r="J653" s="371"/>
      <c r="K653" s="1058"/>
      <c r="L653" s="371"/>
      <c r="M653" s="2598"/>
      <c r="N653" s="2598"/>
      <c r="O653" s="2503"/>
      <c r="P653" s="1720"/>
      <c r="Q653" s="2"/>
    </row>
    <row r="654" spans="1:17" ht="15" customHeight="1" x14ac:dyDescent="0.3">
      <c r="A654" s="3535"/>
      <c r="B654" s="2673"/>
      <c r="C654" s="2674"/>
      <c r="D654" s="1576"/>
      <c r="E654" s="2676"/>
      <c r="F654" s="1943"/>
      <c r="G654" s="2368"/>
      <c r="H654" s="1905"/>
      <c r="I654" s="2638"/>
      <c r="J654" s="371"/>
      <c r="K654" s="1058"/>
      <c r="L654" s="371"/>
      <c r="M654" s="2598"/>
      <c r="N654" s="2598"/>
      <c r="O654" s="2503"/>
      <c r="P654" s="1720"/>
      <c r="Q654" s="2"/>
    </row>
    <row r="655" spans="1:17" ht="15" customHeight="1" x14ac:dyDescent="0.3">
      <c r="A655" s="3535"/>
      <c r="B655" s="1947"/>
      <c r="C655" s="1911"/>
      <c r="D655" s="1948" t="s">
        <v>3000</v>
      </c>
      <c r="E655" s="1910">
        <f>SUM(E652:E654)</f>
        <v>0</v>
      </c>
      <c r="F655" s="1911"/>
      <c r="G655" s="1912"/>
      <c r="H655" s="1911"/>
      <c r="I655" s="2634"/>
      <c r="J655" s="1911"/>
      <c r="K655" s="1911"/>
      <c r="L655" s="1911"/>
      <c r="M655" s="287"/>
      <c r="N655" s="3593" t="s">
        <v>3026</v>
      </c>
      <c r="O655" s="3593"/>
      <c r="P655" s="3594"/>
      <c r="Q655" s="848"/>
    </row>
    <row r="656" spans="1:17" ht="15" customHeight="1" x14ac:dyDescent="0.3">
      <c r="A656" s="3536"/>
      <c r="B656" s="1949"/>
      <c r="C656" s="1915"/>
      <c r="D656" s="2373" t="s">
        <v>3002</v>
      </c>
      <c r="E656" s="2374"/>
      <c r="F656" s="1915"/>
      <c r="G656" s="2375"/>
      <c r="H656" s="1915"/>
      <c r="I656" s="2639"/>
      <c r="J656" s="2376"/>
      <c r="K656" s="2376"/>
      <c r="L656" s="2376"/>
      <c r="M656" s="895"/>
      <c r="N656" s="968"/>
      <c r="O656" s="968"/>
      <c r="P656" s="2073"/>
      <c r="Q656" s="294"/>
    </row>
    <row r="657" spans="1:17" x14ac:dyDescent="0.3">
      <c r="D657" s="2535"/>
      <c r="E657" s="2390"/>
    </row>
    <row r="658" spans="1:17" ht="15" customHeight="1" x14ac:dyDescent="0.3">
      <c r="A658" s="3565" t="s">
        <v>3064</v>
      </c>
      <c r="B658" s="3566"/>
      <c r="C658" s="2361"/>
      <c r="D658" s="2772">
        <f>E598+E599+E607+E608+E609+E610+E611+E612+E613+E614+E623+E624+E625+E626+E627+E628+E629+E630+E631+E632+E633+E641+E642+E643+E644</f>
        <v>33250000</v>
      </c>
      <c r="E658" s="2390"/>
    </row>
    <row r="659" spans="1:17" ht="15" customHeight="1" x14ac:dyDescent="0.3">
      <c r="A659" s="3567" t="s">
        <v>3065</v>
      </c>
      <c r="B659" s="3568"/>
      <c r="C659" s="1392"/>
      <c r="D659" s="2774"/>
      <c r="E659" s="2390"/>
    </row>
    <row r="660" spans="1:17" ht="15" customHeight="1" x14ac:dyDescent="0.3">
      <c r="A660" s="3569" t="s">
        <v>3066</v>
      </c>
      <c r="B660" s="3570"/>
      <c r="C660" s="2776"/>
      <c r="D660" s="2777"/>
      <c r="E660" s="2390"/>
    </row>
    <row r="661" spans="1:17" ht="15" customHeight="1" x14ac:dyDescent="0.3">
      <c r="A661" s="3551" t="s">
        <v>3067</v>
      </c>
      <c r="B661" s="3552"/>
      <c r="C661" s="2778"/>
      <c r="D661" s="2779"/>
      <c r="E661" s="2390"/>
    </row>
    <row r="662" spans="1:17" ht="15" customHeight="1" x14ac:dyDescent="0.3">
      <c r="A662" s="3571" t="s">
        <v>3068</v>
      </c>
      <c r="B662" s="3572"/>
      <c r="C662" s="2780"/>
      <c r="D662" s="729"/>
    </row>
    <row r="663" spans="1:17" ht="15" customHeight="1" x14ac:dyDescent="0.3">
      <c r="A663" s="3573" t="s">
        <v>3069</v>
      </c>
      <c r="B663" s="3573"/>
      <c r="C663" s="2780"/>
      <c r="D663" s="2529"/>
    </row>
    <row r="664" spans="1:17" x14ac:dyDescent="0.3">
      <c r="A664" s="2781"/>
      <c r="B664" s="2066" t="s">
        <v>3070</v>
      </c>
      <c r="C664" s="1581"/>
      <c r="D664" s="2782">
        <f>SUM(D658:D663)</f>
        <v>33250000</v>
      </c>
    </row>
    <row r="667" spans="1:17" ht="46.2" x14ac:dyDescent="0.85">
      <c r="A667" s="3585" t="s">
        <v>3450</v>
      </c>
      <c r="B667" s="3585"/>
      <c r="C667" s="3585"/>
      <c r="D667" s="3585"/>
      <c r="E667" s="3585"/>
      <c r="F667" s="3585"/>
      <c r="G667" s="3585"/>
      <c r="H667" s="3585"/>
      <c r="I667" s="3585"/>
      <c r="J667" s="3585"/>
      <c r="K667" s="3585"/>
      <c r="L667" s="3024"/>
    </row>
    <row r="669" spans="1:17" ht="21" x14ac:dyDescent="0.4">
      <c r="A669" s="3555" t="s">
        <v>3451</v>
      </c>
      <c r="B669" s="3555"/>
      <c r="C669" s="3555"/>
      <c r="D669" s="3555"/>
      <c r="E669" s="3555"/>
      <c r="F669" s="3555"/>
      <c r="G669" s="3555"/>
      <c r="H669" s="3555"/>
      <c r="I669" s="3555"/>
      <c r="J669" s="3555"/>
      <c r="K669" s="3555"/>
      <c r="L669" s="3046"/>
      <c r="M669" s="3556" t="s">
        <v>2973</v>
      </c>
      <c r="N669" s="3556"/>
      <c r="O669" s="3556"/>
      <c r="P669" s="3556"/>
      <c r="Q669" s="2"/>
    </row>
    <row r="670" spans="1:17" x14ac:dyDescent="0.3">
      <c r="A670" s="2747" t="s">
        <v>2974</v>
      </c>
      <c r="B670" s="2746" t="s">
        <v>2975</v>
      </c>
      <c r="C670" s="2745" t="s">
        <v>2976</v>
      </c>
      <c r="D670" s="2748" t="s">
        <v>2977</v>
      </c>
      <c r="E670" s="2749" t="s">
        <v>2978</v>
      </c>
      <c r="F670" s="2745" t="s">
        <v>2979</v>
      </c>
      <c r="G670" s="2750" t="s">
        <v>2980</v>
      </c>
      <c r="H670" s="2746" t="s">
        <v>2981</v>
      </c>
      <c r="I670" s="2751" t="s">
        <v>2982</v>
      </c>
      <c r="J670" s="2752"/>
      <c r="K670" s="2745" t="s">
        <v>2983</v>
      </c>
      <c r="L670" s="2752"/>
      <c r="M670" s="2752" t="s">
        <v>2975</v>
      </c>
      <c r="N670" s="2752" t="s">
        <v>2977</v>
      </c>
      <c r="O670" s="2752" t="s">
        <v>2984</v>
      </c>
      <c r="P670" s="3295" t="s">
        <v>2979</v>
      </c>
      <c r="Q670" s="268" t="s">
        <v>2985</v>
      </c>
    </row>
    <row r="671" spans="1:17" ht="15" customHeight="1" x14ac:dyDescent="0.3">
      <c r="A671" s="3586" t="s">
        <v>3452</v>
      </c>
      <c r="B671" s="1010">
        <v>14176</v>
      </c>
      <c r="C671" s="333">
        <v>0.1</v>
      </c>
      <c r="D671" s="1088" t="s">
        <v>3453</v>
      </c>
      <c r="E671" s="2955">
        <v>1350000</v>
      </c>
      <c r="F671" s="320">
        <v>0.04</v>
      </c>
      <c r="G671" s="321">
        <f t="shared" ref="G671:G676" si="35">E671*F671</f>
        <v>54000</v>
      </c>
      <c r="H671" s="1900" t="s">
        <v>2993</v>
      </c>
      <c r="I671" s="2621" t="s">
        <v>133</v>
      </c>
      <c r="J671" s="3200"/>
      <c r="K671" s="34"/>
      <c r="L671" s="3200"/>
      <c r="M671" s="2762"/>
      <c r="N671" s="2503"/>
      <c r="O671" s="2503"/>
      <c r="P671" s="1720"/>
      <c r="Q671" s="51"/>
    </row>
    <row r="672" spans="1:17" ht="15" customHeight="1" x14ac:dyDescent="0.3">
      <c r="A672" s="3587"/>
      <c r="B672" s="1010">
        <v>14199</v>
      </c>
      <c r="C672" s="333">
        <v>0.1</v>
      </c>
      <c r="D672" s="1095" t="s">
        <v>3454</v>
      </c>
      <c r="E672" s="2955">
        <v>1200000</v>
      </c>
      <c r="F672" s="320">
        <v>0.05</v>
      </c>
      <c r="G672" s="321">
        <f t="shared" si="35"/>
        <v>60000</v>
      </c>
      <c r="H672" s="1900" t="s">
        <v>118</v>
      </c>
      <c r="I672" s="2621" t="s">
        <v>133</v>
      </c>
      <c r="J672" s="3200"/>
      <c r="K672" s="34"/>
      <c r="L672" s="3200"/>
      <c r="M672" s="2762"/>
      <c r="N672" s="2503"/>
      <c r="O672" s="2503"/>
      <c r="P672" s="1720"/>
      <c r="Q672" s="51"/>
    </row>
    <row r="673" spans="1:17" ht="15" customHeight="1" x14ac:dyDescent="0.3">
      <c r="A673" s="3587"/>
      <c r="B673" s="1010">
        <v>14196</v>
      </c>
      <c r="C673" s="333">
        <v>0.1</v>
      </c>
      <c r="D673" s="1095" t="s">
        <v>3455</v>
      </c>
      <c r="E673" s="2955">
        <v>1000000</v>
      </c>
      <c r="F673" s="320">
        <v>0.05</v>
      </c>
      <c r="G673" s="321">
        <f t="shared" si="35"/>
        <v>50000</v>
      </c>
      <c r="H673" s="1900" t="s">
        <v>118</v>
      </c>
      <c r="I673" s="2621" t="s">
        <v>133</v>
      </c>
      <c r="J673" s="3200"/>
      <c r="K673" s="34"/>
      <c r="L673" s="3200"/>
      <c r="M673" s="2762"/>
      <c r="N673" s="2503"/>
      <c r="O673" s="2503"/>
      <c r="P673" s="1720"/>
      <c r="Q673" s="51"/>
    </row>
    <row r="674" spans="1:17" ht="15" customHeight="1" x14ac:dyDescent="0.3">
      <c r="A674" s="3587"/>
      <c r="B674" s="1010">
        <v>14241</v>
      </c>
      <c r="C674" s="2611">
        <v>0.1</v>
      </c>
      <c r="D674" s="133" t="s">
        <v>3456</v>
      </c>
      <c r="E674" s="2955">
        <v>1650000</v>
      </c>
      <c r="F674" s="320">
        <v>0.08</v>
      </c>
      <c r="G674" s="321">
        <f t="shared" si="35"/>
        <v>132000</v>
      </c>
      <c r="H674" s="1900" t="s">
        <v>3237</v>
      </c>
      <c r="I674" s="2621" t="s">
        <v>133</v>
      </c>
      <c r="J674" s="3200"/>
      <c r="K674" s="34"/>
      <c r="L674" s="3200"/>
      <c r="M674" s="2762"/>
      <c r="N674" s="2503"/>
      <c r="O674" s="2503"/>
      <c r="P674" s="1720"/>
      <c r="Q674" s="51"/>
    </row>
    <row r="675" spans="1:17" ht="15" customHeight="1" x14ac:dyDescent="0.3">
      <c r="A675" s="3587"/>
      <c r="B675" s="1010">
        <v>14252</v>
      </c>
      <c r="C675" s="2611">
        <v>0.1</v>
      </c>
      <c r="D675" s="1096" t="s">
        <v>3457</v>
      </c>
      <c r="E675" s="2955">
        <v>1300000</v>
      </c>
      <c r="F675" s="320">
        <v>0.04</v>
      </c>
      <c r="G675" s="321">
        <f t="shared" si="35"/>
        <v>52000</v>
      </c>
      <c r="H675" s="1900" t="s">
        <v>2993</v>
      </c>
      <c r="I675" s="2621" t="s">
        <v>133</v>
      </c>
      <c r="J675" s="3200"/>
      <c r="K675" s="34"/>
      <c r="L675" s="3200"/>
      <c r="M675" s="2762"/>
      <c r="N675" s="2503"/>
      <c r="O675" s="2503"/>
      <c r="P675" s="1720"/>
      <c r="Q675" s="51"/>
    </row>
    <row r="676" spans="1:17" ht="15" customHeight="1" x14ac:dyDescent="0.3">
      <c r="A676" s="3587"/>
      <c r="B676" s="1010">
        <v>14263</v>
      </c>
      <c r="C676" s="2694">
        <v>7.0000000000000007E-2</v>
      </c>
      <c r="D676" s="133" t="s">
        <v>3458</v>
      </c>
      <c r="E676" s="2970">
        <v>2941177</v>
      </c>
      <c r="F676" s="320">
        <v>0.03</v>
      </c>
      <c r="G676" s="321">
        <f t="shared" si="35"/>
        <v>88235.31</v>
      </c>
      <c r="H676" s="1900" t="s">
        <v>118</v>
      </c>
      <c r="I676" s="2621" t="s">
        <v>133</v>
      </c>
      <c r="J676" s="3184"/>
      <c r="K676" s="1762"/>
      <c r="L676" s="3184"/>
      <c r="M676" s="2762"/>
      <c r="N676" s="2503"/>
      <c r="O676" s="2503"/>
      <c r="P676" s="1720"/>
      <c r="Q676" s="51"/>
    </row>
    <row r="677" spans="1:17" ht="15" customHeight="1" x14ac:dyDescent="0.3">
      <c r="A677" s="3587"/>
      <c r="B677" s="2486" t="s">
        <v>3022</v>
      </c>
      <c r="C677" s="2516"/>
      <c r="D677" s="2969" t="s">
        <v>3459</v>
      </c>
      <c r="E677" s="2955"/>
      <c r="F677" s="320"/>
      <c r="G677" s="321"/>
      <c r="H677" s="1900"/>
      <c r="I677" s="2621"/>
      <c r="J677" s="3184"/>
      <c r="K677" s="1762"/>
      <c r="L677" s="3184"/>
      <c r="M677" s="2762"/>
      <c r="N677" s="2503"/>
      <c r="O677" s="2503"/>
      <c r="P677" s="1720"/>
      <c r="Q677" s="51"/>
    </row>
    <row r="678" spans="1:17" ht="15" customHeight="1" x14ac:dyDescent="0.3">
      <c r="A678" s="3587"/>
      <c r="B678" s="2486" t="s">
        <v>3022</v>
      </c>
      <c r="C678" s="2516"/>
      <c r="D678" s="2969" t="s">
        <v>3460</v>
      </c>
      <c r="E678" s="2955"/>
      <c r="F678" s="320"/>
      <c r="G678" s="321"/>
      <c r="H678" s="1900"/>
      <c r="I678" s="2621"/>
      <c r="J678" s="3200"/>
      <c r="K678" s="34"/>
      <c r="L678" s="3200"/>
      <c r="M678" s="2762"/>
      <c r="N678" s="2503"/>
      <c r="O678" s="2503"/>
      <c r="P678" s="1720"/>
      <c r="Q678" s="51"/>
    </row>
    <row r="679" spans="1:17" ht="15" customHeight="1" x14ac:dyDescent="0.3">
      <c r="A679" s="3587"/>
      <c r="B679" s="2486" t="s">
        <v>3022</v>
      </c>
      <c r="C679" s="393"/>
      <c r="D679" s="2964" t="s">
        <v>3461</v>
      </c>
      <c r="E679" s="2912"/>
      <c r="F679" s="320"/>
      <c r="G679" s="321"/>
      <c r="H679" s="1900"/>
      <c r="I679" s="2621"/>
      <c r="J679" s="3184"/>
      <c r="K679" s="1762"/>
      <c r="L679" s="3184"/>
      <c r="M679" s="2762"/>
      <c r="N679" s="2503"/>
      <c r="O679" s="2503"/>
      <c r="P679" s="1720"/>
      <c r="Q679" s="51"/>
    </row>
    <row r="680" spans="1:17" ht="15" customHeight="1" x14ac:dyDescent="0.3">
      <c r="A680" s="3587"/>
      <c r="B680" s="2486" t="s">
        <v>3022</v>
      </c>
      <c r="C680" s="2516"/>
      <c r="D680" s="2823" t="s">
        <v>3462</v>
      </c>
      <c r="E680" s="2912"/>
      <c r="F680" s="320"/>
      <c r="G680" s="321"/>
      <c r="H680" s="1900"/>
      <c r="I680" s="2621"/>
      <c r="J680" s="3184"/>
      <c r="K680" s="1762"/>
      <c r="L680" s="3184"/>
      <c r="M680" s="2762"/>
      <c r="N680" s="2503"/>
      <c r="O680" s="2503"/>
      <c r="P680" s="1720"/>
      <c r="Q680" s="51"/>
    </row>
    <row r="681" spans="1:17" ht="15" customHeight="1" x14ac:dyDescent="0.3">
      <c r="A681" s="3587"/>
      <c r="B681" s="2486" t="s">
        <v>3022</v>
      </c>
      <c r="C681" s="2513"/>
      <c r="D681" s="2822" t="s">
        <v>3463</v>
      </c>
      <c r="E681" s="2912"/>
      <c r="F681" s="320"/>
      <c r="G681" s="321"/>
      <c r="H681" s="1900"/>
      <c r="I681" s="2621"/>
      <c r="J681" s="3184"/>
      <c r="K681" s="1762"/>
      <c r="L681" s="3184"/>
      <c r="M681" s="2762"/>
      <c r="N681" s="2503"/>
      <c r="O681" s="2503"/>
      <c r="P681" s="1720"/>
      <c r="Q681" s="51"/>
    </row>
    <row r="682" spans="1:17" ht="15" customHeight="1" x14ac:dyDescent="0.3">
      <c r="A682" s="3587"/>
      <c r="B682" s="2398"/>
      <c r="C682" s="638"/>
      <c r="D682" s="1116" t="s">
        <v>3000</v>
      </c>
      <c r="E682" s="2957">
        <f>SUM(E671:E681)</f>
        <v>9441177</v>
      </c>
      <c r="F682" s="956"/>
      <c r="G682" s="1207">
        <f>SUM(G671:G676)</f>
        <v>436235.31</v>
      </c>
      <c r="H682" s="2724"/>
      <c r="I682" s="2787"/>
      <c r="J682" s="3201"/>
      <c r="K682" s="2690"/>
      <c r="L682" s="3201"/>
      <c r="M682" s="482"/>
      <c r="N682" s="3530" t="s">
        <v>3001</v>
      </c>
      <c r="O682" s="3531"/>
      <c r="P682" s="3531"/>
      <c r="Q682" s="3006">
        <v>0</v>
      </c>
    </row>
    <row r="683" spans="1:17" ht="15" customHeight="1" x14ac:dyDescent="0.3">
      <c r="A683" s="3587"/>
      <c r="B683" s="1918"/>
      <c r="C683" s="840"/>
      <c r="D683" s="1182" t="s">
        <v>3002</v>
      </c>
      <c r="E683" s="3005">
        <v>436235</v>
      </c>
      <c r="F683" s="840"/>
      <c r="G683" s="842"/>
      <c r="H683" s="1918"/>
      <c r="I683" s="2623"/>
      <c r="J683" s="1210"/>
      <c r="K683" s="2365"/>
      <c r="L683" s="1210"/>
      <c r="M683" s="287"/>
      <c r="N683" s="2726"/>
      <c r="O683" s="895"/>
      <c r="P683" s="992"/>
      <c r="Q683" s="430"/>
    </row>
    <row r="686" spans="1:17" ht="21" x14ac:dyDescent="0.4">
      <c r="A686" s="3555" t="s">
        <v>3464</v>
      </c>
      <c r="B686" s="3555"/>
      <c r="C686" s="3555"/>
      <c r="D686" s="3555"/>
      <c r="E686" s="3555"/>
      <c r="F686" s="3555"/>
      <c r="G686" s="3555"/>
      <c r="H686" s="3555"/>
      <c r="I686" s="3555"/>
      <c r="J686" s="3555"/>
      <c r="K686" s="3555"/>
      <c r="L686" s="3046"/>
      <c r="M686" s="3556" t="s">
        <v>2973</v>
      </c>
      <c r="N686" s="3556"/>
      <c r="O686" s="3556"/>
      <c r="P686" s="3556"/>
      <c r="Q686" s="2"/>
    </row>
    <row r="687" spans="1:17" x14ac:dyDescent="0.3">
      <c r="A687" s="2747" t="s">
        <v>2974</v>
      </c>
      <c r="B687" s="2843" t="s">
        <v>2975</v>
      </c>
      <c r="C687" s="2745" t="s">
        <v>2976</v>
      </c>
      <c r="D687" s="2748" t="s">
        <v>2977</v>
      </c>
      <c r="E687" s="2749" t="s">
        <v>2978</v>
      </c>
      <c r="F687" s="2745" t="s">
        <v>2979</v>
      </c>
      <c r="G687" s="2750" t="s">
        <v>2980</v>
      </c>
      <c r="H687" s="2746" t="s">
        <v>2981</v>
      </c>
      <c r="I687" s="2751" t="s">
        <v>2982</v>
      </c>
      <c r="J687" s="2752"/>
      <c r="K687" s="2745" t="s">
        <v>2983</v>
      </c>
      <c r="L687" s="2752"/>
      <c r="M687" s="2752" t="s">
        <v>2975</v>
      </c>
      <c r="N687" s="2752" t="s">
        <v>2977</v>
      </c>
      <c r="O687" s="2752" t="s">
        <v>2984</v>
      </c>
      <c r="P687" s="3295" t="s">
        <v>2979</v>
      </c>
      <c r="Q687" s="268" t="s">
        <v>2985</v>
      </c>
    </row>
    <row r="688" spans="1:17" ht="15" customHeight="1" x14ac:dyDescent="0.3">
      <c r="A688" s="3586" t="s">
        <v>3452</v>
      </c>
      <c r="B688" s="2607">
        <v>14151</v>
      </c>
      <c r="C688" s="3002">
        <v>0.08</v>
      </c>
      <c r="D688" s="2984" t="s">
        <v>3465</v>
      </c>
      <c r="E688" s="2939">
        <v>670000</v>
      </c>
      <c r="F688" s="2472">
        <v>0.08</v>
      </c>
      <c r="G688" s="2760">
        <f t="shared" ref="G688:G694" si="36">E688*F688</f>
        <v>53600</v>
      </c>
      <c r="H688" s="2761" t="s">
        <v>2993</v>
      </c>
      <c r="I688" s="2735" t="s">
        <v>133</v>
      </c>
      <c r="J688" s="2167"/>
      <c r="K688" s="2167"/>
      <c r="L688" s="2167"/>
      <c r="M688" s="1010">
        <v>14176</v>
      </c>
      <c r="N688" s="1088" t="s">
        <v>3453</v>
      </c>
      <c r="O688" s="2988">
        <v>1350000</v>
      </c>
      <c r="P688" s="985">
        <v>0.04</v>
      </c>
      <c r="Q688" s="2986">
        <f>O688*P688</f>
        <v>54000</v>
      </c>
    </row>
    <row r="689" spans="1:17" ht="15" customHeight="1" x14ac:dyDescent="0.3">
      <c r="A689" s="3587"/>
      <c r="B689" s="2607">
        <v>14170</v>
      </c>
      <c r="C689" s="1719">
        <v>0.1</v>
      </c>
      <c r="D689" s="2984" t="s">
        <v>3466</v>
      </c>
      <c r="E689" s="2939">
        <v>1500000</v>
      </c>
      <c r="F689" s="2472">
        <v>0.05</v>
      </c>
      <c r="G689" s="2760">
        <f t="shared" si="36"/>
        <v>75000</v>
      </c>
      <c r="H689" s="2761" t="s">
        <v>118</v>
      </c>
      <c r="I689" s="2854" t="s">
        <v>133</v>
      </c>
      <c r="J689" s="2503"/>
      <c r="K689" s="2503"/>
      <c r="L689" s="2503"/>
      <c r="M689" s="2546">
        <v>14252</v>
      </c>
      <c r="N689" s="1096" t="s">
        <v>3457</v>
      </c>
      <c r="O689" s="2987">
        <v>1300000</v>
      </c>
      <c r="P689" s="2917">
        <v>0.04</v>
      </c>
      <c r="Q689" s="2986">
        <f t="shared" ref="Q689:Q691" si="37">O689*P689</f>
        <v>52000</v>
      </c>
    </row>
    <row r="690" spans="1:17" ht="15" customHeight="1" x14ac:dyDescent="0.3">
      <c r="A690" s="3587"/>
      <c r="B690" s="2607">
        <v>14187</v>
      </c>
      <c r="C690" s="1719">
        <v>0.1</v>
      </c>
      <c r="D690" s="2984" t="s">
        <v>3467</v>
      </c>
      <c r="E690" s="2939">
        <v>1230000</v>
      </c>
      <c r="F690" s="2472">
        <v>0.04</v>
      </c>
      <c r="G690" s="2760">
        <f t="shared" si="36"/>
        <v>49200</v>
      </c>
      <c r="H690" s="2761" t="s">
        <v>3468</v>
      </c>
      <c r="I690" s="2854" t="s">
        <v>133</v>
      </c>
      <c r="J690" s="2503"/>
      <c r="K690" s="2503"/>
      <c r="L690" s="2503"/>
      <c r="M690" s="2544">
        <v>14273</v>
      </c>
      <c r="N690" s="2670" t="s">
        <v>3469</v>
      </c>
      <c r="O690" s="2987">
        <v>1600000</v>
      </c>
      <c r="P690" s="2917">
        <v>0.04</v>
      </c>
      <c r="Q690" s="2986">
        <f>O690*P690</f>
        <v>64000</v>
      </c>
    </row>
    <row r="691" spans="1:17" ht="15" customHeight="1" x14ac:dyDescent="0.3">
      <c r="A691" s="3587"/>
      <c r="B691" s="2607">
        <v>14235</v>
      </c>
      <c r="C691" s="1719">
        <v>0.1</v>
      </c>
      <c r="D691" s="2984" t="s">
        <v>3470</v>
      </c>
      <c r="E691" s="2939">
        <v>1400000</v>
      </c>
      <c r="F691" s="2472">
        <v>0.08</v>
      </c>
      <c r="G691" s="2760">
        <f t="shared" si="36"/>
        <v>112000</v>
      </c>
      <c r="H691" s="2761" t="s">
        <v>2993</v>
      </c>
      <c r="I691" s="2854" t="s">
        <v>133</v>
      </c>
      <c r="J691" s="2503"/>
      <c r="K691" s="2503"/>
      <c r="L691" s="2503"/>
      <c r="M691" s="2544">
        <v>14292</v>
      </c>
      <c r="N691" s="2965" t="s">
        <v>3471</v>
      </c>
      <c r="O691" s="2987">
        <v>1250000</v>
      </c>
      <c r="P691" s="2917">
        <v>0.04</v>
      </c>
      <c r="Q691" s="2986">
        <f t="shared" si="37"/>
        <v>50000</v>
      </c>
    </row>
    <row r="692" spans="1:17" ht="15" customHeight="1" x14ac:dyDescent="0.3">
      <c r="A692" s="3587"/>
      <c r="B692" s="2607">
        <v>14253</v>
      </c>
      <c r="C692" s="1719">
        <v>0.1</v>
      </c>
      <c r="D692" s="2984" t="s">
        <v>3472</v>
      </c>
      <c r="E692" s="2939">
        <v>650000</v>
      </c>
      <c r="F692" s="2472">
        <v>0.04</v>
      </c>
      <c r="G692" s="2760">
        <f t="shared" si="36"/>
        <v>26000</v>
      </c>
      <c r="H692" s="2761" t="s">
        <v>1685</v>
      </c>
      <c r="I692" s="2854" t="s">
        <v>3473</v>
      </c>
      <c r="J692" s="2503"/>
      <c r="K692" s="2503"/>
      <c r="L692" s="2503"/>
      <c r="M692" s="3066"/>
      <c r="N692" s="2916"/>
      <c r="O692" s="2916"/>
      <c r="P692" s="2917"/>
      <c r="Q692" s="2986"/>
    </row>
    <row r="693" spans="1:17" ht="15" customHeight="1" x14ac:dyDescent="0.3">
      <c r="A693" s="3587"/>
      <c r="B693" s="2444">
        <v>14335</v>
      </c>
      <c r="C693" s="2985">
        <v>0.1</v>
      </c>
      <c r="D693" s="2924" t="s">
        <v>3474</v>
      </c>
      <c r="E693" s="2939">
        <v>1200000</v>
      </c>
      <c r="F693" s="2472">
        <v>0.05</v>
      </c>
      <c r="G693" s="2760">
        <f t="shared" si="36"/>
        <v>60000</v>
      </c>
      <c r="H693" s="2761" t="s">
        <v>118</v>
      </c>
      <c r="I693" s="2854" t="s">
        <v>3473</v>
      </c>
      <c r="J693" s="2503"/>
      <c r="K693" s="2503"/>
      <c r="L693" s="2503"/>
      <c r="M693" s="3066"/>
      <c r="N693" s="2916"/>
      <c r="O693" s="2916"/>
      <c r="P693" s="2917"/>
      <c r="Q693" s="2986"/>
    </row>
    <row r="694" spans="1:17" ht="15" customHeight="1" x14ac:dyDescent="0.3">
      <c r="A694" s="3587"/>
      <c r="B694" s="2444" t="s">
        <v>3475</v>
      </c>
      <c r="C694" s="1719">
        <v>0.1</v>
      </c>
      <c r="D694" s="2924" t="s">
        <v>3476</v>
      </c>
      <c r="E694" s="2939">
        <v>950000</v>
      </c>
      <c r="F694" s="2472">
        <v>0.05</v>
      </c>
      <c r="G694" s="2760">
        <f t="shared" si="36"/>
        <v>47500</v>
      </c>
      <c r="H694" s="2761" t="s">
        <v>118</v>
      </c>
      <c r="I694" s="2854" t="s">
        <v>3473</v>
      </c>
      <c r="J694" s="2503"/>
      <c r="K694" s="2503"/>
      <c r="L694" s="2503"/>
      <c r="M694" s="3066"/>
      <c r="N694" s="2916"/>
      <c r="O694" s="2916"/>
      <c r="P694" s="2917"/>
      <c r="Q694" s="2986"/>
    </row>
    <row r="695" spans="1:17" ht="15" customHeight="1" x14ac:dyDescent="0.3">
      <c r="A695" s="3587"/>
      <c r="B695" s="2486" t="s">
        <v>3022</v>
      </c>
      <c r="C695" s="2960"/>
      <c r="D695" s="2954" t="s">
        <v>3477</v>
      </c>
      <c r="E695" s="2939"/>
      <c r="F695" s="2740"/>
      <c r="G695" s="2760"/>
      <c r="H695" s="2761"/>
      <c r="I695" s="2854"/>
      <c r="J695" s="2503"/>
      <c r="K695" s="2503"/>
      <c r="L695" s="2503"/>
      <c r="M695" s="3066"/>
      <c r="N695" s="2916"/>
      <c r="O695" s="2916"/>
      <c r="P695" s="2917"/>
      <c r="Q695" s="2986"/>
    </row>
    <row r="696" spans="1:17" ht="15" customHeight="1" x14ac:dyDescent="0.3">
      <c r="A696" s="3587"/>
      <c r="B696" s="2486" t="s">
        <v>3022</v>
      </c>
      <c r="C696" s="2960"/>
      <c r="D696" s="2954" t="s">
        <v>3478</v>
      </c>
      <c r="E696" s="2971"/>
      <c r="F696" s="2740"/>
      <c r="G696" s="2760"/>
      <c r="H696" s="2761"/>
      <c r="I696" s="2854"/>
      <c r="J696" s="2503"/>
      <c r="K696" s="2503"/>
      <c r="L696" s="2503"/>
      <c r="M696" s="3066"/>
      <c r="N696" s="2916"/>
      <c r="O696" s="2916"/>
      <c r="P696" s="2917"/>
      <c r="Q696" s="2986"/>
    </row>
    <row r="697" spans="1:17" ht="15" customHeight="1" x14ac:dyDescent="0.3">
      <c r="A697" s="3587"/>
      <c r="B697" s="2486" t="s">
        <v>3022</v>
      </c>
      <c r="C697" s="2960"/>
      <c r="D697" s="2954" t="s">
        <v>3479</v>
      </c>
      <c r="E697" s="2939"/>
      <c r="F697" s="2740"/>
      <c r="G697" s="2760"/>
      <c r="H697" s="2761"/>
      <c r="I697" s="2854"/>
      <c r="J697" s="2503"/>
      <c r="K697" s="2503"/>
      <c r="L697" s="2503"/>
      <c r="M697" s="3066"/>
      <c r="N697" s="2916"/>
      <c r="O697" s="2916"/>
      <c r="P697" s="2917"/>
      <c r="Q697" s="795"/>
    </row>
    <row r="698" spans="1:17" ht="15" customHeight="1" x14ac:dyDescent="0.3">
      <c r="A698" s="3587"/>
      <c r="B698" s="2486" t="s">
        <v>3022</v>
      </c>
      <c r="C698" s="2723"/>
      <c r="D698" s="2826" t="s">
        <v>3480</v>
      </c>
      <c r="E698" s="2940"/>
      <c r="F698" s="1720"/>
      <c r="G698" s="2753"/>
      <c r="H698" s="2756"/>
      <c r="I698" s="2834"/>
      <c r="J698" s="2764"/>
      <c r="K698" s="2764"/>
      <c r="L698" s="2764"/>
      <c r="M698" s="3066"/>
      <c r="N698" s="2915"/>
      <c r="O698" s="2916"/>
      <c r="P698" s="2917"/>
      <c r="Q698" s="2918"/>
    </row>
    <row r="699" spans="1:17" ht="15" customHeight="1" x14ac:dyDescent="0.3">
      <c r="A699" s="3587"/>
      <c r="B699" s="2486" t="s">
        <v>3022</v>
      </c>
      <c r="C699" s="2723"/>
      <c r="D699" s="2926" t="s">
        <v>3481</v>
      </c>
      <c r="E699" s="2937"/>
      <c r="F699" s="1720"/>
      <c r="G699" s="2753"/>
      <c r="H699" s="2756"/>
      <c r="I699" s="2764"/>
      <c r="J699" s="2873"/>
      <c r="K699" s="3064"/>
      <c r="L699" s="2873"/>
      <c r="M699" s="2504"/>
      <c r="N699" s="2503"/>
      <c r="O699" s="2503"/>
      <c r="P699" s="1720"/>
      <c r="Q699" s="51"/>
    </row>
    <row r="700" spans="1:17" ht="15" customHeight="1" x14ac:dyDescent="0.3">
      <c r="A700" s="3587"/>
      <c r="B700" s="2486" t="s">
        <v>3022</v>
      </c>
      <c r="C700" s="2723"/>
      <c r="D700" s="98" t="s">
        <v>3388</v>
      </c>
      <c r="E700" s="2912"/>
      <c r="F700" s="320"/>
      <c r="G700" s="321"/>
      <c r="H700" s="1900"/>
      <c r="I700" s="2620"/>
      <c r="J700" s="3196"/>
      <c r="K700" s="1762"/>
      <c r="L700" s="3196"/>
      <c r="M700" s="2504"/>
      <c r="N700" s="2503"/>
      <c r="O700" s="2503"/>
      <c r="P700" s="1720"/>
      <c r="Q700" s="51"/>
    </row>
    <row r="701" spans="1:17" ht="15" customHeight="1" x14ac:dyDescent="0.3">
      <c r="A701" s="3587"/>
      <c r="B701" s="2398"/>
      <c r="C701" s="638"/>
      <c r="D701" s="1116" t="s">
        <v>3000</v>
      </c>
      <c r="E701" s="2936">
        <f>SUM(E688:E700)</f>
        <v>7600000</v>
      </c>
      <c r="F701" s="956"/>
      <c r="G701" s="1207">
        <f>SUM(G688:G694)</f>
        <v>423300</v>
      </c>
      <c r="H701" s="2724"/>
      <c r="I701" s="2725"/>
      <c r="J701" s="638"/>
      <c r="K701" s="2690"/>
      <c r="L701" s="638"/>
      <c r="M701" s="316"/>
      <c r="N701" s="3530" t="s">
        <v>3001</v>
      </c>
      <c r="O701" s="3531"/>
      <c r="P701" s="3531"/>
      <c r="Q701" s="612">
        <f>SUM(Q688:Q700)</f>
        <v>220000</v>
      </c>
    </row>
    <row r="702" spans="1:17" ht="15" customHeight="1" x14ac:dyDescent="0.3">
      <c r="A702" s="3587"/>
      <c r="B702" s="1918"/>
      <c r="C702" s="840"/>
      <c r="D702" s="1182" t="s">
        <v>3002</v>
      </c>
      <c r="E702" s="953">
        <f>G701+Q701</f>
        <v>643300</v>
      </c>
      <c r="F702" s="840"/>
      <c r="G702" s="842"/>
      <c r="H702" s="1918"/>
      <c r="I702" s="2623"/>
      <c r="J702" s="840"/>
      <c r="K702" s="843"/>
      <c r="L702" s="840"/>
      <c r="M702" s="287"/>
      <c r="N702" s="2726"/>
      <c r="O702" s="895"/>
      <c r="P702" s="992"/>
      <c r="Q702" s="430"/>
    </row>
    <row r="705" spans="1:17" ht="20.25" customHeight="1" x14ac:dyDescent="0.4">
      <c r="A705" s="3574" t="s">
        <v>3482</v>
      </c>
      <c r="B705" s="3574"/>
      <c r="C705" s="3574"/>
      <c r="D705" s="3574"/>
      <c r="E705" s="3574"/>
      <c r="F705" s="3574"/>
      <c r="G705" s="3574"/>
      <c r="H705" s="3575"/>
      <c r="I705" s="3574"/>
      <c r="J705" s="3574"/>
      <c r="K705" s="3574"/>
      <c r="L705" s="3046"/>
      <c r="M705" s="3556" t="s">
        <v>2973</v>
      </c>
      <c r="N705" s="3556"/>
      <c r="O705" s="3556"/>
      <c r="P705" s="3556"/>
      <c r="Q705" s="2"/>
    </row>
    <row r="706" spans="1:17" x14ac:dyDescent="0.3">
      <c r="A706" s="2747" t="s">
        <v>2974</v>
      </c>
      <c r="B706" s="2843" t="s">
        <v>2975</v>
      </c>
      <c r="C706" s="2898" t="s">
        <v>2976</v>
      </c>
      <c r="D706" s="2899" t="s">
        <v>2977</v>
      </c>
      <c r="E706" s="2749" t="s">
        <v>2978</v>
      </c>
      <c r="F706" s="2745" t="s">
        <v>2979</v>
      </c>
      <c r="G706" s="2750" t="s">
        <v>2980</v>
      </c>
      <c r="H706" s="2746" t="s">
        <v>2981</v>
      </c>
      <c r="I706" s="2751" t="s">
        <v>2982</v>
      </c>
      <c r="J706" s="2752"/>
      <c r="K706" s="2745" t="s">
        <v>2983</v>
      </c>
      <c r="L706" s="2752"/>
      <c r="M706" s="2752" t="s">
        <v>2975</v>
      </c>
      <c r="N706" s="2752" t="s">
        <v>2977</v>
      </c>
      <c r="O706" s="2752" t="s">
        <v>2984</v>
      </c>
      <c r="P706" s="3295" t="s">
        <v>2979</v>
      </c>
      <c r="Q706" s="268" t="s">
        <v>2985</v>
      </c>
    </row>
    <row r="707" spans="1:17" ht="15" customHeight="1" x14ac:dyDescent="0.3">
      <c r="A707" s="3586" t="s">
        <v>3452</v>
      </c>
      <c r="B707" s="1010">
        <v>14141</v>
      </c>
      <c r="C707" s="553">
        <v>0.08</v>
      </c>
      <c r="D707" s="2670" t="s">
        <v>3483</v>
      </c>
      <c r="E707" s="2956">
        <v>645000</v>
      </c>
      <c r="F707" s="1899">
        <v>0.08</v>
      </c>
      <c r="G707" s="1901">
        <f t="shared" ref="G707:G717" si="38">E707*F707</f>
        <v>51600</v>
      </c>
      <c r="H707" s="1900" t="s">
        <v>1685</v>
      </c>
      <c r="I707" s="2856" t="s">
        <v>133</v>
      </c>
      <c r="J707" s="2167"/>
      <c r="K707" s="2913"/>
      <c r="L707" s="2167"/>
      <c r="M707" s="2607">
        <v>14253</v>
      </c>
      <c r="N707" s="2984" t="s">
        <v>3472</v>
      </c>
      <c r="O707" s="2989">
        <v>750000</v>
      </c>
      <c r="P707" s="1720">
        <v>0.05</v>
      </c>
      <c r="Q707" s="2897">
        <f>O707*P707</f>
        <v>37500</v>
      </c>
    </row>
    <row r="708" spans="1:17" ht="15" customHeight="1" x14ac:dyDescent="0.3">
      <c r="A708" s="3587"/>
      <c r="B708" s="2444">
        <v>14132</v>
      </c>
      <c r="C708" s="553">
        <v>0.08</v>
      </c>
      <c r="D708" s="2670" t="s">
        <v>3484</v>
      </c>
      <c r="E708" s="2956">
        <v>580000</v>
      </c>
      <c r="F708" s="1899">
        <v>0.08</v>
      </c>
      <c r="G708" s="1901">
        <f t="shared" si="38"/>
        <v>46400</v>
      </c>
      <c r="H708" s="1900" t="s">
        <v>1685</v>
      </c>
      <c r="I708" s="2856" t="s">
        <v>2512</v>
      </c>
      <c r="J708" s="2740"/>
      <c r="K708" s="2913"/>
      <c r="L708" s="2740"/>
      <c r="M708" s="3001"/>
      <c r="N708" s="3001"/>
      <c r="O708" s="3001"/>
      <c r="P708" s="1720"/>
      <c r="Q708" s="2897"/>
    </row>
    <row r="709" spans="1:17" ht="15" customHeight="1" x14ac:dyDescent="0.3">
      <c r="A709" s="3587"/>
      <c r="B709" s="2444">
        <v>14154</v>
      </c>
      <c r="C709" s="2596">
        <v>0.1</v>
      </c>
      <c r="D709" s="2670" t="s">
        <v>3485</v>
      </c>
      <c r="E709" s="2956">
        <v>1400000</v>
      </c>
      <c r="F709" s="1899">
        <v>0.06</v>
      </c>
      <c r="G709" s="1901">
        <f t="shared" si="38"/>
        <v>84000</v>
      </c>
      <c r="H709" s="2063" t="s">
        <v>118</v>
      </c>
      <c r="I709" s="2856" t="s">
        <v>133</v>
      </c>
      <c r="J709" s="2503"/>
      <c r="K709" s="2758"/>
      <c r="L709" s="2740"/>
      <c r="M709" s="2896"/>
      <c r="N709" s="2896"/>
      <c r="O709" s="2989"/>
      <c r="P709" s="1720"/>
      <c r="Q709" s="2897"/>
    </row>
    <row r="710" spans="1:17" ht="15" customHeight="1" x14ac:dyDescent="0.3">
      <c r="A710" s="3587"/>
      <c r="B710" s="2444">
        <v>14166</v>
      </c>
      <c r="C710" s="2596">
        <v>0.1</v>
      </c>
      <c r="D710" s="2670" t="s">
        <v>3486</v>
      </c>
      <c r="E710" s="2956">
        <v>1300000</v>
      </c>
      <c r="F710" s="1899">
        <v>0.05</v>
      </c>
      <c r="G710" s="1901">
        <f t="shared" si="38"/>
        <v>65000</v>
      </c>
      <c r="H710" s="2063" t="s">
        <v>3487</v>
      </c>
      <c r="I710" s="2856" t="s">
        <v>133</v>
      </c>
      <c r="J710" s="2503"/>
      <c r="K710" s="2758"/>
      <c r="L710" s="2763"/>
      <c r="M710" s="2762"/>
      <c r="N710" s="3001"/>
      <c r="O710" s="2503"/>
      <c r="P710" s="1720"/>
      <c r="Q710" s="2897"/>
    </row>
    <row r="711" spans="1:17" ht="15" customHeight="1" x14ac:dyDescent="0.3">
      <c r="A711" s="3587"/>
      <c r="B711" s="2444">
        <v>14172</v>
      </c>
      <c r="C711" s="2596">
        <v>0.1</v>
      </c>
      <c r="D711" s="2670" t="s">
        <v>3488</v>
      </c>
      <c r="E711" s="2956">
        <v>1000000</v>
      </c>
      <c r="F711" s="1899">
        <v>0.1</v>
      </c>
      <c r="G711" s="1901">
        <f t="shared" si="38"/>
        <v>100000</v>
      </c>
      <c r="H711" s="2063" t="s">
        <v>1685</v>
      </c>
      <c r="I711" s="2856" t="s">
        <v>133</v>
      </c>
      <c r="J711" s="2503"/>
      <c r="K711" s="2758"/>
      <c r="L711" s="2763"/>
      <c r="M711" s="2762"/>
      <c r="N711" s="2896"/>
      <c r="O711" s="2503"/>
      <c r="P711" s="1720"/>
      <c r="Q711" s="2897"/>
    </row>
    <row r="712" spans="1:17" ht="15" customHeight="1" x14ac:dyDescent="0.3">
      <c r="A712" s="3587"/>
      <c r="B712" s="2444">
        <v>14229</v>
      </c>
      <c r="C712" s="2596">
        <v>0.1</v>
      </c>
      <c r="D712" s="2670" t="s">
        <v>3489</v>
      </c>
      <c r="E712" s="2956">
        <v>1500000</v>
      </c>
      <c r="F712" s="1899">
        <v>0.06</v>
      </c>
      <c r="G712" s="1901">
        <f t="shared" si="38"/>
        <v>90000</v>
      </c>
      <c r="H712" s="2063" t="s">
        <v>118</v>
      </c>
      <c r="I712" s="2856" t="s">
        <v>133</v>
      </c>
      <c r="J712" s="2503"/>
      <c r="K712" s="2758"/>
      <c r="L712" s="2763"/>
      <c r="M712" s="2762"/>
      <c r="N712" s="2896"/>
      <c r="O712" s="2503"/>
      <c r="P712" s="1720"/>
      <c r="Q712" s="2897"/>
    </row>
    <row r="713" spans="1:17" ht="15" customHeight="1" x14ac:dyDescent="0.3">
      <c r="A713" s="3587"/>
      <c r="B713" s="2444">
        <v>14221</v>
      </c>
      <c r="C713" s="2596">
        <v>0.1</v>
      </c>
      <c r="D713" s="2670" t="s">
        <v>3490</v>
      </c>
      <c r="E713" s="2956">
        <v>1300000</v>
      </c>
      <c r="F713" s="1899">
        <v>0.1</v>
      </c>
      <c r="G713" s="1901">
        <f t="shared" si="38"/>
        <v>130000</v>
      </c>
      <c r="H713" s="2063" t="s">
        <v>1685</v>
      </c>
      <c r="I713" s="2856" t="s">
        <v>133</v>
      </c>
      <c r="J713" s="2503"/>
      <c r="K713" s="2758"/>
      <c r="L713" s="2763"/>
      <c r="M713" s="2762"/>
      <c r="N713" s="2896"/>
      <c r="O713" s="2503"/>
      <c r="P713" s="1720"/>
      <c r="Q713" s="2897"/>
    </row>
    <row r="714" spans="1:17" ht="15" customHeight="1" x14ac:dyDescent="0.3">
      <c r="A714" s="3587"/>
      <c r="B714" s="2444">
        <v>14268</v>
      </c>
      <c r="C714" s="2611">
        <v>0.1</v>
      </c>
      <c r="D714" s="2972" t="s">
        <v>3491</v>
      </c>
      <c r="E714" s="2956">
        <v>1200000</v>
      </c>
      <c r="F714" s="1899">
        <v>0.06</v>
      </c>
      <c r="G714" s="1901">
        <f t="shared" si="38"/>
        <v>72000</v>
      </c>
      <c r="H714" s="2063" t="s">
        <v>118</v>
      </c>
      <c r="I714" s="2856" t="s">
        <v>3473</v>
      </c>
      <c r="J714" s="2503"/>
      <c r="K714" s="2758"/>
      <c r="L714" s="2763"/>
      <c r="M714" s="2762"/>
      <c r="N714" s="2896"/>
      <c r="O714" s="2503"/>
      <c r="P714" s="1720"/>
      <c r="Q714" s="2897"/>
    </row>
    <row r="715" spans="1:17" ht="15" customHeight="1" x14ac:dyDescent="0.3">
      <c r="A715" s="3587"/>
      <c r="B715" s="2444">
        <v>14273</v>
      </c>
      <c r="C715" s="2596">
        <v>0.1</v>
      </c>
      <c r="D715" s="2670" t="s">
        <v>3469</v>
      </c>
      <c r="E715" s="2956">
        <v>1600000</v>
      </c>
      <c r="F715" s="1899">
        <v>0.05</v>
      </c>
      <c r="G715" s="1901">
        <f t="shared" si="38"/>
        <v>80000</v>
      </c>
      <c r="H715" s="2063" t="s">
        <v>2993</v>
      </c>
      <c r="I715" s="2856" t="s">
        <v>133</v>
      </c>
      <c r="J715" s="2503"/>
      <c r="K715" s="2758"/>
      <c r="L715" s="2763"/>
      <c r="M715" s="2762"/>
      <c r="N715" s="2896"/>
      <c r="O715" s="2503"/>
      <c r="P715" s="1720"/>
      <c r="Q715" s="2897"/>
    </row>
    <row r="716" spans="1:17" ht="15" customHeight="1" x14ac:dyDescent="0.3">
      <c r="A716" s="3587"/>
      <c r="B716" s="2444">
        <v>14292</v>
      </c>
      <c r="C716" s="2596">
        <v>0.1</v>
      </c>
      <c r="D716" s="2965" t="s">
        <v>3471</v>
      </c>
      <c r="E716" s="2956">
        <v>1250000</v>
      </c>
      <c r="F716" s="1899">
        <v>0.05</v>
      </c>
      <c r="G716" s="1901">
        <f t="shared" si="38"/>
        <v>62500</v>
      </c>
      <c r="H716" s="2063" t="s">
        <v>2993</v>
      </c>
      <c r="I716" s="2856" t="s">
        <v>3473</v>
      </c>
      <c r="J716" s="2503"/>
      <c r="K716" s="2758"/>
      <c r="L716" s="2763"/>
      <c r="M716" s="2762"/>
      <c r="N716" s="2896"/>
      <c r="O716" s="2503"/>
      <c r="P716" s="1720"/>
      <c r="Q716" s="2897"/>
    </row>
    <row r="717" spans="1:17" ht="15" customHeight="1" x14ac:dyDescent="0.3">
      <c r="A717" s="3587"/>
      <c r="B717" s="2444">
        <v>14300</v>
      </c>
      <c r="C717" s="2596">
        <v>0.1</v>
      </c>
      <c r="D717" s="2670" t="s">
        <v>3492</v>
      </c>
      <c r="E717" s="2956">
        <v>1150000</v>
      </c>
      <c r="F717" s="1899">
        <v>0.1</v>
      </c>
      <c r="G717" s="1901">
        <f t="shared" si="38"/>
        <v>115000</v>
      </c>
      <c r="H717" s="2063" t="s">
        <v>1685</v>
      </c>
      <c r="I717" s="2856" t="s">
        <v>133</v>
      </c>
      <c r="J717" s="2503"/>
      <c r="K717" s="2758"/>
      <c r="L717" s="2763"/>
      <c r="M717" s="2762"/>
      <c r="N717" s="2896"/>
      <c r="O717" s="2503"/>
      <c r="P717" s="1720"/>
      <c r="Q717" s="2897"/>
    </row>
    <row r="718" spans="1:17" ht="15" customHeight="1" x14ac:dyDescent="0.3">
      <c r="A718" s="3587"/>
      <c r="B718" s="2486" t="s">
        <v>3022</v>
      </c>
      <c r="C718" s="2513"/>
      <c r="D718" s="2826" t="s">
        <v>3493</v>
      </c>
      <c r="E718" s="2956"/>
      <c r="F718" s="1899"/>
      <c r="G718" s="1901"/>
      <c r="H718" s="2063"/>
      <c r="I718" s="2856"/>
      <c r="J718" s="2503"/>
      <c r="K718" s="2758"/>
      <c r="L718" s="2763"/>
      <c r="M718" s="2762"/>
      <c r="N718" s="2896"/>
      <c r="O718" s="2503"/>
      <c r="P718" s="1720"/>
      <c r="Q718" s="2897"/>
    </row>
    <row r="719" spans="1:17" ht="15" customHeight="1" x14ac:dyDescent="0.3">
      <c r="A719" s="3587"/>
      <c r="B719" s="2486" t="s">
        <v>3022</v>
      </c>
      <c r="C719" s="2513"/>
      <c r="D719" s="2826" t="s">
        <v>3494</v>
      </c>
      <c r="E719" s="2956"/>
      <c r="F719" s="1899"/>
      <c r="G719" s="1901"/>
      <c r="H719" s="2063"/>
      <c r="I719" s="2856"/>
      <c r="J719" s="2503"/>
      <c r="K719" s="2758"/>
      <c r="L719" s="2763"/>
      <c r="M719" s="2762"/>
      <c r="N719" s="2896"/>
      <c r="O719" s="2503"/>
      <c r="P719" s="1720"/>
      <c r="Q719" s="2897"/>
    </row>
    <row r="720" spans="1:17" ht="15" customHeight="1" x14ac:dyDescent="0.3">
      <c r="A720" s="3587"/>
      <c r="B720" s="2486" t="s">
        <v>3022</v>
      </c>
      <c r="C720" s="2513"/>
      <c r="D720" s="2826" t="s">
        <v>3495</v>
      </c>
      <c r="E720" s="2956"/>
      <c r="F720" s="1899"/>
      <c r="G720" s="1901"/>
      <c r="H720" s="2063"/>
      <c r="I720" s="2856"/>
      <c r="J720" s="2503"/>
      <c r="K720" s="2758"/>
      <c r="L720" s="2763"/>
      <c r="M720" s="2762"/>
      <c r="N720" s="2896"/>
      <c r="O720" s="2503"/>
      <c r="P720" s="1720"/>
      <c r="Q720" s="2897"/>
    </row>
    <row r="721" spans="1:17" ht="15" customHeight="1" x14ac:dyDescent="0.3">
      <c r="A721" s="3587"/>
      <c r="B721" s="2486" t="s">
        <v>3165</v>
      </c>
      <c r="C721" s="2516"/>
      <c r="D721" s="2826" t="s">
        <v>3496</v>
      </c>
      <c r="E721" s="2938"/>
      <c r="F721" s="1899"/>
      <c r="G721" s="1901"/>
      <c r="H721" s="2063"/>
      <c r="I721" s="2633"/>
      <c r="J721" s="3202"/>
      <c r="K721" s="34"/>
      <c r="L721" s="3200"/>
      <c r="M721" s="2762"/>
      <c r="N721" s="2503"/>
      <c r="O721" s="2503"/>
      <c r="P721" s="1720"/>
      <c r="Q721" s="51"/>
    </row>
    <row r="722" spans="1:17" ht="15" customHeight="1" x14ac:dyDescent="0.3">
      <c r="A722" s="3587"/>
      <c r="B722" s="2486" t="s">
        <v>3022</v>
      </c>
      <c r="C722" s="2513"/>
      <c r="D722" s="2826" t="s">
        <v>3497</v>
      </c>
      <c r="E722" s="2938"/>
      <c r="F722" s="1899"/>
      <c r="G722" s="1901"/>
      <c r="H722" s="2063"/>
      <c r="I722" s="2633"/>
      <c r="J722" s="2762"/>
      <c r="K722" s="2597"/>
      <c r="L722" s="2762"/>
      <c r="M722" s="2762"/>
      <c r="N722" s="2896"/>
      <c r="O722" s="2503"/>
      <c r="P722" s="1720"/>
      <c r="Q722" s="2897"/>
    </row>
    <row r="723" spans="1:17" ht="15" customHeight="1" x14ac:dyDescent="0.3">
      <c r="A723" s="3587"/>
      <c r="B723" s="2643"/>
      <c r="C723" s="2172"/>
      <c r="D723" s="244"/>
      <c r="E723" s="2912"/>
      <c r="F723" s="320"/>
      <c r="G723" s="321"/>
      <c r="H723" s="1900"/>
      <c r="I723" s="2914"/>
      <c r="J723" s="3203"/>
      <c r="K723" s="2419"/>
      <c r="L723" s="3203"/>
      <c r="M723" s="2504"/>
      <c r="N723" s="2503"/>
      <c r="O723" s="2503"/>
      <c r="P723" s="1720"/>
      <c r="Q723" s="51"/>
    </row>
    <row r="724" spans="1:17" ht="15" customHeight="1" x14ac:dyDescent="0.3">
      <c r="A724" s="3587"/>
      <c r="B724" s="2398"/>
      <c r="C724" s="638"/>
      <c r="D724" s="1116" t="s">
        <v>3000</v>
      </c>
      <c r="E724" s="2957">
        <f>SUM(E707:E723)</f>
        <v>12925000</v>
      </c>
      <c r="F724" s="956"/>
      <c r="G724" s="1207">
        <f>SUM(G707:G717)</f>
        <v>896500</v>
      </c>
      <c r="H724" s="2724"/>
      <c r="I724" s="2725"/>
      <c r="J724" s="638"/>
      <c r="K724" s="2690"/>
      <c r="L724" s="638"/>
      <c r="M724" s="316"/>
      <c r="N724" s="3530" t="s">
        <v>3001</v>
      </c>
      <c r="O724" s="3531"/>
      <c r="P724" s="3531"/>
      <c r="Q724" s="612">
        <f>SUM(Q707:Q723)</f>
        <v>37500</v>
      </c>
    </row>
    <row r="725" spans="1:17" ht="15" customHeight="1" x14ac:dyDescent="0.3">
      <c r="A725" s="3587"/>
      <c r="B725" s="1918"/>
      <c r="C725" s="840"/>
      <c r="D725" s="1182" t="s">
        <v>3002</v>
      </c>
      <c r="E725" s="953">
        <f>G724+Q724</f>
        <v>934000</v>
      </c>
      <c r="F725" s="840"/>
      <c r="G725" s="842"/>
      <c r="H725" s="1918"/>
      <c r="I725" s="2623"/>
      <c r="J725" s="840"/>
      <c r="K725" s="843"/>
      <c r="L725" s="840"/>
      <c r="M725" s="287"/>
      <c r="N725" s="2726"/>
      <c r="O725" s="895"/>
      <c r="P725" s="992"/>
      <c r="Q725" s="430"/>
    </row>
    <row r="728" spans="1:17" ht="21" x14ac:dyDescent="0.4">
      <c r="A728" s="3555" t="s">
        <v>3498</v>
      </c>
      <c r="B728" s="3555"/>
      <c r="C728" s="3555"/>
      <c r="D728" s="3555"/>
      <c r="E728" s="3555"/>
      <c r="F728" s="3555"/>
      <c r="G728" s="3555"/>
      <c r="H728" s="3555"/>
      <c r="I728" s="3555"/>
      <c r="J728" s="3555"/>
      <c r="K728" s="3555"/>
      <c r="L728" s="3046"/>
      <c r="M728" s="3556" t="s">
        <v>2973</v>
      </c>
      <c r="N728" s="3556"/>
      <c r="O728" s="3556"/>
      <c r="P728" s="3556"/>
      <c r="Q728" s="2"/>
    </row>
    <row r="729" spans="1:17" x14ac:dyDescent="0.3">
      <c r="A729" s="2747" t="s">
        <v>2974</v>
      </c>
      <c r="B729" s="2746" t="s">
        <v>2975</v>
      </c>
      <c r="C729" s="2745" t="s">
        <v>2976</v>
      </c>
      <c r="D729" s="2748" t="s">
        <v>2977</v>
      </c>
      <c r="E729" s="2749" t="s">
        <v>2978</v>
      </c>
      <c r="F729" s="2745" t="s">
        <v>2979</v>
      </c>
      <c r="G729" s="2750" t="s">
        <v>2980</v>
      </c>
      <c r="H729" s="2746" t="s">
        <v>2981</v>
      </c>
      <c r="I729" s="2751" t="s">
        <v>2982</v>
      </c>
      <c r="J729" s="2752"/>
      <c r="K729" s="2745" t="s">
        <v>2983</v>
      </c>
      <c r="L729" s="2752"/>
      <c r="M729" s="2752" t="s">
        <v>2975</v>
      </c>
      <c r="N729" s="2752" t="s">
        <v>2977</v>
      </c>
      <c r="O729" s="2752" t="s">
        <v>2984</v>
      </c>
      <c r="P729" s="3295" t="s">
        <v>2979</v>
      </c>
      <c r="Q729" s="268" t="s">
        <v>2985</v>
      </c>
    </row>
    <row r="730" spans="1:17" ht="15" customHeight="1" x14ac:dyDescent="0.3">
      <c r="A730" s="3527"/>
      <c r="B730" s="2617" t="s">
        <v>3022</v>
      </c>
      <c r="C730" s="393"/>
      <c r="D730" s="2958" t="s">
        <v>3497</v>
      </c>
      <c r="E730" s="1632"/>
      <c r="F730" s="320"/>
      <c r="G730" s="321"/>
      <c r="H730" s="1900"/>
      <c r="I730" s="2620"/>
      <c r="J730" s="1548"/>
      <c r="K730" s="1762"/>
      <c r="L730" s="1548"/>
      <c r="M730" s="2503"/>
      <c r="N730" s="2503"/>
      <c r="O730" s="2503"/>
      <c r="P730" s="1720"/>
      <c r="Q730" s="51"/>
    </row>
    <row r="731" spans="1:17" ht="15" customHeight="1" x14ac:dyDescent="0.3">
      <c r="A731" s="3528"/>
      <c r="B731" s="2398"/>
      <c r="C731" s="638"/>
      <c r="D731" s="1116" t="s">
        <v>3000</v>
      </c>
      <c r="E731" s="1634">
        <f>SUM(E730:E730)</f>
        <v>0</v>
      </c>
      <c r="F731" s="956"/>
      <c r="G731" s="1207"/>
      <c r="H731" s="2724"/>
      <c r="I731" s="2725"/>
      <c r="J731" s="638"/>
      <c r="K731" s="2690"/>
      <c r="L731" s="638"/>
      <c r="M731" s="316"/>
      <c r="N731" s="3554" t="s">
        <v>3001</v>
      </c>
      <c r="O731" s="3554"/>
      <c r="P731" s="3554"/>
      <c r="Q731" s="297">
        <f>SUM(Q730:Q730)</f>
        <v>0</v>
      </c>
    </row>
    <row r="732" spans="1:17" ht="15" customHeight="1" x14ac:dyDescent="0.3">
      <c r="A732" s="3529"/>
      <c r="B732" s="1918"/>
      <c r="C732" s="840"/>
      <c r="D732" s="1182" t="s">
        <v>3002</v>
      </c>
      <c r="E732" s="953"/>
      <c r="F732" s="840"/>
      <c r="G732" s="842"/>
      <c r="H732" s="1918"/>
      <c r="I732" s="2623"/>
      <c r="J732" s="840"/>
      <c r="K732" s="843"/>
      <c r="L732" s="840"/>
      <c r="M732" s="287"/>
      <c r="N732" s="287"/>
      <c r="O732" s="287"/>
      <c r="P732" s="913"/>
      <c r="Q732" s="294"/>
    </row>
    <row r="735" spans="1:17" ht="21" x14ac:dyDescent="0.4">
      <c r="A735" s="3555" t="s">
        <v>3499</v>
      </c>
      <c r="B735" s="3555"/>
      <c r="C735" s="3555"/>
      <c r="D735" s="3555"/>
      <c r="E735" s="3555"/>
      <c r="F735" s="3555"/>
      <c r="G735" s="3555"/>
      <c r="H735" s="3555"/>
      <c r="I735" s="3555"/>
      <c r="J735" s="3555"/>
      <c r="K735" s="3555"/>
      <c r="L735" s="3046"/>
      <c r="M735" s="3556" t="s">
        <v>2973</v>
      </c>
      <c r="N735" s="3556"/>
      <c r="O735" s="3556"/>
      <c r="P735" s="3556"/>
      <c r="Q735" s="2"/>
    </row>
    <row r="736" spans="1:17" x14ac:dyDescent="0.3">
      <c r="A736" s="2747" t="s">
        <v>2974</v>
      </c>
      <c r="B736" s="2843" t="s">
        <v>2975</v>
      </c>
      <c r="C736" s="2898" t="s">
        <v>2976</v>
      </c>
      <c r="D736" s="2899" t="s">
        <v>2977</v>
      </c>
      <c r="E736" s="2749" t="s">
        <v>2978</v>
      </c>
      <c r="F736" s="2745" t="s">
        <v>2979</v>
      </c>
      <c r="G736" s="2750" t="s">
        <v>2980</v>
      </c>
      <c r="H736" s="2746" t="s">
        <v>2981</v>
      </c>
      <c r="I736" s="2751" t="s">
        <v>2982</v>
      </c>
      <c r="J736" s="2752"/>
      <c r="K736" s="2745" t="s">
        <v>2983</v>
      </c>
      <c r="L736" s="2752"/>
      <c r="M736" s="2752" t="s">
        <v>2975</v>
      </c>
      <c r="N736" s="2752" t="s">
        <v>2977</v>
      </c>
      <c r="O736" s="2752" t="s">
        <v>2984</v>
      </c>
      <c r="P736" s="3295" t="s">
        <v>2979</v>
      </c>
      <c r="Q736" s="268" t="s">
        <v>2985</v>
      </c>
    </row>
    <row r="737" spans="1:17" ht="15" customHeight="1" x14ac:dyDescent="0.3">
      <c r="A737" s="3527"/>
      <c r="B737" s="2617" t="s">
        <v>3500</v>
      </c>
      <c r="C737" s="393"/>
      <c r="D737" s="2904" t="s">
        <v>3501</v>
      </c>
      <c r="E737" s="1639"/>
      <c r="F737" s="320"/>
      <c r="G737" s="321"/>
      <c r="H737" s="1900"/>
      <c r="I737" s="2620"/>
      <c r="J737" s="2504"/>
      <c r="K737" s="2597"/>
      <c r="L737" s="2504"/>
      <c r="M737" s="2504"/>
      <c r="N737" s="2959"/>
      <c r="O737" s="2503"/>
      <c r="P737" s="1720"/>
      <c r="Q737" s="2897"/>
    </row>
    <row r="738" spans="1:17" ht="15" customHeight="1" x14ac:dyDescent="0.3">
      <c r="A738" s="3528"/>
      <c r="B738" s="2398"/>
      <c r="C738" s="638"/>
      <c r="D738" s="1116" t="s">
        <v>3000</v>
      </c>
      <c r="E738" s="1634">
        <f>SUM(E737:E737)</f>
        <v>0</v>
      </c>
      <c r="F738" s="956"/>
      <c r="G738" s="1207"/>
      <c r="H738" s="2724"/>
      <c r="I738" s="2725"/>
      <c r="J738" s="638"/>
      <c r="K738" s="2690"/>
      <c r="L738" s="638"/>
      <c r="M738" s="316"/>
      <c r="N738" s="3530" t="s">
        <v>3001</v>
      </c>
      <c r="O738" s="3531"/>
      <c r="P738" s="3531"/>
      <c r="Q738" s="612">
        <f>SUM(Q737:Q737)</f>
        <v>0</v>
      </c>
    </row>
    <row r="739" spans="1:17" ht="15" customHeight="1" x14ac:dyDescent="0.3">
      <c r="A739" s="3529"/>
      <c r="B739" s="1918"/>
      <c r="C739" s="840"/>
      <c r="D739" s="1182" t="s">
        <v>3002</v>
      </c>
      <c r="E739" s="953"/>
      <c r="F739" s="840"/>
      <c r="G739" s="842"/>
      <c r="H739" s="1918"/>
      <c r="I739" s="2623"/>
      <c r="J739" s="840"/>
      <c r="K739" s="843"/>
      <c r="L739" s="840"/>
      <c r="M739" s="287"/>
      <c r="N739" s="2726"/>
      <c r="O739" s="895"/>
      <c r="P739" s="992"/>
      <c r="Q739" s="430"/>
    </row>
    <row r="742" spans="1:17" ht="21" x14ac:dyDescent="0.3">
      <c r="A742" s="3532" t="s">
        <v>3348</v>
      </c>
      <c r="B742" s="3532"/>
      <c r="C742" s="3532"/>
      <c r="D742" s="3532"/>
      <c r="E742" s="3532"/>
      <c r="F742" s="3532"/>
      <c r="G742" s="3532"/>
      <c r="H742" s="3533"/>
      <c r="I742" s="3532"/>
      <c r="J742" s="3532"/>
      <c r="K742" s="3532"/>
      <c r="L742" s="3050"/>
    </row>
    <row r="743" spans="1:17" x14ac:dyDescent="0.3">
      <c r="A743" s="2746" t="s">
        <v>2974</v>
      </c>
      <c r="B743" s="2746" t="s">
        <v>2975</v>
      </c>
      <c r="C743" s="2771" t="s">
        <v>3004</v>
      </c>
      <c r="D743" s="2843" t="s">
        <v>2977</v>
      </c>
      <c r="E743" s="2890" t="s">
        <v>2978</v>
      </c>
      <c r="F743" s="2746" t="s">
        <v>2979</v>
      </c>
      <c r="G743" s="2769" t="s">
        <v>2980</v>
      </c>
      <c r="H743" s="2746" t="s">
        <v>2981</v>
      </c>
      <c r="I743" s="2770" t="s">
        <v>2982</v>
      </c>
      <c r="J743" s="3051"/>
      <c r="K743" s="2771" t="s">
        <v>2983</v>
      </c>
      <c r="L743" s="3051"/>
    </row>
    <row r="744" spans="1:17" ht="15" customHeight="1" x14ac:dyDescent="0.3">
      <c r="A744" s="3534"/>
      <c r="B744" s="2673"/>
      <c r="C744" s="2674"/>
      <c r="D744" s="1576"/>
      <c r="E744" s="2676"/>
      <c r="F744" s="1943"/>
      <c r="G744" s="2368"/>
      <c r="H744" s="1905"/>
      <c r="I744" s="2638"/>
      <c r="J744" s="379"/>
      <c r="K744" s="1058"/>
      <c r="L744" s="379"/>
    </row>
    <row r="745" spans="1:17" ht="15" customHeight="1" x14ac:dyDescent="0.3">
      <c r="A745" s="3535"/>
      <c r="B745" s="1947"/>
      <c r="C745" s="1911"/>
      <c r="D745" s="1948" t="s">
        <v>3000</v>
      </c>
      <c r="E745" s="2943">
        <f>SUM(E744:E744)</f>
        <v>0</v>
      </c>
      <c r="F745" s="1911"/>
      <c r="G745" s="1912"/>
      <c r="H745" s="1911"/>
      <c r="I745" s="2634"/>
      <c r="J745" s="3052"/>
      <c r="K745" s="1911"/>
      <c r="L745" s="3052"/>
    </row>
    <row r="746" spans="1:17" ht="15" customHeight="1" x14ac:dyDescent="0.3">
      <c r="A746" s="3536"/>
      <c r="B746" s="1949"/>
      <c r="C746" s="1915"/>
      <c r="D746" s="2942" t="s">
        <v>3002</v>
      </c>
      <c r="E746" s="1917"/>
      <c r="F746" s="1949"/>
      <c r="G746" s="2375"/>
      <c r="H746" s="1915"/>
      <c r="I746" s="2639"/>
      <c r="J746" s="1925"/>
      <c r="K746" s="2376"/>
      <c r="L746" s="1925"/>
    </row>
    <row r="747" spans="1:17" x14ac:dyDescent="0.3">
      <c r="D747" s="2535"/>
    </row>
    <row r="748" spans="1:17" ht="15" customHeight="1" x14ac:dyDescent="0.3">
      <c r="A748" s="3565" t="s">
        <v>3064</v>
      </c>
      <c r="B748" s="3566"/>
      <c r="C748" s="2361"/>
      <c r="D748" s="2927">
        <f>E671+E672+E673+E688+E689+E690+E707+E708+E709+E710+E711+E712+E713+E674+E691+E675+E692+E714+E715+E676+E716+E717+E693+E694</f>
        <v>29966177</v>
      </c>
    </row>
    <row r="749" spans="1:17" ht="15" customHeight="1" x14ac:dyDescent="0.3">
      <c r="A749" s="3567" t="s">
        <v>3065</v>
      </c>
      <c r="B749" s="3568"/>
      <c r="C749" s="470"/>
      <c r="D749" s="2928"/>
    </row>
    <row r="750" spans="1:17" ht="15" customHeight="1" x14ac:dyDescent="0.3">
      <c r="A750" s="3569" t="s">
        <v>3066</v>
      </c>
      <c r="B750" s="3570"/>
      <c r="C750" s="2780"/>
      <c r="D750" s="2929"/>
    </row>
    <row r="751" spans="1:17" ht="15" customHeight="1" x14ac:dyDescent="0.3">
      <c r="A751" s="3551" t="s">
        <v>3067</v>
      </c>
      <c r="B751" s="3552"/>
      <c r="C751" s="2933"/>
      <c r="D751" s="2941"/>
    </row>
    <row r="752" spans="1:17" ht="16.5" customHeight="1" x14ac:dyDescent="0.3">
      <c r="A752" s="3571" t="s">
        <v>3068</v>
      </c>
      <c r="B752" s="3572"/>
      <c r="C752" s="2780"/>
      <c r="D752" s="2930"/>
    </row>
    <row r="753" spans="1:17" ht="16.5" customHeight="1" x14ac:dyDescent="0.3">
      <c r="A753" s="3573" t="s">
        <v>3069</v>
      </c>
      <c r="B753" s="3573"/>
      <c r="C753" s="2780"/>
      <c r="D753" s="2931"/>
    </row>
    <row r="754" spans="1:17" ht="16.5" customHeight="1" x14ac:dyDescent="0.3">
      <c r="A754" s="2781"/>
      <c r="B754" s="2066" t="s">
        <v>3070</v>
      </c>
      <c r="C754" s="2934"/>
      <c r="D754" s="2932">
        <f>SUM(D748:D753)</f>
        <v>29966177</v>
      </c>
    </row>
    <row r="755" spans="1:17" ht="16.5" customHeight="1" x14ac:dyDescent="0.3"/>
    <row r="756" spans="1:17" ht="16.5" customHeight="1" x14ac:dyDescent="0.3"/>
    <row r="757" spans="1:17" ht="31.5" customHeight="1" x14ac:dyDescent="0.3"/>
    <row r="758" spans="1:17" ht="48.75" customHeight="1" x14ac:dyDescent="0.85">
      <c r="A758" s="3585" t="s">
        <v>3502</v>
      </c>
      <c r="B758" s="3585"/>
      <c r="C758" s="3585"/>
      <c r="D758" s="3585"/>
      <c r="E758" s="3585"/>
      <c r="F758" s="3585"/>
      <c r="G758" s="3585"/>
      <c r="H758" s="3585"/>
      <c r="I758" s="3585"/>
      <c r="J758" s="3585"/>
      <c r="K758" s="3585"/>
      <c r="L758" s="3024"/>
    </row>
    <row r="760" spans="1:17" ht="21" x14ac:dyDescent="0.4">
      <c r="A760" s="3493" t="s">
        <v>3451</v>
      </c>
      <c r="B760" s="3493"/>
      <c r="C760" s="3493"/>
      <c r="D760" s="3493"/>
      <c r="E760" s="3493"/>
      <c r="F760" s="3493"/>
      <c r="G760" s="3493"/>
      <c r="H760" s="3493"/>
      <c r="I760" s="3493"/>
      <c r="J760" s="3493"/>
      <c r="K760" s="3493"/>
      <c r="L760" s="3026"/>
      <c r="M760" s="3558" t="s">
        <v>2973</v>
      </c>
      <c r="N760" s="3558"/>
      <c r="O760" s="3558"/>
      <c r="P760" s="3558"/>
      <c r="Q760" s="1313"/>
    </row>
    <row r="761" spans="1:17" ht="15.6" x14ac:dyDescent="0.3">
      <c r="A761" s="2981" t="s">
        <v>2974</v>
      </c>
      <c r="B761" s="3074" t="s">
        <v>2975</v>
      </c>
      <c r="C761" s="2981" t="s">
        <v>2976</v>
      </c>
      <c r="D761" s="3075" t="s">
        <v>2977</v>
      </c>
      <c r="E761" s="3076" t="s">
        <v>2978</v>
      </c>
      <c r="F761" s="2981" t="s">
        <v>2979</v>
      </c>
      <c r="G761" s="3142" t="s">
        <v>2980</v>
      </c>
      <c r="H761" s="3074" t="s">
        <v>2981</v>
      </c>
      <c r="I761" s="3115" t="s">
        <v>2982</v>
      </c>
      <c r="J761" s="2981" t="s">
        <v>3503</v>
      </c>
      <c r="K761" s="3116" t="s">
        <v>2983</v>
      </c>
      <c r="L761" s="3073" t="s">
        <v>3504</v>
      </c>
      <c r="M761" s="3073" t="s">
        <v>2975</v>
      </c>
      <c r="N761" s="3073" t="s">
        <v>2977</v>
      </c>
      <c r="O761" s="3073" t="s">
        <v>2984</v>
      </c>
      <c r="P761" s="3300" t="s">
        <v>2979</v>
      </c>
      <c r="Q761" s="3099" t="s">
        <v>2985</v>
      </c>
    </row>
    <row r="762" spans="1:17" ht="15" customHeight="1" x14ac:dyDescent="0.3">
      <c r="A762" s="3586" t="s">
        <v>3505</v>
      </c>
      <c r="B762" s="2444">
        <v>14361</v>
      </c>
      <c r="C762" s="3016">
        <v>0.1</v>
      </c>
      <c r="D762" s="3078" t="s">
        <v>3506</v>
      </c>
      <c r="E762" s="3079">
        <v>1200000</v>
      </c>
      <c r="F762" s="3080">
        <v>0.1</v>
      </c>
      <c r="G762" s="3079">
        <f t="shared" ref="G762:G771" si="39">E762*F762</f>
        <v>120000</v>
      </c>
      <c r="H762" s="3020" t="s">
        <v>3010</v>
      </c>
      <c r="I762" s="3020" t="s">
        <v>133</v>
      </c>
      <c r="J762" s="3148" t="s">
        <v>3507</v>
      </c>
      <c r="K762" s="265"/>
      <c r="L762" s="3206" t="s">
        <v>118</v>
      </c>
      <c r="M762" s="3146">
        <v>14390</v>
      </c>
      <c r="N762" s="2233" t="s">
        <v>3508</v>
      </c>
      <c r="O762" s="3147">
        <v>1350000</v>
      </c>
      <c r="P762" s="761">
        <v>0.05</v>
      </c>
      <c r="Q762" s="3149">
        <f>O762*P762</f>
        <v>67500</v>
      </c>
    </row>
    <row r="763" spans="1:17" ht="15" customHeight="1" x14ac:dyDescent="0.3">
      <c r="A763" s="3587"/>
      <c r="B763" s="3022">
        <v>14442</v>
      </c>
      <c r="C763" s="3016">
        <v>0.1</v>
      </c>
      <c r="D763" s="2233" t="s">
        <v>3509</v>
      </c>
      <c r="E763" s="3079">
        <v>1400000</v>
      </c>
      <c r="F763" s="3080">
        <v>0.1</v>
      </c>
      <c r="G763" s="3079">
        <f t="shared" si="39"/>
        <v>140000</v>
      </c>
      <c r="H763" s="3020" t="s">
        <v>3010</v>
      </c>
      <c r="I763" s="3020" t="s">
        <v>133</v>
      </c>
      <c r="J763" s="2982" t="s">
        <v>3507</v>
      </c>
      <c r="K763" s="265"/>
      <c r="L763" s="3206" t="s">
        <v>732</v>
      </c>
      <c r="M763" s="3146">
        <v>14363</v>
      </c>
      <c r="N763" s="2233" t="s">
        <v>3510</v>
      </c>
      <c r="O763" s="3147">
        <v>1600000</v>
      </c>
      <c r="P763" s="761">
        <v>0.04</v>
      </c>
      <c r="Q763" s="3149">
        <f t="shared" ref="Q763:Q764" si="40">O763*P763</f>
        <v>64000</v>
      </c>
    </row>
    <row r="764" spans="1:17" ht="15" customHeight="1" x14ac:dyDescent="0.3">
      <c r="A764" s="3587"/>
      <c r="B764" s="3022">
        <v>14485</v>
      </c>
      <c r="C764" s="761">
        <v>0.1</v>
      </c>
      <c r="D764" s="2233" t="s">
        <v>3511</v>
      </c>
      <c r="E764" s="3079">
        <v>1500000</v>
      </c>
      <c r="F764" s="3080">
        <v>0.1</v>
      </c>
      <c r="G764" s="3079">
        <f t="shared" si="39"/>
        <v>150000</v>
      </c>
      <c r="H764" s="3020" t="s">
        <v>3010</v>
      </c>
      <c r="I764" s="3020" t="s">
        <v>133</v>
      </c>
      <c r="J764" s="2982" t="s">
        <v>3507</v>
      </c>
      <c r="K764" s="265"/>
      <c r="L764" s="3206" t="s">
        <v>732</v>
      </c>
      <c r="M764" s="3146">
        <v>14575</v>
      </c>
      <c r="N764" s="2233" t="s">
        <v>3512</v>
      </c>
      <c r="O764" s="3147">
        <v>1300000</v>
      </c>
      <c r="P764" s="761">
        <v>0.05</v>
      </c>
      <c r="Q764" s="3149">
        <f t="shared" si="40"/>
        <v>65000</v>
      </c>
    </row>
    <row r="765" spans="1:17" ht="15.75" customHeight="1" x14ac:dyDescent="0.3">
      <c r="A765" s="3587"/>
      <c r="B765" s="3022">
        <v>14507</v>
      </c>
      <c r="C765" s="761">
        <v>0.1</v>
      </c>
      <c r="D765" s="2233" t="s">
        <v>3513</v>
      </c>
      <c r="E765" s="3079">
        <v>1950000</v>
      </c>
      <c r="F765" s="3080">
        <v>0.1</v>
      </c>
      <c r="G765" s="3079">
        <f t="shared" si="39"/>
        <v>195000</v>
      </c>
      <c r="H765" s="3020" t="s">
        <v>3010</v>
      </c>
      <c r="I765" s="3020" t="s">
        <v>133</v>
      </c>
      <c r="J765" s="2982" t="s">
        <v>3507</v>
      </c>
      <c r="K765" s="265"/>
      <c r="L765" s="2982" t="s">
        <v>3514</v>
      </c>
      <c r="M765" s="2329"/>
      <c r="N765" s="2329"/>
      <c r="O765" s="2329"/>
      <c r="P765" s="3301"/>
      <c r="Q765" s="2329"/>
    </row>
    <row r="766" spans="1:17" ht="15.75" customHeight="1" x14ac:dyDescent="0.3">
      <c r="A766" s="3587"/>
      <c r="B766" s="3022">
        <v>14523</v>
      </c>
      <c r="C766" s="761">
        <v>0.1</v>
      </c>
      <c r="D766" s="2233" t="s">
        <v>3515</v>
      </c>
      <c r="E766" s="3079">
        <v>1400000</v>
      </c>
      <c r="F766" s="3081">
        <v>0.05</v>
      </c>
      <c r="G766" s="3079">
        <f t="shared" si="39"/>
        <v>70000</v>
      </c>
      <c r="H766" s="3020" t="s">
        <v>2401</v>
      </c>
      <c r="I766" s="3020" t="s">
        <v>133</v>
      </c>
      <c r="J766" s="2982" t="s">
        <v>3507</v>
      </c>
      <c r="K766" s="265"/>
      <c r="L766" s="2982" t="s">
        <v>732</v>
      </c>
      <c r="M766" s="265"/>
      <c r="N766" s="265"/>
      <c r="O766" s="265"/>
      <c r="P766" s="3081"/>
      <c r="Q766" s="265"/>
    </row>
    <row r="767" spans="1:17" ht="15" customHeight="1" x14ac:dyDescent="0.3">
      <c r="A767" s="3587"/>
      <c r="B767" s="3022">
        <v>14565</v>
      </c>
      <c r="C767" s="761">
        <v>0.1</v>
      </c>
      <c r="D767" s="2233" t="s">
        <v>3516</v>
      </c>
      <c r="E767" s="3079">
        <v>1600000</v>
      </c>
      <c r="F767" s="3080">
        <v>0.1</v>
      </c>
      <c r="G767" s="3079">
        <f t="shared" si="39"/>
        <v>160000</v>
      </c>
      <c r="H767" s="3020" t="s">
        <v>3010</v>
      </c>
      <c r="I767" s="3020" t="s">
        <v>133</v>
      </c>
      <c r="J767" s="2982" t="s">
        <v>3507</v>
      </c>
      <c r="K767" s="265"/>
      <c r="L767" s="2982" t="s">
        <v>3517</v>
      </c>
      <c r="M767" s="265"/>
      <c r="N767" s="265"/>
      <c r="O767" s="265"/>
      <c r="P767" s="3081"/>
      <c r="Q767" s="265"/>
    </row>
    <row r="768" spans="1:17" ht="15" customHeight="1" x14ac:dyDescent="0.3">
      <c r="A768" s="3587"/>
      <c r="B768" s="3022">
        <v>14561</v>
      </c>
      <c r="C768" s="761">
        <v>0.1</v>
      </c>
      <c r="D768" s="2233" t="s">
        <v>3518</v>
      </c>
      <c r="E768" s="3079">
        <v>1800000</v>
      </c>
      <c r="F768" s="3081">
        <v>0.05</v>
      </c>
      <c r="G768" s="3079">
        <f t="shared" si="39"/>
        <v>90000</v>
      </c>
      <c r="H768" s="3020" t="s">
        <v>2401</v>
      </c>
      <c r="I768" s="3020" t="s">
        <v>133</v>
      </c>
      <c r="J768" s="2982" t="s">
        <v>3507</v>
      </c>
      <c r="K768" s="265"/>
      <c r="L768" s="2982" t="s">
        <v>3517</v>
      </c>
      <c r="M768" s="265"/>
      <c r="N768" s="265"/>
      <c r="O768" s="265"/>
      <c r="P768" s="3081"/>
      <c r="Q768" s="265"/>
    </row>
    <row r="769" spans="1:17" ht="15" customHeight="1" x14ac:dyDescent="0.3">
      <c r="A769" s="3587"/>
      <c r="B769" s="3022">
        <v>14562</v>
      </c>
      <c r="C769" s="761">
        <v>0.1</v>
      </c>
      <c r="D769" s="2233" t="s">
        <v>3519</v>
      </c>
      <c r="E769" s="3079">
        <v>1350000</v>
      </c>
      <c r="F769" s="3081">
        <v>0.06</v>
      </c>
      <c r="G769" s="3079">
        <f t="shared" si="39"/>
        <v>81000</v>
      </c>
      <c r="H769" s="3020" t="s">
        <v>118</v>
      </c>
      <c r="I769" s="3020" t="s">
        <v>1282</v>
      </c>
      <c r="J769" s="2982" t="s">
        <v>3507</v>
      </c>
      <c r="K769" s="265"/>
      <c r="L769" s="2982" t="s">
        <v>732</v>
      </c>
      <c r="M769" s="265"/>
      <c r="N769" s="265"/>
      <c r="O769" s="265"/>
      <c r="P769" s="3081"/>
      <c r="Q769" s="265"/>
    </row>
    <row r="770" spans="1:17" ht="15" customHeight="1" x14ac:dyDescent="0.3">
      <c r="A770" s="3587"/>
      <c r="B770" s="3022">
        <v>14584</v>
      </c>
      <c r="C770" s="761">
        <v>0.1</v>
      </c>
      <c r="D770" s="2233" t="s">
        <v>3520</v>
      </c>
      <c r="E770" s="3079">
        <v>2100000</v>
      </c>
      <c r="F770" s="3081">
        <v>0.05</v>
      </c>
      <c r="G770" s="3079">
        <f t="shared" si="39"/>
        <v>105000</v>
      </c>
      <c r="H770" s="3020" t="s">
        <v>2401</v>
      </c>
      <c r="I770" s="3020" t="s">
        <v>1282</v>
      </c>
      <c r="J770" s="2982" t="s">
        <v>3507</v>
      </c>
      <c r="K770" s="265"/>
      <c r="L770" s="2982" t="s">
        <v>732</v>
      </c>
      <c r="M770" s="265"/>
      <c r="N770" s="265"/>
      <c r="O770" s="265"/>
      <c r="P770" s="3081"/>
      <c r="Q770" s="265"/>
    </row>
    <row r="771" spans="1:17" ht="15" customHeight="1" x14ac:dyDescent="0.3">
      <c r="A771" s="3587"/>
      <c r="B771" s="3022">
        <v>14611</v>
      </c>
      <c r="C771" s="761">
        <v>0.1</v>
      </c>
      <c r="D771" s="2233" t="s">
        <v>3521</v>
      </c>
      <c r="E771" s="3079">
        <v>2610000</v>
      </c>
      <c r="F771" s="3081">
        <v>0.05</v>
      </c>
      <c r="G771" s="3079">
        <f t="shared" si="39"/>
        <v>130500</v>
      </c>
      <c r="H771" s="3020" t="s">
        <v>1685</v>
      </c>
      <c r="I771" s="3020" t="s">
        <v>1282</v>
      </c>
      <c r="J771" s="2982">
        <v>5</v>
      </c>
      <c r="K771" s="265"/>
      <c r="L771" s="2982"/>
      <c r="M771" s="265"/>
      <c r="N771" s="265"/>
      <c r="O771" s="265"/>
      <c r="P771" s="3081"/>
      <c r="Q771" s="265"/>
    </row>
    <row r="772" spans="1:17" ht="15" customHeight="1" x14ac:dyDescent="0.3">
      <c r="A772" s="3587"/>
      <c r="B772" s="3023" t="s">
        <v>3022</v>
      </c>
      <c r="C772" s="2707">
        <v>0.1</v>
      </c>
      <c r="D772" s="2888" t="s">
        <v>3522</v>
      </c>
      <c r="E772" s="3079"/>
      <c r="F772" s="2982"/>
      <c r="G772" s="265"/>
      <c r="H772" s="3020"/>
      <c r="I772" s="3020" t="s">
        <v>133</v>
      </c>
      <c r="J772" s="2982"/>
      <c r="K772" s="265"/>
      <c r="L772" s="2982"/>
      <c r="M772" s="265"/>
      <c r="N772" s="265"/>
      <c r="O772" s="265"/>
      <c r="P772" s="3081"/>
      <c r="Q772" s="265"/>
    </row>
    <row r="773" spans="1:17" ht="15" customHeight="1" x14ac:dyDescent="0.3">
      <c r="A773" s="3587"/>
      <c r="B773" s="3023" t="s">
        <v>3022</v>
      </c>
      <c r="C773" s="1030"/>
      <c r="D773" s="3082" t="s">
        <v>3523</v>
      </c>
      <c r="E773" s="3083"/>
      <c r="F773" s="3099"/>
      <c r="G773" s="2317"/>
      <c r="H773" s="3084"/>
      <c r="I773" s="3084" t="s">
        <v>133</v>
      </c>
      <c r="J773" s="3099"/>
      <c r="K773" s="2317"/>
      <c r="L773" s="3099"/>
      <c r="M773" s="2317"/>
      <c r="N773" s="2317"/>
      <c r="O773" s="2317"/>
      <c r="P773" s="3302"/>
      <c r="Q773" s="2317"/>
    </row>
    <row r="774" spans="1:17" ht="15" customHeight="1" x14ac:dyDescent="0.3">
      <c r="A774" s="3587"/>
      <c r="B774" s="3069"/>
      <c r="C774" s="2274"/>
      <c r="D774" s="3085" t="s">
        <v>3000</v>
      </c>
      <c r="E774" s="3079">
        <f>SUM(E762:E773)</f>
        <v>16910000</v>
      </c>
      <c r="F774" s="2982"/>
      <c r="G774" s="3079"/>
      <c r="H774" s="3020"/>
      <c r="I774" s="3020"/>
      <c r="J774" s="2982"/>
      <c r="K774" s="265"/>
      <c r="L774" s="2982"/>
      <c r="M774" s="265"/>
      <c r="N774" s="265"/>
      <c r="O774" s="265"/>
      <c r="P774" s="3081"/>
      <c r="Q774" s="3150"/>
    </row>
    <row r="775" spans="1:17" ht="15" customHeight="1" x14ac:dyDescent="0.3">
      <c r="A775" s="3587"/>
      <c r="B775" s="289"/>
      <c r="C775" s="2663"/>
      <c r="D775" s="1182" t="s">
        <v>3002</v>
      </c>
      <c r="E775" s="3163">
        <f>G775+Q775</f>
        <v>1438000</v>
      </c>
      <c r="F775" s="2982"/>
      <c r="G775" s="3079">
        <f>SUM(G762:G774)</f>
        <v>1241500</v>
      </c>
      <c r="H775" s="3020"/>
      <c r="I775" s="2982"/>
      <c r="J775" s="2982"/>
      <c r="K775" s="265"/>
      <c r="L775" s="2982"/>
      <c r="M775" s="265"/>
      <c r="N775" s="265"/>
      <c r="O775" s="3151" t="s">
        <v>3524</v>
      </c>
      <c r="P775" s="3303"/>
      <c r="Q775" s="3152">
        <f>SUM(Q762:Q774)</f>
        <v>196500</v>
      </c>
    </row>
    <row r="778" spans="1:17" ht="21" x14ac:dyDescent="0.4">
      <c r="A778" s="3493" t="s">
        <v>3464</v>
      </c>
      <c r="B778" s="3493"/>
      <c r="C778" s="3493"/>
      <c r="D778" s="3493"/>
      <c r="E778" s="3493"/>
      <c r="F778" s="3493"/>
      <c r="G778" s="3493"/>
      <c r="H778" s="3493"/>
      <c r="I778" s="3493"/>
      <c r="J778" s="3493"/>
      <c r="K778" s="3493"/>
      <c r="L778" s="3026"/>
      <c r="M778" s="3558" t="s">
        <v>2973</v>
      </c>
      <c r="N778" s="3558"/>
      <c r="O778" s="3558"/>
      <c r="P778" s="3558"/>
      <c r="Q778" s="3094"/>
    </row>
    <row r="779" spans="1:17" x14ac:dyDescent="0.3">
      <c r="A779" s="2981" t="s">
        <v>2974</v>
      </c>
      <c r="B779" s="3074" t="s">
        <v>2975</v>
      </c>
      <c r="C779" s="2981" t="s">
        <v>2976</v>
      </c>
      <c r="D779" s="3075" t="s">
        <v>2977</v>
      </c>
      <c r="E779" s="3076" t="s">
        <v>2978</v>
      </c>
      <c r="F779" s="2981" t="s">
        <v>2979</v>
      </c>
      <c r="G779" s="3077" t="s">
        <v>2980</v>
      </c>
      <c r="H779" s="3074" t="s">
        <v>2981</v>
      </c>
      <c r="I779" s="3115" t="s">
        <v>2982</v>
      </c>
      <c r="J779" s="2981" t="s">
        <v>3503</v>
      </c>
      <c r="K779" s="3116" t="s">
        <v>2983</v>
      </c>
      <c r="L779" s="3073" t="s">
        <v>3504</v>
      </c>
      <c r="M779" s="3073" t="s">
        <v>2975</v>
      </c>
      <c r="N779" s="3073" t="s">
        <v>2977</v>
      </c>
      <c r="O779" s="3073" t="s">
        <v>2984</v>
      </c>
      <c r="P779" s="3300" t="s">
        <v>2979</v>
      </c>
      <c r="Q779" s="3099" t="s">
        <v>2985</v>
      </c>
    </row>
    <row r="780" spans="1:17" ht="15" customHeight="1" x14ac:dyDescent="0.3">
      <c r="A780" s="3588" t="s">
        <v>3525</v>
      </c>
      <c r="B780" s="2444">
        <v>14390</v>
      </c>
      <c r="C780" s="2999">
        <v>0.1</v>
      </c>
      <c r="D780" s="3087" t="s">
        <v>3526</v>
      </c>
      <c r="E780" s="3088">
        <v>1350000</v>
      </c>
      <c r="F780" s="3081">
        <v>0.03</v>
      </c>
      <c r="G780" s="3086">
        <f t="shared" ref="G780:G785" si="41">E780*F780</f>
        <v>40500</v>
      </c>
      <c r="H780" s="3020" t="s">
        <v>3010</v>
      </c>
      <c r="I780" s="3020" t="s">
        <v>3473</v>
      </c>
      <c r="J780" s="3148" t="s">
        <v>3507</v>
      </c>
      <c r="K780" s="265"/>
      <c r="L780" s="3206" t="s">
        <v>118</v>
      </c>
      <c r="M780" s="3146">
        <v>14352</v>
      </c>
      <c r="N780" s="2233" t="s">
        <v>3527</v>
      </c>
      <c r="O780" s="3147">
        <v>1300000</v>
      </c>
      <c r="P780" s="761">
        <v>0.04</v>
      </c>
      <c r="Q780" s="3149">
        <f>O780*P780</f>
        <v>52000</v>
      </c>
    </row>
    <row r="781" spans="1:17" ht="15" customHeight="1" x14ac:dyDescent="0.3">
      <c r="A781" s="3589"/>
      <c r="B781" s="2444">
        <v>14362</v>
      </c>
      <c r="C781" s="2999">
        <v>0.1</v>
      </c>
      <c r="D781" s="3087" t="s">
        <v>3528</v>
      </c>
      <c r="E781" s="3088">
        <v>1300000</v>
      </c>
      <c r="F781" s="3081">
        <v>0.08</v>
      </c>
      <c r="G781" s="3086">
        <f t="shared" si="41"/>
        <v>104000</v>
      </c>
      <c r="H781" s="3020" t="s">
        <v>2993</v>
      </c>
      <c r="I781" s="3020" t="s">
        <v>217</v>
      </c>
      <c r="J781" s="2982" t="s">
        <v>3507</v>
      </c>
      <c r="K781" s="265"/>
      <c r="L781" s="3206" t="s">
        <v>3529</v>
      </c>
      <c r="M781" s="3146">
        <v>14423</v>
      </c>
      <c r="N781" s="2233" t="s">
        <v>3530</v>
      </c>
      <c r="O781" s="3147">
        <v>1200000</v>
      </c>
      <c r="P781" s="761">
        <v>0.05</v>
      </c>
      <c r="Q781" s="3149">
        <f t="shared" ref="Q781:Q782" si="42">O781*P781</f>
        <v>60000</v>
      </c>
    </row>
    <row r="782" spans="1:17" ht="15" customHeight="1" x14ac:dyDescent="0.3">
      <c r="A782" s="3589"/>
      <c r="B782" s="2444">
        <v>14363</v>
      </c>
      <c r="C782" s="3017">
        <v>0.08</v>
      </c>
      <c r="D782" s="3087" t="s">
        <v>3531</v>
      </c>
      <c r="E782" s="3088">
        <v>1600000</v>
      </c>
      <c r="F782" s="2990">
        <v>0.02</v>
      </c>
      <c r="G782" s="3086">
        <f t="shared" si="41"/>
        <v>32000</v>
      </c>
      <c r="H782" s="3020" t="s">
        <v>3532</v>
      </c>
      <c r="I782" s="3020" t="s">
        <v>217</v>
      </c>
      <c r="J782" s="2982" t="s">
        <v>3507</v>
      </c>
      <c r="K782" s="265"/>
      <c r="L782" s="3206" t="s">
        <v>3533</v>
      </c>
      <c r="M782" s="3146">
        <v>14394</v>
      </c>
      <c r="N782" s="2233" t="s">
        <v>3534</v>
      </c>
      <c r="O782" s="3147">
        <v>1250000</v>
      </c>
      <c r="P782" s="761">
        <v>0.05</v>
      </c>
      <c r="Q782" s="3149">
        <f t="shared" si="42"/>
        <v>62500</v>
      </c>
    </row>
    <row r="783" spans="1:17" ht="15" customHeight="1" x14ac:dyDescent="0.3">
      <c r="A783" s="3589"/>
      <c r="B783" s="2444">
        <v>14415</v>
      </c>
      <c r="C783" s="2999">
        <v>0.1</v>
      </c>
      <c r="D783" s="3087" t="s">
        <v>3535</v>
      </c>
      <c r="E783" s="3088">
        <v>1100000</v>
      </c>
      <c r="F783" s="3081">
        <v>0.03</v>
      </c>
      <c r="G783" s="3086">
        <f t="shared" si="41"/>
        <v>33000</v>
      </c>
      <c r="H783" s="3020" t="s">
        <v>1685</v>
      </c>
      <c r="I783" s="3020" t="s">
        <v>217</v>
      </c>
      <c r="J783" s="3204" t="s">
        <v>3507</v>
      </c>
      <c r="K783" s="265"/>
      <c r="L783" s="2982" t="s">
        <v>118</v>
      </c>
      <c r="M783" s="2329"/>
      <c r="N783" s="2329"/>
      <c r="O783" s="2329"/>
      <c r="P783" s="3301"/>
      <c r="Q783" s="2329"/>
    </row>
    <row r="784" spans="1:17" ht="15" customHeight="1" x14ac:dyDescent="0.3">
      <c r="A784" s="3589"/>
      <c r="B784" s="2444">
        <v>14413</v>
      </c>
      <c r="C784" s="2999">
        <v>0.1</v>
      </c>
      <c r="D784" s="3087" t="s">
        <v>3536</v>
      </c>
      <c r="E784" s="3089">
        <v>1350000</v>
      </c>
      <c r="F784" s="3081">
        <v>0.04</v>
      </c>
      <c r="G784" s="3086">
        <f t="shared" si="41"/>
        <v>54000</v>
      </c>
      <c r="H784" s="3020" t="s">
        <v>118</v>
      </c>
      <c r="I784" s="3020" t="s">
        <v>133</v>
      </c>
      <c r="J784" s="2982" t="s">
        <v>3507</v>
      </c>
      <c r="K784" s="265"/>
      <c r="L784" s="2982" t="s">
        <v>732</v>
      </c>
      <c r="M784" s="265"/>
      <c r="N784" s="265"/>
      <c r="O784" s="265"/>
      <c r="P784" s="3081"/>
      <c r="Q784" s="265"/>
    </row>
    <row r="785" spans="1:17" ht="15" customHeight="1" x14ac:dyDescent="0.3">
      <c r="A785" s="3589"/>
      <c r="B785" s="2444">
        <v>14455</v>
      </c>
      <c r="C785" s="3017">
        <v>0.08</v>
      </c>
      <c r="D785" s="3087" t="s">
        <v>3537</v>
      </c>
      <c r="E785" s="3088">
        <v>2300000</v>
      </c>
      <c r="F785" s="2990">
        <v>0.02</v>
      </c>
      <c r="G785" s="3086">
        <f t="shared" si="41"/>
        <v>46000</v>
      </c>
      <c r="H785" s="3020" t="s">
        <v>3538</v>
      </c>
      <c r="I785" s="3020" t="s">
        <v>133</v>
      </c>
      <c r="J785" s="2982" t="s">
        <v>3507</v>
      </c>
      <c r="K785" s="265"/>
      <c r="L785" s="2982" t="s">
        <v>3517</v>
      </c>
      <c r="M785" s="265"/>
      <c r="N785" s="265"/>
      <c r="O785" s="265"/>
      <c r="P785" s="3081"/>
      <c r="Q785" s="265"/>
    </row>
    <row r="786" spans="1:17" ht="15" customHeight="1" x14ac:dyDescent="0.3">
      <c r="A786" s="3589"/>
      <c r="B786" s="2486" t="s">
        <v>3022</v>
      </c>
      <c r="C786" s="3091"/>
      <c r="D786" s="3092" t="s">
        <v>3539</v>
      </c>
      <c r="E786" s="3079"/>
      <c r="F786" s="2982"/>
      <c r="G786" s="265"/>
      <c r="H786" s="3020"/>
      <c r="I786" s="2982"/>
      <c r="J786" s="2982"/>
      <c r="K786" s="265" t="s">
        <v>3540</v>
      </c>
      <c r="L786" s="2982"/>
      <c r="M786" s="265"/>
      <c r="N786" s="265"/>
      <c r="O786" s="265"/>
      <c r="P786" s="3081"/>
      <c r="Q786" s="265"/>
    </row>
    <row r="787" spans="1:17" ht="15" customHeight="1" x14ac:dyDescent="0.3">
      <c r="A787" s="3589"/>
      <c r="B787" s="2486" t="s">
        <v>3022</v>
      </c>
      <c r="C787" s="3091"/>
      <c r="D787" s="3092" t="s">
        <v>3516</v>
      </c>
      <c r="E787" s="3079"/>
      <c r="F787" s="2982"/>
      <c r="G787" s="265"/>
      <c r="H787" s="3020"/>
      <c r="I787" s="2982"/>
      <c r="J787" s="2982"/>
      <c r="K787" s="265" t="s">
        <v>3541</v>
      </c>
      <c r="L787" s="2982"/>
      <c r="M787" s="265"/>
      <c r="N787" s="265"/>
      <c r="O787" s="265"/>
      <c r="P787" s="3081"/>
      <c r="Q787" s="265"/>
    </row>
    <row r="788" spans="1:17" ht="15" customHeight="1" x14ac:dyDescent="0.3">
      <c r="A788" s="3589"/>
      <c r="B788" s="3095" t="s">
        <v>3022</v>
      </c>
      <c r="C788" s="3096"/>
      <c r="D788" s="3097" t="s">
        <v>3542</v>
      </c>
      <c r="E788" s="3098"/>
      <c r="F788" s="3099"/>
      <c r="G788" s="2317"/>
      <c r="H788" s="3084"/>
      <c r="I788" s="3099"/>
      <c r="J788" s="3099"/>
      <c r="K788" s="2317" t="s">
        <v>3543</v>
      </c>
      <c r="L788" s="3099"/>
      <c r="M788" s="2317"/>
      <c r="N788" s="2317"/>
      <c r="O788" s="2317"/>
      <c r="P788" s="3302"/>
      <c r="Q788" s="2317"/>
    </row>
    <row r="789" spans="1:17" ht="15" customHeight="1" x14ac:dyDescent="0.3">
      <c r="A789" s="3589"/>
      <c r="B789" s="2632"/>
      <c r="C789" s="2764"/>
      <c r="D789" s="3085" t="s">
        <v>3000</v>
      </c>
      <c r="E789" s="3086">
        <f>SUM(E780:E788)</f>
        <v>9000000</v>
      </c>
      <c r="F789" s="2982"/>
      <c r="G789" s="265"/>
      <c r="H789" s="3020"/>
      <c r="I789" s="2982"/>
      <c r="J789" s="2982"/>
      <c r="K789" s="265"/>
      <c r="L789" s="2982"/>
      <c r="M789" s="265"/>
      <c r="N789" s="265"/>
      <c r="O789" s="265"/>
      <c r="P789" s="3081"/>
      <c r="Q789" s="3150"/>
    </row>
    <row r="790" spans="1:17" ht="15" customHeight="1" x14ac:dyDescent="0.3">
      <c r="A790" s="3589"/>
      <c r="B790" s="2623"/>
      <c r="C790" s="289"/>
      <c r="D790" s="1182" t="s">
        <v>3002</v>
      </c>
      <c r="E790" s="3163">
        <f>G790+Q790</f>
        <v>484000</v>
      </c>
      <c r="F790" s="2982"/>
      <c r="G790" s="3086">
        <f>SUM(G780:G789)</f>
        <v>309500</v>
      </c>
      <c r="H790" s="3020"/>
      <c r="I790" s="2982"/>
      <c r="J790" s="2982"/>
      <c r="K790" s="265"/>
      <c r="L790" s="2982"/>
      <c r="M790" s="265"/>
      <c r="N790" s="265"/>
      <c r="O790" s="3151" t="s">
        <v>3524</v>
      </c>
      <c r="P790" s="3303"/>
      <c r="Q790" s="3152">
        <f>SUM(Q780:Q789)</f>
        <v>174500</v>
      </c>
    </row>
    <row r="791" spans="1:17" x14ac:dyDescent="0.3">
      <c r="Q791" s="3162"/>
    </row>
    <row r="792" spans="1:17" ht="21" x14ac:dyDescent="0.4">
      <c r="A792" s="3493" t="s">
        <v>3482</v>
      </c>
      <c r="B792" s="3493"/>
      <c r="C792" s="3493"/>
      <c r="D792" s="3493"/>
      <c r="E792" s="3493"/>
      <c r="F792" s="3493"/>
      <c r="G792" s="3493"/>
      <c r="H792" s="3493"/>
      <c r="I792" s="3493"/>
      <c r="J792" s="3493"/>
      <c r="K792" s="3493"/>
      <c r="L792" s="3026"/>
      <c r="M792" s="3558" t="s">
        <v>2973</v>
      </c>
      <c r="N792" s="3558"/>
      <c r="O792" s="3558"/>
      <c r="P792" s="3558"/>
      <c r="Q792" s="3094"/>
    </row>
    <row r="793" spans="1:17" x14ac:dyDescent="0.3">
      <c r="A793" s="2981" t="s">
        <v>2974</v>
      </c>
      <c r="B793" s="3074" t="s">
        <v>2975</v>
      </c>
      <c r="C793" s="2981" t="s">
        <v>2976</v>
      </c>
      <c r="D793" s="3075" t="s">
        <v>2977</v>
      </c>
      <c r="E793" s="3076" t="s">
        <v>2978</v>
      </c>
      <c r="F793" s="2981" t="s">
        <v>2979</v>
      </c>
      <c r="G793" s="3077" t="s">
        <v>2980</v>
      </c>
      <c r="H793" s="3074" t="s">
        <v>2981</v>
      </c>
      <c r="I793" s="2981" t="s">
        <v>2982</v>
      </c>
      <c r="J793" s="3073" t="s">
        <v>3503</v>
      </c>
      <c r="K793" s="2981" t="s">
        <v>2983</v>
      </c>
      <c r="L793" s="3073" t="s">
        <v>3504</v>
      </c>
      <c r="M793" s="3073" t="s">
        <v>2975</v>
      </c>
      <c r="N793" s="3073" t="s">
        <v>2977</v>
      </c>
      <c r="O793" s="3073" t="s">
        <v>2984</v>
      </c>
      <c r="P793" s="3300" t="s">
        <v>2979</v>
      </c>
      <c r="Q793" s="3099" t="s">
        <v>2985</v>
      </c>
    </row>
    <row r="794" spans="1:17" ht="15" customHeight="1" x14ac:dyDescent="0.3">
      <c r="A794" s="3538" t="s">
        <v>3417</v>
      </c>
      <c r="B794" s="2444">
        <v>14352</v>
      </c>
      <c r="C794" s="2694">
        <v>0.09</v>
      </c>
      <c r="D794" s="3100" t="s">
        <v>3494</v>
      </c>
      <c r="E794" s="3101">
        <v>1300000</v>
      </c>
      <c r="F794" s="3145">
        <v>0.04</v>
      </c>
      <c r="G794" s="3102">
        <f t="shared" ref="G794:G809" si="43">E794*F794</f>
        <v>52000</v>
      </c>
      <c r="H794" s="2644" t="s">
        <v>2993</v>
      </c>
      <c r="I794" s="2644" t="s">
        <v>3473</v>
      </c>
      <c r="J794" s="2764" t="s">
        <v>3507</v>
      </c>
      <c r="K794" s="3103"/>
      <c r="L794" s="2834" t="s">
        <v>3544</v>
      </c>
      <c r="M794" s="3155"/>
      <c r="N794" s="3153" t="s">
        <v>3545</v>
      </c>
      <c r="O794" s="3156">
        <v>2610000</v>
      </c>
      <c r="P794" s="2999">
        <v>0.05</v>
      </c>
      <c r="Q794" s="3154">
        <f>O794*P794</f>
        <v>130500</v>
      </c>
    </row>
    <row r="795" spans="1:17" ht="15" customHeight="1" x14ac:dyDescent="0.3">
      <c r="A795" s="3539"/>
      <c r="B795" s="2444">
        <v>14433</v>
      </c>
      <c r="C795" s="2596">
        <v>0.1</v>
      </c>
      <c r="D795" s="3107" t="s">
        <v>3546</v>
      </c>
      <c r="E795" s="3101">
        <v>1150000</v>
      </c>
      <c r="F795" s="3081">
        <v>0.1</v>
      </c>
      <c r="G795" s="3102">
        <f t="shared" si="43"/>
        <v>115000</v>
      </c>
      <c r="H795" s="2644" t="s">
        <v>1685</v>
      </c>
      <c r="I795" s="2644" t="s">
        <v>118</v>
      </c>
      <c r="J795" s="2982" t="s">
        <v>3507</v>
      </c>
      <c r="K795" s="3108"/>
      <c r="L795" s="3206" t="s">
        <v>732</v>
      </c>
      <c r="M795" s="3146">
        <v>14415</v>
      </c>
      <c r="N795" s="2233" t="s">
        <v>3547</v>
      </c>
      <c r="O795" s="3147">
        <v>1100000</v>
      </c>
      <c r="P795" s="761">
        <v>0.05</v>
      </c>
      <c r="Q795" s="3154">
        <f>O795*P795</f>
        <v>55000</v>
      </c>
    </row>
    <row r="796" spans="1:17" ht="15" customHeight="1" x14ac:dyDescent="0.3">
      <c r="A796" s="3539"/>
      <c r="B796" s="2444">
        <v>14340</v>
      </c>
      <c r="C796" s="2596">
        <v>0.1</v>
      </c>
      <c r="D796" s="3107" t="s">
        <v>3548</v>
      </c>
      <c r="E796" s="3101">
        <v>1200000</v>
      </c>
      <c r="F796" s="3080">
        <v>0.06</v>
      </c>
      <c r="G796" s="3102">
        <f t="shared" si="43"/>
        <v>72000</v>
      </c>
      <c r="H796" s="2644" t="s">
        <v>118</v>
      </c>
      <c r="I796" s="2644" t="s">
        <v>133</v>
      </c>
      <c r="J796" s="2764" t="s">
        <v>3507</v>
      </c>
      <c r="K796" s="3103"/>
      <c r="L796" s="2764" t="s">
        <v>3544</v>
      </c>
      <c r="M796" s="3157"/>
      <c r="N796" s="3158"/>
      <c r="O796" s="3064"/>
      <c r="P796" s="3159"/>
      <c r="Q796" s="3160"/>
    </row>
    <row r="797" spans="1:17" ht="15" customHeight="1" x14ac:dyDescent="0.3">
      <c r="A797" s="3539"/>
      <c r="B797" s="2444">
        <v>14378</v>
      </c>
      <c r="C797" s="2596">
        <v>0.1</v>
      </c>
      <c r="D797" s="3107" t="s">
        <v>3549</v>
      </c>
      <c r="E797" s="3101">
        <v>1250000</v>
      </c>
      <c r="F797" s="3080">
        <v>0.06</v>
      </c>
      <c r="G797" s="3102">
        <f t="shared" si="43"/>
        <v>75000</v>
      </c>
      <c r="H797" s="2644" t="s">
        <v>118</v>
      </c>
      <c r="I797" s="2644" t="s">
        <v>133</v>
      </c>
      <c r="J797" s="2764" t="s">
        <v>3507</v>
      </c>
      <c r="K797" s="3103"/>
      <c r="L797" s="2764" t="s">
        <v>3544</v>
      </c>
      <c r="M797" s="3104"/>
      <c r="N797" s="3105"/>
      <c r="O797" s="2764"/>
      <c r="P797" s="3090"/>
      <c r="Q797" s="3106"/>
    </row>
    <row r="798" spans="1:17" ht="15" customHeight="1" x14ac:dyDescent="0.3">
      <c r="A798" s="3539"/>
      <c r="B798" s="2444">
        <v>14420</v>
      </c>
      <c r="C798" s="2596">
        <v>0.1</v>
      </c>
      <c r="D798" s="3107" t="s">
        <v>3550</v>
      </c>
      <c r="E798" s="3101">
        <v>1250000</v>
      </c>
      <c r="F798" s="3080">
        <v>0.06</v>
      </c>
      <c r="G798" s="3102">
        <f t="shared" si="43"/>
        <v>75000</v>
      </c>
      <c r="H798" s="2644" t="s">
        <v>118</v>
      </c>
      <c r="I798" s="2644" t="s">
        <v>133</v>
      </c>
      <c r="J798" s="2982" t="s">
        <v>3507</v>
      </c>
      <c r="K798" s="3108"/>
      <c r="L798" s="2982" t="s">
        <v>3517</v>
      </c>
      <c r="M798" s="3109"/>
      <c r="N798" s="265"/>
      <c r="O798" s="265"/>
      <c r="P798" s="3081"/>
      <c r="Q798" s="265"/>
    </row>
    <row r="799" spans="1:17" ht="15" customHeight="1" x14ac:dyDescent="0.3">
      <c r="A799" s="3539"/>
      <c r="B799" s="2444">
        <v>14422</v>
      </c>
      <c r="C799" s="2596">
        <v>0.1</v>
      </c>
      <c r="D799" s="3107" t="s">
        <v>3551</v>
      </c>
      <c r="E799" s="3101">
        <v>1400000</v>
      </c>
      <c r="F799" s="3080">
        <v>0.1</v>
      </c>
      <c r="G799" s="3102">
        <f t="shared" si="43"/>
        <v>140000</v>
      </c>
      <c r="H799" s="2644" t="s">
        <v>1685</v>
      </c>
      <c r="I799" s="2644" t="s">
        <v>133</v>
      </c>
      <c r="J799" s="2764" t="s">
        <v>3507</v>
      </c>
      <c r="K799" s="3103"/>
      <c r="L799" s="2764" t="s">
        <v>3544</v>
      </c>
      <c r="M799" s="3104"/>
      <c r="N799" s="3105"/>
      <c r="O799" s="2764"/>
      <c r="P799" s="3090"/>
      <c r="Q799" s="3106"/>
    </row>
    <row r="800" spans="1:17" ht="15" customHeight="1" x14ac:dyDescent="0.3">
      <c r="A800" s="3539"/>
      <c r="B800" s="2444">
        <v>14423</v>
      </c>
      <c r="C800" s="2596">
        <v>0.1</v>
      </c>
      <c r="D800" s="3107" t="s">
        <v>3552</v>
      </c>
      <c r="E800" s="3101">
        <v>1200000</v>
      </c>
      <c r="F800" s="3081">
        <v>0.05</v>
      </c>
      <c r="G800" s="3102">
        <f t="shared" si="43"/>
        <v>60000</v>
      </c>
      <c r="H800" s="2644" t="s">
        <v>2993</v>
      </c>
      <c r="I800" s="2644" t="s">
        <v>217</v>
      </c>
      <c r="J800" s="2764" t="s">
        <v>3507</v>
      </c>
      <c r="K800" s="3103"/>
      <c r="L800" s="2764" t="s">
        <v>3553</v>
      </c>
      <c r="M800" s="3109"/>
      <c r="N800" s="265"/>
      <c r="O800" s="265"/>
      <c r="P800" s="3081"/>
      <c r="Q800" s="265"/>
    </row>
    <row r="801" spans="1:17" ht="15" customHeight="1" x14ac:dyDescent="0.3">
      <c r="A801" s="3539"/>
      <c r="B801" s="2444">
        <v>14450</v>
      </c>
      <c r="C801" s="2596">
        <v>0.1</v>
      </c>
      <c r="D801" s="3107" t="s">
        <v>3554</v>
      </c>
      <c r="E801" s="3101">
        <v>1200000</v>
      </c>
      <c r="F801" s="3081">
        <v>0.1</v>
      </c>
      <c r="G801" s="3102">
        <f t="shared" si="43"/>
        <v>120000</v>
      </c>
      <c r="H801" s="2644" t="s">
        <v>1685</v>
      </c>
      <c r="I801" s="2644" t="s">
        <v>133</v>
      </c>
      <c r="J801" s="2982" t="s">
        <v>3507</v>
      </c>
      <c r="K801" s="3108"/>
      <c r="L801" s="2982" t="s">
        <v>3544</v>
      </c>
      <c r="M801" s="3109"/>
      <c r="N801" s="265"/>
      <c r="O801" s="265"/>
      <c r="P801" s="3081"/>
      <c r="Q801" s="265"/>
    </row>
    <row r="802" spans="1:17" ht="15" customHeight="1" x14ac:dyDescent="0.3">
      <c r="A802" s="3539"/>
      <c r="B802" s="2444">
        <v>14528</v>
      </c>
      <c r="C802" s="2596">
        <v>0.1</v>
      </c>
      <c r="D802" s="3107" t="s">
        <v>3555</v>
      </c>
      <c r="E802" s="3101">
        <v>800000</v>
      </c>
      <c r="F802" s="3081">
        <v>0.06</v>
      </c>
      <c r="G802" s="3102">
        <f t="shared" si="43"/>
        <v>48000</v>
      </c>
      <c r="H802" s="2644" t="s">
        <v>118</v>
      </c>
      <c r="I802" s="2644" t="s">
        <v>133</v>
      </c>
      <c r="J802" s="2982" t="s">
        <v>3507</v>
      </c>
      <c r="K802" s="3108"/>
      <c r="L802" s="2982" t="s">
        <v>732</v>
      </c>
      <c r="M802" s="3109"/>
      <c r="N802" s="265"/>
      <c r="O802" s="265"/>
      <c r="P802" s="3081"/>
      <c r="Q802" s="265"/>
    </row>
    <row r="803" spans="1:17" ht="15" customHeight="1" x14ac:dyDescent="0.3">
      <c r="A803" s="3539"/>
      <c r="B803" s="2444">
        <v>14489</v>
      </c>
      <c r="C803" s="2596">
        <v>0.1</v>
      </c>
      <c r="D803" s="3110" t="s">
        <v>3556</v>
      </c>
      <c r="E803" s="3101">
        <v>1150000</v>
      </c>
      <c r="F803" s="3081">
        <v>0.1</v>
      </c>
      <c r="G803" s="3102">
        <f t="shared" si="43"/>
        <v>115000</v>
      </c>
      <c r="H803" s="2644" t="s">
        <v>1685</v>
      </c>
      <c r="I803" s="2644" t="s">
        <v>133</v>
      </c>
      <c r="J803" s="2982" t="s">
        <v>3507</v>
      </c>
      <c r="K803" s="3108"/>
      <c r="L803" s="2982" t="s">
        <v>3517</v>
      </c>
      <c r="M803" s="3109"/>
      <c r="N803" s="265"/>
      <c r="O803" s="265"/>
      <c r="P803" s="3081"/>
      <c r="Q803" s="265"/>
    </row>
    <row r="804" spans="1:17" ht="15" customHeight="1" x14ac:dyDescent="0.3">
      <c r="A804" s="3539"/>
      <c r="B804" s="2444">
        <v>14500</v>
      </c>
      <c r="C804" s="2596">
        <v>0.1</v>
      </c>
      <c r="D804" s="3107" t="s">
        <v>3557</v>
      </c>
      <c r="E804" s="3101">
        <v>850000</v>
      </c>
      <c r="F804" s="3081">
        <v>0.1</v>
      </c>
      <c r="G804" s="3102">
        <f t="shared" si="43"/>
        <v>85000</v>
      </c>
      <c r="H804" s="2644" t="s">
        <v>1685</v>
      </c>
      <c r="I804" s="2644" t="s">
        <v>133</v>
      </c>
      <c r="J804" s="2982" t="s">
        <v>3507</v>
      </c>
      <c r="K804" s="3108"/>
      <c r="L804" s="2982" t="s">
        <v>3544</v>
      </c>
      <c r="M804" s="3109"/>
      <c r="N804" s="265"/>
      <c r="O804" s="265"/>
      <c r="P804" s="3081"/>
      <c r="Q804" s="265"/>
    </row>
    <row r="805" spans="1:17" ht="15" customHeight="1" x14ac:dyDescent="0.3">
      <c r="A805" s="3539"/>
      <c r="B805" s="2444">
        <v>14531</v>
      </c>
      <c r="C805" s="2596">
        <v>0.1</v>
      </c>
      <c r="D805" s="3107" t="s">
        <v>3558</v>
      </c>
      <c r="E805" s="3101">
        <v>1300000</v>
      </c>
      <c r="F805" s="3081">
        <v>0.05</v>
      </c>
      <c r="G805" s="3102">
        <f t="shared" si="43"/>
        <v>65000</v>
      </c>
      <c r="H805" s="2644" t="s">
        <v>3237</v>
      </c>
      <c r="I805" s="2644" t="s">
        <v>133</v>
      </c>
      <c r="J805" s="2982" t="s">
        <v>3507</v>
      </c>
      <c r="K805" s="3108"/>
      <c r="L805" s="2982" t="s">
        <v>3544</v>
      </c>
      <c r="M805" s="3109"/>
      <c r="N805" s="265"/>
      <c r="O805" s="265"/>
      <c r="P805" s="3081"/>
      <c r="Q805" s="265"/>
    </row>
    <row r="806" spans="1:17" ht="15" customHeight="1" x14ac:dyDescent="0.3">
      <c r="A806" s="3539"/>
      <c r="B806" s="2444">
        <v>14502</v>
      </c>
      <c r="C806" s="2596">
        <v>0.1</v>
      </c>
      <c r="D806" s="3107" t="s">
        <v>3559</v>
      </c>
      <c r="E806" s="3101">
        <v>1100000</v>
      </c>
      <c r="F806" s="3081">
        <v>0.1</v>
      </c>
      <c r="G806" s="3102">
        <f t="shared" si="43"/>
        <v>110000</v>
      </c>
      <c r="H806" s="2644" t="s">
        <v>1685</v>
      </c>
      <c r="I806" s="2644" t="s">
        <v>1282</v>
      </c>
      <c r="J806" s="2982" t="s">
        <v>3507</v>
      </c>
      <c r="K806" s="3108"/>
      <c r="L806" s="2982" t="s">
        <v>732</v>
      </c>
      <c r="M806" s="3109"/>
      <c r="N806" s="265"/>
      <c r="O806" s="265"/>
      <c r="P806" s="3081"/>
      <c r="Q806" s="265"/>
    </row>
    <row r="807" spans="1:17" ht="15" customHeight="1" x14ac:dyDescent="0.3">
      <c r="A807" s="3539"/>
      <c r="B807" s="2444">
        <v>14534</v>
      </c>
      <c r="C807" s="2596">
        <v>0.1</v>
      </c>
      <c r="D807" s="3107" t="s">
        <v>3522</v>
      </c>
      <c r="E807" s="3101">
        <v>1200000</v>
      </c>
      <c r="F807" s="3081">
        <v>0.1</v>
      </c>
      <c r="G807" s="3102">
        <f t="shared" si="43"/>
        <v>120000</v>
      </c>
      <c r="H807" s="2644" t="s">
        <v>1685</v>
      </c>
      <c r="I807" s="2644" t="s">
        <v>1282</v>
      </c>
      <c r="J807" s="2982" t="s">
        <v>3507</v>
      </c>
      <c r="K807" s="3108"/>
      <c r="L807" s="2982" t="s">
        <v>732</v>
      </c>
      <c r="M807" s="3109"/>
      <c r="N807" s="265"/>
      <c r="O807" s="265"/>
      <c r="P807" s="3081"/>
      <c r="Q807" s="265"/>
    </row>
    <row r="808" spans="1:17" ht="15" customHeight="1" x14ac:dyDescent="0.3">
      <c r="A808" s="3539"/>
      <c r="B808" s="2444">
        <v>14575</v>
      </c>
      <c r="C808" s="2596">
        <v>0.1</v>
      </c>
      <c r="D808" s="3107" t="s">
        <v>3560</v>
      </c>
      <c r="E808" s="3101">
        <v>1300000</v>
      </c>
      <c r="F808" s="3081">
        <v>0.05</v>
      </c>
      <c r="G808" s="3102">
        <f t="shared" si="43"/>
        <v>65000</v>
      </c>
      <c r="H808" s="2644" t="s">
        <v>3010</v>
      </c>
      <c r="I808" s="2644" t="s">
        <v>1282</v>
      </c>
      <c r="J808" s="2982" t="s">
        <v>3507</v>
      </c>
      <c r="K808" s="3108"/>
      <c r="L808" s="2982" t="s">
        <v>732</v>
      </c>
      <c r="M808" s="3109"/>
      <c r="N808" s="265"/>
      <c r="O808" s="265"/>
      <c r="P808" s="3081"/>
      <c r="Q808" s="265"/>
    </row>
    <row r="809" spans="1:17" ht="15" customHeight="1" x14ac:dyDescent="0.3">
      <c r="A809" s="3539"/>
      <c r="B809" s="2444">
        <v>14600</v>
      </c>
      <c r="C809" s="2596">
        <v>0.1</v>
      </c>
      <c r="D809" s="3107" t="s">
        <v>3561</v>
      </c>
      <c r="E809" s="3101">
        <v>1150000</v>
      </c>
      <c r="F809" s="3070">
        <v>0.1</v>
      </c>
      <c r="G809" s="3102">
        <f t="shared" si="43"/>
        <v>115000</v>
      </c>
      <c r="H809" s="2644" t="s">
        <v>1685</v>
      </c>
      <c r="I809" s="2644" t="s">
        <v>133</v>
      </c>
      <c r="J809" s="2982" t="s">
        <v>3507</v>
      </c>
      <c r="K809" s="3108"/>
      <c r="L809" s="2982"/>
      <c r="M809" s="3109"/>
      <c r="N809" s="265"/>
      <c r="O809" s="265"/>
      <c r="P809" s="3081"/>
      <c r="Q809" s="265"/>
    </row>
    <row r="810" spans="1:17" ht="15" customHeight="1" x14ac:dyDescent="0.3">
      <c r="A810" s="3539"/>
      <c r="B810" s="2486"/>
      <c r="C810" s="2513"/>
      <c r="D810" s="3111" t="s">
        <v>3559</v>
      </c>
      <c r="E810" s="3101"/>
      <c r="F810" s="2982"/>
      <c r="G810" s="265"/>
      <c r="H810" s="2644"/>
      <c r="I810" s="2644"/>
      <c r="J810" s="2982"/>
      <c r="K810" s="3108"/>
      <c r="L810" s="2982"/>
      <c r="M810" s="3109"/>
      <c r="N810" s="265"/>
      <c r="O810" s="265"/>
      <c r="P810" s="3081"/>
      <c r="Q810" s="265"/>
    </row>
    <row r="811" spans="1:17" ht="15" customHeight="1" x14ac:dyDescent="0.3">
      <c r="A811" s="3539"/>
      <c r="B811" s="2486" t="s">
        <v>3022</v>
      </c>
      <c r="C811" s="3015"/>
      <c r="D811" s="3082" t="s">
        <v>3562</v>
      </c>
      <c r="E811" s="3112"/>
      <c r="F811" s="3099"/>
      <c r="G811" s="265"/>
      <c r="H811" s="2644"/>
      <c r="I811" s="2644"/>
      <c r="J811" s="2982"/>
      <c r="K811" s="3108" t="s">
        <v>3563</v>
      </c>
      <c r="L811" s="2982"/>
      <c r="M811" s="3109"/>
      <c r="N811" s="265"/>
      <c r="O811" s="265"/>
      <c r="P811" s="3081"/>
      <c r="Q811" s="265"/>
    </row>
    <row r="812" spans="1:17" ht="15" customHeight="1" x14ac:dyDescent="0.3">
      <c r="A812" s="3539"/>
      <c r="B812" s="3020"/>
      <c r="C812" s="3206"/>
      <c r="D812" s="3085" t="s">
        <v>3000</v>
      </c>
      <c r="E812" s="3086">
        <f>SUM(E794:E811)</f>
        <v>18800000</v>
      </c>
      <c r="F812" s="2982"/>
      <c r="G812" s="3109"/>
      <c r="H812" s="3020"/>
      <c r="I812" s="2982"/>
      <c r="J812" s="2982"/>
      <c r="K812" s="3108"/>
      <c r="L812" s="2982"/>
      <c r="M812" s="3109"/>
      <c r="N812" s="265"/>
      <c r="O812" s="265"/>
      <c r="P812" s="3081"/>
      <c r="Q812" s="3086"/>
    </row>
    <row r="813" spans="1:17" x14ac:dyDescent="0.3">
      <c r="A813" s="2228"/>
      <c r="B813" s="3093"/>
      <c r="C813" s="2618"/>
      <c r="D813" s="3021" t="s">
        <v>3002</v>
      </c>
      <c r="E813" s="3163">
        <f>G813+Q813</f>
        <v>1617500</v>
      </c>
      <c r="F813" s="3270"/>
      <c r="G813" s="3079">
        <f>SUM(G794:G812)</f>
        <v>1432000</v>
      </c>
      <c r="H813" s="3113"/>
      <c r="I813" s="2982"/>
      <c r="J813" s="2982"/>
      <c r="K813" s="265"/>
      <c r="L813" s="2982"/>
      <c r="M813" s="265"/>
      <c r="N813" s="265"/>
      <c r="O813" s="3151" t="s">
        <v>3524</v>
      </c>
      <c r="P813" s="3303"/>
      <c r="Q813" s="3161">
        <f>SUM(Q794:Q812)</f>
        <v>185500</v>
      </c>
    </row>
    <row r="815" spans="1:17" ht="21" x14ac:dyDescent="0.4">
      <c r="A815" s="3574" t="s">
        <v>3564</v>
      </c>
      <c r="B815" s="3575"/>
      <c r="C815" s="3575"/>
      <c r="D815" s="3575"/>
      <c r="E815" s="3575"/>
      <c r="F815" s="3575"/>
      <c r="G815" s="3575"/>
      <c r="H815" s="3575"/>
      <c r="I815" s="3575"/>
      <c r="J815" s="3575"/>
      <c r="K815" s="3576"/>
      <c r="L815" s="3026"/>
      <c r="M815" s="3559" t="s">
        <v>2973</v>
      </c>
      <c r="N815" s="3560"/>
      <c r="O815" s="3560"/>
      <c r="P815" s="3561"/>
      <c r="Q815" s="2982"/>
    </row>
    <row r="816" spans="1:17" x14ac:dyDescent="0.3">
      <c r="A816" s="2981" t="s">
        <v>2974</v>
      </c>
      <c r="B816" s="3074" t="s">
        <v>2975</v>
      </c>
      <c r="C816" s="2981" t="s">
        <v>2976</v>
      </c>
      <c r="D816" s="3075" t="s">
        <v>2977</v>
      </c>
      <c r="E816" s="3076" t="s">
        <v>2978</v>
      </c>
      <c r="F816" s="2981" t="s">
        <v>2979</v>
      </c>
      <c r="G816" s="3077" t="s">
        <v>2980</v>
      </c>
      <c r="H816" s="3074" t="s">
        <v>2981</v>
      </c>
      <c r="I816" s="2981" t="s">
        <v>2982</v>
      </c>
      <c r="J816" s="2981" t="s">
        <v>3503</v>
      </c>
      <c r="K816" s="2981" t="s">
        <v>2983</v>
      </c>
      <c r="L816" s="2981" t="s">
        <v>3504</v>
      </c>
      <c r="M816" s="2981" t="s">
        <v>2975</v>
      </c>
      <c r="N816" s="2981" t="s">
        <v>2977</v>
      </c>
      <c r="O816" s="2981" t="s">
        <v>2984</v>
      </c>
      <c r="P816" s="3304" t="s">
        <v>2979</v>
      </c>
      <c r="Q816" s="2982" t="s">
        <v>2985</v>
      </c>
    </row>
    <row r="817" spans="1:17" ht="15" customHeight="1" x14ac:dyDescent="0.3">
      <c r="A817" s="3538" t="s">
        <v>3525</v>
      </c>
      <c r="B817" s="3022">
        <v>14394</v>
      </c>
      <c r="C817" s="761">
        <v>0.1</v>
      </c>
      <c r="D817" s="2233" t="s">
        <v>3565</v>
      </c>
      <c r="E817" s="3079">
        <v>1250000</v>
      </c>
      <c r="F817" s="3081">
        <v>0.04</v>
      </c>
      <c r="G817" s="3079">
        <f>E817*F817</f>
        <v>50000</v>
      </c>
      <c r="H817" s="3020" t="s">
        <v>2993</v>
      </c>
      <c r="I817" s="2633" t="s">
        <v>133</v>
      </c>
      <c r="J817" s="2982" t="s">
        <v>3507</v>
      </c>
      <c r="K817" s="265"/>
      <c r="L817" s="2982" t="s">
        <v>732</v>
      </c>
      <c r="M817" s="1010">
        <v>14531</v>
      </c>
      <c r="N817" s="2233" t="s">
        <v>3558</v>
      </c>
      <c r="O817" s="3114">
        <v>1300000</v>
      </c>
      <c r="P817" s="761">
        <v>0.04</v>
      </c>
      <c r="Q817" s="3114">
        <f>O817*P817</f>
        <v>52000</v>
      </c>
    </row>
    <row r="818" spans="1:17" ht="15" customHeight="1" x14ac:dyDescent="0.3">
      <c r="A818" s="3539"/>
      <c r="B818" s="3022">
        <v>14432</v>
      </c>
      <c r="C818" s="761">
        <v>0.1</v>
      </c>
      <c r="D818" s="2233" t="s">
        <v>3566</v>
      </c>
      <c r="E818" s="3079">
        <v>1000000</v>
      </c>
      <c r="F818" s="3081">
        <v>0.04</v>
      </c>
      <c r="G818" s="3079">
        <f>E818*F818</f>
        <v>40000</v>
      </c>
      <c r="H818" s="3020" t="s">
        <v>3487</v>
      </c>
      <c r="I818" s="2633" t="s">
        <v>118</v>
      </c>
      <c r="J818" s="2982" t="s">
        <v>3507</v>
      </c>
      <c r="K818" s="265"/>
      <c r="L818" s="2982" t="s">
        <v>732</v>
      </c>
      <c r="M818" s="265"/>
      <c r="N818" s="265"/>
      <c r="O818" s="265"/>
      <c r="P818" s="3081"/>
      <c r="Q818" s="265"/>
    </row>
    <row r="819" spans="1:17" ht="15" customHeight="1" x14ac:dyDescent="0.3">
      <c r="A819" s="3539"/>
      <c r="B819" s="3022">
        <v>14443</v>
      </c>
      <c r="C819" s="761">
        <v>0.1</v>
      </c>
      <c r="D819" s="2233" t="s">
        <v>3567</v>
      </c>
      <c r="E819" s="3079">
        <v>1100000</v>
      </c>
      <c r="F819" s="3081">
        <v>0.08</v>
      </c>
      <c r="G819" s="3079">
        <f>E819*F819</f>
        <v>88000</v>
      </c>
      <c r="H819" s="3020" t="s">
        <v>3237</v>
      </c>
      <c r="I819" s="2633" t="s">
        <v>118</v>
      </c>
      <c r="J819" s="2982" t="s">
        <v>3507</v>
      </c>
      <c r="K819" s="265"/>
      <c r="L819" s="2982" t="s">
        <v>118</v>
      </c>
      <c r="M819" s="265"/>
      <c r="N819" s="265"/>
      <c r="O819" s="265"/>
      <c r="P819" s="3081"/>
      <c r="Q819" s="265"/>
    </row>
    <row r="820" spans="1:17" ht="15" customHeight="1" x14ac:dyDescent="0.3">
      <c r="A820" s="3539"/>
      <c r="B820" s="3022">
        <v>14403</v>
      </c>
      <c r="C820" s="761">
        <v>0.1</v>
      </c>
      <c r="D820" s="2233" t="s">
        <v>3568</v>
      </c>
      <c r="E820" s="3079">
        <v>1250000</v>
      </c>
      <c r="F820" s="3081">
        <v>0.08</v>
      </c>
      <c r="G820" s="3079">
        <f>E820*F820</f>
        <v>100000</v>
      </c>
      <c r="H820" s="3020" t="s">
        <v>3237</v>
      </c>
      <c r="I820" s="2633" t="s">
        <v>3473</v>
      </c>
      <c r="J820" s="2982" t="s">
        <v>3507</v>
      </c>
      <c r="K820" s="265"/>
      <c r="L820" s="2982" t="s">
        <v>732</v>
      </c>
      <c r="M820" s="265"/>
      <c r="N820" s="265"/>
      <c r="O820" s="265"/>
      <c r="P820" s="3081"/>
      <c r="Q820" s="265"/>
    </row>
    <row r="821" spans="1:17" ht="15" customHeight="1" x14ac:dyDescent="0.3">
      <c r="A821" s="3539"/>
      <c r="B821" s="3023"/>
      <c r="C821" s="2707"/>
      <c r="D821" s="2888" t="s">
        <v>3569</v>
      </c>
      <c r="E821" s="3079"/>
      <c r="F821" s="2982"/>
      <c r="G821" s="265"/>
      <c r="H821" s="3020"/>
      <c r="I821" s="2633"/>
      <c r="J821" s="2982"/>
      <c r="K821" s="265"/>
      <c r="L821" s="2982"/>
      <c r="M821" s="265"/>
      <c r="N821" s="265"/>
      <c r="O821" s="265"/>
      <c r="P821" s="3081"/>
      <c r="Q821" s="3086"/>
    </row>
    <row r="822" spans="1:17" ht="15" customHeight="1" x14ac:dyDescent="0.3">
      <c r="A822" s="3539"/>
      <c r="B822" s="3067"/>
      <c r="C822" s="3068"/>
      <c r="D822" s="3085" t="s">
        <v>3000</v>
      </c>
      <c r="E822" s="3079">
        <f>SUM(E817:E821)</f>
        <v>4600000</v>
      </c>
      <c r="F822" s="2982"/>
      <c r="G822" s="3079">
        <f>SUM(G817:G821)</f>
        <v>278000</v>
      </c>
      <c r="H822" s="3020"/>
      <c r="I822" s="2633"/>
      <c r="J822" s="2982"/>
      <c r="K822" s="265"/>
      <c r="L822" s="2982"/>
      <c r="M822" s="265"/>
      <c r="N822" s="3577" t="s">
        <v>3001</v>
      </c>
      <c r="O822" s="3578"/>
      <c r="P822" s="3579"/>
      <c r="Q822" s="3086">
        <f>SUM(Q817:Q821)</f>
        <v>52000</v>
      </c>
    </row>
    <row r="823" spans="1:17" ht="15" customHeight="1" x14ac:dyDescent="0.3">
      <c r="A823" s="3539"/>
      <c r="B823" s="3020"/>
      <c r="C823" s="2982"/>
      <c r="D823" s="1182" t="s">
        <v>3002</v>
      </c>
      <c r="E823" s="3163">
        <f>G822+Q822</f>
        <v>330000</v>
      </c>
      <c r="F823" s="2982"/>
      <c r="G823" s="265"/>
      <c r="H823" s="3020"/>
      <c r="I823" s="2982"/>
      <c r="J823" s="2982"/>
      <c r="K823" s="265"/>
      <c r="L823" s="2982"/>
      <c r="M823" s="265"/>
      <c r="N823" s="265"/>
      <c r="O823" s="265"/>
      <c r="P823" s="3081"/>
      <c r="Q823" s="3086"/>
    </row>
    <row r="825" spans="1:17" ht="21" x14ac:dyDescent="0.4">
      <c r="A825" s="3574" t="s">
        <v>118</v>
      </c>
      <c r="B825" s="3575"/>
      <c r="C825" s="3575"/>
      <c r="D825" s="3575"/>
      <c r="E825" s="3575"/>
      <c r="F825" s="3575"/>
      <c r="G825" s="3575"/>
      <c r="H825" s="3575"/>
      <c r="I825" s="3575"/>
      <c r="J825" s="3575"/>
      <c r="K825" s="3576"/>
      <c r="L825" s="3026"/>
      <c r="M825" s="3559" t="s">
        <v>2973</v>
      </c>
      <c r="N825" s="3560"/>
      <c r="O825" s="3560"/>
      <c r="P825" s="3561"/>
      <c r="Q825" s="2982"/>
    </row>
    <row r="826" spans="1:17" x14ac:dyDescent="0.3">
      <c r="A826" s="2981" t="s">
        <v>2974</v>
      </c>
      <c r="B826" s="3074" t="s">
        <v>2975</v>
      </c>
      <c r="C826" s="2981" t="s">
        <v>2976</v>
      </c>
      <c r="D826" s="3075" t="s">
        <v>2977</v>
      </c>
      <c r="E826" s="3076" t="s">
        <v>2978</v>
      </c>
      <c r="F826" s="2981" t="s">
        <v>2979</v>
      </c>
      <c r="G826" s="3077" t="s">
        <v>2980</v>
      </c>
      <c r="H826" s="3074" t="s">
        <v>2981</v>
      </c>
      <c r="I826" s="2981" t="s">
        <v>2982</v>
      </c>
      <c r="J826" s="2981" t="s">
        <v>3503</v>
      </c>
      <c r="K826" s="2981" t="s">
        <v>2983</v>
      </c>
      <c r="L826" s="2981" t="s">
        <v>3504</v>
      </c>
      <c r="M826" s="2981" t="s">
        <v>2975</v>
      </c>
      <c r="N826" s="2981" t="s">
        <v>2977</v>
      </c>
      <c r="O826" s="2981" t="s">
        <v>2984</v>
      </c>
      <c r="P826" s="3304" t="s">
        <v>2979</v>
      </c>
      <c r="Q826" s="2982" t="s">
        <v>2985</v>
      </c>
    </row>
    <row r="827" spans="1:17" ht="15" customHeight="1" x14ac:dyDescent="0.3">
      <c r="A827" s="3538" t="s">
        <v>3525</v>
      </c>
      <c r="B827" s="3022">
        <v>14364</v>
      </c>
      <c r="C827" s="761" t="s">
        <v>3570</v>
      </c>
      <c r="D827" s="2233" t="s">
        <v>3571</v>
      </c>
      <c r="E827" s="3079">
        <v>1400000</v>
      </c>
      <c r="F827" s="3081"/>
      <c r="G827" s="3079"/>
      <c r="H827" s="3020" t="s">
        <v>118</v>
      </c>
      <c r="I827" s="2633" t="s">
        <v>118</v>
      </c>
      <c r="J827" s="2982" t="s">
        <v>3507</v>
      </c>
      <c r="K827" s="265"/>
      <c r="L827" s="2982" t="s">
        <v>732</v>
      </c>
      <c r="M827" s="2632"/>
      <c r="N827" s="2289"/>
      <c r="O827" s="3101"/>
      <c r="P827" s="3070"/>
      <c r="Q827" s="3101"/>
    </row>
    <row r="828" spans="1:17" ht="15" customHeight="1" x14ac:dyDescent="0.3">
      <c r="A828" s="3539"/>
      <c r="B828" s="3067"/>
      <c r="C828" s="3068"/>
      <c r="D828" s="3085" t="s">
        <v>3000</v>
      </c>
      <c r="E828" s="3079">
        <f>SUM(E827:E827)</f>
        <v>1400000</v>
      </c>
      <c r="F828" s="2982"/>
      <c r="G828" s="3079"/>
      <c r="H828" s="3020"/>
      <c r="I828" s="2633"/>
      <c r="J828" s="2982"/>
      <c r="K828" s="265"/>
      <c r="L828" s="2982"/>
      <c r="M828" s="2289"/>
      <c r="N828" s="3562"/>
      <c r="O828" s="3563"/>
      <c r="P828" s="3564"/>
      <c r="Q828" s="3166"/>
    </row>
    <row r="829" spans="1:17" ht="15" customHeight="1" x14ac:dyDescent="0.3">
      <c r="A829" s="3539"/>
      <c r="B829" s="3020"/>
      <c r="C829" s="2982"/>
      <c r="D829" s="1182" t="s">
        <v>3002</v>
      </c>
      <c r="E829" s="3163">
        <f>G828+Q828</f>
        <v>0</v>
      </c>
      <c r="F829" s="2982"/>
      <c r="G829" s="265"/>
      <c r="H829" s="3020"/>
      <c r="I829" s="2982"/>
      <c r="J829" s="2982"/>
      <c r="K829" s="265"/>
      <c r="L829" s="2982"/>
      <c r="M829" s="265"/>
      <c r="N829" s="265"/>
      <c r="O829" s="265"/>
      <c r="P829" s="3081"/>
      <c r="Q829" s="3086"/>
    </row>
    <row r="832" spans="1:17" x14ac:dyDescent="0.3">
      <c r="A832" s="3565" t="s">
        <v>3064</v>
      </c>
      <c r="B832" s="3566"/>
      <c r="C832" s="2361"/>
      <c r="D832" s="2927">
        <f>E822+E812+E789+E774+E828</f>
        <v>50710000</v>
      </c>
      <c r="H832" s="1"/>
      <c r="I832" s="1"/>
    </row>
    <row r="833" spans="1:9" x14ac:dyDescent="0.3">
      <c r="A833" s="3567" t="s">
        <v>3065</v>
      </c>
      <c r="B833" s="3568"/>
      <c r="C833" s="470"/>
      <c r="D833" s="2928"/>
      <c r="H833" s="1"/>
      <c r="I833" s="1"/>
    </row>
    <row r="834" spans="1:9" ht="15" customHeight="1" x14ac:dyDescent="0.3">
      <c r="A834" s="3569" t="s">
        <v>3066</v>
      </c>
      <c r="B834" s="3570"/>
      <c r="C834" s="2780"/>
      <c r="D834" s="2929"/>
      <c r="H834" s="1"/>
      <c r="I834" s="1"/>
    </row>
    <row r="835" spans="1:9" ht="15" customHeight="1" x14ac:dyDescent="0.3">
      <c r="A835" s="3551" t="s">
        <v>3067</v>
      </c>
      <c r="B835" s="3552"/>
      <c r="C835" s="2933"/>
      <c r="D835" s="2941"/>
      <c r="H835" s="1"/>
      <c r="I835" s="1"/>
    </row>
    <row r="836" spans="1:9" ht="15" customHeight="1" x14ac:dyDescent="0.3">
      <c r="A836" s="3571" t="s">
        <v>3068</v>
      </c>
      <c r="B836" s="3572"/>
      <c r="C836" s="2780"/>
      <c r="D836" s="2930"/>
      <c r="H836" s="1"/>
      <c r="I836" s="1"/>
    </row>
    <row r="837" spans="1:9" ht="15" customHeight="1" x14ac:dyDescent="0.3">
      <c r="A837" s="3573" t="s">
        <v>3069</v>
      </c>
      <c r="B837" s="3573"/>
      <c r="C837" s="2780"/>
      <c r="D837" s="2931"/>
      <c r="H837" s="1"/>
      <c r="I837" s="1"/>
    </row>
    <row r="838" spans="1:9" x14ac:dyDescent="0.3">
      <c r="A838" s="2781"/>
      <c r="B838" s="2066" t="s">
        <v>3070</v>
      </c>
      <c r="C838" s="2934"/>
      <c r="D838" s="2932"/>
      <c r="H838" s="1"/>
      <c r="I838" s="1"/>
    </row>
    <row r="839" spans="1:9" x14ac:dyDescent="0.3">
      <c r="A839" s="3164"/>
      <c r="B839" s="3052"/>
      <c r="C839" s="689"/>
      <c r="D839" s="3165"/>
      <c r="H839" s="1"/>
      <c r="I839" s="1"/>
    </row>
    <row r="840" spans="1:9" x14ac:dyDescent="0.3">
      <c r="A840" s="3543" t="s">
        <v>3572</v>
      </c>
      <c r="B840" s="3545" t="s">
        <v>3573</v>
      </c>
      <c r="C840" s="3545" t="s">
        <v>3574</v>
      </c>
      <c r="D840" s="3543" t="s">
        <v>3575</v>
      </c>
      <c r="H840" s="1"/>
      <c r="I840" s="1"/>
    </row>
    <row r="841" spans="1:9" x14ac:dyDescent="0.3">
      <c r="A841" s="3544"/>
      <c r="B841" s="3546"/>
      <c r="C841" s="3546"/>
      <c r="D841" s="3544"/>
      <c r="H841" s="1"/>
      <c r="I841" s="1"/>
    </row>
    <row r="842" spans="1:9" ht="15" customHeight="1" x14ac:dyDescent="0.3">
      <c r="A842" s="3583" t="s">
        <v>125</v>
      </c>
      <c r="B842" s="3549">
        <v>57</v>
      </c>
      <c r="C842" s="3549" t="s">
        <v>3576</v>
      </c>
      <c r="D842" s="3581">
        <v>37</v>
      </c>
      <c r="H842" s="1"/>
      <c r="I842" s="1"/>
    </row>
    <row r="843" spans="1:9" ht="15" customHeight="1" x14ac:dyDescent="0.3">
      <c r="A843" s="3584"/>
      <c r="B843" s="3550"/>
      <c r="C843" s="3550"/>
      <c r="D843" s="3582"/>
      <c r="H843" s="1"/>
      <c r="I843" s="1"/>
    </row>
    <row r="844" spans="1:9" ht="15" customHeight="1" x14ac:dyDescent="0.3">
      <c r="A844" s="3547" t="s">
        <v>3577</v>
      </c>
      <c r="B844" s="3549">
        <v>0</v>
      </c>
      <c r="C844" s="3549">
        <v>0</v>
      </c>
      <c r="D844" s="3581">
        <v>0</v>
      </c>
      <c r="H844" s="1"/>
      <c r="I844" s="1"/>
    </row>
    <row r="845" spans="1:9" ht="15" customHeight="1" x14ac:dyDescent="0.3">
      <c r="A845" s="3548"/>
      <c r="B845" s="3550"/>
      <c r="C845" s="3550"/>
      <c r="D845" s="3582"/>
      <c r="H845" s="1"/>
      <c r="I845" s="1"/>
    </row>
    <row r="846" spans="1:9" x14ac:dyDescent="0.3">
      <c r="B846" s="1"/>
      <c r="H846" s="1"/>
      <c r="I846" s="1"/>
    </row>
    <row r="847" spans="1:9" x14ac:dyDescent="0.3">
      <c r="B847" s="1"/>
      <c r="H847" s="1"/>
      <c r="I847" s="1"/>
    </row>
    <row r="848" spans="1:9" x14ac:dyDescent="0.3">
      <c r="B848" s="1"/>
      <c r="H848" s="1"/>
      <c r="I848" s="1"/>
    </row>
    <row r="849" spans="1:17" ht="7.5" customHeight="1" x14ac:dyDescent="0.3">
      <c r="B849" s="1"/>
      <c r="H849" s="1"/>
      <c r="I849" s="1"/>
    </row>
    <row r="850" spans="1:17" ht="46.2" x14ac:dyDescent="0.85">
      <c r="A850" s="3495" t="s">
        <v>3578</v>
      </c>
      <c r="B850" s="3496"/>
      <c r="C850" s="3496"/>
      <c r="D850" s="3496"/>
      <c r="E850" s="3496"/>
      <c r="F850" s="3496"/>
      <c r="G850" s="3496"/>
      <c r="H850" s="3496"/>
      <c r="I850" s="3496"/>
      <c r="J850" s="3496"/>
      <c r="K850" s="3496"/>
      <c r="L850" s="3497"/>
    </row>
    <row r="851" spans="1:17" x14ac:dyDescent="0.3">
      <c r="A851" s="3557"/>
      <c r="B851" s="3557"/>
      <c r="C851" s="3557"/>
      <c r="D851" s="3557"/>
      <c r="E851" s="3557"/>
      <c r="F851" s="3557"/>
      <c r="G851" s="3557"/>
      <c r="H851" s="3557"/>
      <c r="I851" s="3557"/>
      <c r="J851" s="3557"/>
      <c r="K851" s="3557"/>
      <c r="L851" s="3557"/>
    </row>
    <row r="852" spans="1:17" ht="21" x14ac:dyDescent="0.4">
      <c r="A852" s="3493" t="s">
        <v>3579</v>
      </c>
      <c r="B852" s="3493"/>
      <c r="C852" s="3493"/>
      <c r="D852" s="3493"/>
      <c r="E852" s="3493"/>
      <c r="F852" s="3493"/>
      <c r="G852" s="3493"/>
      <c r="H852" s="3493"/>
      <c r="I852" s="3493"/>
      <c r="J852" s="3493"/>
      <c r="K852" s="3493"/>
      <c r="L852" s="3026"/>
      <c r="M852" s="3537" t="s">
        <v>2973</v>
      </c>
      <c r="N852" s="3537"/>
      <c r="O852" s="3537"/>
      <c r="P852" s="3537"/>
      <c r="Q852" s="1313"/>
    </row>
    <row r="853" spans="1:17" s="1" customFormat="1" x14ac:dyDescent="0.3">
      <c r="A853" s="2898" t="s">
        <v>2974</v>
      </c>
      <c r="B853" s="2843" t="s">
        <v>2975</v>
      </c>
      <c r="C853" s="2898" t="s">
        <v>2976</v>
      </c>
      <c r="D853" s="2898" t="s">
        <v>2977</v>
      </c>
      <c r="E853" s="2979" t="s">
        <v>2978</v>
      </c>
      <c r="F853" s="2898" t="s">
        <v>2979</v>
      </c>
      <c r="G853" s="2980" t="s">
        <v>2980</v>
      </c>
      <c r="H853" s="2843" t="s">
        <v>2981</v>
      </c>
      <c r="I853" s="3115" t="s">
        <v>2982</v>
      </c>
      <c r="J853" s="2898" t="s">
        <v>3503</v>
      </c>
      <c r="K853" s="3172" t="s">
        <v>2983</v>
      </c>
      <c r="L853" s="3053" t="s">
        <v>3504</v>
      </c>
      <c r="M853" s="3054" t="s">
        <v>2975</v>
      </c>
      <c r="N853" s="3054" t="s">
        <v>2977</v>
      </c>
      <c r="O853" s="3054" t="s">
        <v>2984</v>
      </c>
      <c r="P853" s="3305" t="s">
        <v>2979</v>
      </c>
      <c r="Q853" s="2" t="s">
        <v>2985</v>
      </c>
    </row>
    <row r="854" spans="1:17" x14ac:dyDescent="0.3">
      <c r="A854" s="3538" t="s">
        <v>3417</v>
      </c>
      <c r="B854" s="3022">
        <v>14648</v>
      </c>
      <c r="C854" s="2561">
        <v>0.09</v>
      </c>
      <c r="D854" s="2233" t="s">
        <v>3580</v>
      </c>
      <c r="E854" s="3079">
        <v>1200000</v>
      </c>
      <c r="F854" s="2990">
        <v>0.05</v>
      </c>
      <c r="G854" s="3079">
        <f>E854*F854</f>
        <v>60000</v>
      </c>
      <c r="H854" s="3069" t="s">
        <v>118</v>
      </c>
      <c r="I854" s="3020" t="s">
        <v>133</v>
      </c>
      <c r="J854" s="3148" t="s">
        <v>36</v>
      </c>
      <c r="K854" s="265"/>
      <c r="L854" s="2"/>
      <c r="M854" s="2444">
        <v>14644</v>
      </c>
      <c r="N854" s="3087" t="s">
        <v>3581</v>
      </c>
      <c r="O854" s="3282">
        <v>1350000</v>
      </c>
      <c r="P854" s="3081">
        <v>0.05</v>
      </c>
      <c r="Q854" s="3079">
        <f>O854*P854</f>
        <v>67500</v>
      </c>
    </row>
    <row r="855" spans="1:17" x14ac:dyDescent="0.3">
      <c r="A855" s="3539"/>
      <c r="B855" s="3022">
        <v>14674</v>
      </c>
      <c r="C855" s="2561">
        <v>0.08</v>
      </c>
      <c r="D855" s="2233" t="s">
        <v>3582</v>
      </c>
      <c r="E855" s="3260">
        <v>2000000</v>
      </c>
      <c r="F855" s="2990">
        <v>0.04</v>
      </c>
      <c r="G855" s="3079">
        <f t="shared" ref="G855:G861" si="44">E855*F855</f>
        <v>80000</v>
      </c>
      <c r="H855" s="3069" t="s">
        <v>2401</v>
      </c>
      <c r="I855" s="3020" t="s">
        <v>133</v>
      </c>
      <c r="J855" s="2982" t="s">
        <v>36</v>
      </c>
      <c r="K855" s="265"/>
      <c r="L855" s="2"/>
      <c r="M855" s="2444">
        <v>14768</v>
      </c>
      <c r="N855" s="3087" t="s">
        <v>3583</v>
      </c>
      <c r="O855" s="3282">
        <v>2100000</v>
      </c>
      <c r="P855" s="3081">
        <v>0.05</v>
      </c>
      <c r="Q855" s="3079">
        <f>O855*P855</f>
        <v>105000</v>
      </c>
    </row>
    <row r="856" spans="1:17" x14ac:dyDescent="0.3">
      <c r="A856" s="3539"/>
      <c r="B856" s="3022">
        <v>14708</v>
      </c>
      <c r="C856" s="2561">
        <v>0.08</v>
      </c>
      <c r="D856" s="2233" t="s">
        <v>3584</v>
      </c>
      <c r="E856" s="3079">
        <v>1550000</v>
      </c>
      <c r="F856" s="2990">
        <v>0.04</v>
      </c>
      <c r="G856" s="3079">
        <f t="shared" si="44"/>
        <v>62000</v>
      </c>
      <c r="H856" s="3069" t="s">
        <v>2401</v>
      </c>
      <c r="I856" s="3020" t="s">
        <v>1282</v>
      </c>
      <c r="J856" s="2982" t="s">
        <v>36</v>
      </c>
      <c r="K856" s="265"/>
      <c r="L856" s="2"/>
      <c r="M856" s="1010">
        <v>14615</v>
      </c>
      <c r="N856" s="3107" t="s">
        <v>3585</v>
      </c>
      <c r="O856" s="3282">
        <v>1300000</v>
      </c>
      <c r="P856" s="3081">
        <v>0.05</v>
      </c>
      <c r="Q856" s="3079">
        <f t="shared" ref="Q856:Q861" si="45">O856*P856</f>
        <v>65000</v>
      </c>
    </row>
    <row r="857" spans="1:17" x14ac:dyDescent="0.3">
      <c r="A857" s="3539"/>
      <c r="B857" s="3022">
        <v>14750</v>
      </c>
      <c r="C857" s="2558">
        <v>0.1</v>
      </c>
      <c r="D857" s="2233" t="s">
        <v>3586</v>
      </c>
      <c r="E857" s="3079">
        <v>970000</v>
      </c>
      <c r="F857" s="3081">
        <v>0.1</v>
      </c>
      <c r="G857" s="3079">
        <f t="shared" si="44"/>
        <v>97000</v>
      </c>
      <c r="H857" s="3069" t="s">
        <v>3010</v>
      </c>
      <c r="I857" s="3020" t="s">
        <v>1282</v>
      </c>
      <c r="J857" s="2982" t="s">
        <v>36</v>
      </c>
      <c r="K857" s="265"/>
      <c r="L857" s="2"/>
      <c r="M857" s="1010">
        <v>14624</v>
      </c>
      <c r="N857" s="3107" t="s">
        <v>3587</v>
      </c>
      <c r="O857" s="3282">
        <v>1350000</v>
      </c>
      <c r="P857" s="3081">
        <v>0.05</v>
      </c>
      <c r="Q857" s="3079">
        <f t="shared" si="45"/>
        <v>67500</v>
      </c>
    </row>
    <row r="858" spans="1:17" x14ac:dyDescent="0.3">
      <c r="A858" s="3539"/>
      <c r="B858" s="3022">
        <v>14692</v>
      </c>
      <c r="C858" s="2558">
        <v>0.1</v>
      </c>
      <c r="D858" s="2233" t="s">
        <v>3588</v>
      </c>
      <c r="E858" s="3079">
        <v>970000</v>
      </c>
      <c r="F858" s="3081">
        <v>0.1</v>
      </c>
      <c r="G858" s="3079">
        <f t="shared" si="44"/>
        <v>97000</v>
      </c>
      <c r="H858" s="3069" t="s">
        <v>3010</v>
      </c>
      <c r="I858" s="3020" t="s">
        <v>1282</v>
      </c>
      <c r="J858" s="2982" t="s">
        <v>36</v>
      </c>
      <c r="K858" s="265"/>
      <c r="L858" s="2"/>
      <c r="M858" s="2546">
        <v>14636</v>
      </c>
      <c r="N858" s="3107" t="s">
        <v>3589</v>
      </c>
      <c r="O858" s="3282">
        <v>1400000</v>
      </c>
      <c r="P858" s="3081">
        <v>0.05</v>
      </c>
      <c r="Q858" s="3079">
        <f t="shared" si="45"/>
        <v>70000</v>
      </c>
    </row>
    <row r="859" spans="1:17" x14ac:dyDescent="0.3">
      <c r="A859" s="3539"/>
      <c r="B859" s="3022">
        <v>14737</v>
      </c>
      <c r="C859" s="2558">
        <v>0.1</v>
      </c>
      <c r="D859" s="2233" t="s">
        <v>3590</v>
      </c>
      <c r="E859" s="3079">
        <v>970000</v>
      </c>
      <c r="F859" s="3081">
        <v>0.1</v>
      </c>
      <c r="G859" s="3079">
        <f t="shared" si="44"/>
        <v>97000</v>
      </c>
      <c r="H859" s="3069" t="s">
        <v>3010</v>
      </c>
      <c r="I859" s="3020" t="s">
        <v>1282</v>
      </c>
      <c r="J859" s="2982" t="s">
        <v>36</v>
      </c>
      <c r="K859" s="265"/>
      <c r="L859" s="2"/>
      <c r="M859" s="2544" t="s">
        <v>3591</v>
      </c>
      <c r="N859" s="3107" t="s">
        <v>3592</v>
      </c>
      <c r="O859" s="3282">
        <v>1400000</v>
      </c>
      <c r="P859" s="3081">
        <v>0.05</v>
      </c>
      <c r="Q859" s="3079">
        <f t="shared" si="45"/>
        <v>70000</v>
      </c>
    </row>
    <row r="860" spans="1:17" x14ac:dyDescent="0.3">
      <c r="A860" s="3539"/>
      <c r="B860" s="3022">
        <v>14741</v>
      </c>
      <c r="C860" s="2558">
        <v>0.1</v>
      </c>
      <c r="D860" s="2233" t="s">
        <v>3593</v>
      </c>
      <c r="E860" s="3079">
        <v>1300000</v>
      </c>
      <c r="F860" s="3081">
        <v>0.1</v>
      </c>
      <c r="G860" s="3079">
        <f t="shared" si="44"/>
        <v>130000</v>
      </c>
      <c r="H860" s="3069" t="s">
        <v>3010</v>
      </c>
      <c r="I860" s="3020" t="s">
        <v>1282</v>
      </c>
      <c r="J860" s="2982" t="s">
        <v>36</v>
      </c>
      <c r="K860" s="265"/>
      <c r="L860" s="2"/>
      <c r="M860" s="1010">
        <v>14651</v>
      </c>
      <c r="N860" s="2233" t="s">
        <v>3594</v>
      </c>
      <c r="O860" s="3282">
        <v>1250000</v>
      </c>
      <c r="P860" s="3081">
        <v>0.05</v>
      </c>
      <c r="Q860" s="3079">
        <f t="shared" si="45"/>
        <v>62500</v>
      </c>
    </row>
    <row r="861" spans="1:17" x14ac:dyDescent="0.3">
      <c r="A861" s="3539"/>
      <c r="B861" s="3022">
        <v>14812</v>
      </c>
      <c r="C861" s="2558">
        <v>0.1</v>
      </c>
      <c r="D861" s="2233" t="s">
        <v>3595</v>
      </c>
      <c r="E861" s="3079">
        <v>1200000</v>
      </c>
      <c r="F861" s="3081">
        <v>0.05</v>
      </c>
      <c r="G861" s="3079">
        <f t="shared" si="44"/>
        <v>60000</v>
      </c>
      <c r="H861" s="3069" t="s">
        <v>3073</v>
      </c>
      <c r="I861" s="3020" t="s">
        <v>1282</v>
      </c>
      <c r="J861" s="2982" t="s">
        <v>36</v>
      </c>
      <c r="K861" s="265"/>
      <c r="L861" s="2"/>
      <c r="M861" s="1010">
        <v>14759</v>
      </c>
      <c r="N861" s="2233" t="s">
        <v>3596</v>
      </c>
      <c r="O861" s="3282">
        <v>1750000</v>
      </c>
      <c r="P861" s="3081">
        <v>0.05</v>
      </c>
      <c r="Q861" s="3079">
        <f t="shared" si="45"/>
        <v>87500</v>
      </c>
    </row>
    <row r="862" spans="1:17" x14ac:dyDescent="0.3">
      <c r="A862" s="3539"/>
      <c r="B862" s="3023" t="s">
        <v>3022</v>
      </c>
      <c r="C862" s="3205"/>
      <c r="D862" s="2888" t="s">
        <v>3597</v>
      </c>
      <c r="E862" s="3079"/>
      <c r="F862" s="2982"/>
      <c r="G862" s="265"/>
      <c r="H862" s="3020"/>
      <c r="I862" s="3020"/>
      <c r="J862" s="2982"/>
      <c r="K862" s="265" t="s">
        <v>3598</v>
      </c>
      <c r="L862" s="2"/>
      <c r="M862" s="3318"/>
      <c r="N862" s="3273"/>
      <c r="O862" s="3319"/>
      <c r="P862" s="3081"/>
      <c r="Q862" s="3079"/>
    </row>
    <row r="863" spans="1:17" x14ac:dyDescent="0.3">
      <c r="A863" s="3539"/>
      <c r="B863" s="3023" t="s">
        <v>3022</v>
      </c>
      <c r="C863" s="3205"/>
      <c r="D863" s="2888" t="s">
        <v>3596</v>
      </c>
      <c r="E863" s="3079"/>
      <c r="F863" s="2982"/>
      <c r="G863" s="265"/>
      <c r="H863" s="3020"/>
      <c r="I863" s="3020"/>
      <c r="J863" s="2982"/>
      <c r="K863" s="265" t="s">
        <v>3599</v>
      </c>
      <c r="L863" s="2"/>
      <c r="M863" s="11"/>
      <c r="N863" s="1553"/>
      <c r="O863" s="1553"/>
      <c r="P863" s="3306"/>
      <c r="Q863" s="1553"/>
    </row>
    <row r="864" spans="1:17" x14ac:dyDescent="0.3">
      <c r="A864" s="3539"/>
      <c r="B864" s="3023" t="s">
        <v>3022</v>
      </c>
      <c r="C864" s="3205"/>
      <c r="D864" s="2888" t="s">
        <v>3588</v>
      </c>
      <c r="E864" s="3079"/>
      <c r="F864" s="2982"/>
      <c r="G864" s="265"/>
      <c r="H864" s="3020"/>
      <c r="I864" s="3020"/>
      <c r="J864" s="2982"/>
      <c r="K864" s="265" t="s">
        <v>3598</v>
      </c>
      <c r="L864" s="2"/>
      <c r="M864" s="10"/>
      <c r="N864" s="11"/>
      <c r="O864" s="11"/>
      <c r="P864" s="520"/>
      <c r="Q864" s="11"/>
    </row>
    <row r="865" spans="1:17" x14ac:dyDescent="0.3">
      <c r="A865" s="3539"/>
      <c r="B865" s="3023" t="s">
        <v>3022</v>
      </c>
      <c r="C865" s="2707"/>
      <c r="D865" s="2888" t="s">
        <v>3600</v>
      </c>
      <c r="E865" s="3260"/>
      <c r="F865" s="2982"/>
      <c r="G865" s="265"/>
      <c r="H865" s="3020"/>
      <c r="I865" s="3020"/>
      <c r="J865" s="2982"/>
      <c r="K865" s="265" t="s">
        <v>3601</v>
      </c>
      <c r="L865" s="2"/>
      <c r="M865" s="10"/>
      <c r="N865" s="11"/>
      <c r="O865" s="11"/>
      <c r="P865" s="520"/>
      <c r="Q865" s="11"/>
    </row>
    <row r="866" spans="1:17" ht="15" customHeight="1" x14ac:dyDescent="0.3">
      <c r="A866" s="3539"/>
      <c r="B866" s="3023" t="s">
        <v>3022</v>
      </c>
      <c r="C866" s="2707"/>
      <c r="D866" s="2888" t="s">
        <v>3602</v>
      </c>
      <c r="E866" s="3260"/>
      <c r="F866" s="2982"/>
      <c r="G866" s="265"/>
      <c r="H866" s="3020"/>
      <c r="I866" s="3020"/>
      <c r="J866" s="2982"/>
      <c r="K866" s="265" t="s">
        <v>3601</v>
      </c>
      <c r="L866" s="2"/>
      <c r="M866" s="10"/>
      <c r="N866" s="11"/>
      <c r="O866" s="11"/>
      <c r="P866" s="520"/>
      <c r="Q866" s="11"/>
    </row>
    <row r="867" spans="1:17" x14ac:dyDescent="0.3">
      <c r="A867" s="3539"/>
      <c r="B867" s="3023" t="s">
        <v>3022</v>
      </c>
      <c r="C867" s="2707"/>
      <c r="D867" s="2888" t="s">
        <v>3603</v>
      </c>
      <c r="E867" s="3260"/>
      <c r="F867" s="2982"/>
      <c r="G867" s="265"/>
      <c r="H867" s="3020"/>
      <c r="I867" s="3020"/>
      <c r="J867" s="2982"/>
      <c r="K867" s="265" t="s">
        <v>3601</v>
      </c>
      <c r="L867" s="2"/>
      <c r="M867" s="10"/>
      <c r="N867" s="11"/>
      <c r="O867" s="11"/>
      <c r="P867" s="520"/>
      <c r="Q867" s="3086">
        <f ca="1">SUM(Q854:Q868)</f>
        <v>595000</v>
      </c>
    </row>
    <row r="868" spans="1:17" x14ac:dyDescent="0.3">
      <c r="A868" s="3539"/>
      <c r="B868" s="3280" t="s">
        <v>3022</v>
      </c>
      <c r="C868" s="3281"/>
      <c r="D868" s="3082" t="s">
        <v>3604</v>
      </c>
      <c r="E868" s="3083"/>
      <c r="F868" s="3099"/>
      <c r="G868" s="2317"/>
      <c r="H868" s="3084"/>
      <c r="I868" s="3084"/>
      <c r="J868" s="3099"/>
      <c r="K868" s="2317" t="s">
        <v>3605</v>
      </c>
      <c r="L868" s="268"/>
      <c r="M868" s="498"/>
      <c r="N868" s="11"/>
      <c r="O868" s="11"/>
      <c r="P868" s="520"/>
      <c r="Q868" s="11"/>
    </row>
    <row r="869" spans="1:17" x14ac:dyDescent="0.3">
      <c r="A869" s="3540"/>
      <c r="B869" s="3509"/>
      <c r="C869" s="3510"/>
      <c r="D869" s="3286" t="s">
        <v>3606</v>
      </c>
      <c r="E869" s="3086">
        <f>SUM(E853:E861)</f>
        <v>10160000</v>
      </c>
      <c r="F869" s="3099"/>
      <c r="G869" s="2317"/>
      <c r="H869" s="3084"/>
      <c r="I869" s="3084"/>
      <c r="J869" s="3099"/>
      <c r="K869" s="2317"/>
      <c r="L869" s="268"/>
      <c r="M869" s="498"/>
      <c r="N869" s="11"/>
      <c r="O869" s="11"/>
      <c r="P869" s="520"/>
      <c r="Q869" s="11"/>
    </row>
    <row r="870" spans="1:17" x14ac:dyDescent="0.3">
      <c r="A870" s="3541"/>
      <c r="B870" s="3511"/>
      <c r="C870" s="3512"/>
      <c r="D870" s="1182" t="s">
        <v>3002</v>
      </c>
      <c r="E870" s="3371">
        <f ca="1">G870+Q867</f>
        <v>1278000</v>
      </c>
      <c r="F870" s="2982"/>
      <c r="G870" s="3079">
        <f>SUM(G854:G861)</f>
        <v>683000</v>
      </c>
      <c r="H870" s="3020"/>
      <c r="I870" s="2982"/>
      <c r="J870" s="2982"/>
      <c r="K870" s="265"/>
      <c r="L870" s="2"/>
      <c r="M870" s="10"/>
      <c r="N870" s="3508"/>
      <c r="O870" s="3508"/>
      <c r="P870" s="3508"/>
      <c r="Q870" s="11"/>
    </row>
    <row r="873" spans="1:17" ht="21" x14ac:dyDescent="0.4">
      <c r="A873" s="3493" t="s">
        <v>3464</v>
      </c>
      <c r="B873" s="3493"/>
      <c r="C873" s="3493"/>
      <c r="D873" s="3493"/>
      <c r="E873" s="3493"/>
      <c r="F873" s="3493"/>
      <c r="G873" s="3493"/>
      <c r="H873" s="3493"/>
      <c r="I873" s="3493"/>
      <c r="J873" s="3493"/>
      <c r="K873" s="3493"/>
      <c r="L873" s="3025"/>
      <c r="M873" s="3524" t="s">
        <v>2973</v>
      </c>
      <c r="N873" s="3525"/>
      <c r="O873" s="3525"/>
      <c r="P873" s="3525"/>
      <c r="Q873" s="3526"/>
    </row>
    <row r="874" spans="1:17" x14ac:dyDescent="0.3">
      <c r="A874" s="2898" t="s">
        <v>2974</v>
      </c>
      <c r="B874" s="2843" t="s">
        <v>2975</v>
      </c>
      <c r="C874" s="2898" t="s">
        <v>2976</v>
      </c>
      <c r="D874" s="2899" t="s">
        <v>2977</v>
      </c>
      <c r="E874" s="2979" t="s">
        <v>2978</v>
      </c>
      <c r="F874" s="2898" t="s">
        <v>2979</v>
      </c>
      <c r="G874" s="3174" t="s">
        <v>2980</v>
      </c>
      <c r="H874" s="2843" t="s">
        <v>2981</v>
      </c>
      <c r="I874" s="2981" t="s">
        <v>2982</v>
      </c>
      <c r="J874" s="2898" t="s">
        <v>3503</v>
      </c>
      <c r="K874" s="2898" t="s">
        <v>2983</v>
      </c>
      <c r="L874" s="2898" t="s">
        <v>3504</v>
      </c>
      <c r="M874" s="2898" t="s">
        <v>2975</v>
      </c>
      <c r="N874" s="3175" t="s">
        <v>2977</v>
      </c>
      <c r="O874" s="3054" t="s">
        <v>2984</v>
      </c>
      <c r="P874" s="3305" t="s">
        <v>2979</v>
      </c>
      <c r="Q874" s="2" t="s">
        <v>2985</v>
      </c>
    </row>
    <row r="875" spans="1:17" x14ac:dyDescent="0.3">
      <c r="A875" s="3538" t="s">
        <v>3417</v>
      </c>
      <c r="B875" s="2444">
        <v>14644</v>
      </c>
      <c r="C875" s="2999">
        <v>0.1</v>
      </c>
      <c r="D875" s="3087" t="s">
        <v>3581</v>
      </c>
      <c r="E875" s="3088">
        <v>1350000</v>
      </c>
      <c r="F875" s="3081">
        <v>0.05</v>
      </c>
      <c r="G875" s="3086">
        <f>E875*F875</f>
        <v>67500</v>
      </c>
      <c r="H875" s="3368" t="s">
        <v>3010</v>
      </c>
      <c r="I875" s="3369" t="s">
        <v>1282</v>
      </c>
      <c r="J875" s="3272" t="s">
        <v>36</v>
      </c>
      <c r="K875" s="2329"/>
      <c r="L875" s="795" t="s">
        <v>732</v>
      </c>
      <c r="M875" s="2544">
        <v>14795</v>
      </c>
      <c r="N875" s="3107" t="s">
        <v>3607</v>
      </c>
      <c r="O875" s="3285">
        <v>1650000</v>
      </c>
      <c r="P875" s="3081">
        <v>0.05</v>
      </c>
      <c r="Q875" s="3079">
        <f>O875*P875</f>
        <v>82500</v>
      </c>
    </row>
    <row r="876" spans="1:17" x14ac:dyDescent="0.3">
      <c r="A876" s="3539"/>
      <c r="B876" s="2444">
        <v>14690</v>
      </c>
      <c r="C876" s="2999">
        <v>0.1</v>
      </c>
      <c r="D876" s="3087" t="s">
        <v>3608</v>
      </c>
      <c r="E876" s="3088">
        <v>1900000</v>
      </c>
      <c r="F876" s="3081">
        <v>0.05</v>
      </c>
      <c r="G876" s="3086">
        <f t="shared" ref="G876:G889" si="46">E876*F876</f>
        <v>95000</v>
      </c>
      <c r="H876" s="3369" t="s">
        <v>1685</v>
      </c>
      <c r="I876" s="3370" t="s">
        <v>133</v>
      </c>
      <c r="J876" s="2982" t="s">
        <v>36</v>
      </c>
      <c r="K876" s="3273"/>
      <c r="L876" s="795"/>
      <c r="M876" s="2544">
        <v>14720</v>
      </c>
      <c r="N876" s="3107" t="s">
        <v>3609</v>
      </c>
      <c r="O876" s="3285">
        <v>1400000</v>
      </c>
      <c r="P876" s="3081">
        <v>0.04</v>
      </c>
      <c r="Q876" s="3079">
        <f>O876*P876</f>
        <v>56000</v>
      </c>
    </row>
    <row r="877" spans="1:17" x14ac:dyDescent="0.3">
      <c r="A877" s="3539"/>
      <c r="B877" s="2444">
        <v>14707</v>
      </c>
      <c r="C877" s="2999">
        <v>0.1</v>
      </c>
      <c r="D877" s="3087" t="s">
        <v>3610</v>
      </c>
      <c r="E877" s="3088">
        <v>1200000</v>
      </c>
      <c r="F877" s="3081">
        <v>0.06</v>
      </c>
      <c r="G877" s="3086">
        <f t="shared" si="46"/>
        <v>72000</v>
      </c>
      <c r="H877" s="3020" t="s">
        <v>118</v>
      </c>
      <c r="I877" s="3274" t="s">
        <v>1282</v>
      </c>
      <c r="J877" s="2982" t="s">
        <v>36</v>
      </c>
      <c r="K877" s="3109"/>
      <c r="L877" s="2"/>
      <c r="M877" s="2632"/>
      <c r="N877" s="3320"/>
      <c r="O877" s="3321"/>
      <c r="P877" s="3081"/>
      <c r="Q877" s="265"/>
    </row>
    <row r="878" spans="1:17" x14ac:dyDescent="0.3">
      <c r="A878" s="3539"/>
      <c r="B878" s="2444">
        <v>14691</v>
      </c>
      <c r="C878" s="2999">
        <v>0.1</v>
      </c>
      <c r="D878" s="3087" t="s">
        <v>3611</v>
      </c>
      <c r="E878" s="3275">
        <v>1500000</v>
      </c>
      <c r="F878" s="3081">
        <v>0.05</v>
      </c>
      <c r="G878" s="3086">
        <f t="shared" si="46"/>
        <v>75000</v>
      </c>
      <c r="H878" s="3020" t="s">
        <v>1685</v>
      </c>
      <c r="I878" s="3274" t="s">
        <v>133</v>
      </c>
      <c r="J878" s="2982" t="s">
        <v>36</v>
      </c>
      <c r="K878" s="3109"/>
      <c r="L878" s="2"/>
      <c r="M878" s="2829"/>
      <c r="N878" s="3320"/>
      <c r="O878" s="3321"/>
      <c r="P878" s="3081"/>
      <c r="Q878" s="265"/>
    </row>
    <row r="879" spans="1:17" x14ac:dyDescent="0.3">
      <c r="A879" s="3539"/>
      <c r="B879" s="2444">
        <v>14722</v>
      </c>
      <c r="C879" s="2999">
        <v>0.1</v>
      </c>
      <c r="D879" s="3087" t="s">
        <v>3612</v>
      </c>
      <c r="E879" s="3275">
        <v>1650000</v>
      </c>
      <c r="F879" s="3081">
        <v>0.05</v>
      </c>
      <c r="G879" s="3086">
        <f t="shared" si="46"/>
        <v>82500</v>
      </c>
      <c r="H879" s="3020" t="s">
        <v>1685</v>
      </c>
      <c r="I879" s="3274" t="s">
        <v>133</v>
      </c>
      <c r="J879" s="2982" t="s">
        <v>36</v>
      </c>
      <c r="K879" s="3109"/>
      <c r="L879" s="2"/>
      <c r="M879" s="2289"/>
      <c r="N879" s="2289"/>
      <c r="O879" s="3321"/>
      <c r="P879" s="3081"/>
      <c r="Q879" s="265"/>
    </row>
    <row r="880" spans="1:17" x14ac:dyDescent="0.3">
      <c r="A880" s="3539"/>
      <c r="B880" s="2444">
        <v>14721</v>
      </c>
      <c r="C880" s="2999">
        <v>0.1</v>
      </c>
      <c r="D880" s="3087" t="s">
        <v>3613</v>
      </c>
      <c r="E880" s="3275">
        <v>950000</v>
      </c>
      <c r="F880" s="3081">
        <v>0.1</v>
      </c>
      <c r="G880" s="3086">
        <f t="shared" si="46"/>
        <v>95000</v>
      </c>
      <c r="H880" s="3020" t="s">
        <v>2993</v>
      </c>
      <c r="I880" s="3274" t="s">
        <v>133</v>
      </c>
      <c r="J880" s="2982" t="s">
        <v>36</v>
      </c>
      <c r="K880" s="3109"/>
      <c r="L880" s="2"/>
      <c r="M880" s="2289"/>
      <c r="N880" s="2289"/>
      <c r="O880" s="2289"/>
      <c r="P880" s="3081"/>
      <c r="Q880" s="265"/>
    </row>
    <row r="881" spans="1:17" x14ac:dyDescent="0.3">
      <c r="A881" s="3539"/>
      <c r="B881" s="2444">
        <v>14735</v>
      </c>
      <c r="C881" s="2999">
        <v>0.1</v>
      </c>
      <c r="D881" s="3087" t="s">
        <v>3614</v>
      </c>
      <c r="E881" s="3088">
        <v>1400000</v>
      </c>
      <c r="F881" s="3081">
        <v>0.1</v>
      </c>
      <c r="G881" s="3086">
        <f t="shared" si="46"/>
        <v>140000</v>
      </c>
      <c r="H881" s="3020" t="s">
        <v>2993</v>
      </c>
      <c r="I881" s="3274" t="s">
        <v>1282</v>
      </c>
      <c r="J881" s="2982" t="s">
        <v>36</v>
      </c>
      <c r="K881" s="3109"/>
      <c r="L881" s="2"/>
      <c r="M881" s="265"/>
      <c r="N881" s="265"/>
      <c r="O881" s="265"/>
      <c r="P881" s="3081"/>
      <c r="Q881" s="265"/>
    </row>
    <row r="882" spans="1:17" x14ac:dyDescent="0.3">
      <c r="A882" s="3539"/>
      <c r="B882" s="2444">
        <v>14768</v>
      </c>
      <c r="C882" s="2999">
        <v>0.1</v>
      </c>
      <c r="D882" s="3087" t="s">
        <v>3583</v>
      </c>
      <c r="E882" s="3088">
        <v>2100000</v>
      </c>
      <c r="F882" s="3081">
        <v>0.05</v>
      </c>
      <c r="G882" s="3086">
        <f t="shared" si="46"/>
        <v>105000</v>
      </c>
      <c r="H882" s="3020" t="s">
        <v>3010</v>
      </c>
      <c r="I882" s="3274" t="s">
        <v>133</v>
      </c>
      <c r="J882" s="3148" t="s">
        <v>36</v>
      </c>
      <c r="K882" s="3109"/>
      <c r="L882" s="2"/>
      <c r="M882" s="265"/>
      <c r="N882" s="265"/>
      <c r="O882" s="265"/>
      <c r="P882" s="3081"/>
      <c r="Q882" s="265"/>
    </row>
    <row r="883" spans="1:17" x14ac:dyDescent="0.3">
      <c r="A883" s="3539"/>
      <c r="B883" s="2444">
        <v>14772</v>
      </c>
      <c r="C883" s="2999">
        <v>0.1</v>
      </c>
      <c r="D883" s="3087" t="s">
        <v>3615</v>
      </c>
      <c r="E883" s="3088">
        <v>1500000</v>
      </c>
      <c r="F883" s="3081">
        <v>0.1</v>
      </c>
      <c r="G883" s="3086">
        <f t="shared" si="46"/>
        <v>150000</v>
      </c>
      <c r="H883" s="3020" t="s">
        <v>2993</v>
      </c>
      <c r="I883" s="3274" t="s">
        <v>1282</v>
      </c>
      <c r="J883" s="3148" t="s">
        <v>36</v>
      </c>
      <c r="K883" s="265"/>
      <c r="L883" s="2"/>
      <c r="M883" s="11"/>
      <c r="N883" s="11"/>
      <c r="O883" s="11"/>
      <c r="P883" s="520"/>
      <c r="Q883" s="11"/>
    </row>
    <row r="884" spans="1:17" x14ac:dyDescent="0.3">
      <c r="A884" s="3539"/>
      <c r="B884" s="2444">
        <v>14769</v>
      </c>
      <c r="C884" s="2999">
        <v>0.1</v>
      </c>
      <c r="D884" s="3087" t="s">
        <v>3616</v>
      </c>
      <c r="E884" s="3088">
        <v>1900000</v>
      </c>
      <c r="F884" s="3081">
        <v>0.05</v>
      </c>
      <c r="G884" s="3086">
        <f t="shared" si="46"/>
        <v>95000</v>
      </c>
      <c r="H884" s="3020" t="s">
        <v>3617</v>
      </c>
      <c r="I884" s="3274" t="s">
        <v>1282</v>
      </c>
      <c r="J884" s="3148" t="s">
        <v>36</v>
      </c>
      <c r="K884" s="265"/>
      <c r="L884" s="2"/>
      <c r="M884" s="11"/>
      <c r="N884" s="11"/>
      <c r="O884" s="11"/>
      <c r="P884" s="520"/>
      <c r="Q884" s="11"/>
    </row>
    <row r="885" spans="1:17" x14ac:dyDescent="0.3">
      <c r="A885" s="3539"/>
      <c r="B885" s="2444">
        <v>14793</v>
      </c>
      <c r="C885" s="2999">
        <v>0.1</v>
      </c>
      <c r="D885" s="3087" t="s">
        <v>3618</v>
      </c>
      <c r="E885" s="3260">
        <v>1650000</v>
      </c>
      <c r="F885" s="3081">
        <v>0.05</v>
      </c>
      <c r="G885" s="3086">
        <f t="shared" si="46"/>
        <v>82500</v>
      </c>
      <c r="H885" s="3069" t="s">
        <v>1685</v>
      </c>
      <c r="I885" s="3274" t="s">
        <v>1282</v>
      </c>
      <c r="J885" s="2982" t="s">
        <v>36</v>
      </c>
      <c r="K885" s="265"/>
      <c r="L885" s="2"/>
      <c r="M885" s="11"/>
      <c r="N885" s="11"/>
      <c r="O885" s="11"/>
      <c r="P885" s="520"/>
      <c r="Q885" s="11"/>
    </row>
    <row r="886" spans="1:17" x14ac:dyDescent="0.3">
      <c r="A886" s="3539"/>
      <c r="B886" s="2444">
        <v>14802</v>
      </c>
      <c r="C886" s="2999">
        <v>0.1</v>
      </c>
      <c r="D886" s="3087" t="s">
        <v>3619</v>
      </c>
      <c r="E886" s="3260">
        <v>1300000</v>
      </c>
      <c r="F886" s="3081">
        <v>0.1</v>
      </c>
      <c r="G886" s="3086">
        <f t="shared" si="46"/>
        <v>130000</v>
      </c>
      <c r="H886" s="3020" t="s">
        <v>3620</v>
      </c>
      <c r="I886" s="3274" t="s">
        <v>1282</v>
      </c>
      <c r="J886" s="2982" t="s">
        <v>36</v>
      </c>
      <c r="K886" s="265"/>
      <c r="L886" s="2"/>
      <c r="M886" s="11"/>
      <c r="N886" s="11"/>
      <c r="O886" s="11"/>
      <c r="P886" s="520"/>
      <c r="Q886" s="11"/>
    </row>
    <row r="887" spans="1:17" x14ac:dyDescent="0.3">
      <c r="A887" s="3539"/>
      <c r="B887" s="2444">
        <v>14813</v>
      </c>
      <c r="C887" s="3017">
        <v>0.08</v>
      </c>
      <c r="D887" s="3087" t="s">
        <v>3621</v>
      </c>
      <c r="E887" s="3260">
        <v>1350000</v>
      </c>
      <c r="F887" s="2990">
        <v>0.04</v>
      </c>
      <c r="G887" s="3086">
        <f>E887*F887</f>
        <v>54000</v>
      </c>
      <c r="H887" s="3020" t="s">
        <v>3622</v>
      </c>
      <c r="I887" s="3274" t="s">
        <v>1282</v>
      </c>
      <c r="J887" s="2982" t="s">
        <v>36</v>
      </c>
      <c r="K887" s="265"/>
      <c r="L887" s="2"/>
      <c r="M887" s="11"/>
      <c r="N887" s="11"/>
      <c r="O887" s="11"/>
      <c r="P887" s="520"/>
      <c r="Q887" s="11"/>
    </row>
    <row r="888" spans="1:17" x14ac:dyDescent="0.3">
      <c r="A888" s="3539"/>
      <c r="B888" s="2444">
        <v>14821</v>
      </c>
      <c r="C888" s="2999">
        <v>0.1</v>
      </c>
      <c r="D888" s="3087" t="s">
        <v>3623</v>
      </c>
      <c r="E888" s="3260">
        <v>1200000</v>
      </c>
      <c r="F888" s="3081">
        <v>0.1</v>
      </c>
      <c r="G888" s="3086">
        <f t="shared" si="46"/>
        <v>120000</v>
      </c>
      <c r="H888" s="3020" t="s">
        <v>3620</v>
      </c>
      <c r="I888" s="3274" t="s">
        <v>1282</v>
      </c>
      <c r="J888" s="2982" t="s">
        <v>36</v>
      </c>
      <c r="K888" s="265"/>
      <c r="L888" s="2"/>
      <c r="M888" s="11"/>
      <c r="N888" s="11"/>
      <c r="O888" s="11"/>
      <c r="P888" s="520"/>
      <c r="Q888" s="11"/>
    </row>
    <row r="889" spans="1:17" x14ac:dyDescent="0.3">
      <c r="A889" s="3539"/>
      <c r="B889" s="2444" t="s">
        <v>3624</v>
      </c>
      <c r="C889" s="2999">
        <v>0.1</v>
      </c>
      <c r="D889" s="3087" t="s">
        <v>3625</v>
      </c>
      <c r="E889" s="3260">
        <v>2000000</v>
      </c>
      <c r="F889" s="3081">
        <v>0.1</v>
      </c>
      <c r="G889" s="3086">
        <f t="shared" si="46"/>
        <v>200000</v>
      </c>
      <c r="H889" s="3020" t="s">
        <v>3620</v>
      </c>
      <c r="I889" s="3274" t="s">
        <v>1282</v>
      </c>
      <c r="J889" s="2982" t="s">
        <v>36</v>
      </c>
      <c r="K889" s="265"/>
      <c r="L889" s="2"/>
      <c r="M889" s="11"/>
      <c r="N889" s="11"/>
      <c r="O889" s="11"/>
      <c r="P889" s="520"/>
      <c r="Q889" s="11"/>
    </row>
    <row r="890" spans="1:17" x14ac:dyDescent="0.3">
      <c r="A890" s="3539"/>
      <c r="B890" s="2846" t="s">
        <v>3062</v>
      </c>
      <c r="C890" s="3276">
        <v>0.1</v>
      </c>
      <c r="D890" s="3277" t="s">
        <v>3626</v>
      </c>
      <c r="E890" s="3260"/>
      <c r="F890" s="3081"/>
      <c r="G890" s="3086"/>
      <c r="H890" s="3020" t="s">
        <v>118</v>
      </c>
      <c r="I890" s="3274" t="s">
        <v>1282</v>
      </c>
      <c r="J890" s="2982"/>
      <c r="K890" s="265" t="s">
        <v>3627</v>
      </c>
      <c r="L890" s="2"/>
      <c r="M890" s="11"/>
      <c r="N890" s="11"/>
      <c r="O890" s="11"/>
      <c r="P890" s="520"/>
      <c r="Q890" s="11"/>
    </row>
    <row r="891" spans="1:17" x14ac:dyDescent="0.3">
      <c r="A891" s="3539"/>
      <c r="B891" s="2486" t="s">
        <v>3165</v>
      </c>
      <c r="C891" s="3091"/>
      <c r="D891" s="3092" t="s">
        <v>3628</v>
      </c>
      <c r="E891" s="3260"/>
      <c r="F891" s="3081"/>
      <c r="G891" s="265"/>
      <c r="H891" s="3020"/>
      <c r="I891" s="3274"/>
      <c r="J891" s="2982"/>
      <c r="K891" s="265" t="s">
        <v>3629</v>
      </c>
      <c r="L891" s="2"/>
      <c r="M891" s="11"/>
      <c r="N891" s="11"/>
      <c r="O891" s="11"/>
      <c r="P891" s="520"/>
      <c r="Q891" s="3086">
        <f ca="1">SUM(Q875:Q893)</f>
        <v>138500</v>
      </c>
    </row>
    <row r="892" spans="1:17" x14ac:dyDescent="0.3">
      <c r="A892" s="3539"/>
      <c r="B892" s="2486" t="s">
        <v>3022</v>
      </c>
      <c r="C892" s="3091"/>
      <c r="D892" s="3092" t="s">
        <v>3596</v>
      </c>
      <c r="E892" s="3260"/>
      <c r="F892" s="2982"/>
      <c r="G892" s="265"/>
      <c r="H892" s="3020"/>
      <c r="I892" s="3274" t="s">
        <v>1282</v>
      </c>
      <c r="J892" s="2982"/>
      <c r="K892" s="265" t="s">
        <v>3630</v>
      </c>
      <c r="L892" s="2"/>
      <c r="M892" s="11"/>
      <c r="N892" s="1553"/>
      <c r="O892" s="1553"/>
      <c r="P892" s="3306"/>
      <c r="Q892" s="1553"/>
    </row>
    <row r="893" spans="1:17" x14ac:dyDescent="0.3">
      <c r="A893" s="3539"/>
      <c r="B893" s="2486" t="s">
        <v>3022</v>
      </c>
      <c r="C893" s="3171"/>
      <c r="D893" s="3092" t="s">
        <v>3610</v>
      </c>
      <c r="E893" s="3278"/>
      <c r="F893" s="2982"/>
      <c r="G893" s="265"/>
      <c r="H893" s="3020"/>
      <c r="I893" s="3020" t="s">
        <v>133</v>
      </c>
      <c r="J893" s="2982"/>
      <c r="K893" s="265" t="s">
        <v>3631</v>
      </c>
      <c r="L893" s="2"/>
      <c r="M893" s="10"/>
      <c r="N893" s="34"/>
      <c r="O893" s="34"/>
      <c r="P893" s="680"/>
      <c r="Q893" s="34"/>
    </row>
    <row r="894" spans="1:17" x14ac:dyDescent="0.3">
      <c r="A894" s="3539"/>
      <c r="B894" s="3513"/>
      <c r="C894" s="3514"/>
      <c r="D894" s="3286" t="s">
        <v>3606</v>
      </c>
      <c r="E894" s="3279">
        <f>SUM(E874:E889)</f>
        <v>22950000</v>
      </c>
      <c r="F894" s="3099"/>
      <c r="G894" s="2317"/>
      <c r="H894" s="3084"/>
      <c r="I894" s="3084"/>
      <c r="J894" s="3099"/>
      <c r="K894" s="2317"/>
      <c r="L894" s="268"/>
      <c r="M894" s="498"/>
      <c r="N894" s="34"/>
      <c r="O894" s="34"/>
      <c r="P894" s="680"/>
      <c r="Q894" s="34"/>
    </row>
    <row r="895" spans="1:17" x14ac:dyDescent="0.3">
      <c r="A895" s="3542"/>
      <c r="B895" s="3515"/>
      <c r="C895" s="3516"/>
      <c r="D895" s="3021" t="s">
        <v>3002</v>
      </c>
      <c r="E895" s="3371">
        <f ca="1">G895+Q891</f>
        <v>1702000</v>
      </c>
      <c r="F895" s="2982"/>
      <c r="G895" s="3086">
        <f>SUM(G875:G889)</f>
        <v>1563500</v>
      </c>
      <c r="H895" s="3020"/>
      <c r="I895" s="2982"/>
      <c r="J895" s="2982"/>
      <c r="K895" s="265"/>
      <c r="L895" s="2"/>
      <c r="M895" s="10"/>
      <c r="N895" s="3508"/>
      <c r="O895" s="3508"/>
      <c r="P895" s="3508"/>
      <c r="Q895" s="34"/>
    </row>
    <row r="897" spans="1:17" ht="21" x14ac:dyDescent="0.4">
      <c r="A897" s="3493" t="s">
        <v>3482</v>
      </c>
      <c r="B897" s="3493"/>
      <c r="C897" s="3493"/>
      <c r="D897" s="3493"/>
      <c r="E897" s="3493"/>
      <c r="F897" s="3493"/>
      <c r="G897" s="3493"/>
      <c r="H897" s="3493"/>
      <c r="I897" s="3493"/>
      <c r="J897" s="3493"/>
      <c r="K897" s="3493"/>
      <c r="L897" s="3026"/>
      <c r="M897" s="3537" t="s">
        <v>2973</v>
      </c>
      <c r="N897" s="3537"/>
      <c r="O897" s="3537"/>
      <c r="P897" s="3537"/>
      <c r="Q897" s="1313"/>
    </row>
    <row r="898" spans="1:17" x14ac:dyDescent="0.3">
      <c r="A898" s="2898" t="s">
        <v>2974</v>
      </c>
      <c r="B898" s="2746" t="s">
        <v>2975</v>
      </c>
      <c r="C898" s="2898" t="s">
        <v>2976</v>
      </c>
      <c r="D898" s="2899" t="s">
        <v>2977</v>
      </c>
      <c r="E898" s="2979" t="s">
        <v>2978</v>
      </c>
      <c r="F898" s="2898" t="s">
        <v>2979</v>
      </c>
      <c r="G898" s="3174" t="s">
        <v>2980</v>
      </c>
      <c r="H898" s="2843" t="s">
        <v>2981</v>
      </c>
      <c r="I898" s="2981" t="s">
        <v>2982</v>
      </c>
      <c r="J898" s="2898" t="s">
        <v>3503</v>
      </c>
      <c r="K898" s="2898" t="s">
        <v>2983</v>
      </c>
      <c r="L898" s="2752" t="s">
        <v>3504</v>
      </c>
      <c r="M898" s="3054" t="s">
        <v>2975</v>
      </c>
      <c r="N898" s="3054" t="s">
        <v>2977</v>
      </c>
      <c r="O898" s="3054" t="s">
        <v>2984</v>
      </c>
      <c r="P898" s="3305" t="s">
        <v>2979</v>
      </c>
      <c r="Q898" s="2" t="s">
        <v>2985</v>
      </c>
    </row>
    <row r="899" spans="1:17" ht="15" customHeight="1" x14ac:dyDescent="0.3">
      <c r="A899" s="3538" t="s">
        <v>3417</v>
      </c>
      <c r="B899" s="1010">
        <v>14615</v>
      </c>
      <c r="C899" s="2824">
        <v>0.1</v>
      </c>
      <c r="D899" s="3107" t="s">
        <v>3585</v>
      </c>
      <c r="E899" s="3101">
        <v>1300000</v>
      </c>
      <c r="F899" s="3081">
        <v>0.05</v>
      </c>
      <c r="G899" s="3366">
        <f>E899*F899</f>
        <v>65000</v>
      </c>
      <c r="H899" s="2982" t="s">
        <v>3010</v>
      </c>
      <c r="I899" s="2982" t="s">
        <v>133</v>
      </c>
      <c r="J899" s="2982" t="s">
        <v>36</v>
      </c>
      <c r="K899" s="3176"/>
      <c r="L899" s="2982" t="s">
        <v>732</v>
      </c>
      <c r="M899" s="2444">
        <v>14690</v>
      </c>
      <c r="N899" s="3087" t="s">
        <v>3608</v>
      </c>
      <c r="O899" s="3285">
        <v>1900000</v>
      </c>
      <c r="P899" s="3081">
        <v>0.05</v>
      </c>
      <c r="Q899" s="3079">
        <f>O899*P899</f>
        <v>95000</v>
      </c>
    </row>
    <row r="900" spans="1:17" ht="15" customHeight="1" x14ac:dyDescent="0.3">
      <c r="A900" s="3539"/>
      <c r="B900" s="1010">
        <v>14619</v>
      </c>
      <c r="C900" s="3170">
        <v>7.0000000000000007E-2</v>
      </c>
      <c r="D900" s="3107" t="s">
        <v>3632</v>
      </c>
      <c r="E900" s="3101">
        <v>1300000</v>
      </c>
      <c r="F900" s="3145">
        <v>0.04</v>
      </c>
      <c r="G900" s="3366">
        <f>E900*F900</f>
        <v>52000</v>
      </c>
      <c r="H900" s="3367" t="s">
        <v>118</v>
      </c>
      <c r="I900" s="2644" t="s">
        <v>133</v>
      </c>
      <c r="J900" s="2982" t="s">
        <v>36</v>
      </c>
      <c r="K900" s="3103"/>
      <c r="L900" s="2764" t="s">
        <v>3633</v>
      </c>
      <c r="M900" s="2444">
        <v>14691</v>
      </c>
      <c r="N900" s="3087" t="s">
        <v>3611</v>
      </c>
      <c r="O900" s="3282">
        <v>1500000</v>
      </c>
      <c r="P900" s="3081">
        <v>0.05</v>
      </c>
      <c r="Q900" s="3079">
        <f t="shared" ref="Q900:Q903" si="47">O900*P900</f>
        <v>75000</v>
      </c>
    </row>
    <row r="901" spans="1:17" ht="15" customHeight="1" x14ac:dyDescent="0.3">
      <c r="A901" s="3539"/>
      <c r="B901" s="1010">
        <v>14624</v>
      </c>
      <c r="C901" s="2824">
        <v>0.1</v>
      </c>
      <c r="D901" s="3107" t="s">
        <v>3587</v>
      </c>
      <c r="E901" s="3101">
        <v>1350000</v>
      </c>
      <c r="F901" s="3080">
        <v>0.05</v>
      </c>
      <c r="G901" s="3366">
        <f t="shared" ref="G901:G910" si="48">E901*F901</f>
        <v>67500</v>
      </c>
      <c r="H901" s="3367" t="s">
        <v>3010</v>
      </c>
      <c r="I901" s="2644" t="s">
        <v>1282</v>
      </c>
      <c r="J901" s="2982" t="s">
        <v>36</v>
      </c>
      <c r="K901" s="3103"/>
      <c r="L901" s="2764" t="s">
        <v>732</v>
      </c>
      <c r="M901" s="2444">
        <v>14722</v>
      </c>
      <c r="N901" s="3087" t="s">
        <v>3612</v>
      </c>
      <c r="O901" s="3282">
        <v>1650000</v>
      </c>
      <c r="P901" s="3081">
        <v>0.05</v>
      </c>
      <c r="Q901" s="3079">
        <f t="shared" si="47"/>
        <v>82500</v>
      </c>
    </row>
    <row r="902" spans="1:17" ht="15" customHeight="1" x14ac:dyDescent="0.3">
      <c r="A902" s="3539"/>
      <c r="B902" s="2546">
        <v>14636</v>
      </c>
      <c r="C902" s="2824">
        <v>0.1</v>
      </c>
      <c r="D902" s="3107" t="s">
        <v>3589</v>
      </c>
      <c r="E902" s="3101">
        <v>1400000</v>
      </c>
      <c r="F902" s="3081">
        <v>0.05</v>
      </c>
      <c r="G902" s="3366">
        <f t="shared" si="48"/>
        <v>70000</v>
      </c>
      <c r="H902" s="3367" t="s">
        <v>3010</v>
      </c>
      <c r="I902" s="2644" t="s">
        <v>1282</v>
      </c>
      <c r="J902" s="2982" t="s">
        <v>36</v>
      </c>
      <c r="K902" s="3108"/>
      <c r="L902" s="2982" t="s">
        <v>3517</v>
      </c>
      <c r="M902" s="2444">
        <v>14793</v>
      </c>
      <c r="N902" s="3087" t="s">
        <v>3618</v>
      </c>
      <c r="O902" s="3282">
        <v>1650000</v>
      </c>
      <c r="P902" s="3081">
        <v>0.05</v>
      </c>
      <c r="Q902" s="3079">
        <f t="shared" si="47"/>
        <v>82500</v>
      </c>
    </row>
    <row r="903" spans="1:17" ht="15" customHeight="1" x14ac:dyDescent="0.3">
      <c r="A903" s="3539"/>
      <c r="B903" s="2544">
        <v>14667</v>
      </c>
      <c r="C903" s="2596">
        <v>0.1</v>
      </c>
      <c r="D903" s="3107" t="s">
        <v>3634</v>
      </c>
      <c r="E903" s="3101"/>
      <c r="F903" s="3070"/>
      <c r="G903" s="3366">
        <f t="shared" si="48"/>
        <v>0</v>
      </c>
      <c r="H903" s="3367" t="s">
        <v>1685</v>
      </c>
      <c r="I903" s="2644" t="s">
        <v>1282</v>
      </c>
      <c r="J903" s="2982" t="s">
        <v>36</v>
      </c>
      <c r="K903" s="3283"/>
      <c r="L903" s="2982"/>
      <c r="M903" s="1010">
        <v>14775</v>
      </c>
      <c r="N903" s="2233" t="s">
        <v>3635</v>
      </c>
      <c r="O903" s="3282">
        <v>1100000</v>
      </c>
      <c r="P903" s="3081">
        <v>0.05</v>
      </c>
      <c r="Q903" s="3079">
        <f t="shared" si="47"/>
        <v>55000</v>
      </c>
    </row>
    <row r="904" spans="1:17" ht="15" customHeight="1" x14ac:dyDescent="0.3">
      <c r="A904" s="3539"/>
      <c r="B904" s="2544">
        <v>14686</v>
      </c>
      <c r="C904" s="2596">
        <v>0.1</v>
      </c>
      <c r="D904" s="3107" t="s">
        <v>3636</v>
      </c>
      <c r="E904" s="3101">
        <v>1150000</v>
      </c>
      <c r="F904" s="3081">
        <v>0.1</v>
      </c>
      <c r="G904" s="3366">
        <f t="shared" si="48"/>
        <v>115000</v>
      </c>
      <c r="H904" s="3367" t="s">
        <v>1685</v>
      </c>
      <c r="I904" s="2644" t="s">
        <v>1282</v>
      </c>
      <c r="J904" s="2982" t="s">
        <v>36</v>
      </c>
      <c r="K904" s="3108"/>
      <c r="L904" s="2982"/>
      <c r="M904" s="3109"/>
      <c r="N904" s="265"/>
      <c r="O904" s="265"/>
      <c r="P904" s="3081"/>
      <c r="Q904" s="265"/>
    </row>
    <row r="905" spans="1:17" ht="15" customHeight="1" x14ac:dyDescent="0.3">
      <c r="A905" s="3539"/>
      <c r="B905" s="2544">
        <v>14685</v>
      </c>
      <c r="C905" s="2596">
        <v>0.1</v>
      </c>
      <c r="D905" s="3107" t="s">
        <v>3637</v>
      </c>
      <c r="E905" s="3101">
        <v>1050000</v>
      </c>
      <c r="F905" s="3081">
        <v>0.1</v>
      </c>
      <c r="G905" s="3366">
        <f t="shared" si="48"/>
        <v>105000</v>
      </c>
      <c r="H905" s="3367" t="s">
        <v>1685</v>
      </c>
      <c r="I905" s="2644" t="s">
        <v>1282</v>
      </c>
      <c r="J905" s="2982" t="s">
        <v>36</v>
      </c>
      <c r="K905" s="3108"/>
      <c r="L905" s="2982"/>
      <c r="M905" s="3109"/>
      <c r="N905" s="265"/>
      <c r="O905" s="265"/>
      <c r="P905" s="3081"/>
      <c r="Q905" s="265"/>
    </row>
    <row r="906" spans="1:17" ht="15" customHeight="1" x14ac:dyDescent="0.3">
      <c r="A906" s="3539"/>
      <c r="B906" s="2544">
        <v>14702</v>
      </c>
      <c r="C906" s="2596">
        <v>0.1</v>
      </c>
      <c r="D906" s="3107" t="s">
        <v>3638</v>
      </c>
      <c r="E906" s="3101">
        <v>1500000</v>
      </c>
      <c r="F906" s="3081">
        <v>0.1</v>
      </c>
      <c r="G906" s="3366">
        <f t="shared" si="48"/>
        <v>150000</v>
      </c>
      <c r="H906" s="3367" t="s">
        <v>1685</v>
      </c>
      <c r="I906" s="2644" t="s">
        <v>133</v>
      </c>
      <c r="J906" s="2982" t="s">
        <v>36</v>
      </c>
      <c r="K906" s="3108"/>
      <c r="L906" s="2982"/>
      <c r="M906" s="3109"/>
      <c r="N906" s="265"/>
      <c r="O906" s="265"/>
      <c r="P906" s="3081"/>
      <c r="Q906" s="265"/>
    </row>
    <row r="907" spans="1:17" ht="15" customHeight="1" x14ac:dyDescent="0.3">
      <c r="A907" s="3539"/>
      <c r="B907" s="2544">
        <v>14731</v>
      </c>
      <c r="C907" s="2596">
        <v>0.1</v>
      </c>
      <c r="D907" s="3107" t="s">
        <v>3639</v>
      </c>
      <c r="E907" s="3101">
        <v>1450000</v>
      </c>
      <c r="F907" s="3081">
        <v>0.05</v>
      </c>
      <c r="G907" s="3366">
        <f t="shared" si="48"/>
        <v>72500</v>
      </c>
      <c r="H907" s="3367" t="s">
        <v>2401</v>
      </c>
      <c r="I907" s="2644" t="s">
        <v>133</v>
      </c>
      <c r="J907" s="2982" t="s">
        <v>36</v>
      </c>
      <c r="K907" s="3108"/>
      <c r="L907" s="2982"/>
      <c r="M907" s="3109"/>
      <c r="N907" s="265"/>
      <c r="O907" s="265"/>
      <c r="P907" s="3081"/>
      <c r="Q907" s="265"/>
    </row>
    <row r="908" spans="1:17" ht="15" customHeight="1" x14ac:dyDescent="0.3">
      <c r="A908" s="3539"/>
      <c r="B908" s="2544">
        <v>14795</v>
      </c>
      <c r="C908" s="2596">
        <v>0.1</v>
      </c>
      <c r="D908" s="3107" t="s">
        <v>3607</v>
      </c>
      <c r="E908" s="3101">
        <v>1650000</v>
      </c>
      <c r="F908" s="3081">
        <v>0.05</v>
      </c>
      <c r="G908" s="3366">
        <f t="shared" si="48"/>
        <v>82500</v>
      </c>
      <c r="H908" s="3367" t="s">
        <v>3620</v>
      </c>
      <c r="I908" s="2644" t="s">
        <v>1282</v>
      </c>
      <c r="J908" s="2982" t="s">
        <v>36</v>
      </c>
      <c r="K908" s="3108"/>
      <c r="L908" s="2982"/>
      <c r="M908" s="3109"/>
      <c r="N908" s="265"/>
      <c r="O908" s="265"/>
      <c r="P908" s="3081"/>
      <c r="Q908" s="265"/>
    </row>
    <row r="909" spans="1:17" ht="15" customHeight="1" x14ac:dyDescent="0.3">
      <c r="A909" s="3539"/>
      <c r="B909" s="2544">
        <v>14857</v>
      </c>
      <c r="C909" s="2596">
        <v>0.1</v>
      </c>
      <c r="D909" s="3107" t="s">
        <v>3640</v>
      </c>
      <c r="E909" s="3101">
        <v>1300000</v>
      </c>
      <c r="F909" s="3081">
        <v>0.06</v>
      </c>
      <c r="G909" s="3366">
        <f t="shared" si="48"/>
        <v>78000</v>
      </c>
      <c r="H909" s="3367" t="s">
        <v>118</v>
      </c>
      <c r="I909" s="2644" t="s">
        <v>1282</v>
      </c>
      <c r="J909" s="2982" t="s">
        <v>36</v>
      </c>
      <c r="K909" s="3108"/>
      <c r="L909" s="2982"/>
      <c r="M909" s="3109"/>
      <c r="N909" s="265"/>
      <c r="O909" s="265"/>
      <c r="P909" s="3081"/>
      <c r="Q909" s="265"/>
    </row>
    <row r="910" spans="1:17" ht="15" customHeight="1" x14ac:dyDescent="0.3">
      <c r="A910" s="3539"/>
      <c r="B910" s="2544">
        <v>14857</v>
      </c>
      <c r="C910" s="2596">
        <v>0.1</v>
      </c>
      <c r="D910" s="3107" t="s">
        <v>3592</v>
      </c>
      <c r="E910" s="3101">
        <v>1400000</v>
      </c>
      <c r="F910" s="3081">
        <v>0.05</v>
      </c>
      <c r="G910" s="3366">
        <f t="shared" si="48"/>
        <v>70000</v>
      </c>
      <c r="H910" s="3367" t="s">
        <v>3010</v>
      </c>
      <c r="I910" s="2644" t="s">
        <v>1282</v>
      </c>
      <c r="J910" s="2982" t="s">
        <v>36</v>
      </c>
      <c r="K910" s="3108"/>
      <c r="L910" s="2982"/>
      <c r="M910" s="3109"/>
      <c r="N910" s="265"/>
      <c r="O910" s="265"/>
      <c r="P910" s="3081"/>
      <c r="Q910" s="265"/>
    </row>
    <row r="911" spans="1:17" ht="15" customHeight="1" x14ac:dyDescent="0.3">
      <c r="A911" s="3539"/>
      <c r="B911" s="2908" t="s">
        <v>3022</v>
      </c>
      <c r="C911" s="2513"/>
      <c r="D911" s="3111" t="s">
        <v>3641</v>
      </c>
      <c r="E911" s="3101"/>
      <c r="F911" s="2982"/>
      <c r="G911" s="265"/>
      <c r="H911" s="3367"/>
      <c r="I911" s="2644"/>
      <c r="J911" s="2982"/>
      <c r="K911" s="3108" t="s">
        <v>3642</v>
      </c>
      <c r="L911" s="2982"/>
      <c r="M911" s="3109"/>
      <c r="N911" s="265"/>
      <c r="O911" s="265"/>
      <c r="P911" s="3081"/>
      <c r="Q911" s="265"/>
    </row>
    <row r="912" spans="1:17" ht="15" customHeight="1" x14ac:dyDescent="0.3">
      <c r="A912" s="3539"/>
      <c r="B912" s="2908" t="s">
        <v>3022</v>
      </c>
      <c r="C912" s="2513"/>
      <c r="D912" s="3111" t="s">
        <v>3643</v>
      </c>
      <c r="E912" s="3101"/>
      <c r="F912" s="2982"/>
      <c r="G912" s="265"/>
      <c r="H912" s="3367"/>
      <c r="I912" s="2644"/>
      <c r="J912" s="2764"/>
      <c r="K912" s="3103" t="s">
        <v>3644</v>
      </c>
      <c r="L912" s="2764"/>
      <c r="M912" s="3109"/>
      <c r="N912" s="2317"/>
      <c r="O912" s="2317"/>
      <c r="P912" s="3302"/>
      <c r="Q912" s="2317"/>
    </row>
    <row r="913" spans="1:17" ht="15" customHeight="1" x14ac:dyDescent="0.3">
      <c r="A913" s="3539"/>
      <c r="B913" s="2908" t="s">
        <v>3022</v>
      </c>
      <c r="C913" s="2513"/>
      <c r="D913" s="3310" t="s">
        <v>3645</v>
      </c>
      <c r="E913" s="3101"/>
      <c r="F913" s="3081"/>
      <c r="G913" s="265"/>
      <c r="H913" s="2644"/>
      <c r="I913" s="2644"/>
      <c r="J913" s="2982"/>
      <c r="K913" s="3108" t="s">
        <v>3646</v>
      </c>
      <c r="L913" s="2982"/>
      <c r="M913" s="3309"/>
      <c r="N913" s="2289"/>
      <c r="O913" s="2289"/>
      <c r="P913" s="3070"/>
      <c r="Q913" s="2289"/>
    </row>
    <row r="914" spans="1:17" ht="15" customHeight="1" x14ac:dyDescent="0.3">
      <c r="A914" s="3539"/>
      <c r="B914" s="3513"/>
      <c r="C914" s="3517"/>
      <c r="D914" s="3151" t="s">
        <v>3606</v>
      </c>
      <c r="E914" s="3311">
        <f>SUM(E898:E910)</f>
        <v>14850000</v>
      </c>
      <c r="F914" s="3081"/>
      <c r="G914" s="3109"/>
      <c r="H914" s="2644"/>
      <c r="I914" s="2644"/>
      <c r="J914" s="2982"/>
      <c r="K914" s="3108"/>
      <c r="L914" s="2982"/>
      <c r="M914" s="3309"/>
      <c r="N914" s="2289"/>
      <c r="O914" s="2289"/>
      <c r="P914" s="3070"/>
      <c r="Q914" s="3166">
        <f>SUM(Q899:Q913)</f>
        <v>390000</v>
      </c>
    </row>
    <row r="915" spans="1:17" x14ac:dyDescent="0.3">
      <c r="A915" s="3542"/>
      <c r="B915" s="3515"/>
      <c r="C915" s="3518"/>
      <c r="D915" s="1182" t="s">
        <v>3002</v>
      </c>
      <c r="E915" s="3372">
        <f>G915+Q914</f>
        <v>1317500</v>
      </c>
      <c r="F915" s="2982"/>
      <c r="G915" s="3284">
        <f>SUM(G899:G910)</f>
        <v>927500</v>
      </c>
      <c r="H915" s="3020"/>
      <c r="I915" s="2982"/>
      <c r="J915" s="2982"/>
      <c r="K915" s="3108"/>
      <c r="L915" s="2982"/>
      <c r="M915" s="3309"/>
      <c r="N915" s="3508"/>
      <c r="O915" s="3508"/>
      <c r="P915" s="3508"/>
      <c r="Q915" s="34"/>
    </row>
    <row r="916" spans="1:17" s="511" customFormat="1" x14ac:dyDescent="0.3">
      <c r="A916" s="3167"/>
      <c r="B916" s="2649"/>
      <c r="C916" s="3167"/>
      <c r="D916" s="3168"/>
      <c r="E916" s="3169"/>
      <c r="F916" s="3167"/>
      <c r="H916" s="2649"/>
      <c r="I916" s="1028"/>
      <c r="J916" s="3167"/>
      <c r="L916" s="3167"/>
      <c r="P916" s="3307"/>
    </row>
    <row r="917" spans="1:17" ht="21" x14ac:dyDescent="0.4">
      <c r="A917" s="3493" t="s">
        <v>3647</v>
      </c>
      <c r="B917" s="3493"/>
      <c r="C917" s="3493"/>
      <c r="D917" s="3493"/>
      <c r="E917" s="3493"/>
      <c r="F917" s="3493"/>
      <c r="G917" s="3493"/>
      <c r="H917" s="3493"/>
      <c r="I917" s="3493"/>
      <c r="J917" s="3493"/>
      <c r="K917" s="3493"/>
      <c r="L917" s="3026"/>
      <c r="M917" s="3537" t="s">
        <v>2973</v>
      </c>
      <c r="N917" s="3537"/>
      <c r="O917" s="3537"/>
      <c r="P917" s="3537"/>
      <c r="Q917" s="1313"/>
    </row>
    <row r="918" spans="1:17" x14ac:dyDescent="0.3">
      <c r="A918" s="2745" t="s">
        <v>2974</v>
      </c>
      <c r="B918" s="2746" t="s">
        <v>2975</v>
      </c>
      <c r="C918" s="2745" t="s">
        <v>2976</v>
      </c>
      <c r="D918" s="2748" t="s">
        <v>2977</v>
      </c>
      <c r="E918" s="2767" t="s">
        <v>2978</v>
      </c>
      <c r="F918" s="2745" t="s">
        <v>2979</v>
      </c>
      <c r="G918" s="2750" t="s">
        <v>2980</v>
      </c>
      <c r="H918" s="2746" t="s">
        <v>2981</v>
      </c>
      <c r="I918" s="2747" t="s">
        <v>2982</v>
      </c>
      <c r="J918" s="2898" t="s">
        <v>3503</v>
      </c>
      <c r="K918" s="3172" t="s">
        <v>2983</v>
      </c>
      <c r="L918" s="3053" t="s">
        <v>3504</v>
      </c>
      <c r="M918" s="3054" t="s">
        <v>2975</v>
      </c>
      <c r="N918" s="3054" t="s">
        <v>2977</v>
      </c>
      <c r="O918" s="3054" t="s">
        <v>2984</v>
      </c>
      <c r="P918" s="3305" t="s">
        <v>2979</v>
      </c>
      <c r="Q918" s="2" t="s">
        <v>2985</v>
      </c>
    </row>
    <row r="919" spans="1:17" x14ac:dyDescent="0.3">
      <c r="A919" s="3553" t="s">
        <v>3417</v>
      </c>
      <c r="B919" s="1010">
        <v>14655</v>
      </c>
      <c r="C919" s="553">
        <v>0.08</v>
      </c>
      <c r="D919" s="2233" t="s">
        <v>3648</v>
      </c>
      <c r="E919" s="3101">
        <v>2300000</v>
      </c>
      <c r="F919" s="3312">
        <v>0.09</v>
      </c>
      <c r="G919" s="3166">
        <f>E919*F919</f>
        <v>207000</v>
      </c>
      <c r="H919" s="3365" t="s">
        <v>1530</v>
      </c>
      <c r="I919" s="2633" t="s">
        <v>1282</v>
      </c>
      <c r="J919" s="55" t="s">
        <v>36</v>
      </c>
      <c r="K919" s="3108"/>
      <c r="L919" s="2982"/>
      <c r="M919" s="3109"/>
      <c r="N919" s="265"/>
      <c r="O919" s="265"/>
      <c r="P919" s="3081"/>
      <c r="Q919" s="265"/>
    </row>
    <row r="920" spans="1:17" x14ac:dyDescent="0.3">
      <c r="A920" s="3553"/>
      <c r="B920" s="1010">
        <v>14651</v>
      </c>
      <c r="C920" s="333">
        <v>0.1</v>
      </c>
      <c r="D920" s="2233" t="s">
        <v>3594</v>
      </c>
      <c r="E920" s="3101">
        <v>1250000</v>
      </c>
      <c r="F920" s="3081">
        <v>0.05</v>
      </c>
      <c r="G920" s="3166">
        <f t="shared" ref="G920:G926" si="49">E920*F920</f>
        <v>62500</v>
      </c>
      <c r="H920" s="3365" t="s">
        <v>3010</v>
      </c>
      <c r="I920" s="2633" t="s">
        <v>1282</v>
      </c>
      <c r="J920" s="3313" t="s">
        <v>36</v>
      </c>
      <c r="K920" s="3108"/>
      <c r="L920" s="2982" t="s">
        <v>732</v>
      </c>
      <c r="M920" s="3109"/>
      <c r="N920" s="265"/>
      <c r="O920" s="265"/>
      <c r="P920" s="3081"/>
      <c r="Q920" s="265"/>
    </row>
    <row r="921" spans="1:17" ht="15" customHeight="1" x14ac:dyDescent="0.3">
      <c r="A921" s="3553"/>
      <c r="B921" s="1010">
        <v>14859</v>
      </c>
      <c r="C921" s="333">
        <v>0.1</v>
      </c>
      <c r="D921" s="2233" t="s">
        <v>3649</v>
      </c>
      <c r="E921" s="3101">
        <v>1400000</v>
      </c>
      <c r="F921" s="3080">
        <v>0.06</v>
      </c>
      <c r="G921" s="3166">
        <f t="shared" si="49"/>
        <v>84000</v>
      </c>
      <c r="H921" s="3365" t="s">
        <v>118</v>
      </c>
      <c r="I921" s="2633" t="s">
        <v>1282</v>
      </c>
      <c r="J921" s="3313" t="s">
        <v>36</v>
      </c>
      <c r="K921" s="3103"/>
      <c r="L921" s="2764"/>
      <c r="M921" s="3104"/>
      <c r="N921" s="3105"/>
      <c r="O921" s="2764"/>
      <c r="P921" s="3090"/>
      <c r="Q921" s="3106"/>
    </row>
    <row r="922" spans="1:17" x14ac:dyDescent="0.3">
      <c r="A922" s="3553"/>
      <c r="B922" s="1010">
        <v>14720</v>
      </c>
      <c r="C922" s="553">
        <v>0.08</v>
      </c>
      <c r="D922" s="2233" t="s">
        <v>3609</v>
      </c>
      <c r="E922" s="3101">
        <v>1400000</v>
      </c>
      <c r="F922" s="2990">
        <v>0.04</v>
      </c>
      <c r="G922" s="3166">
        <f t="shared" si="49"/>
        <v>56000</v>
      </c>
      <c r="H922" s="3365" t="s">
        <v>2993</v>
      </c>
      <c r="I922" s="2633" t="s">
        <v>133</v>
      </c>
      <c r="J922" s="3313" t="s">
        <v>36</v>
      </c>
      <c r="K922" s="3108"/>
      <c r="L922" s="2982" t="s">
        <v>732</v>
      </c>
      <c r="M922" s="3109"/>
      <c r="N922" s="265"/>
      <c r="O922" s="265"/>
      <c r="P922" s="3081"/>
      <c r="Q922" s="265"/>
    </row>
    <row r="923" spans="1:17" ht="15" customHeight="1" x14ac:dyDescent="0.3">
      <c r="A923" s="3553"/>
      <c r="B923" s="1010">
        <v>14759</v>
      </c>
      <c r="C923" s="333">
        <v>0.1</v>
      </c>
      <c r="D923" s="2233" t="s">
        <v>3596</v>
      </c>
      <c r="E923" s="3101">
        <v>1750000</v>
      </c>
      <c r="F923" s="3080">
        <v>0.05</v>
      </c>
      <c r="G923" s="3166">
        <f t="shared" si="49"/>
        <v>87500</v>
      </c>
      <c r="H923" s="3365" t="s">
        <v>3010</v>
      </c>
      <c r="I923" s="2633" t="s">
        <v>1282</v>
      </c>
      <c r="J923" s="3314" t="s">
        <v>36</v>
      </c>
      <c r="K923" s="3103"/>
      <c r="L923" s="2764"/>
      <c r="M923" s="3104"/>
      <c r="N923" s="3105"/>
      <c r="O923" s="2764"/>
      <c r="P923" s="3090"/>
      <c r="Q923" s="3106"/>
    </row>
    <row r="924" spans="1:17" ht="15" customHeight="1" x14ac:dyDescent="0.3">
      <c r="A924" s="3553"/>
      <c r="B924" s="1010">
        <v>14775</v>
      </c>
      <c r="C924" s="333">
        <v>0.1</v>
      </c>
      <c r="D924" s="2233" t="s">
        <v>3635</v>
      </c>
      <c r="E924" s="3101">
        <v>1100000</v>
      </c>
      <c r="F924" s="3080">
        <v>0.05</v>
      </c>
      <c r="G924" s="3166">
        <f t="shared" si="49"/>
        <v>55000</v>
      </c>
      <c r="H924" s="3365" t="s">
        <v>1530</v>
      </c>
      <c r="I924" s="2633" t="s">
        <v>1282</v>
      </c>
      <c r="J924" s="3314" t="s">
        <v>36</v>
      </c>
      <c r="K924" s="3103"/>
      <c r="L924" s="2764"/>
      <c r="M924" s="3104"/>
      <c r="N924" s="3105"/>
      <c r="O924" s="2764"/>
      <c r="P924" s="3090"/>
      <c r="Q924" s="3106"/>
    </row>
    <row r="925" spans="1:17" ht="15" customHeight="1" x14ac:dyDescent="0.3">
      <c r="A925" s="3553"/>
      <c r="B925" s="1010">
        <v>14774</v>
      </c>
      <c r="C925" s="333">
        <v>0.1</v>
      </c>
      <c r="D925" s="2233" t="s">
        <v>3650</v>
      </c>
      <c r="E925" s="3101">
        <v>1000000</v>
      </c>
      <c r="F925" s="3080">
        <v>0.1</v>
      </c>
      <c r="G925" s="3166">
        <f t="shared" si="49"/>
        <v>100000</v>
      </c>
      <c r="H925" s="3365" t="s">
        <v>1530</v>
      </c>
      <c r="I925" s="2633" t="s">
        <v>1282</v>
      </c>
      <c r="J925" s="3314" t="s">
        <v>36</v>
      </c>
      <c r="K925" s="3103"/>
      <c r="L925" s="2764"/>
      <c r="M925" s="3104"/>
      <c r="N925" s="3105"/>
      <c r="O925" s="2764"/>
      <c r="P925" s="3090"/>
      <c r="Q925" s="3106"/>
    </row>
    <row r="926" spans="1:17" x14ac:dyDescent="0.3">
      <c r="A926" s="3553"/>
      <c r="B926" s="1010">
        <v>14806</v>
      </c>
      <c r="C926" s="333">
        <v>0.1</v>
      </c>
      <c r="D926" s="2233" t="s">
        <v>3651</v>
      </c>
      <c r="E926" s="3101">
        <v>1200000</v>
      </c>
      <c r="F926" s="3070">
        <v>0.1</v>
      </c>
      <c r="G926" s="3166">
        <f t="shared" si="49"/>
        <v>120000</v>
      </c>
      <c r="H926" s="3365" t="s">
        <v>1530</v>
      </c>
      <c r="I926" s="2633" t="s">
        <v>1282</v>
      </c>
      <c r="J926" s="55" t="s">
        <v>36</v>
      </c>
      <c r="K926" s="3108"/>
      <c r="L926" s="2982"/>
      <c r="M926" s="3109"/>
      <c r="N926" s="265"/>
      <c r="O926" s="265"/>
      <c r="P926" s="3081"/>
      <c r="Q926" s="265"/>
    </row>
    <row r="927" spans="1:17" x14ac:dyDescent="0.3">
      <c r="A927" s="3553"/>
      <c r="B927" s="2617" t="s">
        <v>3022</v>
      </c>
      <c r="C927" s="2723"/>
      <c r="D927" s="2888" t="s">
        <v>3652</v>
      </c>
      <c r="E927" s="3101"/>
      <c r="F927" s="2982"/>
      <c r="G927" s="265"/>
      <c r="H927" s="2633"/>
      <c r="I927" s="2633"/>
      <c r="J927" s="3314"/>
      <c r="K927" s="3103" t="s">
        <v>3653</v>
      </c>
      <c r="L927" s="2764"/>
      <c r="M927" s="3315"/>
      <c r="N927" s="2317"/>
      <c r="O927" s="2317"/>
      <c r="P927" s="3302"/>
      <c r="Q927" s="2317"/>
    </row>
    <row r="928" spans="1:17" x14ac:dyDescent="0.3">
      <c r="A928" s="3553"/>
      <c r="B928" s="3522"/>
      <c r="C928" s="3522"/>
      <c r="D928" s="3151" t="s">
        <v>3606</v>
      </c>
      <c r="E928" s="3086">
        <f>SUM(E918:E926)</f>
        <v>11400000</v>
      </c>
      <c r="F928" s="2982"/>
      <c r="G928" s="265"/>
      <c r="H928" s="2633"/>
      <c r="I928" s="2633"/>
      <c r="J928" s="3314"/>
      <c r="K928" s="3103"/>
      <c r="L928" s="2834"/>
      <c r="M928" s="265"/>
      <c r="N928" s="265"/>
      <c r="O928" s="265"/>
      <c r="P928" s="3081"/>
      <c r="Q928" s="265"/>
    </row>
    <row r="929" spans="1:17" x14ac:dyDescent="0.3">
      <c r="A929" s="3553"/>
      <c r="B929" s="3522"/>
      <c r="C929" s="3522"/>
      <c r="D929" s="1182" t="s">
        <v>3002</v>
      </c>
      <c r="E929" s="3086"/>
      <c r="F929" s="2982"/>
      <c r="G929" s="3371">
        <f>SUM(G919:G926)</f>
        <v>772000</v>
      </c>
      <c r="H929" s="3020"/>
      <c r="I929" s="2982"/>
      <c r="J929" s="3313"/>
      <c r="K929" s="3108"/>
      <c r="L929" s="2982"/>
      <c r="M929" s="3273"/>
      <c r="N929" s="3519" t="s">
        <v>3001</v>
      </c>
      <c r="O929" s="3520"/>
      <c r="P929" s="3521"/>
      <c r="Q929" s="3316"/>
    </row>
    <row r="930" spans="1:17" x14ac:dyDescent="0.3">
      <c r="D930" s="3019"/>
      <c r="E930" s="3019"/>
    </row>
    <row r="931" spans="1:17" ht="21" x14ac:dyDescent="0.4">
      <c r="A931" s="3493" t="s">
        <v>3348</v>
      </c>
      <c r="B931" s="3493"/>
      <c r="C931" s="3493"/>
      <c r="D931" s="3493"/>
      <c r="E931" s="3493"/>
      <c r="F931" s="3493"/>
      <c r="G931" s="3493"/>
      <c r="H931" s="3493"/>
      <c r="I931" s="3493"/>
      <c r="J931" s="3493"/>
      <c r="K931" s="3493"/>
      <c r="L931" s="3026"/>
      <c r="M931" s="3537" t="s">
        <v>2973</v>
      </c>
      <c r="N931" s="3537"/>
      <c r="O931" s="3537"/>
      <c r="P931" s="3537"/>
      <c r="Q931" s="1313"/>
    </row>
    <row r="932" spans="1:17" x14ac:dyDescent="0.3">
      <c r="A932" s="2745" t="s">
        <v>2974</v>
      </c>
      <c r="B932" s="2746" t="s">
        <v>2975</v>
      </c>
      <c r="C932" s="2745" t="s">
        <v>2976</v>
      </c>
      <c r="D932" s="2899" t="s">
        <v>2977</v>
      </c>
      <c r="E932" s="2979" t="s">
        <v>2978</v>
      </c>
      <c r="F932" s="2898" t="s">
        <v>2979</v>
      </c>
      <c r="G932" s="2980" t="s">
        <v>2980</v>
      </c>
      <c r="H932" s="2843" t="s">
        <v>2981</v>
      </c>
      <c r="I932" s="3115" t="s">
        <v>2982</v>
      </c>
      <c r="J932" s="2898" t="s">
        <v>3503</v>
      </c>
      <c r="K932" s="3172" t="s">
        <v>2983</v>
      </c>
      <c r="L932" s="3053" t="s">
        <v>3504</v>
      </c>
      <c r="M932" s="3054" t="s">
        <v>2975</v>
      </c>
      <c r="N932" s="3054" t="s">
        <v>2977</v>
      </c>
      <c r="O932" s="3054" t="s">
        <v>2984</v>
      </c>
      <c r="P932" s="3305" t="s">
        <v>2979</v>
      </c>
      <c r="Q932" s="2" t="s">
        <v>2985</v>
      </c>
    </row>
    <row r="933" spans="1:17" x14ac:dyDescent="0.3">
      <c r="A933" s="3523"/>
      <c r="B933" s="1010">
        <v>14646</v>
      </c>
      <c r="C933" s="333">
        <v>0.08</v>
      </c>
      <c r="D933" s="3107" t="s">
        <v>3654</v>
      </c>
      <c r="E933" s="3101">
        <v>500000</v>
      </c>
      <c r="F933" s="3070"/>
      <c r="G933" s="3102"/>
      <c r="H933" s="2644" t="s">
        <v>118</v>
      </c>
      <c r="I933" s="2644" t="s">
        <v>1282</v>
      </c>
      <c r="J933" s="3173" t="s">
        <v>3507</v>
      </c>
      <c r="K933" s="3108"/>
      <c r="L933" s="2982"/>
      <c r="M933" s="3109"/>
      <c r="N933" s="265"/>
      <c r="O933" s="265"/>
      <c r="P933" s="3081"/>
      <c r="Q933" s="265"/>
    </row>
    <row r="934" spans="1:17" x14ac:dyDescent="0.3">
      <c r="A934" s="3523"/>
      <c r="B934" s="3522"/>
      <c r="C934" s="3522"/>
      <c r="D934" s="2828"/>
      <c r="E934" s="2956"/>
      <c r="F934" s="51"/>
      <c r="G934" s="34"/>
      <c r="H934" s="2063"/>
      <c r="I934" s="2063"/>
      <c r="J934" s="51"/>
      <c r="K934" s="10"/>
      <c r="L934" s="2"/>
      <c r="M934" s="117"/>
      <c r="N934" s="11"/>
      <c r="O934" s="11"/>
      <c r="P934" s="520"/>
      <c r="Q934" s="11"/>
    </row>
    <row r="935" spans="1:17" x14ac:dyDescent="0.3">
      <c r="A935" s="3523"/>
      <c r="B935" s="3522"/>
      <c r="C935" s="3522"/>
      <c r="D935" s="3317" t="s">
        <v>3002</v>
      </c>
      <c r="E935" s="3086">
        <f>SUM(E933:E934)</f>
        <v>500000</v>
      </c>
      <c r="F935" s="2"/>
      <c r="G935" s="117"/>
      <c r="H935" s="2392"/>
      <c r="I935" s="2982"/>
      <c r="J935" s="2"/>
      <c r="K935" s="10"/>
      <c r="L935" s="2"/>
      <c r="M935" s="117"/>
      <c r="N935" s="11"/>
      <c r="O935" s="11"/>
      <c r="P935" s="520"/>
      <c r="Q935" s="11"/>
    </row>
    <row r="938" spans="1:17" x14ac:dyDescent="0.3">
      <c r="A938" s="3498" t="s">
        <v>3064</v>
      </c>
      <c r="B938" s="3499"/>
      <c r="C938" s="2361"/>
      <c r="D938" s="2927">
        <f>E869+E894+E914+E928+E935</f>
        <v>59860000</v>
      </c>
    </row>
    <row r="939" spans="1:17" x14ac:dyDescent="0.3">
      <c r="A939" s="3500" t="s">
        <v>3065</v>
      </c>
      <c r="B939" s="3501"/>
      <c r="C939" s="470"/>
      <c r="D939" s="2928"/>
    </row>
    <row r="940" spans="1:17" x14ac:dyDescent="0.3">
      <c r="A940" s="3502" t="s">
        <v>3066</v>
      </c>
      <c r="B940" s="3503"/>
      <c r="C940" s="2780"/>
      <c r="D940" s="2929"/>
    </row>
    <row r="941" spans="1:17" x14ac:dyDescent="0.3">
      <c r="A941" s="3504" t="s">
        <v>3067</v>
      </c>
      <c r="B941" s="3505"/>
      <c r="C941" s="2933"/>
      <c r="D941" s="2941"/>
    </row>
    <row r="942" spans="1:17" x14ac:dyDescent="0.3">
      <c r="A942" s="3506" t="s">
        <v>3068</v>
      </c>
      <c r="B942" s="3507"/>
      <c r="C942" s="2780"/>
      <c r="D942" s="2930"/>
    </row>
    <row r="943" spans="1:17" x14ac:dyDescent="0.3">
      <c r="A943" s="3573" t="s">
        <v>3069</v>
      </c>
      <c r="B943" s="3573"/>
      <c r="C943" s="2780"/>
      <c r="D943" s="2931"/>
    </row>
    <row r="944" spans="1:17" x14ac:dyDescent="0.3">
      <c r="A944" s="2781"/>
      <c r="B944" s="2066" t="s">
        <v>3070</v>
      </c>
      <c r="C944" s="2934"/>
      <c r="D944" s="2932"/>
    </row>
    <row r="945" spans="1:17" x14ac:dyDescent="0.3">
      <c r="F945" s="3365"/>
    </row>
    <row r="947" spans="1:17" ht="46.2" x14ac:dyDescent="0.85">
      <c r="A947" s="3495" t="s">
        <v>3655</v>
      </c>
      <c r="B947" s="3496"/>
      <c r="C947" s="3496"/>
      <c r="D947" s="3496"/>
      <c r="E947" s="3496"/>
      <c r="F947" s="3496"/>
      <c r="G947" s="3496"/>
      <c r="H947" s="3496"/>
      <c r="I947" s="3496"/>
      <c r="J947" s="3496"/>
      <c r="K947" s="3496"/>
      <c r="L947" s="3497"/>
    </row>
    <row r="948" spans="1:17" ht="21" x14ac:dyDescent="0.4">
      <c r="A948" s="3493" t="s">
        <v>3579</v>
      </c>
      <c r="B948" s="3493"/>
      <c r="C948" s="3493"/>
      <c r="D948" s="3493"/>
      <c r="E948" s="3493"/>
      <c r="F948" s="3493"/>
      <c r="G948" s="3493"/>
      <c r="H948" s="3493"/>
      <c r="I948" s="3493"/>
      <c r="J948" s="3493"/>
      <c r="K948" s="3493"/>
      <c r="L948" s="3025"/>
      <c r="M948" s="3494" t="s">
        <v>2973</v>
      </c>
      <c r="N948" s="3494"/>
      <c r="O948" s="3494"/>
      <c r="P948" s="3494"/>
      <c r="Q948" s="1313"/>
    </row>
    <row r="949" spans="1:17" x14ac:dyDescent="0.3">
      <c r="A949" s="2745" t="s">
        <v>2974</v>
      </c>
      <c r="B949" s="2843" t="s">
        <v>2975</v>
      </c>
      <c r="C949" s="2898" t="s">
        <v>2976</v>
      </c>
      <c r="D949" s="2898" t="s">
        <v>2977</v>
      </c>
      <c r="E949" s="2979" t="s">
        <v>2978</v>
      </c>
      <c r="F949" s="2898" t="s">
        <v>2979</v>
      </c>
      <c r="G949" s="2980" t="s">
        <v>2980</v>
      </c>
      <c r="H949" s="2843" t="s">
        <v>2981</v>
      </c>
      <c r="I949" s="2981" t="s">
        <v>2982</v>
      </c>
      <c r="J949" s="2898" t="s">
        <v>3503</v>
      </c>
      <c r="K949" s="2898" t="s">
        <v>2983</v>
      </c>
      <c r="L949" s="2898" t="s">
        <v>3504</v>
      </c>
      <c r="M949" s="2898" t="s">
        <v>2975</v>
      </c>
      <c r="N949" s="2898" t="s">
        <v>2977</v>
      </c>
      <c r="O949" s="2898" t="s">
        <v>2984</v>
      </c>
      <c r="P949" s="3308" t="s">
        <v>2979</v>
      </c>
      <c r="Q949" s="2" t="s">
        <v>2985</v>
      </c>
    </row>
    <row r="950" spans="1:17" x14ac:dyDescent="0.3">
      <c r="A950" s="3492" t="s">
        <v>2986</v>
      </c>
      <c r="B950" s="3426">
        <v>14920</v>
      </c>
      <c r="C950" s="2558">
        <v>0.1</v>
      </c>
      <c r="D950" s="2233" t="s">
        <v>3656</v>
      </c>
      <c r="E950" s="3079">
        <v>1100000</v>
      </c>
      <c r="F950" s="2982"/>
      <c r="G950" s="265"/>
      <c r="H950" s="3020" t="s">
        <v>118</v>
      </c>
      <c r="I950" s="2982" t="s">
        <v>133</v>
      </c>
      <c r="J950" s="2982" t="s">
        <v>36</v>
      </c>
      <c r="K950" s="3388"/>
      <c r="L950" s="2"/>
      <c r="M950" s="11"/>
      <c r="N950" s="11"/>
      <c r="O950" s="11"/>
      <c r="P950" s="520"/>
      <c r="Q950" s="11"/>
    </row>
    <row r="951" spans="1:17" x14ac:dyDescent="0.3">
      <c r="A951" s="3492"/>
      <c r="B951" s="3426">
        <v>14961</v>
      </c>
      <c r="C951" s="2558">
        <v>0.1</v>
      </c>
      <c r="D951" s="2233" t="s">
        <v>3657</v>
      </c>
      <c r="E951" s="3079">
        <v>800000</v>
      </c>
      <c r="F951" s="2982"/>
      <c r="G951" s="265"/>
      <c r="H951" s="3020" t="s">
        <v>3010</v>
      </c>
      <c r="I951" s="2982" t="s">
        <v>1282</v>
      </c>
      <c r="J951" s="2982" t="s">
        <v>36</v>
      </c>
      <c r="K951" s="3388"/>
      <c r="L951" s="2"/>
      <c r="M951" s="11"/>
      <c r="N951" s="11"/>
      <c r="O951" s="11"/>
      <c r="P951" s="520"/>
      <c r="Q951" s="11"/>
    </row>
    <row r="952" spans="1:17" x14ac:dyDescent="0.3">
      <c r="A952" s="3492"/>
      <c r="B952" s="3426">
        <v>14966</v>
      </c>
      <c r="C952" s="2558">
        <v>0.1</v>
      </c>
      <c r="D952" s="2233" t="s">
        <v>3658</v>
      </c>
      <c r="E952" s="3079">
        <v>1200000</v>
      </c>
      <c r="F952" s="2982"/>
      <c r="G952" s="265"/>
      <c r="H952" s="3020" t="s">
        <v>118</v>
      </c>
      <c r="I952" s="2982" t="s">
        <v>133</v>
      </c>
      <c r="J952" s="2982" t="s">
        <v>36</v>
      </c>
      <c r="K952" s="3388"/>
      <c r="L952" s="2"/>
      <c r="M952" s="11"/>
      <c r="N952" s="11"/>
      <c r="O952" s="11"/>
      <c r="P952" s="520"/>
      <c r="Q952" s="11"/>
    </row>
    <row r="953" spans="1:17" x14ac:dyDescent="0.3">
      <c r="A953" s="3492"/>
      <c r="B953" s="3426">
        <v>15044</v>
      </c>
      <c r="C953" s="2558">
        <v>0.1</v>
      </c>
      <c r="D953" s="2233" t="s">
        <v>3659</v>
      </c>
      <c r="E953" s="3079">
        <v>1500000</v>
      </c>
      <c r="F953" s="2982"/>
      <c r="G953" s="265"/>
      <c r="H953" s="3020" t="s">
        <v>1632</v>
      </c>
      <c r="I953" s="2982" t="s">
        <v>133</v>
      </c>
      <c r="J953" s="2982" t="s">
        <v>36</v>
      </c>
      <c r="K953" s="3388"/>
      <c r="L953" s="2"/>
      <c r="M953" s="11"/>
      <c r="N953" s="11"/>
      <c r="O953" s="11"/>
      <c r="P953" s="520"/>
      <c r="Q953" s="11"/>
    </row>
    <row r="954" spans="1:17" x14ac:dyDescent="0.3">
      <c r="A954" s="3492"/>
      <c r="B954" s="3426">
        <v>15087</v>
      </c>
      <c r="C954" s="2558">
        <v>0.1</v>
      </c>
      <c r="D954" s="2233" t="s">
        <v>3660</v>
      </c>
      <c r="E954" s="3079">
        <v>1400000</v>
      </c>
      <c r="F954" s="2982"/>
      <c r="G954" s="265"/>
      <c r="H954" s="3020" t="s">
        <v>3010</v>
      </c>
      <c r="I954" s="2982" t="s">
        <v>133</v>
      </c>
      <c r="J954" s="3440" t="s">
        <v>44</v>
      </c>
      <c r="K954" s="3388" t="s">
        <v>3661</v>
      </c>
      <c r="L954" s="2"/>
      <c r="M954" s="11"/>
      <c r="N954" s="11"/>
      <c r="O954" s="11"/>
      <c r="P954" s="520"/>
      <c r="Q954" s="11"/>
    </row>
    <row r="955" spans="1:17" x14ac:dyDescent="0.3">
      <c r="A955" s="3492"/>
      <c r="B955" s="3426">
        <v>15099</v>
      </c>
      <c r="C955" s="2558">
        <v>0.1</v>
      </c>
      <c r="D955" s="3439" t="s">
        <v>3662</v>
      </c>
      <c r="E955" s="3079">
        <v>1800000</v>
      </c>
      <c r="F955" s="2982"/>
      <c r="G955" s="265"/>
      <c r="H955" s="3020" t="s">
        <v>118</v>
      </c>
      <c r="I955" s="2982" t="s">
        <v>133</v>
      </c>
      <c r="J955" s="3440" t="s">
        <v>44</v>
      </c>
      <c r="K955" s="3388"/>
      <c r="L955" s="2"/>
      <c r="M955" s="11"/>
      <c r="N955" s="11"/>
      <c r="O955" s="11"/>
      <c r="P955" s="520"/>
      <c r="Q955" s="11"/>
    </row>
    <row r="956" spans="1:17" x14ac:dyDescent="0.3">
      <c r="A956" s="3492"/>
      <c r="B956" s="3426">
        <v>15066</v>
      </c>
      <c r="C956" s="2558">
        <v>0.1</v>
      </c>
      <c r="D956" s="2233" t="s">
        <v>3663</v>
      </c>
      <c r="E956" s="3079">
        <v>1760000</v>
      </c>
      <c r="F956" s="2982"/>
      <c r="G956" s="265"/>
      <c r="H956" s="3020" t="s">
        <v>1530</v>
      </c>
      <c r="I956" s="50" t="s">
        <v>1282</v>
      </c>
      <c r="J956" s="2982" t="s">
        <v>36</v>
      </c>
      <c r="K956" s="3388"/>
      <c r="L956" s="2"/>
      <c r="M956" s="11"/>
      <c r="N956" s="11"/>
      <c r="O956" s="11"/>
      <c r="P956" s="520"/>
      <c r="Q956" s="11"/>
    </row>
    <row r="957" spans="1:17" x14ac:dyDescent="0.3">
      <c r="A957" s="3492"/>
      <c r="B957" s="3426">
        <v>15080</v>
      </c>
      <c r="C957" s="2558">
        <v>0.1</v>
      </c>
      <c r="D957" s="2233" t="s">
        <v>3664</v>
      </c>
      <c r="E957" s="3079">
        <v>1300000</v>
      </c>
      <c r="F957" s="2982"/>
      <c r="G957" s="265"/>
      <c r="H957" s="3020" t="s">
        <v>1685</v>
      </c>
      <c r="I957" s="50" t="s">
        <v>1282</v>
      </c>
      <c r="J957" s="2982" t="s">
        <v>36</v>
      </c>
      <c r="K957" s="3388"/>
      <c r="L957" s="2"/>
      <c r="M957" s="11"/>
      <c r="N957" s="11"/>
      <c r="O957" s="11"/>
      <c r="P957" s="520"/>
      <c r="Q957" s="11"/>
    </row>
    <row r="958" spans="1:17" x14ac:dyDescent="0.3">
      <c r="A958" s="3492"/>
      <c r="B958" s="3427" t="s">
        <v>3062</v>
      </c>
      <c r="C958" s="3373">
        <v>0.1</v>
      </c>
      <c r="D958" s="3151" t="s">
        <v>3665</v>
      </c>
      <c r="E958" s="3079">
        <v>1300000</v>
      </c>
      <c r="F958" s="2982"/>
      <c r="G958" s="265"/>
      <c r="H958" s="3020" t="s">
        <v>3010</v>
      </c>
      <c r="I958" s="2982" t="s">
        <v>133</v>
      </c>
      <c r="J958" s="2982"/>
      <c r="K958" s="3388" t="s">
        <v>3666</v>
      </c>
      <c r="L958" s="2"/>
      <c r="M958" s="11"/>
      <c r="N958" s="11"/>
      <c r="O958" s="11"/>
      <c r="P958" s="520"/>
      <c r="Q958" s="11"/>
    </row>
    <row r="959" spans="1:17" x14ac:dyDescent="0.3">
      <c r="A959" s="3492"/>
      <c r="B959" s="3427" t="s">
        <v>3062</v>
      </c>
      <c r="C959" s="3373">
        <v>0.1</v>
      </c>
      <c r="D959" s="3151" t="s">
        <v>3667</v>
      </c>
      <c r="E959" s="3079">
        <v>1300000</v>
      </c>
      <c r="F959" s="2982"/>
      <c r="G959" s="265"/>
      <c r="H959" s="3020" t="s">
        <v>118</v>
      </c>
      <c r="I959" s="2982" t="s">
        <v>1282</v>
      </c>
      <c r="J959" s="2982"/>
      <c r="K959" s="3388"/>
      <c r="L959" s="2"/>
      <c r="M959" s="11"/>
      <c r="N959" s="11"/>
      <c r="O959" s="11"/>
      <c r="P959" s="520"/>
      <c r="Q959" s="11"/>
    </row>
    <row r="960" spans="1:17" x14ac:dyDescent="0.3">
      <c r="A960" s="3492"/>
      <c r="B960" s="3427" t="s">
        <v>3062</v>
      </c>
      <c r="C960" s="3373">
        <v>0.1</v>
      </c>
      <c r="D960" s="3151" t="s">
        <v>3668</v>
      </c>
      <c r="E960" s="3079">
        <v>1400000</v>
      </c>
      <c r="F960" s="2982"/>
      <c r="G960" s="265"/>
      <c r="H960" s="3020" t="s">
        <v>3010</v>
      </c>
      <c r="I960" s="2982" t="s">
        <v>133</v>
      </c>
      <c r="J960" s="2982"/>
      <c r="K960" s="3388"/>
      <c r="L960" s="2"/>
      <c r="M960" s="11"/>
      <c r="N960" s="11"/>
      <c r="O960" s="11"/>
      <c r="P960" s="520"/>
      <c r="Q960" s="11"/>
    </row>
    <row r="961" spans="1:17" x14ac:dyDescent="0.3">
      <c r="A961" s="3492"/>
      <c r="B961" s="3427" t="s">
        <v>3062</v>
      </c>
      <c r="C961" s="3373">
        <v>0.1</v>
      </c>
      <c r="D961" s="3151" t="s">
        <v>3669</v>
      </c>
      <c r="E961" s="3079">
        <v>1300000</v>
      </c>
      <c r="F961" s="2982"/>
      <c r="G961" s="265"/>
      <c r="H961" s="3020"/>
      <c r="I961" s="2982" t="s">
        <v>133</v>
      </c>
      <c r="J961" s="2982"/>
      <c r="K961" s="3388"/>
      <c r="L961" s="2"/>
      <c r="M961" s="11"/>
      <c r="N961" s="11"/>
      <c r="O961" s="11"/>
      <c r="P961" s="520"/>
      <c r="Q961" s="11"/>
    </row>
    <row r="962" spans="1:17" x14ac:dyDescent="0.3">
      <c r="A962" s="3492"/>
      <c r="B962" s="3427" t="s">
        <v>3062</v>
      </c>
      <c r="C962" s="3373">
        <v>0.1</v>
      </c>
      <c r="D962" s="3151" t="s">
        <v>3670</v>
      </c>
      <c r="E962" s="3079"/>
      <c r="F962" s="2982"/>
      <c r="G962" s="265"/>
      <c r="H962" s="3020"/>
      <c r="I962" s="2982" t="s">
        <v>1282</v>
      </c>
      <c r="J962" s="2982"/>
      <c r="K962" s="3388"/>
      <c r="L962" s="2"/>
      <c r="M962" s="11"/>
      <c r="N962" s="11"/>
      <c r="O962" s="11"/>
      <c r="P962" s="520"/>
      <c r="Q962" s="11"/>
    </row>
    <row r="963" spans="1:17" x14ac:dyDescent="0.3">
      <c r="A963" s="3492"/>
      <c r="B963" s="3426" t="s">
        <v>3671</v>
      </c>
      <c r="C963" s="2558">
        <v>0.1</v>
      </c>
      <c r="D963" s="2233" t="s">
        <v>3672</v>
      </c>
      <c r="E963" s="3079">
        <v>1300000</v>
      </c>
      <c r="F963" s="2982"/>
      <c r="G963" s="265"/>
      <c r="H963" s="3020" t="s">
        <v>118</v>
      </c>
      <c r="I963" s="2982" t="s">
        <v>1282</v>
      </c>
      <c r="J963" s="2982"/>
      <c r="K963" s="3388"/>
      <c r="L963" s="2"/>
      <c r="M963" s="11"/>
      <c r="N963" s="11"/>
      <c r="O963" s="11"/>
      <c r="P963" s="520"/>
      <c r="Q963" s="11"/>
    </row>
    <row r="964" spans="1:17" x14ac:dyDescent="0.3">
      <c r="A964" s="3492"/>
      <c r="B964" s="3458" t="s">
        <v>3022</v>
      </c>
      <c r="C964" s="3205"/>
      <c r="D964" s="3459" t="s">
        <v>3673</v>
      </c>
      <c r="E964" s="3079"/>
      <c r="F964" s="2982"/>
      <c r="G964" s="265"/>
      <c r="H964" s="3020"/>
      <c r="I964" s="2982"/>
      <c r="J964" s="2982"/>
      <c r="K964" s="3388" t="s">
        <v>3631</v>
      </c>
      <c r="L964" s="2"/>
      <c r="M964" s="11"/>
      <c r="N964" s="11"/>
      <c r="O964" s="11"/>
      <c r="P964" s="520"/>
      <c r="Q964" s="11"/>
    </row>
    <row r="965" spans="1:17" x14ac:dyDescent="0.3">
      <c r="A965" s="3492"/>
      <c r="B965" s="3428" t="s">
        <v>3674</v>
      </c>
      <c r="C965" s="3205"/>
      <c r="D965" s="2888" t="s">
        <v>3675</v>
      </c>
      <c r="E965" s="3079"/>
      <c r="F965" s="2982"/>
      <c r="G965" s="265"/>
      <c r="H965" s="3020"/>
      <c r="I965" s="2982"/>
      <c r="J965" s="2982"/>
      <c r="K965" s="3388"/>
      <c r="L965" s="2"/>
      <c r="M965" s="11"/>
      <c r="N965" s="11"/>
      <c r="O965" s="11"/>
      <c r="P965" s="520"/>
      <c r="Q965" s="11"/>
    </row>
    <row r="966" spans="1:17" x14ac:dyDescent="0.3">
      <c r="A966" s="3492"/>
      <c r="B966" s="3113"/>
      <c r="C966" s="2982"/>
      <c r="D966" s="265"/>
      <c r="E966" s="3079">
        <f>SUM(E950:E965)</f>
        <v>17460000</v>
      </c>
      <c r="F966" s="2982"/>
      <c r="G966" s="265"/>
      <c r="H966" s="3020"/>
      <c r="I966" s="2982"/>
      <c r="J966" s="2982"/>
      <c r="K966" s="265"/>
      <c r="L966" s="2"/>
      <c r="M966" s="11"/>
      <c r="N966" s="11"/>
      <c r="O966" s="11"/>
      <c r="P966" s="520"/>
      <c r="Q966" s="11"/>
    </row>
    <row r="969" spans="1:17" ht="21" x14ac:dyDescent="0.4">
      <c r="A969" s="3493" t="s">
        <v>3676</v>
      </c>
      <c r="B969" s="3493"/>
      <c r="C969" s="3493"/>
      <c r="D969" s="3493"/>
      <c r="E969" s="3493"/>
      <c r="F969" s="3493"/>
      <c r="G969" s="3493"/>
      <c r="H969" s="3493"/>
      <c r="I969" s="3493"/>
      <c r="J969" s="3493"/>
      <c r="K969" s="3493"/>
      <c r="L969" s="3025"/>
      <c r="M969" s="3494" t="s">
        <v>2973</v>
      </c>
      <c r="N969" s="3494"/>
      <c r="O969" s="3494"/>
      <c r="P969" s="3494"/>
      <c r="Q969" s="1313"/>
    </row>
    <row r="970" spans="1:17" x14ac:dyDescent="0.3">
      <c r="A970" s="2898" t="s">
        <v>2974</v>
      </c>
      <c r="B970" s="2843" t="s">
        <v>2975</v>
      </c>
      <c r="C970" s="2898" t="s">
        <v>2976</v>
      </c>
      <c r="D970" s="2898" t="s">
        <v>2977</v>
      </c>
      <c r="E970" s="2979" t="s">
        <v>2978</v>
      </c>
      <c r="F970" s="2898" t="s">
        <v>2979</v>
      </c>
      <c r="G970" s="2980" t="s">
        <v>2980</v>
      </c>
      <c r="H970" s="2843" t="s">
        <v>2981</v>
      </c>
      <c r="I970" s="2981" t="s">
        <v>2982</v>
      </c>
      <c r="J970" s="2898" t="s">
        <v>3503</v>
      </c>
      <c r="K970" s="2898" t="s">
        <v>2983</v>
      </c>
      <c r="L970" s="2898" t="s">
        <v>3504</v>
      </c>
      <c r="M970" s="2898" t="s">
        <v>2975</v>
      </c>
      <c r="N970" s="2898" t="s">
        <v>2977</v>
      </c>
      <c r="O970" s="2898" t="s">
        <v>2984</v>
      </c>
      <c r="P970" s="3308" t="s">
        <v>2979</v>
      </c>
      <c r="Q970" s="2" t="s">
        <v>2985</v>
      </c>
    </row>
    <row r="971" spans="1:17" s="511" customFormat="1" ht="15" customHeight="1" x14ac:dyDescent="0.3">
      <c r="A971" s="3492" t="s">
        <v>3366</v>
      </c>
      <c r="B971" s="3376">
        <v>14893</v>
      </c>
      <c r="C971" s="3000">
        <v>0.1</v>
      </c>
      <c r="D971" s="3087" t="s">
        <v>3677</v>
      </c>
      <c r="E971" s="3384">
        <v>1300000</v>
      </c>
      <c r="F971" s="3379"/>
      <c r="G971" s="3380"/>
      <c r="H971" s="3390" t="s">
        <v>118</v>
      </c>
      <c r="I971" s="2834" t="s">
        <v>1282</v>
      </c>
      <c r="J971" s="2982" t="s">
        <v>36</v>
      </c>
      <c r="K971" s="3381"/>
      <c r="L971" s="2503"/>
      <c r="M971" s="2598"/>
      <c r="N971" s="2503"/>
      <c r="O971" s="2503"/>
      <c r="P971" s="1720"/>
      <c r="Q971" s="51"/>
    </row>
    <row r="972" spans="1:17" ht="15" customHeight="1" x14ac:dyDescent="0.3">
      <c r="A972" s="3492"/>
      <c r="B972" s="121">
        <v>14896</v>
      </c>
      <c r="C972" s="3000">
        <v>0.1</v>
      </c>
      <c r="D972" s="3382" t="s">
        <v>3678</v>
      </c>
      <c r="E972" s="3330">
        <v>1200000</v>
      </c>
      <c r="F972" s="3383"/>
      <c r="G972" s="3251"/>
      <c r="H972" s="3020" t="s">
        <v>1685</v>
      </c>
      <c r="I972" s="2982" t="s">
        <v>1282</v>
      </c>
      <c r="J972" s="2982" t="s">
        <v>36</v>
      </c>
      <c r="K972" s="3251"/>
      <c r="L972" s="2"/>
      <c r="M972" s="11"/>
      <c r="N972" s="11"/>
      <c r="O972" s="11"/>
      <c r="P972" s="520"/>
      <c r="Q972" s="11"/>
    </row>
    <row r="973" spans="1:17" ht="15" customHeight="1" x14ac:dyDescent="0.3">
      <c r="A973" s="3492"/>
      <c r="B973" s="121">
        <v>14956</v>
      </c>
      <c r="C973" s="3000">
        <v>0.1</v>
      </c>
      <c r="D973" s="3382" t="s">
        <v>3679</v>
      </c>
      <c r="E973" s="3330">
        <v>1500000</v>
      </c>
      <c r="F973" s="3383"/>
      <c r="G973" s="3251"/>
      <c r="H973" s="3020" t="s">
        <v>1685</v>
      </c>
      <c r="I973" s="2982" t="s">
        <v>133</v>
      </c>
      <c r="J973" s="2982" t="s">
        <v>36</v>
      </c>
      <c r="K973" s="3251"/>
      <c r="L973" s="2"/>
      <c r="M973" s="11"/>
      <c r="N973" s="11"/>
      <c r="O973" s="11"/>
      <c r="P973" s="520"/>
      <c r="Q973" s="11"/>
    </row>
    <row r="974" spans="1:17" ht="15" customHeight="1" x14ac:dyDescent="0.3">
      <c r="A974" s="3492"/>
      <c r="B974" s="121">
        <v>14985</v>
      </c>
      <c r="C974" s="3000">
        <v>0.1</v>
      </c>
      <c r="D974" s="3382" t="s">
        <v>3680</v>
      </c>
      <c r="E974" s="3139">
        <v>1700000</v>
      </c>
      <c r="F974" s="3383"/>
      <c r="G974" s="3251"/>
      <c r="H974" s="3020" t="s">
        <v>2993</v>
      </c>
      <c r="I974" s="2982" t="s">
        <v>133</v>
      </c>
      <c r="J974" s="2982" t="s">
        <v>36</v>
      </c>
      <c r="K974" s="3251"/>
      <c r="L974" s="2"/>
      <c r="M974" s="11"/>
      <c r="N974" s="11"/>
      <c r="O974" s="11"/>
      <c r="P974" s="520"/>
      <c r="Q974" s="11"/>
    </row>
    <row r="975" spans="1:17" ht="15" customHeight="1" x14ac:dyDescent="0.3">
      <c r="A975" s="3492"/>
      <c r="B975" s="121">
        <v>15027</v>
      </c>
      <c r="C975" s="3000">
        <v>0.1</v>
      </c>
      <c r="D975" s="3382" t="s">
        <v>3681</v>
      </c>
      <c r="E975" s="3139">
        <v>1400000</v>
      </c>
      <c r="F975" s="3383"/>
      <c r="G975" s="3251"/>
      <c r="H975" s="3020" t="s">
        <v>1530</v>
      </c>
      <c r="I975" s="2982" t="s">
        <v>1282</v>
      </c>
      <c r="J975" s="2982" t="s">
        <v>36</v>
      </c>
      <c r="K975" s="3251"/>
      <c r="L975" s="2"/>
      <c r="M975" s="11"/>
      <c r="N975" s="11"/>
      <c r="O975" s="11"/>
      <c r="P975" s="520"/>
      <c r="Q975" s="11"/>
    </row>
    <row r="976" spans="1:17" ht="15" customHeight="1" x14ac:dyDescent="0.3">
      <c r="A976" s="3492"/>
      <c r="B976" s="121">
        <v>15048</v>
      </c>
      <c r="C976" s="3000">
        <v>0.1</v>
      </c>
      <c r="D976" s="3382" t="s">
        <v>3682</v>
      </c>
      <c r="E976" s="3139">
        <v>1500000</v>
      </c>
      <c r="F976" s="3383"/>
      <c r="G976" s="3251"/>
      <c r="H976" s="3020" t="s">
        <v>3620</v>
      </c>
      <c r="I976" s="2982" t="s">
        <v>133</v>
      </c>
      <c r="J976" s="3440" t="s">
        <v>44</v>
      </c>
      <c r="K976" s="3251" t="s">
        <v>3683</v>
      </c>
      <c r="L976" s="2"/>
      <c r="M976" s="11"/>
      <c r="N976" s="11"/>
      <c r="O976" s="11"/>
      <c r="P976" s="520"/>
      <c r="Q976" s="11"/>
    </row>
    <row r="977" spans="1:17" ht="15" customHeight="1" x14ac:dyDescent="0.3">
      <c r="A977" s="3492"/>
      <c r="B977" s="121">
        <v>15085</v>
      </c>
      <c r="C977" s="3000">
        <v>0.1</v>
      </c>
      <c r="D977" s="3382" t="s">
        <v>3684</v>
      </c>
      <c r="E977" s="3139">
        <v>1450000</v>
      </c>
      <c r="F977" s="3383"/>
      <c r="G977" s="3251"/>
      <c r="H977" s="3020" t="s">
        <v>3620</v>
      </c>
      <c r="I977" s="2982" t="s">
        <v>1282</v>
      </c>
      <c r="J977" s="3440" t="s">
        <v>44</v>
      </c>
      <c r="K977" s="3251" t="s">
        <v>3685</v>
      </c>
      <c r="L977" s="2"/>
      <c r="M977" s="11"/>
      <c r="N977" s="11"/>
      <c r="O977" s="11"/>
      <c r="P977" s="520"/>
      <c r="Q977" s="11"/>
    </row>
    <row r="978" spans="1:17" ht="15" customHeight="1" x14ac:dyDescent="0.3">
      <c r="A978" s="3492"/>
      <c r="B978" s="121">
        <v>15095</v>
      </c>
      <c r="C978" s="3000">
        <v>0.1</v>
      </c>
      <c r="D978" s="3382" t="s">
        <v>3686</v>
      </c>
      <c r="E978" s="3139">
        <v>1250000</v>
      </c>
      <c r="F978" s="3383"/>
      <c r="G978" s="3251"/>
      <c r="H978" s="3020" t="s">
        <v>3010</v>
      </c>
      <c r="I978" s="2982" t="s">
        <v>133</v>
      </c>
      <c r="J978" s="3440" t="s">
        <v>44</v>
      </c>
      <c r="K978" s="3251" t="s">
        <v>3687</v>
      </c>
      <c r="L978" s="2"/>
      <c r="M978" s="11"/>
      <c r="N978" s="11"/>
      <c r="O978" s="11"/>
      <c r="P978" s="520"/>
      <c r="Q978" s="11"/>
    </row>
    <row r="979" spans="1:17" ht="15" customHeight="1" x14ac:dyDescent="0.3">
      <c r="A979" s="3492"/>
      <c r="B979" s="121">
        <v>15104</v>
      </c>
      <c r="C979" s="3000">
        <v>0.1</v>
      </c>
      <c r="D979" s="3382" t="s">
        <v>3688</v>
      </c>
      <c r="E979" s="3139">
        <v>1800000</v>
      </c>
      <c r="F979" s="3383"/>
      <c r="G979" s="3251"/>
      <c r="H979" s="3020" t="s">
        <v>3620</v>
      </c>
      <c r="I979" s="2982" t="s">
        <v>1282</v>
      </c>
      <c r="J979" s="2982"/>
      <c r="K979" s="3251" t="s">
        <v>3689</v>
      </c>
      <c r="L979" s="2"/>
      <c r="M979" s="11"/>
      <c r="N979" s="11"/>
      <c r="O979" s="11"/>
      <c r="P979" s="520"/>
      <c r="Q979" s="11"/>
    </row>
    <row r="980" spans="1:17" ht="15" customHeight="1" x14ac:dyDescent="0.3">
      <c r="A980" s="3492"/>
      <c r="B980" s="3386" t="s">
        <v>3062</v>
      </c>
      <c r="C980" s="3434">
        <v>0.1</v>
      </c>
      <c r="D980" s="3420" t="s">
        <v>3690</v>
      </c>
      <c r="E980" s="3139">
        <v>1000000</v>
      </c>
      <c r="F980" s="3383"/>
      <c r="G980" s="3251"/>
      <c r="H980" s="3020" t="s">
        <v>3620</v>
      </c>
      <c r="I980" s="2982" t="s">
        <v>133</v>
      </c>
      <c r="J980" s="2982"/>
      <c r="K980" s="3251"/>
      <c r="L980" s="2"/>
      <c r="M980" s="11"/>
      <c r="N980" s="11"/>
      <c r="O980" s="11"/>
      <c r="P980" s="520"/>
      <c r="Q980" s="11"/>
    </row>
    <row r="981" spans="1:17" ht="15" customHeight="1" x14ac:dyDescent="0.3">
      <c r="A981" s="3492"/>
      <c r="B981" s="1030" t="s">
        <v>3022</v>
      </c>
      <c r="C981" s="3435"/>
      <c r="D981" s="3431" t="s">
        <v>3691</v>
      </c>
      <c r="E981" s="3139"/>
      <c r="F981" s="3383"/>
      <c r="G981" s="3251"/>
      <c r="H981" s="3020"/>
      <c r="I981" s="2982"/>
      <c r="J981" s="2982"/>
      <c r="K981" s="3251"/>
      <c r="L981" s="2"/>
      <c r="M981" s="11"/>
      <c r="N981" s="11"/>
      <c r="O981" s="11"/>
      <c r="P981" s="520"/>
      <c r="Q981" s="11"/>
    </row>
    <row r="982" spans="1:17" ht="15" customHeight="1" x14ac:dyDescent="0.3">
      <c r="A982" s="3492"/>
      <c r="B982" s="1030" t="s">
        <v>3022</v>
      </c>
      <c r="C982" s="3424"/>
      <c r="D982" s="3425" t="s">
        <v>3684</v>
      </c>
      <c r="E982" s="3139"/>
      <c r="F982" s="3383"/>
      <c r="G982" s="3251"/>
      <c r="H982" s="3020"/>
      <c r="I982" s="2982"/>
      <c r="J982" s="2982"/>
      <c r="K982" s="3251"/>
      <c r="L982" s="2"/>
      <c r="M982" s="11"/>
      <c r="N982" s="11"/>
      <c r="O982" s="11"/>
      <c r="P982" s="520"/>
      <c r="Q982" s="11"/>
    </row>
    <row r="983" spans="1:17" ht="15" customHeight="1" x14ac:dyDescent="0.3">
      <c r="A983" s="3492"/>
      <c r="B983" s="1030" t="s">
        <v>3022</v>
      </c>
      <c r="C983" s="1030"/>
      <c r="D983" s="3431" t="s">
        <v>3692</v>
      </c>
      <c r="E983" s="3139"/>
      <c r="F983" s="3383"/>
      <c r="G983" s="3251"/>
      <c r="H983" s="3020"/>
      <c r="I983" s="2982"/>
      <c r="J983" s="2982"/>
      <c r="K983" s="3251"/>
      <c r="L983" s="2"/>
      <c r="M983" s="11"/>
      <c r="N983" s="11"/>
      <c r="O983" s="11"/>
      <c r="P983" s="520"/>
      <c r="Q983" s="11"/>
    </row>
    <row r="984" spans="1:17" ht="15" customHeight="1" x14ac:dyDescent="0.3">
      <c r="A984" s="3492"/>
      <c r="B984" s="1030" t="s">
        <v>3022</v>
      </c>
      <c r="C984" s="3435"/>
      <c r="D984" s="3431" t="s">
        <v>3693</v>
      </c>
      <c r="E984" s="3251"/>
      <c r="F984" s="3383"/>
      <c r="G984" s="3251"/>
      <c r="H984" s="3020"/>
      <c r="I984" s="2982"/>
      <c r="J984" s="3251"/>
      <c r="K984" s="3251"/>
      <c r="L984" s="2"/>
      <c r="M984" s="11"/>
      <c r="N984" s="11"/>
      <c r="O984" s="11"/>
      <c r="P984" s="520"/>
      <c r="Q984" s="11"/>
    </row>
    <row r="985" spans="1:17" ht="15" customHeight="1" x14ac:dyDescent="0.3">
      <c r="A985" s="3492"/>
      <c r="B985" s="3020"/>
      <c r="C985" s="2982"/>
      <c r="D985" s="3251"/>
      <c r="E985" s="1549">
        <f>SUM(E971:E984)</f>
        <v>14100000</v>
      </c>
      <c r="F985" s="3251"/>
      <c r="G985" s="3251"/>
      <c r="H985" s="3020"/>
      <c r="I985" s="2982"/>
      <c r="J985" s="3251"/>
      <c r="K985" s="3251"/>
      <c r="L985" s="2"/>
      <c r="M985" s="11"/>
      <c r="N985" s="11"/>
      <c r="O985" s="11"/>
      <c r="P985" s="520"/>
      <c r="Q985" s="11"/>
    </row>
    <row r="989" spans="1:17" ht="21" x14ac:dyDescent="0.4">
      <c r="A989" s="3493" t="s">
        <v>3694</v>
      </c>
      <c r="B989" s="3493"/>
      <c r="C989" s="3493"/>
      <c r="D989" s="3493"/>
      <c r="E989" s="3493"/>
      <c r="F989" s="3493"/>
      <c r="G989" s="3493"/>
      <c r="H989" s="3493"/>
      <c r="I989" s="3493"/>
      <c r="J989" s="3493"/>
      <c r="K989" s="3493"/>
      <c r="L989" s="3025"/>
      <c r="M989" s="3494" t="s">
        <v>2973</v>
      </c>
      <c r="N989" s="3494"/>
      <c r="O989" s="3494"/>
      <c r="P989" s="3494"/>
      <c r="Q989" s="1313"/>
    </row>
    <row r="990" spans="1:17" x14ac:dyDescent="0.3">
      <c r="A990" s="2898" t="s">
        <v>2974</v>
      </c>
      <c r="B990" s="2843" t="s">
        <v>2975</v>
      </c>
      <c r="C990" s="2898" t="s">
        <v>2976</v>
      </c>
      <c r="D990" s="2898" t="s">
        <v>2977</v>
      </c>
      <c r="E990" s="2979" t="s">
        <v>2978</v>
      </c>
      <c r="F990" s="2898" t="s">
        <v>2979</v>
      </c>
      <c r="G990" s="2980" t="s">
        <v>2980</v>
      </c>
      <c r="H990" s="2843" t="s">
        <v>2981</v>
      </c>
      <c r="I990" s="2981" t="s">
        <v>2982</v>
      </c>
      <c r="J990" s="2898" t="s">
        <v>3503</v>
      </c>
      <c r="K990" s="2898" t="s">
        <v>2983</v>
      </c>
      <c r="L990" s="2898" t="s">
        <v>3504</v>
      </c>
      <c r="M990" s="2898" t="s">
        <v>2975</v>
      </c>
      <c r="N990" s="2898" t="s">
        <v>2977</v>
      </c>
      <c r="O990" s="2898" t="s">
        <v>2984</v>
      </c>
      <c r="P990" s="3308" t="s">
        <v>2979</v>
      </c>
      <c r="Q990" s="2" t="s">
        <v>2985</v>
      </c>
    </row>
    <row r="991" spans="1:17" s="511" customFormat="1" x14ac:dyDescent="0.3">
      <c r="A991" s="3613" t="s">
        <v>3366</v>
      </c>
      <c r="B991" s="3376">
        <v>14891</v>
      </c>
      <c r="C991" s="3000">
        <v>0.1</v>
      </c>
      <c r="D991" s="3087" t="s">
        <v>1621</v>
      </c>
      <c r="E991" s="3330">
        <v>1150000</v>
      </c>
      <c r="F991" s="2764"/>
      <c r="G991" s="3377"/>
      <c r="H991" s="2644" t="s">
        <v>118</v>
      </c>
      <c r="I991" s="2834" t="s">
        <v>1282</v>
      </c>
      <c r="J991" s="2982" t="s">
        <v>36</v>
      </c>
      <c r="K991" s="2834"/>
      <c r="L991" s="2764"/>
      <c r="M991" s="2598"/>
      <c r="N991" s="2503"/>
      <c r="O991" s="2503"/>
      <c r="P991" s="1720"/>
      <c r="Q991" s="51"/>
    </row>
    <row r="992" spans="1:17" ht="15" customHeight="1" x14ac:dyDescent="0.3">
      <c r="A992" s="3614"/>
      <c r="B992" s="2544">
        <v>14894</v>
      </c>
      <c r="C992" s="2596">
        <v>0.1</v>
      </c>
      <c r="D992" s="3107" t="s">
        <v>3695</v>
      </c>
      <c r="E992" s="3322">
        <v>950000</v>
      </c>
      <c r="F992" s="2982"/>
      <c r="G992" s="265"/>
      <c r="H992" s="2644" t="s">
        <v>118</v>
      </c>
      <c r="I992" s="2644" t="s">
        <v>1282</v>
      </c>
      <c r="J992" s="2982" t="s">
        <v>36</v>
      </c>
      <c r="K992" s="3108"/>
      <c r="L992" s="2982"/>
      <c r="M992" s="117"/>
      <c r="N992" s="11"/>
      <c r="O992" s="11"/>
      <c r="P992" s="520"/>
      <c r="Q992" s="11"/>
    </row>
    <row r="993" spans="1:17" ht="15" customHeight="1" x14ac:dyDescent="0.3">
      <c r="A993" s="3614"/>
      <c r="B993" s="2544">
        <v>14895</v>
      </c>
      <c r="C993" s="2596">
        <v>0.1</v>
      </c>
      <c r="D993" s="3107" t="s">
        <v>3696</v>
      </c>
      <c r="E993" s="3322">
        <v>900000</v>
      </c>
      <c r="F993" s="2982"/>
      <c r="G993" s="265"/>
      <c r="H993" s="2644" t="s">
        <v>105</v>
      </c>
      <c r="I993" s="2644" t="s">
        <v>1282</v>
      </c>
      <c r="J993" s="2982" t="s">
        <v>36</v>
      </c>
      <c r="K993" s="3108"/>
      <c r="L993" s="2982"/>
      <c r="M993" s="117"/>
      <c r="N993" s="11"/>
      <c r="O993" s="11"/>
      <c r="P993" s="520"/>
      <c r="Q993" s="11"/>
    </row>
    <row r="994" spans="1:17" ht="15" customHeight="1" x14ac:dyDescent="0.3">
      <c r="A994" s="3614"/>
      <c r="B994" s="2544">
        <v>14929</v>
      </c>
      <c r="C994" s="2596">
        <v>0.1</v>
      </c>
      <c r="D994" s="3107" t="s">
        <v>3697</v>
      </c>
      <c r="E994" s="3322">
        <v>1550000</v>
      </c>
      <c r="F994" s="2982"/>
      <c r="G994" s="265"/>
      <c r="H994" s="2644" t="s">
        <v>2993</v>
      </c>
      <c r="I994" s="2644" t="s">
        <v>1282</v>
      </c>
      <c r="J994" s="2982" t="s">
        <v>36</v>
      </c>
      <c r="K994" s="3108"/>
      <c r="L994" s="2982"/>
      <c r="M994" s="117"/>
      <c r="N994" s="11"/>
      <c r="O994" s="11"/>
      <c r="P994" s="520"/>
      <c r="Q994" s="11"/>
    </row>
    <row r="995" spans="1:17" ht="15" customHeight="1" x14ac:dyDescent="0.3">
      <c r="A995" s="3614"/>
      <c r="B995" s="2544">
        <v>14916</v>
      </c>
      <c r="C995" s="2596">
        <v>0.1</v>
      </c>
      <c r="D995" s="3107" t="s">
        <v>3698</v>
      </c>
      <c r="E995" s="3322">
        <v>1250000</v>
      </c>
      <c r="F995" s="3081"/>
      <c r="G995" s="265"/>
      <c r="H995" s="2644" t="s">
        <v>1685</v>
      </c>
      <c r="I995" s="2644" t="s">
        <v>1282</v>
      </c>
      <c r="J995" s="2982" t="s">
        <v>36</v>
      </c>
      <c r="K995" s="2982"/>
      <c r="L995" s="2982"/>
      <c r="M995" s="117"/>
      <c r="N995" s="11"/>
      <c r="O995" s="11"/>
      <c r="P995" s="520"/>
      <c r="Q995" s="11"/>
    </row>
    <row r="996" spans="1:17" ht="15" customHeight="1" x14ac:dyDescent="0.3">
      <c r="A996" s="3614"/>
      <c r="B996" s="2544">
        <v>14936</v>
      </c>
      <c r="C996" s="2596">
        <v>0.1</v>
      </c>
      <c r="D996" s="3107" t="s">
        <v>3699</v>
      </c>
      <c r="E996" s="3322">
        <v>1450000</v>
      </c>
      <c r="F996" s="2982"/>
      <c r="G996" s="265"/>
      <c r="H996" s="2644" t="s">
        <v>1685</v>
      </c>
      <c r="I996" s="2644" t="s">
        <v>133</v>
      </c>
      <c r="J996" s="2982" t="s">
        <v>36</v>
      </c>
      <c r="K996" s="2250"/>
      <c r="L996" s="2982"/>
      <c r="M996" s="117"/>
      <c r="N996" s="11"/>
      <c r="O996" s="11"/>
      <c r="P996" s="520"/>
      <c r="Q996" s="11"/>
    </row>
    <row r="997" spans="1:17" ht="15" customHeight="1" x14ac:dyDescent="0.3">
      <c r="A997" s="3614"/>
      <c r="B997" s="2544">
        <v>14963</v>
      </c>
      <c r="C997" s="2596">
        <v>0.1</v>
      </c>
      <c r="D997" s="3432" t="s">
        <v>3700</v>
      </c>
      <c r="E997" s="3322">
        <v>1150000</v>
      </c>
      <c r="F997" s="3081"/>
      <c r="G997" s="265"/>
      <c r="H997" s="2644" t="s">
        <v>118</v>
      </c>
      <c r="I997" s="2644" t="s">
        <v>133</v>
      </c>
      <c r="J997" s="2982" t="s">
        <v>36</v>
      </c>
      <c r="K997" s="3206"/>
      <c r="L997" s="2982"/>
      <c r="M997" s="117"/>
      <c r="N997" s="11"/>
      <c r="O997" s="11"/>
      <c r="P997" s="520"/>
      <c r="Q997" s="11"/>
    </row>
    <row r="998" spans="1:17" ht="15" customHeight="1" x14ac:dyDescent="0.3">
      <c r="A998" s="3614"/>
      <c r="B998" s="2544">
        <v>14977</v>
      </c>
      <c r="C998" s="2596">
        <v>0.1</v>
      </c>
      <c r="D998" s="3107" t="s">
        <v>3701</v>
      </c>
      <c r="E998" s="3322">
        <v>1200000</v>
      </c>
      <c r="F998" s="3081"/>
      <c r="G998" s="265"/>
      <c r="H998" s="2644" t="s">
        <v>118</v>
      </c>
      <c r="I998" s="2644" t="s">
        <v>133</v>
      </c>
      <c r="J998" s="2982" t="s">
        <v>36</v>
      </c>
      <c r="K998" s="3206"/>
      <c r="L998" s="2982"/>
      <c r="M998" s="117"/>
      <c r="N998" s="11"/>
      <c r="O998" s="11"/>
      <c r="P998" s="520"/>
      <c r="Q998" s="11"/>
    </row>
    <row r="999" spans="1:17" ht="15" customHeight="1" x14ac:dyDescent="0.3">
      <c r="A999" s="3614"/>
      <c r="B999" s="2544">
        <v>14970</v>
      </c>
      <c r="C999" s="2596">
        <v>0.1</v>
      </c>
      <c r="D999" s="3107" t="s">
        <v>3702</v>
      </c>
      <c r="E999" s="3322">
        <v>2400000</v>
      </c>
      <c r="F999" s="3081"/>
      <c r="G999" s="265"/>
      <c r="H999" s="2644" t="s">
        <v>1530</v>
      </c>
      <c r="I999" s="2644" t="s">
        <v>133</v>
      </c>
      <c r="J999" s="2982" t="s">
        <v>36</v>
      </c>
      <c r="K999" s="3206"/>
      <c r="L999" s="2982"/>
      <c r="M999" s="117"/>
      <c r="N999" s="11"/>
      <c r="O999" s="11"/>
      <c r="P999" s="520"/>
      <c r="Q999" s="11"/>
    </row>
    <row r="1000" spans="1:17" ht="15" customHeight="1" x14ac:dyDescent="0.3">
      <c r="A1000" s="3614"/>
      <c r="B1000" s="2544">
        <v>14987</v>
      </c>
      <c r="C1000" s="2596">
        <v>0.1</v>
      </c>
      <c r="D1000" s="3107" t="s">
        <v>3645</v>
      </c>
      <c r="E1000" s="3322">
        <v>1400000</v>
      </c>
      <c r="F1000" s="2982"/>
      <c r="G1000" s="265"/>
      <c r="H1000" s="2644" t="s">
        <v>118</v>
      </c>
      <c r="I1000" s="2644" t="s">
        <v>1282</v>
      </c>
      <c r="J1000" s="2982" t="s">
        <v>36</v>
      </c>
      <c r="K1000" s="2250"/>
      <c r="L1000" s="2982"/>
      <c r="M1000" s="117"/>
      <c r="N1000" s="11"/>
      <c r="O1000" s="11"/>
      <c r="P1000" s="520"/>
      <c r="Q1000" s="11"/>
    </row>
    <row r="1001" spans="1:17" ht="15" customHeight="1" x14ac:dyDescent="0.3">
      <c r="A1001" s="3614"/>
      <c r="B1001" s="2544">
        <v>14986</v>
      </c>
      <c r="C1001" s="2596">
        <v>0.1</v>
      </c>
      <c r="D1001" s="3107" t="s">
        <v>3703</v>
      </c>
      <c r="E1001" s="3322">
        <v>1710000</v>
      </c>
      <c r="F1001" s="2982"/>
      <c r="G1001" s="265"/>
      <c r="H1001" s="2644" t="s">
        <v>1685</v>
      </c>
      <c r="I1001" s="2644" t="s">
        <v>1282</v>
      </c>
      <c r="J1001" s="2982" t="s">
        <v>36</v>
      </c>
      <c r="K1001" s="2250"/>
      <c r="L1001" s="2982"/>
      <c r="M1001" s="117"/>
      <c r="N1001" s="11"/>
      <c r="O1001" s="11"/>
      <c r="P1001" s="520"/>
      <c r="Q1001" s="11"/>
    </row>
    <row r="1002" spans="1:17" ht="15" customHeight="1" x14ac:dyDescent="0.3">
      <c r="A1002" s="3614"/>
      <c r="B1002" s="2544">
        <v>15045</v>
      </c>
      <c r="C1002" s="2596">
        <v>0.1</v>
      </c>
      <c r="D1002" s="3107" t="s">
        <v>3704</v>
      </c>
      <c r="E1002" s="3322">
        <v>1550000</v>
      </c>
      <c r="F1002" s="2982"/>
      <c r="G1002" s="265"/>
      <c r="H1002" s="2644" t="s">
        <v>3620</v>
      </c>
      <c r="I1002" s="2644" t="s">
        <v>133</v>
      </c>
      <c r="J1002" s="3440" t="s">
        <v>44</v>
      </c>
      <c r="K1002" s="2250" t="s">
        <v>3705</v>
      </c>
      <c r="L1002" s="2982"/>
      <c r="M1002" s="117"/>
      <c r="N1002" s="11"/>
      <c r="O1002" s="11"/>
      <c r="P1002" s="520"/>
      <c r="Q1002" s="11"/>
    </row>
    <row r="1003" spans="1:17" ht="15" customHeight="1" x14ac:dyDescent="0.3">
      <c r="A1003" s="3614"/>
      <c r="B1003" s="2544">
        <v>15094</v>
      </c>
      <c r="C1003" s="2596">
        <v>0.1</v>
      </c>
      <c r="D1003" s="3432" t="s">
        <v>3706</v>
      </c>
      <c r="E1003" s="3322">
        <v>1650000</v>
      </c>
      <c r="F1003" s="2982"/>
      <c r="G1003" s="265"/>
      <c r="H1003" s="2644" t="s">
        <v>118</v>
      </c>
      <c r="I1003" s="2644" t="s">
        <v>133</v>
      </c>
      <c r="J1003" s="3440" t="s">
        <v>44</v>
      </c>
      <c r="K1003" s="2250" t="s">
        <v>3707</v>
      </c>
      <c r="L1003" s="2982"/>
      <c r="M1003" s="117"/>
      <c r="N1003" s="11"/>
      <c r="O1003" s="11"/>
      <c r="P1003" s="520"/>
      <c r="Q1003" s="11"/>
    </row>
    <row r="1004" spans="1:17" ht="15" customHeight="1" x14ac:dyDescent="0.3">
      <c r="A1004" s="3614"/>
      <c r="B1004" s="2544">
        <v>15063</v>
      </c>
      <c r="C1004" s="2596">
        <v>0.1</v>
      </c>
      <c r="D1004" s="3107" t="s">
        <v>3708</v>
      </c>
      <c r="E1004" s="3322">
        <v>1300000</v>
      </c>
      <c r="F1004" s="2982"/>
      <c r="G1004" s="265"/>
      <c r="H1004" s="2644" t="s">
        <v>118</v>
      </c>
      <c r="I1004" s="2644" t="s">
        <v>133</v>
      </c>
      <c r="J1004" s="3440" t="s">
        <v>44</v>
      </c>
      <c r="K1004" s="2250"/>
      <c r="L1004" s="2982"/>
      <c r="M1004" s="117"/>
      <c r="N1004" s="11"/>
      <c r="O1004" s="11"/>
      <c r="P1004" s="520"/>
      <c r="Q1004" s="11"/>
    </row>
    <row r="1005" spans="1:17" ht="15" customHeight="1" x14ac:dyDescent="0.3">
      <c r="A1005" s="3614"/>
      <c r="B1005" s="2544">
        <v>15061</v>
      </c>
      <c r="C1005" s="2596">
        <v>0.1</v>
      </c>
      <c r="D1005" s="3107" t="s">
        <v>3709</v>
      </c>
      <c r="E1005" s="3322">
        <v>1300000</v>
      </c>
      <c r="F1005" s="2982"/>
      <c r="G1005" s="265"/>
      <c r="H1005" s="2644" t="s">
        <v>1685</v>
      </c>
      <c r="I1005" s="2644" t="s">
        <v>133</v>
      </c>
      <c r="J1005" s="2982" t="s">
        <v>36</v>
      </c>
      <c r="K1005" s="2250"/>
      <c r="L1005" s="2982"/>
      <c r="M1005" s="117"/>
      <c r="N1005" s="11"/>
      <c r="O1005" s="11"/>
      <c r="P1005" s="520"/>
      <c r="Q1005" s="11"/>
    </row>
    <row r="1006" spans="1:17" ht="15" customHeight="1" x14ac:dyDescent="0.3">
      <c r="A1006" s="3614"/>
      <c r="B1006" s="2544" t="s">
        <v>3671</v>
      </c>
      <c r="C1006" s="2596">
        <v>0.1</v>
      </c>
      <c r="D1006" s="3107" t="s">
        <v>3710</v>
      </c>
      <c r="E1006" s="3322">
        <v>1300000</v>
      </c>
      <c r="F1006" s="2982"/>
      <c r="G1006" s="265"/>
      <c r="H1006" s="2644" t="s">
        <v>1530</v>
      </c>
      <c r="I1006" s="2644" t="s">
        <v>133</v>
      </c>
      <c r="J1006" s="2982"/>
      <c r="K1006" s="2250" t="s">
        <v>3711</v>
      </c>
      <c r="L1006" s="2982"/>
      <c r="M1006" s="117"/>
      <c r="N1006" s="11"/>
      <c r="O1006" s="11"/>
      <c r="P1006" s="520"/>
      <c r="Q1006" s="11"/>
    </row>
    <row r="1007" spans="1:17" ht="15" customHeight="1" x14ac:dyDescent="0.3">
      <c r="A1007" s="3614"/>
      <c r="B1007" s="2544" t="s">
        <v>3671</v>
      </c>
      <c r="C1007" s="2596">
        <v>0.1</v>
      </c>
      <c r="D1007" s="3432" t="s">
        <v>3712</v>
      </c>
      <c r="E1007" s="3322">
        <v>1600000</v>
      </c>
      <c r="F1007" s="2982"/>
      <c r="G1007" s="265"/>
      <c r="H1007" s="2644" t="s">
        <v>1530</v>
      </c>
      <c r="I1007" s="2644" t="s">
        <v>1282</v>
      </c>
      <c r="J1007" s="2982"/>
      <c r="K1007" s="2250"/>
      <c r="L1007" s="2982"/>
      <c r="M1007" s="117"/>
      <c r="N1007" s="11"/>
      <c r="O1007" s="11"/>
      <c r="P1007" s="520"/>
      <c r="Q1007" s="11"/>
    </row>
    <row r="1008" spans="1:17" ht="15" customHeight="1" x14ac:dyDescent="0.3">
      <c r="A1008" s="3614"/>
      <c r="B1008" s="2908" t="s">
        <v>3062</v>
      </c>
      <c r="C1008" s="2513">
        <v>0.1</v>
      </c>
      <c r="D1008" s="3449" t="s">
        <v>3713</v>
      </c>
      <c r="E1008" s="3322"/>
      <c r="F1008" s="2982"/>
      <c r="G1008" s="265"/>
      <c r="H1008" s="2644"/>
      <c r="I1008" s="2644"/>
      <c r="J1008" s="2982"/>
      <c r="K1008" s="2250"/>
      <c r="L1008" s="2982"/>
      <c r="M1008" s="117"/>
      <c r="N1008" s="11"/>
      <c r="O1008" s="11"/>
      <c r="P1008" s="520"/>
      <c r="Q1008" s="11"/>
    </row>
    <row r="1009" spans="1:17" ht="15" customHeight="1" x14ac:dyDescent="0.3">
      <c r="A1009" s="3614"/>
      <c r="B1009" s="2908" t="s">
        <v>3714</v>
      </c>
      <c r="C1009" s="2513">
        <v>0.1</v>
      </c>
      <c r="D1009" s="3111" t="s">
        <v>3715</v>
      </c>
      <c r="E1009" s="3322"/>
      <c r="F1009" s="2982"/>
      <c r="G1009" s="265"/>
      <c r="H1009" s="2644"/>
      <c r="I1009" s="2644"/>
      <c r="J1009" s="2764"/>
      <c r="K1009" s="3103"/>
      <c r="L1009" s="2764"/>
      <c r="M1009" s="117"/>
      <c r="N1009" s="11"/>
      <c r="O1009" s="11"/>
      <c r="P1009" s="520"/>
      <c r="Q1009" s="11"/>
    </row>
    <row r="1010" spans="1:17" ht="15" customHeight="1" x14ac:dyDescent="0.3">
      <c r="A1010" s="3614"/>
      <c r="B1010" s="2908" t="s">
        <v>3062</v>
      </c>
      <c r="C1010" s="2513">
        <v>0.1</v>
      </c>
      <c r="D1010" s="3111" t="s">
        <v>3716</v>
      </c>
      <c r="E1010" s="3322"/>
      <c r="F1010" s="2982"/>
      <c r="G1010" s="265"/>
      <c r="H1010" s="2644"/>
      <c r="I1010" s="2644"/>
      <c r="J1010" s="2982"/>
      <c r="K1010" s="2250" t="s">
        <v>3717</v>
      </c>
      <c r="L1010" s="2982"/>
      <c r="M1010" s="117"/>
      <c r="N1010" s="11"/>
      <c r="O1010" s="11"/>
      <c r="P1010" s="520"/>
      <c r="Q1010" s="11"/>
    </row>
    <row r="1011" spans="1:17" ht="15" customHeight="1" x14ac:dyDescent="0.3">
      <c r="A1011" s="3614"/>
      <c r="B1011" s="2908" t="s">
        <v>3062</v>
      </c>
      <c r="C1011" s="2513">
        <v>0.1</v>
      </c>
      <c r="D1011" s="3111" t="s">
        <v>3718</v>
      </c>
      <c r="E1011" s="3322"/>
      <c r="F1011" s="2982"/>
      <c r="G1011" s="265"/>
      <c r="H1011" s="2644"/>
      <c r="I1011" s="2644"/>
      <c r="J1011" s="2982"/>
      <c r="K1011" s="2250" t="s">
        <v>3165</v>
      </c>
      <c r="L1011" s="2982"/>
      <c r="M1011" s="117"/>
      <c r="N1011" s="11"/>
      <c r="O1011" s="11"/>
      <c r="P1011" s="520"/>
      <c r="Q1011" s="11"/>
    </row>
    <row r="1012" spans="1:17" x14ac:dyDescent="0.3">
      <c r="A1012" s="3615"/>
      <c r="B1012" s="3020"/>
      <c r="C1012" s="2982"/>
      <c r="D1012" s="265"/>
      <c r="E1012" s="3139">
        <f>SUM(E991:E1007)</f>
        <v>23810000</v>
      </c>
      <c r="F1012" s="2982"/>
      <c r="G1012" s="265"/>
      <c r="H1012" s="3020"/>
      <c r="I1012" s="2982"/>
      <c r="J1012" s="2982"/>
      <c r="K1012" s="265"/>
      <c r="L1012" s="2982"/>
      <c r="M1012" s="11"/>
      <c r="N1012" s="11"/>
      <c r="O1012" s="11"/>
      <c r="P1012" s="520"/>
      <c r="Q1012" s="11"/>
    </row>
    <row r="1016" spans="1:17" ht="21" x14ac:dyDescent="0.4">
      <c r="A1016" s="3493" t="s">
        <v>3719</v>
      </c>
      <c r="B1016" s="3493"/>
      <c r="C1016" s="3493"/>
      <c r="D1016" s="3493"/>
      <c r="E1016" s="3493"/>
      <c r="F1016" s="3493"/>
      <c r="G1016" s="3493"/>
      <c r="H1016" s="3493"/>
      <c r="I1016" s="3493"/>
      <c r="J1016" s="3493"/>
      <c r="K1016" s="3493"/>
      <c r="L1016" s="3025"/>
      <c r="M1016" s="3494" t="s">
        <v>2973</v>
      </c>
      <c r="N1016" s="3494"/>
      <c r="O1016" s="3494"/>
      <c r="P1016" s="3494"/>
      <c r="Q1016" s="1313"/>
    </row>
    <row r="1017" spans="1:17" x14ac:dyDescent="0.3">
      <c r="A1017" s="2898" t="s">
        <v>2974</v>
      </c>
      <c r="B1017" s="2843" t="s">
        <v>2975</v>
      </c>
      <c r="C1017" s="2898" t="s">
        <v>2976</v>
      </c>
      <c r="D1017" s="2898" t="s">
        <v>2977</v>
      </c>
      <c r="E1017" s="2979" t="s">
        <v>2978</v>
      </c>
      <c r="F1017" s="2898" t="s">
        <v>2979</v>
      </c>
      <c r="G1017" s="2980" t="s">
        <v>2980</v>
      </c>
      <c r="H1017" s="2843" t="s">
        <v>2981</v>
      </c>
      <c r="I1017" s="2981" t="s">
        <v>2982</v>
      </c>
      <c r="J1017" s="2898" t="s">
        <v>3503</v>
      </c>
      <c r="K1017" s="2898" t="s">
        <v>2983</v>
      </c>
      <c r="L1017" s="2898" t="s">
        <v>3504</v>
      </c>
      <c r="M1017" s="2898" t="s">
        <v>2975</v>
      </c>
      <c r="N1017" s="2898" t="s">
        <v>2977</v>
      </c>
      <c r="O1017" s="2898" t="s">
        <v>2984</v>
      </c>
      <c r="P1017" s="3308" t="s">
        <v>2979</v>
      </c>
      <c r="Q1017" s="2" t="s">
        <v>2985</v>
      </c>
    </row>
    <row r="1018" spans="1:17" ht="15" customHeight="1" x14ac:dyDescent="0.3">
      <c r="A1018" s="3613" t="s">
        <v>3720</v>
      </c>
      <c r="B1018" s="1010">
        <v>14901</v>
      </c>
      <c r="C1018" s="274">
        <v>0.1</v>
      </c>
      <c r="D1018" s="3436" t="s">
        <v>3721</v>
      </c>
      <c r="E1018" s="3437">
        <v>1450000</v>
      </c>
      <c r="F1018" s="3070"/>
      <c r="G1018" s="2289"/>
      <c r="H1018" s="2633" t="s">
        <v>3010</v>
      </c>
      <c r="I1018" s="2633" t="s">
        <v>1282</v>
      </c>
      <c r="J1018" s="55" t="s">
        <v>36</v>
      </c>
      <c r="K1018" s="2250"/>
      <c r="L1018" s="2982"/>
      <c r="M1018" s="3208"/>
      <c r="N1018" s="11"/>
      <c r="O1018" s="11"/>
      <c r="P1018" s="520"/>
      <c r="Q1018" s="11"/>
    </row>
    <row r="1019" spans="1:17" ht="15" customHeight="1" x14ac:dyDescent="0.3">
      <c r="A1019" s="3614"/>
      <c r="B1019" s="121">
        <v>14933</v>
      </c>
      <c r="C1019" s="274">
        <v>0.1</v>
      </c>
      <c r="D1019" s="2233" t="s">
        <v>3722</v>
      </c>
      <c r="E1019" s="3437">
        <v>800000</v>
      </c>
      <c r="F1019" s="3080"/>
      <c r="G1019" s="3102"/>
      <c r="H1019" s="2633" t="s">
        <v>1530</v>
      </c>
      <c r="I1019" s="2633" t="s">
        <v>1282</v>
      </c>
      <c r="J1019" s="3314" t="s">
        <v>36</v>
      </c>
      <c r="K1019" s="3103"/>
      <c r="L1019" s="2764"/>
      <c r="M1019" s="2762"/>
      <c r="N1019" s="2896"/>
      <c r="O1019" s="2503"/>
      <c r="P1019" s="1720"/>
      <c r="Q1019" s="2897"/>
    </row>
    <row r="1020" spans="1:17" ht="15" customHeight="1" x14ac:dyDescent="0.3">
      <c r="A1020" s="3614"/>
      <c r="B1020" s="121">
        <v>14965</v>
      </c>
      <c r="C1020" s="274">
        <v>0.1</v>
      </c>
      <c r="D1020" s="2233" t="s">
        <v>3723</v>
      </c>
      <c r="E1020" s="3437">
        <v>1350000</v>
      </c>
      <c r="F1020" s="3080"/>
      <c r="G1020" s="3102"/>
      <c r="H1020" s="2633" t="s">
        <v>118</v>
      </c>
      <c r="I1020" s="2633" t="s">
        <v>1282</v>
      </c>
      <c r="J1020" s="3314" t="s">
        <v>36</v>
      </c>
      <c r="K1020" s="3103"/>
      <c r="L1020" s="2764"/>
      <c r="M1020" s="2762"/>
      <c r="N1020" s="2896"/>
      <c r="O1020" s="2503"/>
      <c r="P1020" s="1720"/>
      <c r="Q1020" s="2897"/>
    </row>
    <row r="1021" spans="1:17" ht="15" customHeight="1" x14ac:dyDescent="0.3">
      <c r="A1021" s="3614"/>
      <c r="B1021" s="3426">
        <v>14982</v>
      </c>
      <c r="C1021" s="2558">
        <v>0.1</v>
      </c>
      <c r="D1021" s="2233" t="s">
        <v>3724</v>
      </c>
      <c r="E1021" s="3437">
        <v>1250000</v>
      </c>
      <c r="F1021" s="2982"/>
      <c r="G1021" s="265"/>
      <c r="H1021" s="3020" t="s">
        <v>1530</v>
      </c>
      <c r="I1021" s="2982" t="s">
        <v>133</v>
      </c>
      <c r="J1021" s="2982" t="s">
        <v>36</v>
      </c>
      <c r="K1021" s="3388"/>
      <c r="L1021" s="2"/>
      <c r="M1021" s="11"/>
      <c r="N1021" s="11"/>
      <c r="O1021" s="11"/>
      <c r="P1021" s="520"/>
      <c r="Q1021" s="11"/>
    </row>
    <row r="1022" spans="1:17" ht="15" customHeight="1" x14ac:dyDescent="0.3">
      <c r="A1022" s="3614"/>
      <c r="B1022" s="121">
        <v>15014</v>
      </c>
      <c r="C1022" s="274">
        <v>0.1</v>
      </c>
      <c r="D1022" s="2233" t="s">
        <v>3725</v>
      </c>
      <c r="E1022" s="3437">
        <v>1300000</v>
      </c>
      <c r="F1022" s="3080"/>
      <c r="G1022" s="3102"/>
      <c r="H1022" s="2633" t="s">
        <v>1530</v>
      </c>
      <c r="I1022" s="2633" t="s">
        <v>133</v>
      </c>
      <c r="J1022" s="3314" t="s">
        <v>36</v>
      </c>
      <c r="K1022" s="3103"/>
      <c r="L1022" s="2764"/>
      <c r="M1022" s="2762"/>
      <c r="N1022" s="2896"/>
      <c r="O1022" s="2503"/>
      <c r="P1022" s="1720"/>
      <c r="Q1022" s="2897"/>
    </row>
    <row r="1023" spans="1:17" ht="15" customHeight="1" x14ac:dyDescent="0.3">
      <c r="A1023" s="3614"/>
      <c r="B1023" s="121">
        <v>15018</v>
      </c>
      <c r="C1023" s="274">
        <v>0.1</v>
      </c>
      <c r="D1023" s="3227" t="s">
        <v>3726</v>
      </c>
      <c r="E1023" s="3437">
        <v>1100000</v>
      </c>
      <c r="F1023" s="3080"/>
      <c r="G1023" s="3102"/>
      <c r="H1023" s="2633" t="s">
        <v>1685</v>
      </c>
      <c r="I1023" s="2633" t="s">
        <v>1282</v>
      </c>
      <c r="J1023" s="3314" t="s">
        <v>36</v>
      </c>
      <c r="K1023" s="3103"/>
      <c r="L1023" s="2764"/>
      <c r="M1023" s="2762"/>
      <c r="N1023" s="2896"/>
      <c r="O1023" s="2503"/>
      <c r="P1023" s="1720"/>
      <c r="Q1023" s="2897"/>
    </row>
    <row r="1024" spans="1:17" ht="15" customHeight="1" x14ac:dyDescent="0.3">
      <c r="A1024" s="3614"/>
      <c r="B1024" s="121">
        <v>15051</v>
      </c>
      <c r="C1024" s="274">
        <v>0.1</v>
      </c>
      <c r="D1024" s="2233" t="s">
        <v>3727</v>
      </c>
      <c r="E1024" s="3437">
        <v>1300000</v>
      </c>
      <c r="F1024" s="3080"/>
      <c r="G1024" s="3102"/>
      <c r="H1024" s="2633" t="s">
        <v>1530</v>
      </c>
      <c r="I1024" s="2633" t="s">
        <v>1282</v>
      </c>
      <c r="J1024" s="3314" t="s">
        <v>36</v>
      </c>
      <c r="K1024" s="3103"/>
      <c r="L1024" s="2764"/>
      <c r="M1024" s="2762"/>
      <c r="N1024" s="2896"/>
      <c r="O1024" s="2503"/>
      <c r="P1024" s="1720"/>
      <c r="Q1024" s="2897"/>
    </row>
    <row r="1025" spans="1:17" ht="15" customHeight="1" x14ac:dyDescent="0.3">
      <c r="A1025" s="3614"/>
      <c r="B1025" s="121">
        <v>15042</v>
      </c>
      <c r="C1025" s="274">
        <v>0.1</v>
      </c>
      <c r="D1025" s="3439" t="s">
        <v>3693</v>
      </c>
      <c r="E1025" s="3437">
        <v>2800000</v>
      </c>
      <c r="F1025" s="3080"/>
      <c r="G1025" s="3102"/>
      <c r="H1025" s="2633" t="s">
        <v>118</v>
      </c>
      <c r="I1025" s="2633" t="s">
        <v>1282</v>
      </c>
      <c r="J1025" s="3314" t="s">
        <v>36</v>
      </c>
      <c r="K1025" s="3103"/>
      <c r="L1025" s="2764"/>
      <c r="M1025" s="2762"/>
      <c r="N1025" s="2896"/>
      <c r="O1025" s="2503"/>
      <c r="P1025" s="1720"/>
      <c r="Q1025" s="2897"/>
    </row>
    <row r="1026" spans="1:17" ht="15" customHeight="1" x14ac:dyDescent="0.3">
      <c r="A1026" s="3614"/>
      <c r="B1026" s="121">
        <v>15067</v>
      </c>
      <c r="C1026" s="274">
        <v>0.1</v>
      </c>
      <c r="D1026" s="2233" t="s">
        <v>3728</v>
      </c>
      <c r="E1026" s="3437">
        <v>1400000</v>
      </c>
      <c r="F1026" s="3080"/>
      <c r="G1026" s="3102"/>
      <c r="H1026" s="2633" t="s">
        <v>1530</v>
      </c>
      <c r="I1026" s="2633" t="s">
        <v>1282</v>
      </c>
      <c r="J1026" s="3314" t="s">
        <v>36</v>
      </c>
      <c r="K1026" s="3103"/>
      <c r="L1026" s="2764"/>
      <c r="M1026" s="2762"/>
      <c r="N1026" s="2896"/>
      <c r="O1026" s="2503"/>
      <c r="P1026" s="1720"/>
      <c r="Q1026" s="2897"/>
    </row>
    <row r="1027" spans="1:17" ht="15" customHeight="1" x14ac:dyDescent="0.3">
      <c r="A1027" s="3614"/>
      <c r="B1027" s="3386" t="s">
        <v>3062</v>
      </c>
      <c r="C1027" s="3422">
        <v>0.1</v>
      </c>
      <c r="D1027" s="3151" t="s">
        <v>3729</v>
      </c>
      <c r="E1027" s="3437">
        <v>1700000</v>
      </c>
      <c r="F1027" s="3080"/>
      <c r="G1027" s="3102"/>
      <c r="H1027" s="2633" t="s">
        <v>1530</v>
      </c>
      <c r="I1027" s="2633" t="s">
        <v>1282</v>
      </c>
      <c r="J1027" s="3314"/>
      <c r="K1027" s="3103" t="s">
        <v>3730</v>
      </c>
      <c r="L1027" s="2764"/>
      <c r="M1027" s="2762"/>
      <c r="N1027" s="2896"/>
      <c r="O1027" s="2503"/>
      <c r="P1027" s="1720"/>
      <c r="Q1027" s="2897"/>
    </row>
    <row r="1028" spans="1:17" ht="15" customHeight="1" x14ac:dyDescent="0.3">
      <c r="A1028" s="3614"/>
      <c r="B1028" s="121">
        <v>15102</v>
      </c>
      <c r="C1028" s="274">
        <v>0.1</v>
      </c>
      <c r="D1028" s="2233" t="s">
        <v>3731</v>
      </c>
      <c r="E1028" s="3437">
        <v>950000</v>
      </c>
      <c r="F1028" s="3080"/>
      <c r="G1028" s="3102"/>
      <c r="H1028" s="2633"/>
      <c r="I1028" s="2633"/>
      <c r="J1028" s="3314"/>
      <c r="K1028" s="3103" t="s">
        <v>3732</v>
      </c>
      <c r="L1028" s="2764"/>
      <c r="M1028" s="2762"/>
      <c r="N1028" s="2896"/>
      <c r="O1028" s="2503"/>
      <c r="P1028" s="1720"/>
      <c r="Q1028" s="2897"/>
    </row>
    <row r="1029" spans="1:17" ht="15" customHeight="1" x14ac:dyDescent="0.3">
      <c r="A1029" s="3614"/>
      <c r="B1029" s="2617" t="s">
        <v>3714</v>
      </c>
      <c r="C1029" s="393"/>
      <c r="D1029" s="2888" t="s">
        <v>3733</v>
      </c>
      <c r="E1029" s="3101"/>
      <c r="F1029" s="3080"/>
      <c r="G1029" s="3102"/>
      <c r="H1029" s="2633"/>
      <c r="I1029" s="2633"/>
      <c r="J1029" s="3314"/>
      <c r="K1029" s="3103" t="s">
        <v>3734</v>
      </c>
      <c r="L1029" s="2764"/>
      <c r="M1029" s="2762"/>
      <c r="N1029" s="2896"/>
      <c r="O1029" s="2503"/>
      <c r="P1029" s="1720"/>
      <c r="Q1029" s="2897"/>
    </row>
    <row r="1030" spans="1:17" ht="15" customHeight="1" x14ac:dyDescent="0.3">
      <c r="A1030" s="3614"/>
      <c r="B1030" s="2617" t="s">
        <v>3714</v>
      </c>
      <c r="C1030" s="393"/>
      <c r="D1030" s="2888" t="s">
        <v>3735</v>
      </c>
      <c r="E1030" s="265"/>
      <c r="F1030" s="2982"/>
      <c r="G1030" s="265"/>
      <c r="H1030" s="3020"/>
      <c r="I1030" s="2982"/>
      <c r="J1030" s="2982"/>
      <c r="K1030" s="3103" t="s">
        <v>3736</v>
      </c>
      <c r="L1030" s="2982"/>
      <c r="M1030" s="11"/>
      <c r="N1030" s="11"/>
      <c r="O1030" s="11"/>
      <c r="P1030" s="520"/>
      <c r="Q1030" s="11"/>
    </row>
    <row r="1031" spans="1:17" ht="15" customHeight="1" x14ac:dyDescent="0.3">
      <c r="A1031" s="3614"/>
      <c r="B1031" s="2617" t="s">
        <v>3714</v>
      </c>
      <c r="C1031" s="393"/>
      <c r="D1031" s="2888" t="s">
        <v>3737</v>
      </c>
      <c r="E1031" s="3101"/>
      <c r="F1031" s="3080"/>
      <c r="G1031" s="3102"/>
      <c r="H1031" s="2633"/>
      <c r="I1031" s="2633"/>
      <c r="J1031" s="3314"/>
      <c r="K1031" s="3103" t="s">
        <v>3736</v>
      </c>
      <c r="L1031" s="2764"/>
      <c r="M1031" s="2762"/>
      <c r="N1031" s="2896"/>
      <c r="O1031" s="2503"/>
      <c r="P1031" s="1720"/>
      <c r="Q1031" s="2897"/>
    </row>
    <row r="1032" spans="1:17" ht="15" customHeight="1" x14ac:dyDescent="0.3">
      <c r="A1032" s="3614"/>
      <c r="B1032" s="2617" t="s">
        <v>3714</v>
      </c>
      <c r="C1032" s="1030"/>
      <c r="D1032" s="2888" t="s">
        <v>3738</v>
      </c>
      <c r="E1032" s="265"/>
      <c r="F1032" s="2982"/>
      <c r="G1032" s="265"/>
      <c r="H1032" s="3020"/>
      <c r="I1032" s="2982"/>
      <c r="J1032" s="2982"/>
      <c r="K1032" s="265" t="s">
        <v>3165</v>
      </c>
      <c r="L1032" s="2982"/>
      <c r="M1032" s="11"/>
      <c r="N1032" s="11"/>
      <c r="O1032" s="11"/>
      <c r="P1032" s="520"/>
      <c r="Q1032" s="11"/>
    </row>
    <row r="1033" spans="1:17" ht="15" customHeight="1" x14ac:dyDescent="0.3">
      <c r="A1033" s="3614"/>
      <c r="B1033" s="3020"/>
      <c r="C1033" s="2982"/>
      <c r="D1033" s="265"/>
      <c r="E1033" s="3139">
        <f>SUM(E1018:E1032)</f>
        <v>15400000</v>
      </c>
      <c r="F1033" s="2982"/>
      <c r="G1033" s="265"/>
      <c r="H1033" s="3020"/>
      <c r="I1033" s="2982"/>
      <c r="J1033" s="2982"/>
      <c r="K1033" s="265"/>
      <c r="L1033" s="2982"/>
      <c r="M1033" s="11"/>
      <c r="N1033" s="11"/>
      <c r="O1033" s="11"/>
      <c r="P1033" s="520"/>
      <c r="Q1033" s="11"/>
    </row>
    <row r="1035" spans="1:17" ht="21" x14ac:dyDescent="0.4">
      <c r="A1035" s="3493" t="s">
        <v>732</v>
      </c>
      <c r="B1035" s="3493"/>
      <c r="C1035" s="3493"/>
      <c r="D1035" s="3493"/>
      <c r="E1035" s="3493"/>
      <c r="F1035" s="3493"/>
      <c r="G1035" s="3493"/>
      <c r="H1035" s="3493"/>
      <c r="I1035" s="3493"/>
      <c r="J1035" s="3493"/>
      <c r="K1035" s="3493"/>
    </row>
    <row r="1036" spans="1:17" x14ac:dyDescent="0.3">
      <c r="A1036" s="2898" t="s">
        <v>2974</v>
      </c>
      <c r="B1036" s="2843" t="s">
        <v>2975</v>
      </c>
      <c r="C1036" s="2898" t="s">
        <v>2976</v>
      </c>
      <c r="D1036" s="2898" t="s">
        <v>2977</v>
      </c>
      <c r="E1036" s="2979" t="s">
        <v>2978</v>
      </c>
      <c r="F1036" s="2898" t="s">
        <v>2979</v>
      </c>
      <c r="G1036" s="2980" t="s">
        <v>2980</v>
      </c>
      <c r="H1036" s="2843" t="s">
        <v>2981</v>
      </c>
      <c r="I1036" s="2981" t="s">
        <v>2982</v>
      </c>
      <c r="J1036" s="2765" t="s">
        <v>3503</v>
      </c>
      <c r="K1036" s="2898" t="s">
        <v>2983</v>
      </c>
    </row>
    <row r="1037" spans="1:17" x14ac:dyDescent="0.3">
      <c r="A1037" s="3659"/>
      <c r="B1037" s="121">
        <v>14950</v>
      </c>
      <c r="C1037" s="121"/>
      <c r="D1037" s="2233" t="s">
        <v>3739</v>
      </c>
      <c r="E1037" s="3101">
        <v>1200000</v>
      </c>
      <c r="F1037" s="3070"/>
      <c r="G1037" s="2289"/>
      <c r="H1037" s="2633" t="s">
        <v>118</v>
      </c>
      <c r="I1037" s="2633" t="s">
        <v>1282</v>
      </c>
      <c r="J1037" s="3421" t="s">
        <v>36</v>
      </c>
      <c r="K1037" s="265" t="s">
        <v>3740</v>
      </c>
    </row>
    <row r="1038" spans="1:17" x14ac:dyDescent="0.3">
      <c r="A1038" s="3660"/>
      <c r="B1038" s="50"/>
      <c r="C1038" s="50"/>
      <c r="D1038" s="2289"/>
      <c r="E1038" s="3101"/>
      <c r="F1038" s="3080"/>
      <c r="G1038" s="3102"/>
      <c r="H1038" s="2633"/>
      <c r="I1038" s="2633"/>
      <c r="J1038" s="3104"/>
      <c r="K1038" s="3379"/>
    </row>
    <row r="1039" spans="1:17" x14ac:dyDescent="0.3">
      <c r="A1039" s="3660"/>
      <c r="B1039" s="50"/>
      <c r="C1039" s="50"/>
      <c r="D1039" s="2289"/>
      <c r="E1039" s="3101"/>
      <c r="F1039" s="3080"/>
      <c r="G1039" s="3102"/>
      <c r="H1039" s="2633"/>
      <c r="I1039" s="2633"/>
      <c r="J1039" s="3104"/>
      <c r="K1039" s="3379"/>
    </row>
    <row r="1040" spans="1:17" x14ac:dyDescent="0.3">
      <c r="A1040" s="3660"/>
      <c r="B1040" s="50"/>
      <c r="C1040" s="50"/>
      <c r="D1040" s="2289"/>
      <c r="E1040" s="2289"/>
      <c r="F1040" s="2982"/>
      <c r="G1040" s="265"/>
      <c r="H1040" s="3020"/>
      <c r="I1040" s="2982"/>
      <c r="J1040" s="3206"/>
      <c r="K1040" s="265"/>
    </row>
    <row r="1041" spans="1:17" x14ac:dyDescent="0.3">
      <c r="A1041" s="3660"/>
      <c r="B1041" s="2982"/>
      <c r="C1041" s="2982"/>
      <c r="D1041" s="265"/>
      <c r="E1041" s="265"/>
      <c r="F1041" s="2982"/>
      <c r="G1041" s="265"/>
      <c r="H1041" s="3020"/>
      <c r="I1041" s="2982"/>
      <c r="J1041" s="3206"/>
      <c r="K1041" s="265"/>
    </row>
    <row r="1042" spans="1:17" x14ac:dyDescent="0.3">
      <c r="A1042" s="3660"/>
      <c r="B1042" s="2632"/>
      <c r="C1042" s="2172"/>
      <c r="D1042" s="2289"/>
      <c r="E1042" s="3101"/>
      <c r="F1042" s="3080"/>
      <c r="G1042" s="3102"/>
      <c r="H1042" s="2633"/>
      <c r="I1042" s="2633"/>
      <c r="J1042" s="3104"/>
      <c r="K1042" s="3379"/>
    </row>
    <row r="1045" spans="1:17" x14ac:dyDescent="0.3">
      <c r="A1045" s="3498" t="s">
        <v>3064</v>
      </c>
      <c r="B1045" s="3499"/>
      <c r="C1045" s="2361"/>
      <c r="D1045" s="2927">
        <f>E950+E951+E952+E953+E954+E955+E956+E957+E971+E972+E973+E974+E975+E976+E977+E978+E991+E992+E994+E993+E995+E996+E997+E998+E999+E1000+E1001+E1002+E1003+E1004+E1005+E1018+E1019+E1020+E1021+E1022+E1023+E1024+E1025+E1026+E1037+E979+E1007+E1028+E1006+E963</f>
        <v>63970000</v>
      </c>
    </row>
    <row r="1046" spans="1:17" x14ac:dyDescent="0.3">
      <c r="A1046" s="3500" t="s">
        <v>3065</v>
      </c>
      <c r="B1046" s="3501"/>
      <c r="C1046" s="470"/>
      <c r="D1046" s="2928">
        <f>E958+E960+E980+E1027</f>
        <v>5400000</v>
      </c>
    </row>
    <row r="1047" spans="1:17" x14ac:dyDescent="0.3">
      <c r="A1047" s="3502" t="s">
        <v>3066</v>
      </c>
      <c r="B1047" s="3503"/>
      <c r="C1047" s="2780"/>
      <c r="D1047" s="2929"/>
    </row>
    <row r="1048" spans="1:17" x14ac:dyDescent="0.3">
      <c r="A1048" s="3504" t="s">
        <v>3067</v>
      </c>
      <c r="B1048" s="3505"/>
      <c r="C1048" s="2933"/>
      <c r="D1048" s="2941"/>
    </row>
    <row r="1049" spans="1:17" x14ac:dyDescent="0.3">
      <c r="A1049" s="3506" t="s">
        <v>3068</v>
      </c>
      <c r="B1049" s="3507"/>
      <c r="C1049" s="2780"/>
      <c r="D1049" s="2930"/>
    </row>
    <row r="1050" spans="1:17" x14ac:dyDescent="0.3">
      <c r="A1050" s="3573" t="s">
        <v>3069</v>
      </c>
      <c r="B1050" s="3573"/>
      <c r="C1050" s="2780"/>
      <c r="D1050" s="2931"/>
    </row>
    <row r="1051" spans="1:17" x14ac:dyDescent="0.3">
      <c r="A1051" s="2781"/>
      <c r="B1051" s="2066" t="s">
        <v>3070</v>
      </c>
      <c r="C1051" s="2934"/>
      <c r="D1051" s="2932">
        <f>SUM(D1045:D1047)</f>
        <v>69370000</v>
      </c>
    </row>
    <row r="1054" spans="1:17" ht="46.2" x14ac:dyDescent="0.85">
      <c r="A1054" s="3495" t="s">
        <v>3741</v>
      </c>
      <c r="B1054" s="3496"/>
      <c r="C1054" s="3496"/>
      <c r="D1054" s="3496"/>
      <c r="E1054" s="3496"/>
      <c r="F1054" s="3496"/>
      <c r="G1054" s="3496"/>
      <c r="H1054" s="3496"/>
      <c r="I1054" s="3496"/>
      <c r="J1054" s="3496"/>
      <c r="K1054" s="3496"/>
      <c r="L1054" s="3497"/>
    </row>
    <row r="1055" spans="1:17" ht="21" x14ac:dyDescent="0.4">
      <c r="A1055" s="3493" t="s">
        <v>3579</v>
      </c>
      <c r="B1055" s="3493"/>
      <c r="C1055" s="3493"/>
      <c r="D1055" s="3493"/>
      <c r="E1055" s="3493"/>
      <c r="F1055" s="3493"/>
      <c r="G1055" s="3493"/>
      <c r="H1055" s="3493"/>
      <c r="I1055" s="3493"/>
      <c r="J1055" s="3493"/>
      <c r="K1055" s="3493"/>
      <c r="L1055" s="3025"/>
      <c r="M1055" s="3494" t="s">
        <v>2973</v>
      </c>
      <c r="N1055" s="3494"/>
      <c r="O1055" s="3494"/>
      <c r="P1055" s="3494"/>
      <c r="Q1055" s="1313"/>
    </row>
    <row r="1056" spans="1:17" x14ac:dyDescent="0.3">
      <c r="A1056" s="2745" t="s">
        <v>2974</v>
      </c>
      <c r="B1056" s="2843" t="s">
        <v>2975</v>
      </c>
      <c r="C1056" s="2898" t="s">
        <v>2976</v>
      </c>
      <c r="D1056" s="2898" t="s">
        <v>2977</v>
      </c>
      <c r="E1056" s="2979" t="s">
        <v>2978</v>
      </c>
      <c r="F1056" s="2898" t="s">
        <v>2979</v>
      </c>
      <c r="G1056" s="2980" t="s">
        <v>2980</v>
      </c>
      <c r="H1056" s="2843" t="s">
        <v>2981</v>
      </c>
      <c r="I1056" s="2981" t="s">
        <v>2982</v>
      </c>
      <c r="J1056" s="2898" t="s">
        <v>3503</v>
      </c>
      <c r="K1056" s="2898" t="s">
        <v>2983</v>
      </c>
      <c r="L1056" s="2898" t="s">
        <v>3504</v>
      </c>
      <c r="M1056" s="2745" t="s">
        <v>2975</v>
      </c>
      <c r="N1056" s="2745" t="s">
        <v>2977</v>
      </c>
      <c r="O1056" s="2745" t="s">
        <v>2984</v>
      </c>
      <c r="P1056" s="3457" t="s">
        <v>2979</v>
      </c>
      <c r="Q1056" s="268" t="s">
        <v>2985</v>
      </c>
    </row>
    <row r="1057" spans="1:17" x14ac:dyDescent="0.3">
      <c r="A1057" s="3492"/>
      <c r="B1057" s="3429" t="s">
        <v>3067</v>
      </c>
      <c r="C1057" s="3423"/>
      <c r="D1057" s="3387" t="s">
        <v>3742</v>
      </c>
      <c r="E1057" s="3079"/>
      <c r="F1057" s="2982"/>
      <c r="G1057" s="265"/>
      <c r="H1057" s="3020"/>
      <c r="I1057" s="2982"/>
      <c r="J1057" s="2982"/>
      <c r="K1057" s="3388"/>
      <c r="L1057" s="2"/>
      <c r="M1057" s="11"/>
      <c r="N1057" s="11"/>
      <c r="O1057" s="11"/>
      <c r="P1057" s="520"/>
      <c r="Q1057" s="11"/>
    </row>
    <row r="1058" spans="1:17" x14ac:dyDescent="0.3">
      <c r="A1058" s="3492"/>
      <c r="B1058" s="3429" t="s">
        <v>3067</v>
      </c>
      <c r="C1058" s="3389"/>
      <c r="D1058" s="3387" t="s">
        <v>3743</v>
      </c>
      <c r="E1058" s="3385"/>
      <c r="F1058" s="2982"/>
      <c r="G1058" s="265"/>
      <c r="H1058" s="3020"/>
      <c r="I1058" s="2982"/>
      <c r="J1058" s="2982"/>
      <c r="K1058" s="265"/>
      <c r="L1058" s="2"/>
      <c r="M1058" s="11"/>
      <c r="N1058" s="11"/>
      <c r="O1058" s="11"/>
      <c r="P1058" s="520"/>
      <c r="Q1058" s="11"/>
    </row>
    <row r="1059" spans="1:17" x14ac:dyDescent="0.3">
      <c r="A1059" s="3492"/>
      <c r="B1059" s="3453"/>
      <c r="C1059" s="3454"/>
      <c r="D1059" s="2289"/>
      <c r="E1059" s="3260"/>
      <c r="F1059" s="50"/>
      <c r="G1059" s="2289"/>
      <c r="H1059" s="3069"/>
      <c r="I1059" s="50"/>
      <c r="J1059" s="50"/>
      <c r="K1059" s="3455"/>
      <c r="L1059" s="722"/>
      <c r="M1059" s="11"/>
      <c r="N1059" s="11"/>
      <c r="O1059" s="11"/>
      <c r="P1059" s="520"/>
      <c r="Q1059" s="11"/>
    </row>
    <row r="1060" spans="1:17" x14ac:dyDescent="0.3">
      <c r="A1060" s="3492"/>
      <c r="B1060" s="3453"/>
      <c r="C1060" s="3454"/>
      <c r="D1060" s="2289"/>
      <c r="E1060" s="3260"/>
      <c r="F1060" s="50"/>
      <c r="G1060" s="2289"/>
      <c r="H1060" s="3069"/>
      <c r="I1060" s="50"/>
      <c r="J1060" s="50"/>
      <c r="K1060" s="3455"/>
      <c r="L1060" s="722"/>
      <c r="M1060" s="11"/>
      <c r="N1060" s="11"/>
      <c r="O1060" s="11"/>
      <c r="P1060" s="520"/>
      <c r="Q1060" s="11"/>
    </row>
    <row r="1061" spans="1:17" x14ac:dyDescent="0.3">
      <c r="A1061" s="3492"/>
      <c r="B1061" s="3453"/>
      <c r="C1061" s="3454"/>
      <c r="D1061" s="2289"/>
      <c r="E1061" s="3260"/>
      <c r="F1061" s="50"/>
      <c r="G1061" s="2289"/>
      <c r="H1061" s="3069"/>
      <c r="I1061" s="50"/>
      <c r="J1061" s="50"/>
      <c r="K1061" s="3455"/>
      <c r="L1061" s="722"/>
      <c r="M1061" s="11"/>
      <c r="N1061" s="11"/>
      <c r="O1061" s="11"/>
      <c r="P1061" s="520"/>
      <c r="Q1061" s="11"/>
    </row>
    <row r="1062" spans="1:17" x14ac:dyDescent="0.3">
      <c r="A1062" s="3492"/>
      <c r="B1062" s="3453"/>
      <c r="C1062" s="3454"/>
      <c r="D1062" s="3456"/>
      <c r="E1062" s="3260"/>
      <c r="F1062" s="50"/>
      <c r="G1062" s="2289"/>
      <c r="H1062" s="3069"/>
      <c r="I1062" s="50"/>
      <c r="J1062" s="50"/>
      <c r="K1062" s="3455"/>
      <c r="L1062" s="722"/>
      <c r="M1062" s="11"/>
      <c r="N1062" s="11"/>
      <c r="O1062" s="11"/>
      <c r="P1062" s="520"/>
      <c r="Q1062" s="11"/>
    </row>
    <row r="1063" spans="1:17" x14ac:dyDescent="0.3">
      <c r="A1063" s="3492"/>
      <c r="B1063" s="3453"/>
      <c r="C1063" s="3454"/>
      <c r="D1063" s="2289"/>
      <c r="E1063" s="3260"/>
      <c r="F1063" s="50"/>
      <c r="G1063" s="2289"/>
      <c r="H1063" s="3069"/>
      <c r="I1063" s="50"/>
      <c r="J1063" s="50"/>
      <c r="K1063" s="3455"/>
      <c r="L1063" s="722"/>
      <c r="M1063" s="11"/>
      <c r="N1063" s="11"/>
      <c r="O1063" s="11"/>
      <c r="P1063" s="520"/>
      <c r="Q1063" s="11"/>
    </row>
    <row r="1064" spans="1:17" x14ac:dyDescent="0.3">
      <c r="A1064" s="3492"/>
      <c r="B1064" s="3453"/>
      <c r="C1064" s="3454"/>
      <c r="D1064" s="2289"/>
      <c r="E1064" s="3260"/>
      <c r="F1064" s="50"/>
      <c r="G1064" s="2289"/>
      <c r="H1064" s="3069"/>
      <c r="I1064" s="50"/>
      <c r="J1064" s="50"/>
      <c r="K1064" s="3455"/>
      <c r="L1064" s="722"/>
      <c r="M1064" s="11"/>
      <c r="N1064" s="11"/>
      <c r="O1064" s="11"/>
      <c r="P1064" s="520"/>
      <c r="Q1064" s="11"/>
    </row>
    <row r="1065" spans="1:17" x14ac:dyDescent="0.3">
      <c r="A1065" s="3492"/>
      <c r="B1065" s="3453"/>
      <c r="C1065" s="3454"/>
      <c r="D1065" s="2289"/>
      <c r="E1065" s="3260"/>
      <c r="F1065" s="50"/>
      <c r="G1065" s="2289"/>
      <c r="H1065" s="3069"/>
      <c r="I1065" s="50"/>
      <c r="J1065" s="50"/>
      <c r="K1065" s="3455"/>
      <c r="L1065" s="722"/>
      <c r="M1065" s="11"/>
      <c r="N1065" s="11"/>
      <c r="O1065" s="11"/>
      <c r="P1065" s="520"/>
      <c r="Q1065" s="11"/>
    </row>
    <row r="1066" spans="1:17" x14ac:dyDescent="0.3">
      <c r="A1066" s="3492"/>
      <c r="B1066" s="3113"/>
      <c r="C1066" s="2982"/>
      <c r="D1066" s="265"/>
      <c r="E1066" s="3079">
        <f>SUM(E1057:E1065)</f>
        <v>0</v>
      </c>
      <c r="F1066" s="2982"/>
      <c r="G1066" s="265"/>
      <c r="H1066" s="3020"/>
      <c r="I1066" s="2982"/>
      <c r="J1066" s="2982"/>
      <c r="K1066" s="265"/>
      <c r="L1066" s="853"/>
      <c r="M1066" s="11"/>
      <c r="N1066" s="11"/>
      <c r="O1066" s="11"/>
      <c r="P1066" s="520"/>
      <c r="Q1066" s="11"/>
    </row>
    <row r="1068" spans="1:17" ht="21" x14ac:dyDescent="0.4">
      <c r="A1068" s="3493" t="s">
        <v>3676</v>
      </c>
      <c r="B1068" s="3493"/>
      <c r="C1068" s="3493"/>
      <c r="D1068" s="3493"/>
      <c r="E1068" s="3493"/>
      <c r="F1068" s="3493"/>
      <c r="G1068" s="3493"/>
      <c r="H1068" s="3493"/>
      <c r="I1068" s="3493"/>
      <c r="J1068" s="3493"/>
      <c r="K1068" s="3493"/>
      <c r="L1068" s="3025"/>
      <c r="M1068" s="3494" t="s">
        <v>2973</v>
      </c>
      <c r="N1068" s="3494"/>
      <c r="O1068" s="3494"/>
      <c r="P1068" s="3494"/>
      <c r="Q1068" s="1313"/>
    </row>
    <row r="1069" spans="1:17" x14ac:dyDescent="0.3">
      <c r="A1069" s="2745" t="s">
        <v>2974</v>
      </c>
      <c r="B1069" s="2843" t="s">
        <v>2975</v>
      </c>
      <c r="C1069" s="2898" t="s">
        <v>2976</v>
      </c>
      <c r="D1069" s="2898" t="s">
        <v>2977</v>
      </c>
      <c r="E1069" s="2979" t="s">
        <v>2978</v>
      </c>
      <c r="F1069" s="2898" t="s">
        <v>2979</v>
      </c>
      <c r="G1069" s="2980" t="s">
        <v>2980</v>
      </c>
      <c r="H1069" s="2843" t="s">
        <v>2981</v>
      </c>
      <c r="I1069" s="2981" t="s">
        <v>2982</v>
      </c>
      <c r="J1069" s="2898" t="s">
        <v>3503</v>
      </c>
      <c r="K1069" s="2898" t="s">
        <v>2983</v>
      </c>
      <c r="L1069" s="2898" t="s">
        <v>3504</v>
      </c>
      <c r="M1069" s="2745" t="s">
        <v>2975</v>
      </c>
      <c r="N1069" s="2745" t="s">
        <v>2977</v>
      </c>
      <c r="O1069" s="2745" t="s">
        <v>2984</v>
      </c>
      <c r="P1069" s="3457" t="s">
        <v>2979</v>
      </c>
      <c r="Q1069" s="268" t="s">
        <v>2985</v>
      </c>
    </row>
    <row r="1070" spans="1:17" ht="15" customHeight="1" x14ac:dyDescent="0.3">
      <c r="A1070" s="3492"/>
      <c r="B1070" s="3440" t="s">
        <v>3674</v>
      </c>
      <c r="C1070" s="3447"/>
      <c r="D1070" s="3448" t="s">
        <v>3744</v>
      </c>
      <c r="E1070" s="3139">
        <v>1600000</v>
      </c>
      <c r="F1070" s="3383"/>
      <c r="G1070" s="3251"/>
      <c r="H1070" s="3020"/>
      <c r="I1070" s="2982"/>
      <c r="J1070" s="2982"/>
      <c r="K1070" s="3251"/>
      <c r="L1070" s="2"/>
      <c r="M1070" s="11"/>
      <c r="N1070" s="11"/>
      <c r="O1070" s="11"/>
      <c r="P1070" s="520"/>
      <c r="Q1070" s="11"/>
    </row>
    <row r="1071" spans="1:17" ht="15" customHeight="1" x14ac:dyDescent="0.3">
      <c r="A1071" s="3492"/>
      <c r="B1071" s="3389" t="s">
        <v>3067</v>
      </c>
      <c r="C1071" s="3389"/>
      <c r="D1071" s="3433" t="s">
        <v>3745</v>
      </c>
      <c r="E1071" s="3139"/>
      <c r="F1071" s="3383"/>
      <c r="G1071" s="3251"/>
      <c r="H1071" s="3020"/>
      <c r="I1071" s="2982"/>
      <c r="J1071" s="2982"/>
      <c r="K1071" s="3251"/>
      <c r="L1071" s="2"/>
      <c r="M1071" s="11"/>
      <c r="N1071" s="11"/>
      <c r="O1071" s="11"/>
      <c r="P1071" s="520"/>
      <c r="Q1071" s="11"/>
    </row>
    <row r="1072" spans="1:17" x14ac:dyDescent="0.3">
      <c r="A1072" s="3492"/>
      <c r="B1072" s="3453"/>
      <c r="C1072" s="3454"/>
      <c r="D1072" s="2289"/>
      <c r="E1072" s="3260"/>
      <c r="F1072" s="50"/>
      <c r="G1072" s="2289"/>
      <c r="H1072" s="3069"/>
      <c r="I1072" s="50"/>
      <c r="J1072" s="50"/>
      <c r="K1072" s="3455"/>
      <c r="L1072" s="722"/>
      <c r="M1072" s="11"/>
      <c r="N1072" s="11"/>
      <c r="O1072" s="11"/>
      <c r="P1072" s="520"/>
      <c r="Q1072" s="11"/>
    </row>
    <row r="1073" spans="1:17" x14ac:dyDescent="0.3">
      <c r="A1073" s="3492"/>
      <c r="B1073" s="3453"/>
      <c r="C1073" s="3454"/>
      <c r="D1073" s="2289"/>
      <c r="E1073" s="3260"/>
      <c r="F1073" s="50"/>
      <c r="G1073" s="2289"/>
      <c r="H1073" s="3069"/>
      <c r="I1073" s="50"/>
      <c r="J1073" s="50"/>
      <c r="K1073" s="3455"/>
      <c r="L1073" s="722"/>
      <c r="M1073" s="11"/>
      <c r="N1073" s="11"/>
      <c r="O1073" s="11"/>
      <c r="P1073" s="520"/>
      <c r="Q1073" s="11"/>
    </row>
    <row r="1074" spans="1:17" x14ac:dyDescent="0.3">
      <c r="A1074" s="3492"/>
      <c r="B1074" s="3453"/>
      <c r="C1074" s="3454"/>
      <c r="D1074" s="2289"/>
      <c r="E1074" s="3260"/>
      <c r="F1074" s="50"/>
      <c r="G1074" s="2289"/>
      <c r="H1074" s="3069"/>
      <c r="I1074" s="50"/>
      <c r="J1074" s="50"/>
      <c r="K1074" s="3455"/>
      <c r="L1074" s="722"/>
      <c r="M1074" s="11"/>
      <c r="N1074" s="11"/>
      <c r="O1074" s="11"/>
      <c r="P1074" s="520"/>
      <c r="Q1074" s="11"/>
    </row>
    <row r="1075" spans="1:17" x14ac:dyDescent="0.3">
      <c r="A1075" s="3492"/>
      <c r="B1075" s="3453"/>
      <c r="C1075" s="3454"/>
      <c r="D1075" s="3456"/>
      <c r="E1075" s="3260"/>
      <c r="F1075" s="50"/>
      <c r="G1075" s="2289"/>
      <c r="H1075" s="3069"/>
      <c r="I1075" s="50"/>
      <c r="J1075" s="50"/>
      <c r="K1075" s="3455"/>
      <c r="L1075" s="722"/>
      <c r="M1075" s="11"/>
      <c r="N1075" s="11"/>
      <c r="O1075" s="11"/>
      <c r="P1075" s="520"/>
      <c r="Q1075" s="11"/>
    </row>
    <row r="1076" spans="1:17" x14ac:dyDescent="0.3">
      <c r="A1076" s="3492"/>
      <c r="B1076" s="3453"/>
      <c r="C1076" s="3454"/>
      <c r="D1076" s="2289"/>
      <c r="E1076" s="3260"/>
      <c r="F1076" s="50"/>
      <c r="G1076" s="2289"/>
      <c r="H1076" s="3069"/>
      <c r="I1076" s="50"/>
      <c r="J1076" s="50"/>
      <c r="K1076" s="3455"/>
      <c r="L1076" s="722"/>
      <c r="M1076" s="11"/>
      <c r="N1076" s="11"/>
      <c r="O1076" s="11"/>
      <c r="P1076" s="520"/>
      <c r="Q1076" s="11"/>
    </row>
    <row r="1077" spans="1:17" x14ac:dyDescent="0.3">
      <c r="A1077" s="3492"/>
      <c r="B1077" s="3453"/>
      <c r="C1077" s="3454"/>
      <c r="D1077" s="2289"/>
      <c r="E1077" s="3260"/>
      <c r="F1077" s="50"/>
      <c r="G1077" s="2289"/>
      <c r="H1077" s="3069"/>
      <c r="I1077" s="50"/>
      <c r="J1077" s="50"/>
      <c r="K1077" s="3455"/>
      <c r="L1077" s="722"/>
      <c r="M1077" s="11"/>
      <c r="N1077" s="11"/>
      <c r="O1077" s="11"/>
      <c r="P1077" s="520"/>
      <c r="Q1077" s="11"/>
    </row>
    <row r="1078" spans="1:17" x14ac:dyDescent="0.3">
      <c r="A1078" s="3492"/>
      <c r="B1078" s="3453"/>
      <c r="C1078" s="3454"/>
      <c r="D1078" s="2289"/>
      <c r="E1078" s="3260"/>
      <c r="F1078" s="50"/>
      <c r="G1078" s="2289"/>
      <c r="H1078" s="3069"/>
      <c r="I1078" s="50"/>
      <c r="J1078" s="50"/>
      <c r="K1078" s="3455"/>
      <c r="L1078" s="722"/>
      <c r="M1078" s="11"/>
      <c r="N1078" s="11"/>
      <c r="O1078" s="11"/>
      <c r="P1078" s="520"/>
      <c r="Q1078" s="11"/>
    </row>
    <row r="1079" spans="1:17" x14ac:dyDescent="0.3">
      <c r="A1079" s="3492"/>
      <c r="B1079" s="3113"/>
      <c r="C1079" s="2982"/>
      <c r="D1079" s="265"/>
      <c r="E1079" s="3079"/>
      <c r="F1079" s="2982"/>
      <c r="G1079" s="265"/>
      <c r="H1079" s="3020"/>
      <c r="I1079" s="2982"/>
      <c r="J1079" s="2982"/>
      <c r="K1079" s="265"/>
      <c r="L1079" s="853"/>
      <c r="M1079" s="11"/>
      <c r="N1079" s="11"/>
      <c r="O1079" s="11"/>
      <c r="P1079" s="520"/>
      <c r="Q1079" s="11"/>
    </row>
    <row r="1082" spans="1:17" ht="21" x14ac:dyDescent="0.4">
      <c r="A1082" s="3493" t="s">
        <v>3746</v>
      </c>
      <c r="B1082" s="3493"/>
      <c r="C1082" s="3493"/>
      <c r="D1082" s="3493"/>
      <c r="E1082" s="3493"/>
      <c r="F1082" s="3493"/>
      <c r="G1082" s="3493"/>
      <c r="H1082" s="3493"/>
      <c r="I1082" s="3493"/>
      <c r="J1082" s="3493"/>
      <c r="K1082" s="3493"/>
      <c r="L1082" s="3025"/>
      <c r="M1082" s="3494" t="s">
        <v>2973</v>
      </c>
      <c r="N1082" s="3494"/>
      <c r="O1082" s="3494"/>
      <c r="P1082" s="3494"/>
      <c r="Q1082" s="1313"/>
    </row>
    <row r="1083" spans="1:17" x14ac:dyDescent="0.3">
      <c r="A1083" s="2745" t="s">
        <v>2974</v>
      </c>
      <c r="B1083" s="2843" t="s">
        <v>2975</v>
      </c>
      <c r="C1083" s="2898" t="s">
        <v>2976</v>
      </c>
      <c r="D1083" s="2898" t="s">
        <v>2977</v>
      </c>
      <c r="E1083" s="2979" t="s">
        <v>2978</v>
      </c>
      <c r="F1083" s="2898" t="s">
        <v>2979</v>
      </c>
      <c r="G1083" s="2980" t="s">
        <v>2980</v>
      </c>
      <c r="H1083" s="2843" t="s">
        <v>2981</v>
      </c>
      <c r="I1083" s="2981" t="s">
        <v>2982</v>
      </c>
      <c r="J1083" s="2898" t="s">
        <v>3503</v>
      </c>
      <c r="K1083" s="2898" t="s">
        <v>2983</v>
      </c>
      <c r="L1083" s="2898" t="s">
        <v>3504</v>
      </c>
      <c r="M1083" s="2745" t="s">
        <v>2975</v>
      </c>
      <c r="N1083" s="2745" t="s">
        <v>2977</v>
      </c>
      <c r="O1083" s="2745" t="s">
        <v>2984</v>
      </c>
      <c r="P1083" s="3457" t="s">
        <v>2979</v>
      </c>
      <c r="Q1083" s="268" t="s">
        <v>2985</v>
      </c>
    </row>
    <row r="1084" spans="1:17" ht="15" customHeight="1" x14ac:dyDescent="0.3">
      <c r="A1084" s="3492"/>
      <c r="B1084" s="3374" t="s">
        <v>3062</v>
      </c>
      <c r="C1084" s="3375">
        <v>0.1</v>
      </c>
      <c r="D1084" s="3444" t="s">
        <v>3747</v>
      </c>
      <c r="E1084" s="3322"/>
      <c r="F1084" s="2982"/>
      <c r="G1084" s="265"/>
      <c r="H1084" s="2644" t="s">
        <v>118</v>
      </c>
      <c r="I1084" s="2644" t="s">
        <v>133</v>
      </c>
      <c r="J1084" s="2982"/>
      <c r="K1084" s="2250" t="s">
        <v>3748</v>
      </c>
      <c r="L1084" s="2982"/>
      <c r="M1084" s="117"/>
      <c r="N1084" s="11"/>
      <c r="O1084" s="11"/>
      <c r="P1084" s="520"/>
      <c r="Q1084" s="11"/>
    </row>
    <row r="1085" spans="1:17" ht="15" customHeight="1" x14ac:dyDescent="0.3">
      <c r="A1085" s="3492"/>
      <c r="B1085" s="3441" t="s">
        <v>3067</v>
      </c>
      <c r="C1085" s="3442"/>
      <c r="D1085" s="3443" t="s">
        <v>3749</v>
      </c>
      <c r="E1085" s="3322"/>
      <c r="F1085" s="2982"/>
      <c r="G1085" s="265"/>
      <c r="H1085" s="2644"/>
      <c r="I1085" s="2644"/>
      <c r="J1085" s="2982"/>
      <c r="K1085" s="2250"/>
      <c r="L1085" s="2982"/>
      <c r="M1085" s="117"/>
      <c r="N1085" s="11"/>
      <c r="O1085" s="11"/>
      <c r="P1085" s="520"/>
      <c r="Q1085" s="11"/>
    </row>
    <row r="1086" spans="1:17" x14ac:dyDescent="0.3">
      <c r="A1086" s="3492"/>
      <c r="B1086" s="3453"/>
      <c r="C1086" s="3454"/>
      <c r="D1086" s="2289"/>
      <c r="E1086" s="3260"/>
      <c r="F1086" s="50"/>
      <c r="G1086" s="2289"/>
      <c r="H1086" s="3069"/>
      <c r="I1086" s="50"/>
      <c r="J1086" s="50"/>
      <c r="K1086" s="3455"/>
      <c r="L1086" s="722"/>
      <c r="M1086" s="11"/>
      <c r="N1086" s="11"/>
      <c r="O1086" s="11"/>
      <c r="P1086" s="520"/>
      <c r="Q1086" s="11"/>
    </row>
    <row r="1087" spans="1:17" x14ac:dyDescent="0.3">
      <c r="A1087" s="3492"/>
      <c r="B1087" s="3453"/>
      <c r="C1087" s="3454"/>
      <c r="D1087" s="2289"/>
      <c r="E1087" s="3260"/>
      <c r="F1087" s="50"/>
      <c r="G1087" s="2289"/>
      <c r="H1087" s="3069"/>
      <c r="I1087" s="50"/>
      <c r="J1087" s="50"/>
      <c r="K1087" s="3455"/>
      <c r="L1087" s="722"/>
      <c r="M1087" s="11"/>
      <c r="N1087" s="11"/>
      <c r="O1087" s="11"/>
      <c r="P1087" s="520"/>
      <c r="Q1087" s="11"/>
    </row>
    <row r="1088" spans="1:17" x14ac:dyDescent="0.3">
      <c r="A1088" s="3492"/>
      <c r="B1088" s="3453"/>
      <c r="C1088" s="3454"/>
      <c r="D1088" s="2289"/>
      <c r="E1088" s="3260"/>
      <c r="F1088" s="50"/>
      <c r="G1088" s="2289"/>
      <c r="H1088" s="3069"/>
      <c r="I1088" s="50"/>
      <c r="J1088" s="50"/>
      <c r="K1088" s="3455"/>
      <c r="L1088" s="722"/>
      <c r="M1088" s="11"/>
      <c r="N1088" s="11"/>
      <c r="O1088" s="11"/>
      <c r="P1088" s="520"/>
      <c r="Q1088" s="11"/>
    </row>
    <row r="1089" spans="1:17" x14ac:dyDescent="0.3">
      <c r="A1089" s="3492"/>
      <c r="B1089" s="3453"/>
      <c r="C1089" s="3454"/>
      <c r="D1089" s="3456"/>
      <c r="E1089" s="3260"/>
      <c r="F1089" s="50"/>
      <c r="G1089" s="2289"/>
      <c r="H1089" s="3069"/>
      <c r="I1089" s="50"/>
      <c r="J1089" s="50"/>
      <c r="K1089" s="3455"/>
      <c r="L1089" s="722"/>
      <c r="M1089" s="11"/>
      <c r="N1089" s="11"/>
      <c r="O1089" s="11"/>
      <c r="P1089" s="520"/>
      <c r="Q1089" s="11"/>
    </row>
    <row r="1090" spans="1:17" x14ac:dyDescent="0.3">
      <c r="A1090" s="3492"/>
      <c r="B1090" s="3453"/>
      <c r="C1090" s="3454"/>
      <c r="D1090" s="2289"/>
      <c r="E1090" s="3260"/>
      <c r="F1090" s="50"/>
      <c r="G1090" s="2289"/>
      <c r="H1090" s="3069"/>
      <c r="I1090" s="50"/>
      <c r="J1090" s="50"/>
      <c r="K1090" s="3455"/>
      <c r="L1090" s="722"/>
      <c r="M1090" s="11"/>
      <c r="N1090" s="11"/>
      <c r="O1090" s="11"/>
      <c r="P1090" s="520"/>
      <c r="Q1090" s="11"/>
    </row>
    <row r="1091" spans="1:17" x14ac:dyDescent="0.3">
      <c r="A1091" s="3492"/>
      <c r="B1091" s="3453"/>
      <c r="C1091" s="3454"/>
      <c r="D1091" s="2289"/>
      <c r="E1091" s="3260"/>
      <c r="F1091" s="50"/>
      <c r="G1091" s="2289"/>
      <c r="H1091" s="3069"/>
      <c r="I1091" s="50"/>
      <c r="J1091" s="50"/>
      <c r="K1091" s="3455"/>
      <c r="L1091" s="722"/>
      <c r="M1091" s="11"/>
      <c r="N1091" s="11"/>
      <c r="O1091" s="11"/>
      <c r="P1091" s="520"/>
      <c r="Q1091" s="11"/>
    </row>
    <row r="1092" spans="1:17" x14ac:dyDescent="0.3">
      <c r="A1092" s="3492"/>
      <c r="B1092" s="3453"/>
      <c r="C1092" s="3454"/>
      <c r="D1092" s="2289"/>
      <c r="E1092" s="3260"/>
      <c r="F1092" s="50"/>
      <c r="G1092" s="2289"/>
      <c r="H1092" s="3069"/>
      <c r="I1092" s="50"/>
      <c r="J1092" s="50"/>
      <c r="K1092" s="3455"/>
      <c r="L1092" s="722"/>
      <c r="M1092" s="11"/>
      <c r="N1092" s="11"/>
      <c r="O1092" s="11"/>
      <c r="P1092" s="520"/>
      <c r="Q1092" s="11"/>
    </row>
    <row r="1093" spans="1:17" x14ac:dyDescent="0.3">
      <c r="A1093" s="3492"/>
      <c r="B1093" s="3113"/>
      <c r="C1093" s="2982"/>
      <c r="D1093" s="265"/>
      <c r="E1093" s="3079">
        <f>SUM(E1084:E1092)</f>
        <v>0</v>
      </c>
      <c r="F1093" s="2982"/>
      <c r="G1093" s="265"/>
      <c r="H1093" s="3020"/>
      <c r="I1093" s="2982"/>
      <c r="J1093" s="2982"/>
      <c r="K1093" s="265"/>
      <c r="L1093" s="853"/>
      <c r="M1093" s="11"/>
      <c r="N1093" s="11"/>
      <c r="O1093" s="11"/>
      <c r="P1093" s="520"/>
      <c r="Q1093" s="11"/>
    </row>
    <row r="1096" spans="1:17" ht="21" x14ac:dyDescent="0.4">
      <c r="A1096" s="3493" t="s">
        <v>3719</v>
      </c>
      <c r="B1096" s="3493"/>
      <c r="C1096" s="3493"/>
      <c r="D1096" s="3493"/>
      <c r="E1096" s="3493"/>
      <c r="F1096" s="3493"/>
      <c r="G1096" s="3493"/>
      <c r="H1096" s="3493"/>
      <c r="I1096" s="3493"/>
      <c r="J1096" s="3493"/>
      <c r="K1096" s="3493"/>
      <c r="L1096" s="3025"/>
      <c r="M1096" s="3494" t="s">
        <v>2973</v>
      </c>
      <c r="N1096" s="3494"/>
      <c r="O1096" s="3494"/>
      <c r="P1096" s="3494"/>
      <c r="Q1096" s="1313"/>
    </row>
    <row r="1097" spans="1:17" x14ac:dyDescent="0.3">
      <c r="A1097" s="2745" t="s">
        <v>2974</v>
      </c>
      <c r="B1097" s="2843" t="s">
        <v>2975</v>
      </c>
      <c r="C1097" s="2898" t="s">
        <v>2976</v>
      </c>
      <c r="D1097" s="2898" t="s">
        <v>2977</v>
      </c>
      <c r="E1097" s="2979" t="s">
        <v>2978</v>
      </c>
      <c r="F1097" s="2898" t="s">
        <v>2979</v>
      </c>
      <c r="G1097" s="2980" t="s">
        <v>2980</v>
      </c>
      <c r="H1097" s="2843" t="s">
        <v>2981</v>
      </c>
      <c r="I1097" s="2981" t="s">
        <v>2982</v>
      </c>
      <c r="J1097" s="2898" t="s">
        <v>3503</v>
      </c>
      <c r="K1097" s="2898" t="s">
        <v>2983</v>
      </c>
      <c r="L1097" s="2898" t="s">
        <v>3504</v>
      </c>
      <c r="M1097" s="2745" t="s">
        <v>2975</v>
      </c>
      <c r="N1097" s="2745" t="s">
        <v>2977</v>
      </c>
      <c r="O1097" s="2745" t="s">
        <v>2984</v>
      </c>
      <c r="P1097" s="3457" t="s">
        <v>2979</v>
      </c>
      <c r="Q1097" s="268" t="s">
        <v>2985</v>
      </c>
    </row>
    <row r="1098" spans="1:17" x14ac:dyDescent="0.3">
      <c r="A1098" s="3492"/>
      <c r="B1098" s="3453"/>
      <c r="C1098" s="3454"/>
      <c r="D1098" s="2289"/>
      <c r="E1098" s="3260"/>
      <c r="F1098" s="50"/>
      <c r="G1098" s="2289"/>
      <c r="H1098" s="3069"/>
      <c r="I1098" s="50"/>
      <c r="J1098" s="50"/>
      <c r="K1098" s="3455"/>
      <c r="L1098" s="722"/>
      <c r="M1098" s="11"/>
      <c r="N1098" s="11"/>
      <c r="O1098" s="11"/>
      <c r="P1098" s="520"/>
      <c r="Q1098" s="11"/>
    </row>
    <row r="1099" spans="1:17" x14ac:dyDescent="0.3">
      <c r="A1099" s="3492"/>
      <c r="B1099" s="3453"/>
      <c r="C1099" s="3454"/>
      <c r="D1099" s="2289"/>
      <c r="E1099" s="3260"/>
      <c r="F1099" s="50"/>
      <c r="G1099" s="2289"/>
      <c r="H1099" s="3069"/>
      <c r="I1099" s="50"/>
      <c r="J1099" s="50"/>
      <c r="K1099" s="3455"/>
      <c r="L1099" s="722"/>
      <c r="M1099" s="11"/>
      <c r="N1099" s="11"/>
      <c r="O1099" s="11"/>
      <c r="P1099" s="520"/>
      <c r="Q1099" s="11"/>
    </row>
    <row r="1100" spans="1:17" x14ac:dyDescent="0.3">
      <c r="A1100" s="3492"/>
      <c r="B1100" s="3453"/>
      <c r="C1100" s="3454"/>
      <c r="D1100" s="2289"/>
      <c r="E1100" s="3260"/>
      <c r="F1100" s="50"/>
      <c r="G1100" s="2289"/>
      <c r="H1100" s="3069"/>
      <c r="I1100" s="50"/>
      <c r="J1100" s="50"/>
      <c r="K1100" s="3455"/>
      <c r="L1100" s="722"/>
      <c r="M1100" s="11"/>
      <c r="N1100" s="11"/>
      <c r="O1100" s="11"/>
      <c r="P1100" s="520"/>
      <c r="Q1100" s="11"/>
    </row>
    <row r="1101" spans="1:17" x14ac:dyDescent="0.3">
      <c r="A1101" s="3492"/>
      <c r="B1101" s="3453"/>
      <c r="C1101" s="3454"/>
      <c r="D1101" s="2289"/>
      <c r="E1101" s="3260"/>
      <c r="F1101" s="50"/>
      <c r="G1101" s="2289"/>
      <c r="H1101" s="3069"/>
      <c r="I1101" s="50"/>
      <c r="J1101" s="50"/>
      <c r="K1101" s="3455"/>
      <c r="L1101" s="722"/>
      <c r="M1101" s="11"/>
      <c r="N1101" s="11"/>
      <c r="O1101" s="11"/>
      <c r="P1101" s="520"/>
      <c r="Q1101" s="11"/>
    </row>
    <row r="1102" spans="1:17" x14ac:dyDescent="0.3">
      <c r="A1102" s="3492"/>
      <c r="B1102" s="3453"/>
      <c r="C1102" s="3454"/>
      <c r="D1102" s="2289"/>
      <c r="E1102" s="3260"/>
      <c r="F1102" s="50"/>
      <c r="G1102" s="2289"/>
      <c r="H1102" s="3069"/>
      <c r="I1102" s="50"/>
      <c r="J1102" s="50"/>
      <c r="K1102" s="3455"/>
      <c r="L1102" s="722"/>
      <c r="M1102" s="11"/>
      <c r="N1102" s="11"/>
      <c r="O1102" s="11"/>
      <c r="P1102" s="520"/>
      <c r="Q1102" s="11"/>
    </row>
    <row r="1103" spans="1:17" x14ac:dyDescent="0.3">
      <c r="A1103" s="3492"/>
      <c r="B1103" s="3453"/>
      <c r="C1103" s="3454"/>
      <c r="D1103" s="3456"/>
      <c r="E1103" s="3260"/>
      <c r="F1103" s="50"/>
      <c r="G1103" s="2289"/>
      <c r="H1103" s="3069"/>
      <c r="I1103" s="50"/>
      <c r="J1103" s="50"/>
      <c r="K1103" s="3455"/>
      <c r="L1103" s="722"/>
      <c r="M1103" s="11"/>
      <c r="N1103" s="11"/>
      <c r="O1103" s="11"/>
      <c r="P1103" s="520"/>
      <c r="Q1103" s="11"/>
    </row>
    <row r="1104" spans="1:17" x14ac:dyDescent="0.3">
      <c r="A1104" s="3492"/>
      <c r="B1104" s="3453"/>
      <c r="C1104" s="3454"/>
      <c r="D1104" s="2289"/>
      <c r="E1104" s="3260"/>
      <c r="F1104" s="50"/>
      <c r="G1104" s="2289"/>
      <c r="H1104" s="3069"/>
      <c r="I1104" s="50"/>
      <c r="J1104" s="50"/>
      <c r="K1104" s="3455"/>
      <c r="L1104" s="722"/>
      <c r="M1104" s="11"/>
      <c r="N1104" s="11"/>
      <c r="O1104" s="11"/>
      <c r="P1104" s="520"/>
      <c r="Q1104" s="11"/>
    </row>
    <row r="1105" spans="1:17" x14ac:dyDescent="0.3">
      <c r="A1105" s="3492"/>
      <c r="B1105" s="3453"/>
      <c r="C1105" s="3454"/>
      <c r="D1105" s="2289"/>
      <c r="E1105" s="3260"/>
      <c r="F1105" s="50"/>
      <c r="G1105" s="2289"/>
      <c r="H1105" s="3069"/>
      <c r="I1105" s="50"/>
      <c r="J1105" s="50"/>
      <c r="K1105" s="3455"/>
      <c r="L1105" s="722"/>
      <c r="M1105" s="11"/>
      <c r="N1105" s="11"/>
      <c r="O1105" s="11"/>
      <c r="P1105" s="520"/>
      <c r="Q1105" s="11"/>
    </row>
    <row r="1106" spans="1:17" x14ac:dyDescent="0.3">
      <c r="A1106" s="3492"/>
      <c r="B1106" s="3453"/>
      <c r="C1106" s="3454"/>
      <c r="D1106" s="2289"/>
      <c r="E1106" s="3260"/>
      <c r="F1106" s="50"/>
      <c r="G1106" s="2289"/>
      <c r="H1106" s="3069"/>
      <c r="I1106" s="50"/>
      <c r="J1106" s="50"/>
      <c r="K1106" s="3455"/>
      <c r="L1106" s="722"/>
      <c r="M1106" s="11"/>
      <c r="N1106" s="11"/>
      <c r="O1106" s="11"/>
      <c r="P1106" s="520"/>
      <c r="Q1106" s="11"/>
    </row>
    <row r="1107" spans="1:17" x14ac:dyDescent="0.3">
      <c r="A1107" s="3492"/>
      <c r="B1107" s="3113"/>
      <c r="C1107" s="2982"/>
      <c r="D1107" s="265"/>
      <c r="E1107" s="3079">
        <f>SUM(E1098:E1106)</f>
        <v>0</v>
      </c>
      <c r="F1107" s="2982"/>
      <c r="G1107" s="265"/>
      <c r="H1107" s="3020"/>
      <c r="I1107" s="2982"/>
      <c r="J1107" s="2982"/>
      <c r="K1107" s="265"/>
      <c r="L1107" s="853"/>
      <c r="M1107" s="11"/>
      <c r="N1107" s="11"/>
      <c r="O1107" s="11"/>
      <c r="P1107" s="520"/>
      <c r="Q1107" s="11"/>
    </row>
  </sheetData>
  <mergeCells count="321">
    <mergeCell ref="A1045:B1045"/>
    <mergeCell ref="A1046:B1046"/>
    <mergeCell ref="A1047:B1047"/>
    <mergeCell ref="A1048:B1048"/>
    <mergeCell ref="A1049:B1049"/>
    <mergeCell ref="A1050:B1050"/>
    <mergeCell ref="A1018:A1033"/>
    <mergeCell ref="C844:C845"/>
    <mergeCell ref="D844:D845"/>
    <mergeCell ref="A943:B943"/>
    <mergeCell ref="A991:A1012"/>
    <mergeCell ref="A971:A985"/>
    <mergeCell ref="A950:A966"/>
    <mergeCell ref="A1035:K1035"/>
    <mergeCell ref="A1037:A1042"/>
    <mergeCell ref="A948:K948"/>
    <mergeCell ref="M34:P34"/>
    <mergeCell ref="A4:K4"/>
    <mergeCell ref="M4:P4"/>
    <mergeCell ref="A93:K93"/>
    <mergeCell ref="A95:K95"/>
    <mergeCell ref="N50:P50"/>
    <mergeCell ref="A6:A16"/>
    <mergeCell ref="N15:P15"/>
    <mergeCell ref="A19:K19"/>
    <mergeCell ref="M19:P19"/>
    <mergeCell ref="A21:A31"/>
    <mergeCell ref="N31:P31"/>
    <mergeCell ref="A36:A50"/>
    <mergeCell ref="M95:P95"/>
    <mergeCell ref="A89:B89"/>
    <mergeCell ref="A84:B84"/>
    <mergeCell ref="A85:B85"/>
    <mergeCell ref="A86:B86"/>
    <mergeCell ref="A88:B88"/>
    <mergeCell ref="A53:K53"/>
    <mergeCell ref="N67:P67"/>
    <mergeCell ref="A87:B87"/>
    <mergeCell ref="A72:A82"/>
    <mergeCell ref="A97:A109"/>
    <mergeCell ref="N108:P108"/>
    <mergeCell ref="A112:K112"/>
    <mergeCell ref="M112:P112"/>
    <mergeCell ref="D109:F109"/>
    <mergeCell ref="A55:A67"/>
    <mergeCell ref="M189:P189"/>
    <mergeCell ref="A185:K185"/>
    <mergeCell ref="A187:K187"/>
    <mergeCell ref="A189:K189"/>
    <mergeCell ref="A176:B176"/>
    <mergeCell ref="A177:B177"/>
    <mergeCell ref="A178:B178"/>
    <mergeCell ref="A179:B179"/>
    <mergeCell ref="A180:B180"/>
    <mergeCell ref="N128:P128"/>
    <mergeCell ref="D174:F174"/>
    <mergeCell ref="A114:A129"/>
    <mergeCell ref="D129:F129"/>
    <mergeCell ref="A274:K274"/>
    <mergeCell ref="A206:A221"/>
    <mergeCell ref="N271:P271"/>
    <mergeCell ref="N240:P240"/>
    <mergeCell ref="A244:K244"/>
    <mergeCell ref="N257:P257"/>
    <mergeCell ref="M204:P204"/>
    <mergeCell ref="N220:P220"/>
    <mergeCell ref="A224:K224"/>
    <mergeCell ref="M224:P224"/>
    <mergeCell ref="A204:K204"/>
    <mergeCell ref="N200:P200"/>
    <mergeCell ref="A191:A201"/>
    <mergeCell ref="A226:A241"/>
    <mergeCell ref="A246:A258"/>
    <mergeCell ref="A263:A272"/>
    <mergeCell ref="A261:K261"/>
    <mergeCell ref="A451:A460"/>
    <mergeCell ref="N459:P459"/>
    <mergeCell ref="A290:K290"/>
    <mergeCell ref="A292:K292"/>
    <mergeCell ref="M292:P292"/>
    <mergeCell ref="A294:A309"/>
    <mergeCell ref="N308:P308"/>
    <mergeCell ref="A286:B286"/>
    <mergeCell ref="A389:K389"/>
    <mergeCell ref="A312:K312"/>
    <mergeCell ref="M312:P312"/>
    <mergeCell ref="A315:A325"/>
    <mergeCell ref="N324:P324"/>
    <mergeCell ref="A328:K328"/>
    <mergeCell ref="M328:P328"/>
    <mergeCell ref="A276:A279"/>
    <mergeCell ref="N278:P278"/>
    <mergeCell ref="A281:B281"/>
    <mergeCell ref="A463:K463"/>
    <mergeCell ref="A465:A471"/>
    <mergeCell ref="N470:P470"/>
    <mergeCell ref="A473:K473"/>
    <mergeCell ref="A475:A480"/>
    <mergeCell ref="N479:P479"/>
    <mergeCell ref="A2:K2"/>
    <mergeCell ref="A34:K34"/>
    <mergeCell ref="N173:P173"/>
    <mergeCell ref="A134:A142"/>
    <mergeCell ref="N141:P141"/>
    <mergeCell ref="A145:K145"/>
    <mergeCell ref="N159:P159"/>
    <mergeCell ref="D142:F142"/>
    <mergeCell ref="D160:F160"/>
    <mergeCell ref="A163:K163"/>
    <mergeCell ref="A147:A160"/>
    <mergeCell ref="A165:A174"/>
    <mergeCell ref="A70:K70"/>
    <mergeCell ref="N82:P82"/>
    <mergeCell ref="A132:K132"/>
    <mergeCell ref="M132:P132"/>
    <mergeCell ref="A330:A340"/>
    <mergeCell ref="N339:P339"/>
    <mergeCell ref="A282:B282"/>
    <mergeCell ref="A283:B283"/>
    <mergeCell ref="A284:B284"/>
    <mergeCell ref="A285:B285"/>
    <mergeCell ref="A365:K365"/>
    <mergeCell ref="A367:A371"/>
    <mergeCell ref="N370:P370"/>
    <mergeCell ref="A373:K373"/>
    <mergeCell ref="A375:A378"/>
    <mergeCell ref="N377:P377"/>
    <mergeCell ref="A343:K343"/>
    <mergeCell ref="A345:A362"/>
    <mergeCell ref="N361:P361"/>
    <mergeCell ref="A707:A725"/>
    <mergeCell ref="N724:P724"/>
    <mergeCell ref="A728:K728"/>
    <mergeCell ref="M728:P728"/>
    <mergeCell ref="A688:A702"/>
    <mergeCell ref="A385:B385"/>
    <mergeCell ref="A380:B380"/>
    <mergeCell ref="A381:B381"/>
    <mergeCell ref="A382:B382"/>
    <mergeCell ref="A383:B383"/>
    <mergeCell ref="A384:B384"/>
    <mergeCell ref="A391:K391"/>
    <mergeCell ref="M391:P391"/>
    <mergeCell ref="A393:A409"/>
    <mergeCell ref="N408:P408"/>
    <mergeCell ref="A412:K412"/>
    <mergeCell ref="M412:P412"/>
    <mergeCell ref="N425:P425"/>
    <mergeCell ref="A414:A426"/>
    <mergeCell ref="A429:K429"/>
    <mergeCell ref="M429:P429"/>
    <mergeCell ref="A431:A446"/>
    <mergeCell ref="N445:P445"/>
    <mergeCell ref="A449:K449"/>
    <mergeCell ref="A686:K686"/>
    <mergeCell ref="M686:P686"/>
    <mergeCell ref="N701:P701"/>
    <mergeCell ref="A705:K705"/>
    <mergeCell ref="M705:P705"/>
    <mergeCell ref="A594:K594"/>
    <mergeCell ref="A596:K596"/>
    <mergeCell ref="M596:P596"/>
    <mergeCell ref="A598:A602"/>
    <mergeCell ref="N601:P601"/>
    <mergeCell ref="A605:K605"/>
    <mergeCell ref="M605:P605"/>
    <mergeCell ref="N617:P617"/>
    <mergeCell ref="A621:K621"/>
    <mergeCell ref="M621:P621"/>
    <mergeCell ref="A607:A619"/>
    <mergeCell ref="A667:K667"/>
    <mergeCell ref="A669:K669"/>
    <mergeCell ref="M669:P669"/>
    <mergeCell ref="A671:A683"/>
    <mergeCell ref="N682:P682"/>
    <mergeCell ref="N635:P635"/>
    <mergeCell ref="A639:K639"/>
    <mergeCell ref="A641:A648"/>
    <mergeCell ref="M493:P493"/>
    <mergeCell ref="A495:A507"/>
    <mergeCell ref="N506:P506"/>
    <mergeCell ref="A510:K510"/>
    <mergeCell ref="M510:P510"/>
    <mergeCell ref="A512:A530"/>
    <mergeCell ref="N529:P529"/>
    <mergeCell ref="A590:B590"/>
    <mergeCell ref="A533:K533"/>
    <mergeCell ref="M533:P533"/>
    <mergeCell ref="A535:A549"/>
    <mergeCell ref="N548:P548"/>
    <mergeCell ref="A552:K552"/>
    <mergeCell ref="N574:P574"/>
    <mergeCell ref="A554:A575"/>
    <mergeCell ref="A577:K577"/>
    <mergeCell ref="A579:A583"/>
    <mergeCell ref="N582:P582"/>
    <mergeCell ref="A585:B585"/>
    <mergeCell ref="A586:B586"/>
    <mergeCell ref="A587:B587"/>
    <mergeCell ref="A588:B588"/>
    <mergeCell ref="A589:B589"/>
    <mergeCell ref="N648:P648"/>
    <mergeCell ref="A650:K650"/>
    <mergeCell ref="A652:A656"/>
    <mergeCell ref="N655:P655"/>
    <mergeCell ref="A623:A635"/>
    <mergeCell ref="A659:B659"/>
    <mergeCell ref="A661:B661"/>
    <mergeCell ref="A662:B662"/>
    <mergeCell ref="A663:B663"/>
    <mergeCell ref="A658:B658"/>
    <mergeCell ref="A660:B660"/>
    <mergeCell ref="A487:B487"/>
    <mergeCell ref="A486:B486"/>
    <mergeCell ref="A485:B485"/>
    <mergeCell ref="A484:B484"/>
    <mergeCell ref="A483:B483"/>
    <mergeCell ref="A482:B482"/>
    <mergeCell ref="A181:B181"/>
    <mergeCell ref="D842:D843"/>
    <mergeCell ref="C842:C843"/>
    <mergeCell ref="B842:B843"/>
    <mergeCell ref="A842:A843"/>
    <mergeCell ref="A837:B837"/>
    <mergeCell ref="A836:B836"/>
    <mergeCell ref="A758:K758"/>
    <mergeCell ref="A760:K760"/>
    <mergeCell ref="A778:K778"/>
    <mergeCell ref="A792:K792"/>
    <mergeCell ref="A817:A823"/>
    <mergeCell ref="A815:K815"/>
    <mergeCell ref="A762:A775"/>
    <mergeCell ref="A780:A790"/>
    <mergeCell ref="A794:A812"/>
    <mergeCell ref="A491:K491"/>
    <mergeCell ref="A493:K493"/>
    <mergeCell ref="A730:A732"/>
    <mergeCell ref="N731:P731"/>
    <mergeCell ref="A735:K735"/>
    <mergeCell ref="M735:P735"/>
    <mergeCell ref="A851:L851"/>
    <mergeCell ref="A850:L850"/>
    <mergeCell ref="M760:P760"/>
    <mergeCell ref="M778:P778"/>
    <mergeCell ref="M792:P792"/>
    <mergeCell ref="M815:P815"/>
    <mergeCell ref="M825:P825"/>
    <mergeCell ref="N828:P828"/>
    <mergeCell ref="A748:B748"/>
    <mergeCell ref="A749:B749"/>
    <mergeCell ref="A750:B750"/>
    <mergeCell ref="A751:B751"/>
    <mergeCell ref="A752:B752"/>
    <mergeCell ref="A753:B753"/>
    <mergeCell ref="A825:K825"/>
    <mergeCell ref="A827:A829"/>
    <mergeCell ref="N822:P822"/>
    <mergeCell ref="A832:B832"/>
    <mergeCell ref="A833:B833"/>
    <mergeCell ref="A834:B834"/>
    <mergeCell ref="A737:A739"/>
    <mergeCell ref="N738:P738"/>
    <mergeCell ref="A742:K742"/>
    <mergeCell ref="A744:A746"/>
    <mergeCell ref="M931:P931"/>
    <mergeCell ref="M917:P917"/>
    <mergeCell ref="A852:K852"/>
    <mergeCell ref="M852:P852"/>
    <mergeCell ref="A854:A870"/>
    <mergeCell ref="A873:K873"/>
    <mergeCell ref="A875:A895"/>
    <mergeCell ref="A897:K897"/>
    <mergeCell ref="M897:P897"/>
    <mergeCell ref="A840:A841"/>
    <mergeCell ref="B840:B841"/>
    <mergeCell ref="C840:C841"/>
    <mergeCell ref="D840:D841"/>
    <mergeCell ref="A844:A845"/>
    <mergeCell ref="B844:B845"/>
    <mergeCell ref="A835:B835"/>
    <mergeCell ref="A919:A929"/>
    <mergeCell ref="A899:A915"/>
    <mergeCell ref="A917:K917"/>
    <mergeCell ref="A931:K931"/>
    <mergeCell ref="N915:P915"/>
    <mergeCell ref="B869:C870"/>
    <mergeCell ref="B894:C895"/>
    <mergeCell ref="B914:C915"/>
    <mergeCell ref="N929:P929"/>
    <mergeCell ref="B928:C929"/>
    <mergeCell ref="B934:C935"/>
    <mergeCell ref="A933:A935"/>
    <mergeCell ref="A947:L947"/>
    <mergeCell ref="M873:Q873"/>
    <mergeCell ref="N870:P870"/>
    <mergeCell ref="N895:P895"/>
    <mergeCell ref="M948:P948"/>
    <mergeCell ref="A969:K969"/>
    <mergeCell ref="M969:P969"/>
    <mergeCell ref="A989:K989"/>
    <mergeCell ref="M989:P989"/>
    <mergeCell ref="A1016:K1016"/>
    <mergeCell ref="M1016:P1016"/>
    <mergeCell ref="A938:B938"/>
    <mergeCell ref="A939:B939"/>
    <mergeCell ref="A940:B940"/>
    <mergeCell ref="A941:B941"/>
    <mergeCell ref="A942:B942"/>
    <mergeCell ref="A1084:A1093"/>
    <mergeCell ref="A1096:K1096"/>
    <mergeCell ref="M1096:P1096"/>
    <mergeCell ref="A1098:A1107"/>
    <mergeCell ref="A1054:L1054"/>
    <mergeCell ref="A1055:K1055"/>
    <mergeCell ref="A1057:A1066"/>
    <mergeCell ref="M1055:P1055"/>
    <mergeCell ref="A1068:K1068"/>
    <mergeCell ref="M1068:P1068"/>
    <mergeCell ref="A1070:A1079"/>
    <mergeCell ref="A1082:K1082"/>
    <mergeCell ref="M1082:P1082"/>
  </mergeCells>
  <pageMargins left="0.7" right="0.7" top="0.75" bottom="0.75" header="0.3" footer="0.3"/>
  <pageSetup orientation="portrait" horizontalDpi="300" verticalDpi="300" r:id="rId1"/>
  <ignoredErrors>
    <ignoredError xmlns:x16r3="http://schemas.microsoft.com/office/spreadsheetml/2018/08/main" xmlns:x16r5="http://schemas.microsoft.com/office/spreadsheetml/2020/10/main" sqref="A395 R395:XFD395 A400 M400:XFD400 D395:E395 D393:E393 R393:XFD393 I393 I395 A409:D409 A407:F407 M407:XFD407 F408 A408:D408 M408:P408 R408:XFD408 M409:XFD409 F409:G409 I408 I407 K407:K409 I409" evalError="1" twoDigitTextYear="1" numberStoredAsText="1" formula="1" formulaRange="1" unlockedFormula="1" emptyCellReference="1" listDataValidation="1" calculatedColumn="1" x16r3:misleadingFormat="1" x16r5:outdatedDataTypes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CEF0-9758-4CE4-8088-AF9A17EF7B14}">
  <sheetPr>
    <tabColor rgb="FFFF0000"/>
  </sheetPr>
  <dimension ref="A1:K1181"/>
  <sheetViews>
    <sheetView topLeftCell="A614" workbookViewId="0">
      <selection activeCell="C1133" sqref="C1133"/>
    </sheetView>
  </sheetViews>
  <sheetFormatPr baseColWidth="10" defaultColWidth="8.88671875" defaultRowHeight="14.4" x14ac:dyDescent="0.3"/>
  <cols>
    <col min="1" max="1" width="15.5546875" style="1" customWidth="1"/>
    <col min="2" max="2" width="16" style="2390" customWidth="1"/>
    <col min="3" max="3" width="55.44140625" style="1082" customWidth="1"/>
    <col min="4" max="4" width="30.44140625" customWidth="1"/>
    <col min="5" max="5" width="17.33203125" style="3333" customWidth="1"/>
    <col min="6" max="6" width="9.109375" style="1"/>
    <col min="7" max="7" width="14.44140625" customWidth="1"/>
    <col min="8" max="8" width="16.109375" customWidth="1"/>
    <col min="11" max="11" width="13.33203125" customWidth="1"/>
    <col min="15" max="15" width="33.5546875" customWidth="1"/>
    <col min="16" max="16" width="11.88671875" bestFit="1" customWidth="1"/>
    <col min="18" max="18" width="19.44140625" customWidth="1"/>
  </cols>
  <sheetData>
    <row r="1" spans="1:8" ht="12.75" customHeight="1" x14ac:dyDescent="0.3"/>
    <row r="2" spans="1:8" ht="46.2" hidden="1" x14ac:dyDescent="0.85">
      <c r="A2" s="3662" t="s">
        <v>2971</v>
      </c>
      <c r="B2" s="3662"/>
      <c r="C2" s="3662"/>
      <c r="D2" s="3662"/>
      <c r="E2" s="3662"/>
      <c r="F2" s="3662"/>
      <c r="G2" s="3662"/>
      <c r="H2" s="2221"/>
    </row>
    <row r="3" spans="1:8" hidden="1" x14ac:dyDescent="0.3"/>
    <row r="4" spans="1:8" ht="15" hidden="1" customHeight="1" x14ac:dyDescent="0.3">
      <c r="A4" s="3665" t="s">
        <v>3750</v>
      </c>
      <c r="B4" s="3665"/>
      <c r="C4" s="3665"/>
      <c r="D4" s="3665"/>
      <c r="E4" s="3665"/>
      <c r="F4" s="3665"/>
      <c r="G4" s="3665"/>
      <c r="H4" s="1"/>
    </row>
    <row r="5" spans="1:8" ht="15" hidden="1" customHeight="1" x14ac:dyDescent="0.3">
      <c r="A5" s="3665"/>
      <c r="B5" s="3665"/>
      <c r="C5" s="3665"/>
      <c r="D5" s="3665"/>
      <c r="E5" s="3665"/>
      <c r="F5" s="3665"/>
      <c r="G5" s="3665"/>
      <c r="H5" s="1"/>
    </row>
    <row r="6" spans="1:8" hidden="1" x14ac:dyDescent="0.3">
      <c r="A6" s="3182" t="s">
        <v>3751</v>
      </c>
      <c r="B6" s="2388" t="s">
        <v>2976</v>
      </c>
      <c r="C6" s="3018" t="s">
        <v>3752</v>
      </c>
      <c r="D6" s="1124" t="s">
        <v>3753</v>
      </c>
      <c r="E6" s="3322" t="s">
        <v>3754</v>
      </c>
      <c r="F6" s="2281" t="s">
        <v>2979</v>
      </c>
      <c r="G6" s="289" t="s">
        <v>2985</v>
      </c>
      <c r="H6" s="2225" t="s">
        <v>3755</v>
      </c>
    </row>
    <row r="7" spans="1:8" hidden="1" x14ac:dyDescent="0.3">
      <c r="A7" s="2366">
        <v>12546</v>
      </c>
      <c r="B7" s="2420">
        <v>0.1</v>
      </c>
      <c r="C7" s="1411" t="s">
        <v>2987</v>
      </c>
      <c r="D7" s="1058"/>
      <c r="E7" s="3334">
        <v>1300000</v>
      </c>
      <c r="F7" s="376">
        <v>0.06</v>
      </c>
      <c r="G7" s="740">
        <f t="shared" ref="G7:G23" si="0">E7*F7</f>
        <v>78000</v>
      </c>
      <c r="H7" s="1780" t="s">
        <v>36</v>
      </c>
    </row>
    <row r="8" spans="1:8" hidden="1" x14ac:dyDescent="0.3">
      <c r="A8" s="2366">
        <v>12570</v>
      </c>
      <c r="B8" s="2420">
        <v>0.1</v>
      </c>
      <c r="C8" s="1170" t="s">
        <v>2989</v>
      </c>
      <c r="D8" s="1762"/>
      <c r="E8" s="3335">
        <v>1100000</v>
      </c>
      <c r="F8" s="376">
        <v>0.06</v>
      </c>
      <c r="G8" s="740">
        <f t="shared" si="0"/>
        <v>66000</v>
      </c>
      <c r="H8" s="1780" t="s">
        <v>36</v>
      </c>
    </row>
    <row r="9" spans="1:8" hidden="1" x14ac:dyDescent="0.3">
      <c r="A9" s="2403">
        <v>12628</v>
      </c>
      <c r="B9" s="2420">
        <v>0.1</v>
      </c>
      <c r="C9" s="1170" t="s">
        <v>2994</v>
      </c>
      <c r="D9" s="1762"/>
      <c r="E9" s="3335">
        <v>1200000</v>
      </c>
      <c r="F9" s="376">
        <v>0.06</v>
      </c>
      <c r="G9" s="740">
        <f t="shared" si="0"/>
        <v>72000</v>
      </c>
      <c r="H9" s="1780" t="s">
        <v>36</v>
      </c>
    </row>
    <row r="10" spans="1:8" hidden="1" x14ac:dyDescent="0.3">
      <c r="A10" s="2400">
        <v>12502</v>
      </c>
      <c r="B10" s="2420">
        <v>0.1</v>
      </c>
      <c r="C10" s="1170" t="s">
        <v>3006</v>
      </c>
      <c r="D10" s="1762"/>
      <c r="E10" s="3335">
        <v>800000</v>
      </c>
      <c r="F10" s="376">
        <v>0.06</v>
      </c>
      <c r="G10" s="740">
        <f t="shared" si="0"/>
        <v>48000</v>
      </c>
      <c r="H10" s="1780" t="s">
        <v>36</v>
      </c>
    </row>
    <row r="11" spans="1:8" hidden="1" x14ac:dyDescent="0.3">
      <c r="A11" s="2400">
        <v>12533</v>
      </c>
      <c r="B11" s="2420">
        <v>0.1</v>
      </c>
      <c r="C11" s="1411" t="s">
        <v>3009</v>
      </c>
      <c r="D11" s="716"/>
      <c r="E11" s="3335">
        <v>1200000</v>
      </c>
      <c r="F11" s="376">
        <v>0.06</v>
      </c>
      <c r="G11" s="740">
        <f t="shared" si="0"/>
        <v>72000</v>
      </c>
      <c r="H11" s="1780" t="s">
        <v>36</v>
      </c>
    </row>
    <row r="12" spans="1:8" hidden="1" x14ac:dyDescent="0.3">
      <c r="A12" s="2395">
        <v>12573</v>
      </c>
      <c r="B12" s="556">
        <v>0.08</v>
      </c>
      <c r="C12" s="1411" t="s">
        <v>3012</v>
      </c>
      <c r="D12" s="1058"/>
      <c r="E12" s="3334">
        <v>1850000</v>
      </c>
      <c r="F12" s="2456">
        <v>0.05</v>
      </c>
      <c r="G12" s="740">
        <f t="shared" si="0"/>
        <v>92500</v>
      </c>
      <c r="H12" s="1780" t="s">
        <v>36</v>
      </c>
    </row>
    <row r="13" spans="1:8" hidden="1" x14ac:dyDescent="0.3">
      <c r="A13" s="2403">
        <v>12480</v>
      </c>
      <c r="B13" s="2420">
        <v>0.1</v>
      </c>
      <c r="C13" s="1170" t="s">
        <v>3028</v>
      </c>
      <c r="D13" s="2369"/>
      <c r="E13" s="3334">
        <v>1100000</v>
      </c>
      <c r="F13" s="376">
        <v>0.06</v>
      </c>
      <c r="G13" s="740">
        <f t="shared" si="0"/>
        <v>66000</v>
      </c>
      <c r="H13" s="1780" t="s">
        <v>36</v>
      </c>
    </row>
    <row r="14" spans="1:8" hidden="1" x14ac:dyDescent="0.3">
      <c r="A14" s="2400">
        <v>12626</v>
      </c>
      <c r="B14" s="2420">
        <v>0.1</v>
      </c>
      <c r="C14" s="1170" t="s">
        <v>3036</v>
      </c>
      <c r="D14" s="1058"/>
      <c r="E14" s="3334">
        <v>950000</v>
      </c>
      <c r="F14" s="376">
        <v>0.06</v>
      </c>
      <c r="G14" s="740">
        <f t="shared" si="0"/>
        <v>57000</v>
      </c>
      <c r="H14" s="1780" t="s">
        <v>36</v>
      </c>
    </row>
    <row r="15" spans="1:8" hidden="1" x14ac:dyDescent="0.3">
      <c r="A15" s="2414">
        <v>12657</v>
      </c>
      <c r="B15" s="556">
        <v>0.08</v>
      </c>
      <c r="C15" s="1170" t="s">
        <v>3013</v>
      </c>
      <c r="D15" s="1058"/>
      <c r="E15" s="3334">
        <v>770000</v>
      </c>
      <c r="F15" s="2456">
        <v>0.05</v>
      </c>
      <c r="G15" s="740">
        <f t="shared" si="0"/>
        <v>38500</v>
      </c>
      <c r="H15" s="1780" t="s">
        <v>271</v>
      </c>
    </row>
    <row r="16" spans="1:8" hidden="1" x14ac:dyDescent="0.3">
      <c r="A16" s="2395">
        <v>12665</v>
      </c>
      <c r="B16" s="423">
        <v>0.1</v>
      </c>
      <c r="C16" s="1411" t="s">
        <v>3037</v>
      </c>
      <c r="D16" s="1058"/>
      <c r="E16" s="3334">
        <v>1100000</v>
      </c>
      <c r="F16" s="376">
        <v>0.06</v>
      </c>
      <c r="G16" s="740">
        <f t="shared" si="0"/>
        <v>66000</v>
      </c>
      <c r="H16" s="1780" t="s">
        <v>271</v>
      </c>
    </row>
    <row r="17" spans="1:8" hidden="1" x14ac:dyDescent="0.3">
      <c r="A17" s="2407">
        <v>12439</v>
      </c>
      <c r="B17" s="2420">
        <v>0.1</v>
      </c>
      <c r="C17" s="1170" t="s">
        <v>3043</v>
      </c>
      <c r="D17" s="1058"/>
      <c r="E17" s="3334">
        <v>1350000</v>
      </c>
      <c r="F17" s="376">
        <v>0.06</v>
      </c>
      <c r="G17" s="740">
        <f t="shared" si="0"/>
        <v>81000</v>
      </c>
      <c r="H17" s="1780" t="s">
        <v>36</v>
      </c>
    </row>
    <row r="18" spans="1:8" hidden="1" x14ac:dyDescent="0.3">
      <c r="A18" s="2403">
        <v>12462</v>
      </c>
      <c r="B18" s="2420">
        <v>0.1</v>
      </c>
      <c r="C18" s="1170" t="s">
        <v>3030</v>
      </c>
      <c r="D18" s="1058"/>
      <c r="E18" s="3334">
        <v>1200000</v>
      </c>
      <c r="F18" s="376">
        <v>0.06</v>
      </c>
      <c r="G18" s="740">
        <f t="shared" si="0"/>
        <v>72000</v>
      </c>
      <c r="H18" s="1780" t="s">
        <v>36</v>
      </c>
    </row>
    <row r="19" spans="1:8" hidden="1" x14ac:dyDescent="0.3">
      <c r="A19" s="2400">
        <v>12519</v>
      </c>
      <c r="B19" s="2420">
        <v>0.1</v>
      </c>
      <c r="C19" s="1411" t="s">
        <v>3045</v>
      </c>
      <c r="D19" s="1058"/>
      <c r="E19" s="3334">
        <v>1050000</v>
      </c>
      <c r="F19" s="376">
        <v>0.06</v>
      </c>
      <c r="G19" s="740">
        <f t="shared" si="0"/>
        <v>63000</v>
      </c>
      <c r="H19" s="1780" t="s">
        <v>271</v>
      </c>
    </row>
    <row r="20" spans="1:8" hidden="1" x14ac:dyDescent="0.3">
      <c r="A20" s="2395">
        <v>12549</v>
      </c>
      <c r="B20" s="2420">
        <v>0.1</v>
      </c>
      <c r="C20" s="1411" t="s">
        <v>3046</v>
      </c>
      <c r="D20" s="1058"/>
      <c r="E20" s="3334">
        <v>900000</v>
      </c>
      <c r="F20" s="376">
        <v>0.06</v>
      </c>
      <c r="G20" s="740">
        <f t="shared" si="0"/>
        <v>54000</v>
      </c>
      <c r="H20" s="1780" t="s">
        <v>36</v>
      </c>
    </row>
    <row r="21" spans="1:8" hidden="1" x14ac:dyDescent="0.3">
      <c r="A21" s="2395">
        <v>12627</v>
      </c>
      <c r="B21" s="2420">
        <v>0.1</v>
      </c>
      <c r="C21" s="1411" t="s">
        <v>3050</v>
      </c>
      <c r="D21" s="1762"/>
      <c r="E21" s="3335">
        <v>900000</v>
      </c>
      <c r="F21" s="376">
        <v>0.06</v>
      </c>
      <c r="G21" s="740">
        <f t="shared" si="0"/>
        <v>54000</v>
      </c>
      <c r="H21" s="1780" t="s">
        <v>271</v>
      </c>
    </row>
    <row r="22" spans="1:8" hidden="1" x14ac:dyDescent="0.3">
      <c r="A22" s="2403">
        <v>12484</v>
      </c>
      <c r="B22" s="2420">
        <v>0.1</v>
      </c>
      <c r="C22" s="1170" t="s">
        <v>3055</v>
      </c>
      <c r="D22" s="2369"/>
      <c r="E22" s="3334">
        <v>850000</v>
      </c>
      <c r="F22" s="376">
        <v>0.06</v>
      </c>
      <c r="G22" s="740">
        <f t="shared" si="0"/>
        <v>51000</v>
      </c>
      <c r="H22" s="1780" t="s">
        <v>36</v>
      </c>
    </row>
    <row r="23" spans="1:8" hidden="1" x14ac:dyDescent="0.3">
      <c r="A23" s="2444">
        <v>12670</v>
      </c>
      <c r="B23" s="365">
        <v>0.1</v>
      </c>
      <c r="C23" s="1411" t="s">
        <v>3061</v>
      </c>
      <c r="D23" s="2369" t="s">
        <v>3756</v>
      </c>
      <c r="E23" s="3334">
        <v>1300000</v>
      </c>
      <c r="F23" s="2456">
        <v>0.02</v>
      </c>
      <c r="G23" s="740">
        <f t="shared" si="0"/>
        <v>26000</v>
      </c>
      <c r="H23" s="1780" t="s">
        <v>36</v>
      </c>
    </row>
    <row r="24" spans="1:8" hidden="1" x14ac:dyDescent="0.3">
      <c r="A24" s="2409" t="s">
        <v>3022</v>
      </c>
      <c r="B24" s="1477"/>
      <c r="C24" s="1246" t="s">
        <v>3052</v>
      </c>
      <c r="D24" s="1058"/>
      <c r="E24" s="3334"/>
      <c r="F24" s="376"/>
      <c r="G24" s="740"/>
      <c r="H24" s="970"/>
    </row>
    <row r="25" spans="1:8" hidden="1" x14ac:dyDescent="0.3">
      <c r="A25" s="2401"/>
      <c r="B25" s="1725"/>
      <c r="C25" s="1246" t="s">
        <v>3053</v>
      </c>
      <c r="D25" s="1058"/>
      <c r="E25" s="3334"/>
      <c r="F25" s="376"/>
      <c r="G25" s="740"/>
      <c r="H25" s="970"/>
    </row>
    <row r="26" spans="1:8" ht="15.6" hidden="1" x14ac:dyDescent="0.3">
      <c r="A26" s="2406" t="s">
        <v>3022</v>
      </c>
      <c r="B26" s="2385"/>
      <c r="C26" s="1246" t="s">
        <v>3040</v>
      </c>
      <c r="D26" s="1779" t="s">
        <v>3041</v>
      </c>
      <c r="E26" s="3334"/>
      <c r="F26" s="376"/>
      <c r="G26" s="740"/>
      <c r="H26" s="970"/>
    </row>
    <row r="27" spans="1:8" hidden="1" x14ac:dyDescent="0.3">
      <c r="A27" s="2401"/>
      <c r="B27" s="1725"/>
      <c r="C27" s="1246" t="s">
        <v>3757</v>
      </c>
      <c r="D27" s="1058"/>
      <c r="E27" s="3334"/>
      <c r="F27" s="376"/>
      <c r="G27" s="740"/>
      <c r="H27" s="970"/>
    </row>
    <row r="28" spans="1:8" hidden="1" x14ac:dyDescent="0.3">
      <c r="A28" s="3212"/>
      <c r="B28" s="2389"/>
      <c r="C28" s="3220"/>
      <c r="D28" s="1582" t="s">
        <v>3758</v>
      </c>
      <c r="E28" s="3336">
        <f>SUM(E7:E27)</f>
        <v>18920000</v>
      </c>
      <c r="F28" s="2446"/>
      <c r="G28" s="2447">
        <f>SUM(G7:G27)</f>
        <v>1057000</v>
      </c>
      <c r="H28" s="2448"/>
    </row>
    <row r="29" spans="1:8" hidden="1" x14ac:dyDescent="0.3"/>
    <row r="30" spans="1:8" hidden="1" x14ac:dyDescent="0.3">
      <c r="D30" s="1082"/>
      <c r="H30" s="1"/>
    </row>
    <row r="31" spans="1:8" hidden="1" x14ac:dyDescent="0.3">
      <c r="D31" s="1082"/>
      <c r="H31" s="1"/>
    </row>
    <row r="32" spans="1:8" ht="15" hidden="1" customHeight="1" x14ac:dyDescent="0.3">
      <c r="A32" s="3665" t="s">
        <v>3759</v>
      </c>
      <c r="B32" s="3665"/>
      <c r="C32" s="3665"/>
      <c r="D32" s="3665"/>
      <c r="E32" s="3665"/>
      <c r="F32" s="3665"/>
      <c r="G32" s="3665"/>
      <c r="H32" s="1"/>
    </row>
    <row r="33" spans="1:8" ht="15" hidden="1" customHeight="1" x14ac:dyDescent="0.3">
      <c r="A33" s="3665"/>
      <c r="B33" s="3665"/>
      <c r="C33" s="3665"/>
      <c r="D33" s="3665"/>
      <c r="E33" s="3665"/>
      <c r="F33" s="3665"/>
      <c r="G33" s="3665"/>
      <c r="H33" s="1"/>
    </row>
    <row r="34" spans="1:8" hidden="1" x14ac:dyDescent="0.3">
      <c r="A34" s="3213" t="s">
        <v>3751</v>
      </c>
      <c r="B34" s="2460" t="s">
        <v>2976</v>
      </c>
      <c r="C34" s="3221" t="s">
        <v>3752</v>
      </c>
      <c r="D34" s="2461" t="s">
        <v>3753</v>
      </c>
      <c r="E34" s="3326" t="s">
        <v>3754</v>
      </c>
      <c r="F34" s="2462" t="s">
        <v>2979</v>
      </c>
      <c r="G34" s="2463" t="s">
        <v>2985</v>
      </c>
      <c r="H34" s="2225" t="s">
        <v>3755</v>
      </c>
    </row>
    <row r="35" spans="1:8" hidden="1" x14ac:dyDescent="0.3">
      <c r="A35" s="2411">
        <v>12474</v>
      </c>
      <c r="B35" s="1737">
        <v>0.1</v>
      </c>
      <c r="C35" s="1272" t="s">
        <v>2988</v>
      </c>
      <c r="D35" s="298"/>
      <c r="E35" s="3334">
        <v>1250000</v>
      </c>
      <c r="F35" s="376">
        <v>0.05</v>
      </c>
      <c r="G35" s="740">
        <f t="shared" ref="G35:G48" si="1">E35*F35</f>
        <v>62500</v>
      </c>
      <c r="H35" s="2418"/>
    </row>
    <row r="36" spans="1:8" hidden="1" x14ac:dyDescent="0.3">
      <c r="A36" s="2305">
        <v>12589</v>
      </c>
      <c r="B36" s="2442">
        <v>0.1</v>
      </c>
      <c r="C36" s="1411" t="s">
        <v>2991</v>
      </c>
      <c r="D36" s="298"/>
      <c r="E36" s="3334">
        <v>1150000</v>
      </c>
      <c r="F36" s="376">
        <v>0.05</v>
      </c>
      <c r="G36" s="740">
        <f t="shared" si="1"/>
        <v>57500</v>
      </c>
      <c r="H36" s="2223"/>
    </row>
    <row r="37" spans="1:8" hidden="1" x14ac:dyDescent="0.3">
      <c r="A37" s="2444">
        <v>12669</v>
      </c>
      <c r="B37" s="122">
        <v>0.1</v>
      </c>
      <c r="C37" s="1170" t="s">
        <v>2995</v>
      </c>
      <c r="D37" s="1762"/>
      <c r="E37" s="3334">
        <v>1700000</v>
      </c>
      <c r="F37" s="376">
        <v>0.05</v>
      </c>
      <c r="G37" s="740">
        <f t="shared" si="1"/>
        <v>85000</v>
      </c>
      <c r="H37" s="2223"/>
    </row>
    <row r="38" spans="1:8" hidden="1" x14ac:dyDescent="0.3">
      <c r="A38" s="2400">
        <v>12663</v>
      </c>
      <c r="B38" s="2442">
        <v>0.1</v>
      </c>
      <c r="C38" s="1566" t="s">
        <v>2996</v>
      </c>
      <c r="D38" s="1762"/>
      <c r="E38" s="3334">
        <v>1250000</v>
      </c>
      <c r="F38" s="376">
        <v>0.05</v>
      </c>
      <c r="G38" s="740">
        <f t="shared" si="1"/>
        <v>62500</v>
      </c>
      <c r="H38" s="2223"/>
    </row>
    <row r="39" spans="1:8" hidden="1" x14ac:dyDescent="0.3">
      <c r="A39" s="2396">
        <v>12582</v>
      </c>
      <c r="B39" s="2442">
        <v>0.1</v>
      </c>
      <c r="C39" s="1387" t="s">
        <v>3014</v>
      </c>
      <c r="D39" s="1762"/>
      <c r="E39" s="3334">
        <v>1250000</v>
      </c>
      <c r="F39" s="376">
        <v>0.05</v>
      </c>
      <c r="G39" s="740">
        <f t="shared" si="1"/>
        <v>62500</v>
      </c>
      <c r="H39" s="2223"/>
    </row>
    <row r="40" spans="1:8" hidden="1" x14ac:dyDescent="0.3">
      <c r="A40" s="2411">
        <v>12645</v>
      </c>
      <c r="B40" s="2442">
        <v>0.1</v>
      </c>
      <c r="C40" s="1257" t="s">
        <v>3016</v>
      </c>
      <c r="D40" s="2036"/>
      <c r="E40" s="3334">
        <v>1100000</v>
      </c>
      <c r="F40" s="376">
        <v>0.05</v>
      </c>
      <c r="G40" s="740">
        <f t="shared" si="1"/>
        <v>55000</v>
      </c>
      <c r="H40" s="2223"/>
    </row>
    <row r="41" spans="1:8" hidden="1" x14ac:dyDescent="0.3">
      <c r="A41" s="2305">
        <v>12527</v>
      </c>
      <c r="B41" s="553">
        <v>0.09</v>
      </c>
      <c r="C41" s="1411" t="s">
        <v>3029</v>
      </c>
      <c r="D41" s="1762"/>
      <c r="E41" s="3337">
        <v>600000</v>
      </c>
      <c r="F41" s="2456">
        <v>0.04</v>
      </c>
      <c r="G41" s="740">
        <f t="shared" si="1"/>
        <v>24000</v>
      </c>
      <c r="H41" s="2223"/>
    </row>
    <row r="42" spans="1:8" hidden="1" x14ac:dyDescent="0.3">
      <c r="A42" s="2305">
        <v>12548</v>
      </c>
      <c r="B42" s="333">
        <v>0.1</v>
      </c>
      <c r="C42" s="1411" t="s">
        <v>3031</v>
      </c>
      <c r="D42" s="1762"/>
      <c r="E42" s="3338">
        <v>1300000</v>
      </c>
      <c r="F42" s="376">
        <v>0.05</v>
      </c>
      <c r="G42" s="740">
        <f t="shared" si="1"/>
        <v>65000</v>
      </c>
      <c r="H42" s="2223"/>
    </row>
    <row r="43" spans="1:8" hidden="1" x14ac:dyDescent="0.3">
      <c r="A43" s="2396">
        <v>12433</v>
      </c>
      <c r="B43" s="2445">
        <v>0.1</v>
      </c>
      <c r="C43" s="1257" t="s">
        <v>3033</v>
      </c>
      <c r="D43" s="2419"/>
      <c r="E43" s="3337">
        <v>1200000</v>
      </c>
      <c r="F43" s="376">
        <v>0.05</v>
      </c>
      <c r="G43" s="740">
        <f t="shared" si="1"/>
        <v>60000</v>
      </c>
      <c r="H43" s="2223"/>
    </row>
    <row r="44" spans="1:8" hidden="1" x14ac:dyDescent="0.3">
      <c r="A44" s="2305">
        <v>12446</v>
      </c>
      <c r="B44" s="2442">
        <v>0.1</v>
      </c>
      <c r="C44" s="1411" t="s">
        <v>3008</v>
      </c>
      <c r="D44" s="2419"/>
      <c r="E44" s="3337">
        <v>1200000</v>
      </c>
      <c r="F44" s="376">
        <v>0.05</v>
      </c>
      <c r="G44" s="740">
        <f t="shared" si="1"/>
        <v>60000</v>
      </c>
      <c r="H44" s="2223"/>
    </row>
    <row r="45" spans="1:8" hidden="1" x14ac:dyDescent="0.3">
      <c r="A45" s="2224">
        <v>12495</v>
      </c>
      <c r="B45" s="2442">
        <v>0.1</v>
      </c>
      <c r="C45" s="1170" t="s">
        <v>3015</v>
      </c>
      <c r="D45" s="2419"/>
      <c r="E45" s="3337">
        <v>1100000</v>
      </c>
      <c r="F45" s="376">
        <v>0.05</v>
      </c>
      <c r="G45" s="740">
        <f t="shared" si="1"/>
        <v>55000</v>
      </c>
      <c r="H45" s="2223"/>
    </row>
    <row r="46" spans="1:8" hidden="1" x14ac:dyDescent="0.3">
      <c r="A46" s="2439">
        <v>12654</v>
      </c>
      <c r="B46" s="2442">
        <v>0.1</v>
      </c>
      <c r="C46" s="1387" t="s">
        <v>3032</v>
      </c>
      <c r="D46" s="2419"/>
      <c r="E46" s="3337">
        <v>850000</v>
      </c>
      <c r="F46" s="376">
        <v>0.05</v>
      </c>
      <c r="G46" s="740">
        <f t="shared" si="1"/>
        <v>42500</v>
      </c>
      <c r="H46" s="2223"/>
    </row>
    <row r="47" spans="1:8" hidden="1" x14ac:dyDescent="0.3">
      <c r="A47" s="2403">
        <v>12513</v>
      </c>
      <c r="B47" s="2442">
        <v>0.1</v>
      </c>
      <c r="C47" s="1411" t="s">
        <v>3017</v>
      </c>
      <c r="D47" s="2419"/>
      <c r="E47" s="3337">
        <v>1000000</v>
      </c>
      <c r="F47" s="376">
        <v>0.05</v>
      </c>
      <c r="G47" s="740">
        <f t="shared" si="1"/>
        <v>50000</v>
      </c>
      <c r="H47" s="2223"/>
    </row>
    <row r="48" spans="1:8" hidden="1" x14ac:dyDescent="0.3">
      <c r="A48" s="1041">
        <v>12558</v>
      </c>
      <c r="B48" s="2442">
        <v>0.1</v>
      </c>
      <c r="C48" s="1964" t="s">
        <v>3057</v>
      </c>
      <c r="D48" s="2369" t="s">
        <v>3756</v>
      </c>
      <c r="E48" s="3337">
        <v>1000000</v>
      </c>
      <c r="F48" s="2456">
        <v>0.02</v>
      </c>
      <c r="G48" s="740">
        <f t="shared" si="1"/>
        <v>20000</v>
      </c>
      <c r="H48" s="2222"/>
    </row>
    <row r="49" spans="1:8" hidden="1" x14ac:dyDescent="0.3">
      <c r="A49" s="2409"/>
      <c r="B49" s="2141"/>
      <c r="C49" s="1742" t="s">
        <v>3051</v>
      </c>
      <c r="D49" s="1860"/>
      <c r="E49" s="3338"/>
      <c r="F49" s="1475"/>
      <c r="G49" s="1204"/>
      <c r="H49" s="2222"/>
    </row>
    <row r="50" spans="1:8" hidden="1" x14ac:dyDescent="0.3">
      <c r="A50" s="2405" t="s">
        <v>3022</v>
      </c>
      <c r="B50" s="2384"/>
      <c r="C50" s="1246" t="s">
        <v>3038</v>
      </c>
      <c r="D50" s="1779" t="s">
        <v>3039</v>
      </c>
      <c r="E50" s="3338"/>
      <c r="F50" s="985"/>
      <c r="G50" s="740"/>
      <c r="H50" s="2222"/>
    </row>
    <row r="51" spans="1:8" hidden="1" x14ac:dyDescent="0.3">
      <c r="A51" s="2401" t="s">
        <v>3020</v>
      </c>
      <c r="B51" s="2386"/>
      <c r="C51" s="1246" t="s">
        <v>3021</v>
      </c>
      <c r="D51" s="1762"/>
      <c r="E51" s="3338"/>
      <c r="F51" s="1475"/>
      <c r="G51" s="1204"/>
      <c r="H51" s="2222"/>
    </row>
    <row r="52" spans="1:8" ht="26.4" hidden="1" x14ac:dyDescent="0.3">
      <c r="A52" s="2397" t="s">
        <v>2997</v>
      </c>
      <c r="B52" s="1237"/>
      <c r="C52" s="1169" t="s">
        <v>2998</v>
      </c>
      <c r="D52" s="1762" t="s">
        <v>2999</v>
      </c>
      <c r="E52" s="3338"/>
      <c r="F52" s="1475"/>
      <c r="G52" s="1204"/>
      <c r="H52" s="2222"/>
    </row>
    <row r="53" spans="1:8" hidden="1" x14ac:dyDescent="0.3">
      <c r="A53" s="3214"/>
      <c r="B53" s="2391"/>
      <c r="C53" s="1214"/>
      <c r="D53" s="1582" t="s">
        <v>3758</v>
      </c>
      <c r="E53" s="3261">
        <f>SUM(E35:E52)</f>
        <v>15950000</v>
      </c>
      <c r="F53" s="51"/>
      <c r="G53" s="1483">
        <f>SUM(G35:G52)</f>
        <v>761500</v>
      </c>
      <c r="H53" s="2222"/>
    </row>
    <row r="54" spans="1:8" hidden="1" x14ac:dyDescent="0.3">
      <c r="A54" s="3215"/>
      <c r="D54" s="1082"/>
      <c r="H54" s="1"/>
    </row>
    <row r="55" spans="1:8" hidden="1" x14ac:dyDescent="0.3">
      <c r="A55" s="3215"/>
      <c r="D55" s="1082"/>
      <c r="H55" s="1"/>
    </row>
    <row r="56" spans="1:8" ht="15" hidden="1" customHeight="1" x14ac:dyDescent="0.3">
      <c r="A56" s="3665" t="s">
        <v>3760</v>
      </c>
      <c r="B56" s="3665"/>
      <c r="C56" s="3665"/>
      <c r="D56" s="3665"/>
      <c r="E56" s="3665"/>
      <c r="F56" s="3665"/>
      <c r="G56" s="3665"/>
      <c r="H56" s="1"/>
    </row>
    <row r="57" spans="1:8" ht="15" hidden="1" customHeight="1" x14ac:dyDescent="0.3">
      <c r="A57" s="3665"/>
      <c r="B57" s="3665"/>
      <c r="C57" s="3665"/>
      <c r="D57" s="3665"/>
      <c r="E57" s="3665"/>
      <c r="F57" s="3665"/>
      <c r="G57" s="3665"/>
      <c r="H57" s="1"/>
    </row>
    <row r="58" spans="1:8" hidden="1" x14ac:dyDescent="0.3">
      <c r="A58" s="3213" t="s">
        <v>3751</v>
      </c>
      <c r="B58" s="2460" t="s">
        <v>2976</v>
      </c>
      <c r="C58" s="3221" t="s">
        <v>3752</v>
      </c>
      <c r="D58" s="2461" t="s">
        <v>3753</v>
      </c>
      <c r="E58" s="3326" t="s">
        <v>3754</v>
      </c>
      <c r="F58" s="2462" t="s">
        <v>2979</v>
      </c>
      <c r="G58" s="2463" t="s">
        <v>2985</v>
      </c>
      <c r="H58" s="2226" t="s">
        <v>3755</v>
      </c>
    </row>
    <row r="59" spans="1:8" hidden="1" x14ac:dyDescent="0.3">
      <c r="A59" s="2366">
        <v>12595</v>
      </c>
      <c r="B59" s="2443">
        <v>0.1</v>
      </c>
      <c r="C59" s="1170" t="s">
        <v>2992</v>
      </c>
      <c r="D59" s="201"/>
      <c r="E59" s="3261">
        <v>1250000</v>
      </c>
      <c r="F59" s="680">
        <v>0.02</v>
      </c>
      <c r="G59" s="1332">
        <f t="shared" ref="G59:G67" si="2">E59*F59</f>
        <v>25000</v>
      </c>
      <c r="H59" s="51"/>
    </row>
    <row r="60" spans="1:8" hidden="1" x14ac:dyDescent="0.3">
      <c r="A60" s="2366">
        <v>12469</v>
      </c>
      <c r="B60" s="122">
        <v>0.1</v>
      </c>
      <c r="C60" s="3222" t="s">
        <v>3761</v>
      </c>
      <c r="D60" s="1745"/>
      <c r="E60" s="3334">
        <v>850000</v>
      </c>
      <c r="F60" s="680">
        <v>0.02</v>
      </c>
      <c r="G60" s="1332">
        <f t="shared" si="2"/>
        <v>17000</v>
      </c>
      <c r="H60" s="51"/>
    </row>
    <row r="61" spans="1:8" hidden="1" x14ac:dyDescent="0.3">
      <c r="A61" s="2404">
        <v>12510</v>
      </c>
      <c r="B61" s="122">
        <v>0.1</v>
      </c>
      <c r="C61" s="1411" t="s">
        <v>3011</v>
      </c>
      <c r="D61" s="201"/>
      <c r="E61" s="3261">
        <v>1100000</v>
      </c>
      <c r="F61" s="680">
        <v>0.02</v>
      </c>
      <c r="G61" s="1332">
        <f t="shared" si="2"/>
        <v>22000</v>
      </c>
      <c r="H61" s="51"/>
    </row>
    <row r="62" spans="1:8" hidden="1" x14ac:dyDescent="0.3">
      <c r="A62" s="2366">
        <v>12577</v>
      </c>
      <c r="B62" s="333">
        <v>0.1</v>
      </c>
      <c r="C62" s="1170" t="s">
        <v>3035</v>
      </c>
      <c r="D62" s="1183"/>
      <c r="E62" s="3339">
        <v>1100000</v>
      </c>
      <c r="F62" s="680">
        <v>0.02</v>
      </c>
      <c r="G62" s="1332">
        <f t="shared" si="2"/>
        <v>22000</v>
      </c>
      <c r="H62" s="51"/>
    </row>
    <row r="63" spans="1:8" hidden="1" x14ac:dyDescent="0.3">
      <c r="A63" s="2408">
        <v>12579</v>
      </c>
      <c r="B63" s="333">
        <v>0.1</v>
      </c>
      <c r="C63" s="1088" t="s">
        <v>3049</v>
      </c>
      <c r="D63" s="1183"/>
      <c r="E63" s="3339">
        <v>1500000</v>
      </c>
      <c r="F63" s="680">
        <v>0.02</v>
      </c>
      <c r="G63" s="1332">
        <f t="shared" si="2"/>
        <v>30000</v>
      </c>
      <c r="H63" s="51"/>
    </row>
    <row r="64" spans="1:8" hidden="1" x14ac:dyDescent="0.3">
      <c r="A64" s="2366">
        <v>12517</v>
      </c>
      <c r="B64" s="553">
        <v>0.08</v>
      </c>
      <c r="C64" s="1088" t="s">
        <v>3048</v>
      </c>
      <c r="D64" s="201"/>
      <c r="E64" s="3261">
        <v>1150000</v>
      </c>
      <c r="F64" s="2457">
        <v>0.01</v>
      </c>
      <c r="G64" s="1332">
        <f t="shared" si="2"/>
        <v>11500</v>
      </c>
      <c r="H64" s="51"/>
    </row>
    <row r="65" spans="1:8" hidden="1" x14ac:dyDescent="0.3">
      <c r="A65" s="2366">
        <v>12580</v>
      </c>
      <c r="B65" s="2443">
        <v>0.1</v>
      </c>
      <c r="C65" s="1411" t="s">
        <v>3058</v>
      </c>
      <c r="D65" s="201"/>
      <c r="E65" s="3261">
        <v>1000000</v>
      </c>
      <c r="F65" s="680">
        <v>0.02</v>
      </c>
      <c r="G65" s="1332">
        <f t="shared" si="2"/>
        <v>20000</v>
      </c>
      <c r="H65" s="51"/>
    </row>
    <row r="66" spans="1:8" hidden="1" x14ac:dyDescent="0.3">
      <c r="A66" s="2366">
        <v>12622</v>
      </c>
      <c r="B66" s="2443">
        <v>0.1</v>
      </c>
      <c r="C66" s="1411" t="s">
        <v>3059</v>
      </c>
      <c r="D66" s="201"/>
      <c r="E66" s="3261">
        <v>500000</v>
      </c>
      <c r="F66" s="680">
        <v>0.02</v>
      </c>
      <c r="G66" s="1332">
        <f t="shared" si="2"/>
        <v>10000</v>
      </c>
      <c r="H66" s="51"/>
    </row>
    <row r="67" spans="1:8" hidden="1" x14ac:dyDescent="0.3">
      <c r="A67" s="2444">
        <v>12662</v>
      </c>
      <c r="B67" s="2443">
        <v>0.1</v>
      </c>
      <c r="C67" s="1411" t="s">
        <v>3060</v>
      </c>
      <c r="D67" s="201"/>
      <c r="E67" s="3261">
        <v>1100000</v>
      </c>
      <c r="F67" s="680">
        <v>0.02</v>
      </c>
      <c r="G67" s="1332">
        <f t="shared" si="2"/>
        <v>22000</v>
      </c>
      <c r="H67" s="51"/>
    </row>
    <row r="68" spans="1:8" hidden="1" x14ac:dyDescent="0.3">
      <c r="A68" s="2402" t="s">
        <v>3062</v>
      </c>
      <c r="B68" s="896"/>
      <c r="C68" s="1087" t="s">
        <v>3063</v>
      </c>
      <c r="D68" s="1905" t="s">
        <v>3024</v>
      </c>
      <c r="E68" s="3261"/>
      <c r="F68" s="51"/>
      <c r="G68" s="34"/>
      <c r="H68" s="51"/>
    </row>
    <row r="69" spans="1:8" hidden="1" x14ac:dyDescent="0.3">
      <c r="A69" s="2402" t="s">
        <v>3022</v>
      </c>
      <c r="B69" s="896"/>
      <c r="C69" s="1246" t="s">
        <v>3023</v>
      </c>
      <c r="D69" s="1745" t="s">
        <v>3024</v>
      </c>
      <c r="E69" s="3340"/>
      <c r="F69" s="1059"/>
      <c r="G69" s="1576"/>
      <c r="H69" s="51"/>
    </row>
    <row r="70" spans="1:8" hidden="1" x14ac:dyDescent="0.3">
      <c r="A70" s="2412" t="s">
        <v>3018</v>
      </c>
      <c r="B70" s="3218"/>
      <c r="C70" s="1094" t="s">
        <v>3016</v>
      </c>
      <c r="D70" s="1409" t="s">
        <v>3019</v>
      </c>
      <c r="E70" s="3334"/>
      <c r="F70" s="833"/>
      <c r="G70" s="1204"/>
      <c r="H70" s="51"/>
    </row>
    <row r="71" spans="1:8" hidden="1" x14ac:dyDescent="0.3">
      <c r="A71" s="3214"/>
      <c r="B71" s="2391"/>
      <c r="C71" s="1214"/>
      <c r="D71" s="1582" t="s">
        <v>3758</v>
      </c>
      <c r="E71" s="3261">
        <f>SUM(E59:E70)</f>
        <v>9550000</v>
      </c>
      <c r="F71" s="51"/>
      <c r="G71" s="1483">
        <f>SUM(G59:G70)</f>
        <v>179500</v>
      </c>
      <c r="H71" s="2222"/>
    </row>
    <row r="72" spans="1:8" hidden="1" x14ac:dyDescent="0.3"/>
    <row r="73" spans="1:8" hidden="1" x14ac:dyDescent="0.3">
      <c r="A73" s="3663" t="s">
        <v>3762</v>
      </c>
      <c r="B73" s="3663"/>
      <c r="C73" s="3663"/>
      <c r="D73" s="3663"/>
      <c r="E73" s="3663"/>
      <c r="F73" s="3663"/>
      <c r="G73" s="3663"/>
    </row>
    <row r="74" spans="1:8" hidden="1" x14ac:dyDescent="0.3">
      <c r="A74" s="3663"/>
      <c r="B74" s="3663"/>
      <c r="C74" s="3663"/>
      <c r="D74" s="3663"/>
      <c r="E74" s="3663"/>
      <c r="F74" s="3663"/>
      <c r="G74" s="3663"/>
    </row>
    <row r="75" spans="1:8" hidden="1" x14ac:dyDescent="0.3">
      <c r="A75" s="3213" t="s">
        <v>3751</v>
      </c>
      <c r="B75" s="2460" t="s">
        <v>2976</v>
      </c>
      <c r="C75" s="3223" t="s">
        <v>3752</v>
      </c>
      <c r="D75" s="2464" t="s">
        <v>3753</v>
      </c>
      <c r="E75" s="3326" t="s">
        <v>3754</v>
      </c>
      <c r="F75" s="2273" t="s">
        <v>2979</v>
      </c>
      <c r="G75" s="2463" t="s">
        <v>2985</v>
      </c>
    </row>
    <row r="76" spans="1:8" hidden="1" x14ac:dyDescent="0.3">
      <c r="A76" s="2449">
        <v>12546</v>
      </c>
      <c r="B76" s="2420">
        <v>0.1</v>
      </c>
      <c r="C76" s="1411" t="s">
        <v>2987</v>
      </c>
      <c r="D76" s="1058"/>
      <c r="E76" s="3334">
        <v>1300000</v>
      </c>
      <c r="F76" s="376">
        <v>0.03</v>
      </c>
      <c r="G76" s="740">
        <f>E76*F76</f>
        <v>39000</v>
      </c>
    </row>
    <row r="77" spans="1:8" hidden="1" x14ac:dyDescent="0.3">
      <c r="A77" s="2449">
        <v>12570</v>
      </c>
      <c r="B77" s="2420">
        <v>0.1</v>
      </c>
      <c r="C77" s="1170" t="s">
        <v>2989</v>
      </c>
      <c r="D77" s="1762"/>
      <c r="E77" s="3335">
        <v>1100000</v>
      </c>
      <c r="F77" s="376">
        <v>0.03</v>
      </c>
      <c r="G77" s="740">
        <f t="shared" ref="G77:G116" si="3">E77*F77</f>
        <v>33000</v>
      </c>
    </row>
    <row r="78" spans="1:8" hidden="1" x14ac:dyDescent="0.3">
      <c r="A78" s="1010">
        <v>12628</v>
      </c>
      <c r="B78" s="2420">
        <v>0.1</v>
      </c>
      <c r="C78" s="1170" t="s">
        <v>2994</v>
      </c>
      <c r="D78" s="1762"/>
      <c r="E78" s="3335">
        <v>1200000</v>
      </c>
      <c r="F78" s="376">
        <v>0.03</v>
      </c>
      <c r="G78" s="740">
        <f t="shared" si="3"/>
        <v>36000</v>
      </c>
    </row>
    <row r="79" spans="1:8" hidden="1" x14ac:dyDescent="0.3">
      <c r="A79" s="2444">
        <v>12502</v>
      </c>
      <c r="B79" s="2420">
        <v>0.1</v>
      </c>
      <c r="C79" s="1170" t="s">
        <v>3006</v>
      </c>
      <c r="D79" s="1762"/>
      <c r="E79" s="3335">
        <v>800000</v>
      </c>
      <c r="F79" s="376">
        <v>0.03</v>
      </c>
      <c r="G79" s="740">
        <f t="shared" si="3"/>
        <v>24000</v>
      </c>
    </row>
    <row r="80" spans="1:8" hidden="1" x14ac:dyDescent="0.3">
      <c r="A80" s="2444">
        <v>12533</v>
      </c>
      <c r="B80" s="2420">
        <v>0.1</v>
      </c>
      <c r="C80" s="1411" t="s">
        <v>3009</v>
      </c>
      <c r="D80" s="716"/>
      <c r="E80" s="3335">
        <v>1200000</v>
      </c>
      <c r="F80" s="376">
        <v>0.03</v>
      </c>
      <c r="G80" s="740">
        <f t="shared" si="3"/>
        <v>36000</v>
      </c>
    </row>
    <row r="81" spans="1:7" hidden="1" x14ac:dyDescent="0.3">
      <c r="A81" s="2450">
        <v>12573</v>
      </c>
      <c r="B81" s="556">
        <v>0.08</v>
      </c>
      <c r="C81" s="1411" t="s">
        <v>3012</v>
      </c>
      <c r="D81" s="1058"/>
      <c r="E81" s="3334">
        <v>1850000</v>
      </c>
      <c r="F81" s="2456">
        <v>0.02</v>
      </c>
      <c r="G81" s="740">
        <f t="shared" si="3"/>
        <v>37000</v>
      </c>
    </row>
    <row r="82" spans="1:7" hidden="1" x14ac:dyDescent="0.3">
      <c r="A82" s="1010">
        <v>12480</v>
      </c>
      <c r="B82" s="2420">
        <v>0.1</v>
      </c>
      <c r="C82" s="1170" t="s">
        <v>3028</v>
      </c>
      <c r="D82" s="1058"/>
      <c r="E82" s="3334">
        <v>1100000</v>
      </c>
      <c r="F82" s="376">
        <v>0.03</v>
      </c>
      <c r="G82" s="740">
        <f t="shared" si="3"/>
        <v>33000</v>
      </c>
    </row>
    <row r="83" spans="1:7" hidden="1" x14ac:dyDescent="0.3">
      <c r="A83" s="2444">
        <v>12626</v>
      </c>
      <c r="B83" s="2420">
        <v>0.1</v>
      </c>
      <c r="C83" s="1170" t="s">
        <v>3036</v>
      </c>
      <c r="D83" s="1058"/>
      <c r="E83" s="3334">
        <v>950000</v>
      </c>
      <c r="F83" s="376">
        <v>0.03</v>
      </c>
      <c r="G83" s="740">
        <f t="shared" si="3"/>
        <v>28500</v>
      </c>
    </row>
    <row r="84" spans="1:7" hidden="1" x14ac:dyDescent="0.3">
      <c r="A84" s="2451">
        <v>12657</v>
      </c>
      <c r="B84" s="556">
        <v>0.08</v>
      </c>
      <c r="C84" s="1170" t="s">
        <v>3013</v>
      </c>
      <c r="D84" s="1058"/>
      <c r="E84" s="3334">
        <v>770000</v>
      </c>
      <c r="F84" s="2456">
        <v>0.02</v>
      </c>
      <c r="G84" s="740">
        <f t="shared" si="3"/>
        <v>15400</v>
      </c>
    </row>
    <row r="85" spans="1:7" hidden="1" x14ac:dyDescent="0.3">
      <c r="A85" s="2395">
        <v>12665</v>
      </c>
      <c r="B85" s="423">
        <v>0.1</v>
      </c>
      <c r="C85" s="1411" t="s">
        <v>3037</v>
      </c>
      <c r="D85" s="1058"/>
      <c r="E85" s="3334">
        <v>1100000</v>
      </c>
      <c r="F85" s="376">
        <v>0.03</v>
      </c>
      <c r="G85" s="740">
        <f t="shared" si="3"/>
        <v>33000</v>
      </c>
    </row>
    <row r="86" spans="1:7" hidden="1" x14ac:dyDescent="0.3">
      <c r="A86" s="2452">
        <v>12439</v>
      </c>
      <c r="B86" s="2420">
        <v>0.1</v>
      </c>
      <c r="C86" s="1170" t="s">
        <v>3043</v>
      </c>
      <c r="D86" s="1058"/>
      <c r="E86" s="3334">
        <v>1350000</v>
      </c>
      <c r="F86" s="376">
        <v>0.03</v>
      </c>
      <c r="G86" s="740">
        <f t="shared" si="3"/>
        <v>40500</v>
      </c>
    </row>
    <row r="87" spans="1:7" hidden="1" x14ac:dyDescent="0.3">
      <c r="A87" s="1010">
        <v>12462</v>
      </c>
      <c r="B87" s="2420">
        <v>0.1</v>
      </c>
      <c r="C87" s="1170" t="s">
        <v>3030</v>
      </c>
      <c r="D87" s="1058"/>
      <c r="E87" s="3334">
        <v>1200000</v>
      </c>
      <c r="F87" s="376">
        <v>0.03</v>
      </c>
      <c r="G87" s="740">
        <f t="shared" si="3"/>
        <v>36000</v>
      </c>
    </row>
    <row r="88" spans="1:7" hidden="1" x14ac:dyDescent="0.3">
      <c r="A88" s="2444">
        <v>12519</v>
      </c>
      <c r="B88" s="2420">
        <v>0.1</v>
      </c>
      <c r="C88" s="1411" t="s">
        <v>3045</v>
      </c>
      <c r="D88" s="1058"/>
      <c r="E88" s="3334">
        <v>1050000</v>
      </c>
      <c r="F88" s="376">
        <v>0.03</v>
      </c>
      <c r="G88" s="740">
        <f t="shared" si="3"/>
        <v>31500</v>
      </c>
    </row>
    <row r="89" spans="1:7" hidden="1" x14ac:dyDescent="0.3">
      <c r="A89" s="2450">
        <v>12549</v>
      </c>
      <c r="B89" s="2420">
        <v>0.1</v>
      </c>
      <c r="C89" s="1411" t="s">
        <v>3046</v>
      </c>
      <c r="D89" s="1058"/>
      <c r="E89" s="3334">
        <v>900000</v>
      </c>
      <c r="F89" s="376">
        <v>0.03</v>
      </c>
      <c r="G89" s="740">
        <f t="shared" si="3"/>
        <v>27000</v>
      </c>
    </row>
    <row r="90" spans="1:7" hidden="1" x14ac:dyDescent="0.3">
      <c r="A90" s="2450">
        <v>12627</v>
      </c>
      <c r="B90" s="2420">
        <v>0.1</v>
      </c>
      <c r="C90" s="1411" t="s">
        <v>3050</v>
      </c>
      <c r="D90" s="1762"/>
      <c r="E90" s="3335">
        <v>900000</v>
      </c>
      <c r="F90" s="376">
        <v>0.03</v>
      </c>
      <c r="G90" s="740">
        <f t="shared" si="3"/>
        <v>27000</v>
      </c>
    </row>
    <row r="91" spans="1:7" hidden="1" x14ac:dyDescent="0.3">
      <c r="A91" s="1010">
        <v>12484</v>
      </c>
      <c r="B91" s="2420">
        <v>0.1</v>
      </c>
      <c r="C91" s="1170" t="s">
        <v>3055</v>
      </c>
      <c r="D91" s="2369"/>
      <c r="E91" s="3334">
        <v>850000</v>
      </c>
      <c r="F91" s="376">
        <v>0.03</v>
      </c>
      <c r="G91" s="740">
        <f t="shared" si="3"/>
        <v>25500</v>
      </c>
    </row>
    <row r="92" spans="1:7" hidden="1" x14ac:dyDescent="0.3">
      <c r="A92" s="2444">
        <v>12670</v>
      </c>
      <c r="B92" s="365">
        <v>0.1</v>
      </c>
      <c r="C92" s="1411" t="s">
        <v>3061</v>
      </c>
      <c r="D92" s="2369"/>
      <c r="E92" s="3334">
        <v>1300000</v>
      </c>
      <c r="F92" s="376">
        <v>0.03</v>
      </c>
      <c r="G92" s="740">
        <f t="shared" si="3"/>
        <v>39000</v>
      </c>
    </row>
    <row r="93" spans="1:7" hidden="1" x14ac:dyDescent="0.3">
      <c r="A93" s="2411">
        <v>12474</v>
      </c>
      <c r="B93" s="2442">
        <v>0.1</v>
      </c>
      <c r="C93" s="1272" t="s">
        <v>2988</v>
      </c>
      <c r="D93" s="298"/>
      <c r="E93" s="3334">
        <v>1250000</v>
      </c>
      <c r="F93" s="376">
        <v>0.03</v>
      </c>
      <c r="G93" s="740">
        <f t="shared" si="3"/>
        <v>37500</v>
      </c>
    </row>
    <row r="94" spans="1:7" hidden="1" x14ac:dyDescent="0.3">
      <c r="A94" s="2305">
        <v>12589</v>
      </c>
      <c r="B94" s="2442">
        <v>0.1</v>
      </c>
      <c r="C94" s="1411" t="s">
        <v>2991</v>
      </c>
      <c r="D94" s="298"/>
      <c r="E94" s="3334">
        <v>1150000</v>
      </c>
      <c r="F94" s="376">
        <v>0.03</v>
      </c>
      <c r="G94" s="740">
        <f t="shared" si="3"/>
        <v>34500</v>
      </c>
    </row>
    <row r="95" spans="1:7" hidden="1" x14ac:dyDescent="0.3">
      <c r="A95" s="2444">
        <v>12669</v>
      </c>
      <c r="B95" s="333">
        <v>0.1</v>
      </c>
      <c r="C95" s="1170" t="s">
        <v>2995</v>
      </c>
      <c r="D95" s="1762"/>
      <c r="E95" s="3334">
        <v>1700000</v>
      </c>
      <c r="F95" s="376">
        <v>0.03</v>
      </c>
      <c r="G95" s="740">
        <f t="shared" si="3"/>
        <v>51000</v>
      </c>
    </row>
    <row r="96" spans="1:7" hidden="1" x14ac:dyDescent="0.3">
      <c r="A96" s="2400">
        <v>12663</v>
      </c>
      <c r="B96" s="2442">
        <v>0.1</v>
      </c>
      <c r="C96" s="1566" t="s">
        <v>2996</v>
      </c>
      <c r="D96" s="1762"/>
      <c r="E96" s="3334">
        <v>1250000</v>
      </c>
      <c r="F96" s="376">
        <v>0.03</v>
      </c>
      <c r="G96" s="740">
        <f t="shared" si="3"/>
        <v>37500</v>
      </c>
    </row>
    <row r="97" spans="1:7" hidden="1" x14ac:dyDescent="0.3">
      <c r="A97" s="2396">
        <v>12582</v>
      </c>
      <c r="B97" s="2442">
        <v>0.1</v>
      </c>
      <c r="C97" s="1387" t="s">
        <v>3014</v>
      </c>
      <c r="D97" s="1762"/>
      <c r="E97" s="3334">
        <v>1250000</v>
      </c>
      <c r="F97" s="376">
        <v>0.03</v>
      </c>
      <c r="G97" s="740">
        <f t="shared" si="3"/>
        <v>37500</v>
      </c>
    </row>
    <row r="98" spans="1:7" hidden="1" x14ac:dyDescent="0.3">
      <c r="A98" s="2411">
        <v>12645</v>
      </c>
      <c r="B98" s="2442">
        <v>0.1</v>
      </c>
      <c r="C98" s="1257" t="s">
        <v>3016</v>
      </c>
      <c r="D98" s="2036"/>
      <c r="E98" s="3334">
        <v>1100000</v>
      </c>
      <c r="F98" s="376">
        <v>0.03</v>
      </c>
      <c r="G98" s="740">
        <f t="shared" si="3"/>
        <v>33000</v>
      </c>
    </row>
    <row r="99" spans="1:7" hidden="1" x14ac:dyDescent="0.3">
      <c r="A99" s="2305">
        <v>12527</v>
      </c>
      <c r="B99" s="553">
        <v>0.09</v>
      </c>
      <c r="C99" s="1411" t="s">
        <v>3029</v>
      </c>
      <c r="D99" s="1762"/>
      <c r="E99" s="3337">
        <v>600000</v>
      </c>
      <c r="F99" s="2456">
        <v>0.02</v>
      </c>
      <c r="G99" s="740">
        <f t="shared" si="3"/>
        <v>12000</v>
      </c>
    </row>
    <row r="100" spans="1:7" hidden="1" x14ac:dyDescent="0.3">
      <c r="A100" s="2305">
        <v>12548</v>
      </c>
      <c r="B100" s="333">
        <v>0.1</v>
      </c>
      <c r="C100" s="1411" t="s">
        <v>3031</v>
      </c>
      <c r="D100" s="1762"/>
      <c r="E100" s="3338">
        <v>1300000</v>
      </c>
      <c r="F100" s="376">
        <v>0.03</v>
      </c>
      <c r="G100" s="740">
        <f t="shared" si="3"/>
        <v>39000</v>
      </c>
    </row>
    <row r="101" spans="1:7" hidden="1" x14ac:dyDescent="0.3">
      <c r="A101" s="2396">
        <v>12433</v>
      </c>
      <c r="B101" s="2445">
        <v>0.1</v>
      </c>
      <c r="C101" s="1257" t="s">
        <v>3033</v>
      </c>
      <c r="D101" s="2419"/>
      <c r="E101" s="3337">
        <v>1200000</v>
      </c>
      <c r="F101" s="376">
        <v>0.03</v>
      </c>
      <c r="G101" s="740">
        <f t="shared" si="3"/>
        <v>36000</v>
      </c>
    </row>
    <row r="102" spans="1:7" hidden="1" x14ac:dyDescent="0.3">
      <c r="A102" s="2305">
        <v>12446</v>
      </c>
      <c r="B102" s="2442">
        <v>0.1</v>
      </c>
      <c r="C102" s="1411" t="s">
        <v>3008</v>
      </c>
      <c r="D102" s="2419"/>
      <c r="E102" s="3337">
        <v>1200000</v>
      </c>
      <c r="F102" s="376">
        <v>0.03</v>
      </c>
      <c r="G102" s="740">
        <f t="shared" si="3"/>
        <v>36000</v>
      </c>
    </row>
    <row r="103" spans="1:7" hidden="1" x14ac:dyDescent="0.3">
      <c r="A103" s="2224">
        <v>12495</v>
      </c>
      <c r="B103" s="2442">
        <v>0.1</v>
      </c>
      <c r="C103" s="1170" t="s">
        <v>3015</v>
      </c>
      <c r="D103" s="2419"/>
      <c r="E103" s="3337">
        <v>1100000</v>
      </c>
      <c r="F103" s="376">
        <v>0.03</v>
      </c>
      <c r="G103" s="740">
        <f t="shared" si="3"/>
        <v>33000</v>
      </c>
    </row>
    <row r="104" spans="1:7" hidden="1" x14ac:dyDescent="0.3">
      <c r="A104" s="2439">
        <v>12654</v>
      </c>
      <c r="B104" s="2442">
        <v>0.1</v>
      </c>
      <c r="C104" s="1387" t="s">
        <v>3032</v>
      </c>
      <c r="D104" s="2419"/>
      <c r="E104" s="3337">
        <v>850000</v>
      </c>
      <c r="F104" s="376">
        <v>0.03</v>
      </c>
      <c r="G104" s="740">
        <f t="shared" si="3"/>
        <v>25500</v>
      </c>
    </row>
    <row r="105" spans="1:7" hidden="1" x14ac:dyDescent="0.3">
      <c r="A105" s="1010">
        <v>12513</v>
      </c>
      <c r="B105" s="2442">
        <v>0.1</v>
      </c>
      <c r="C105" s="1411" t="s">
        <v>3017</v>
      </c>
      <c r="D105" s="2419"/>
      <c r="E105" s="3337">
        <v>1000000</v>
      </c>
      <c r="F105" s="376">
        <v>0.03</v>
      </c>
      <c r="G105" s="740">
        <f t="shared" si="3"/>
        <v>30000</v>
      </c>
    </row>
    <row r="106" spans="1:7" hidden="1" x14ac:dyDescent="0.3">
      <c r="A106" s="1041">
        <v>12558</v>
      </c>
      <c r="B106" s="2442">
        <v>0.1</v>
      </c>
      <c r="C106" s="1964" t="s">
        <v>3057</v>
      </c>
      <c r="D106" s="2419"/>
      <c r="E106" s="3337">
        <v>1000000</v>
      </c>
      <c r="F106" s="376">
        <v>0.03</v>
      </c>
      <c r="G106" s="740">
        <f t="shared" si="3"/>
        <v>30000</v>
      </c>
    </row>
    <row r="107" spans="1:7" hidden="1" x14ac:dyDescent="0.3">
      <c r="A107" s="2453">
        <v>12595</v>
      </c>
      <c r="B107" s="2454">
        <v>0.1</v>
      </c>
      <c r="C107" s="1272" t="s">
        <v>2992</v>
      </c>
      <c r="D107" s="201"/>
      <c r="E107" s="3261">
        <v>1250000</v>
      </c>
      <c r="F107" s="376">
        <v>0.03</v>
      </c>
      <c r="G107" s="740">
        <f t="shared" si="3"/>
        <v>37500</v>
      </c>
    </row>
    <row r="108" spans="1:7" hidden="1" x14ac:dyDescent="0.3">
      <c r="A108" s="2449">
        <v>12469</v>
      </c>
      <c r="B108" s="333">
        <v>0.1</v>
      </c>
      <c r="C108" s="3222" t="s">
        <v>3761</v>
      </c>
      <c r="D108" s="2455"/>
      <c r="E108" s="3334">
        <v>850000</v>
      </c>
      <c r="F108" s="376">
        <v>0.03</v>
      </c>
      <c r="G108" s="740">
        <f t="shared" si="3"/>
        <v>25500</v>
      </c>
    </row>
    <row r="109" spans="1:7" hidden="1" x14ac:dyDescent="0.3">
      <c r="A109" s="2404">
        <v>12510</v>
      </c>
      <c r="B109" s="333">
        <v>0.1</v>
      </c>
      <c r="C109" s="1411" t="s">
        <v>3011</v>
      </c>
      <c r="D109" s="2173"/>
      <c r="E109" s="3261">
        <v>1100000</v>
      </c>
      <c r="F109" s="376">
        <v>0.03</v>
      </c>
      <c r="G109" s="740">
        <f t="shared" si="3"/>
        <v>33000</v>
      </c>
    </row>
    <row r="110" spans="1:7" hidden="1" x14ac:dyDescent="0.3">
      <c r="A110" s="2449">
        <v>12577</v>
      </c>
      <c r="B110" s="333">
        <v>0.1</v>
      </c>
      <c r="C110" s="1170" t="s">
        <v>3035</v>
      </c>
      <c r="D110" s="1164"/>
      <c r="E110" s="3339">
        <v>1100000</v>
      </c>
      <c r="F110" s="376">
        <v>0.03</v>
      </c>
      <c r="G110" s="740">
        <f t="shared" si="3"/>
        <v>33000</v>
      </c>
    </row>
    <row r="111" spans="1:7" hidden="1" x14ac:dyDescent="0.3">
      <c r="A111" s="2408">
        <v>12579</v>
      </c>
      <c r="B111" s="333">
        <v>0.1</v>
      </c>
      <c r="C111" s="1088" t="s">
        <v>3049</v>
      </c>
      <c r="D111" s="1164"/>
      <c r="E111" s="3339">
        <v>1500000</v>
      </c>
      <c r="F111" s="376">
        <v>0.03</v>
      </c>
      <c r="G111" s="740">
        <f t="shared" si="3"/>
        <v>45000</v>
      </c>
    </row>
    <row r="112" spans="1:7" hidden="1" x14ac:dyDescent="0.3">
      <c r="A112" s="2450">
        <v>12517</v>
      </c>
      <c r="B112" s="553">
        <v>0.08</v>
      </c>
      <c r="C112" s="1095" t="s">
        <v>3048</v>
      </c>
      <c r="D112" s="201"/>
      <c r="E112" s="3261">
        <v>1150000</v>
      </c>
      <c r="F112" s="2456">
        <v>0.02</v>
      </c>
      <c r="G112" s="740">
        <f t="shared" si="3"/>
        <v>23000</v>
      </c>
    </row>
    <row r="113" spans="1:8" hidden="1" x14ac:dyDescent="0.3">
      <c r="A113" s="2449">
        <v>12580</v>
      </c>
      <c r="B113" s="2443">
        <v>0.1</v>
      </c>
      <c r="C113" s="1411" t="s">
        <v>3058</v>
      </c>
      <c r="D113" s="201"/>
      <c r="E113" s="3261">
        <v>1000000</v>
      </c>
      <c r="F113" s="376">
        <v>0.03</v>
      </c>
      <c r="G113" s="740">
        <f t="shared" si="3"/>
        <v>30000</v>
      </c>
    </row>
    <row r="114" spans="1:8" hidden="1" x14ac:dyDescent="0.3">
      <c r="A114" s="2449">
        <v>12622</v>
      </c>
      <c r="B114" s="2443">
        <v>0.1</v>
      </c>
      <c r="C114" s="1411" t="s">
        <v>3059</v>
      </c>
      <c r="D114" s="201"/>
      <c r="E114" s="3261">
        <v>500000</v>
      </c>
      <c r="F114" s="376">
        <v>0.03</v>
      </c>
      <c r="G114" s="740">
        <f t="shared" si="3"/>
        <v>15000</v>
      </c>
    </row>
    <row r="115" spans="1:8" hidden="1" x14ac:dyDescent="0.3">
      <c r="A115" s="2444">
        <v>12662</v>
      </c>
      <c r="B115" s="2443">
        <v>0.1</v>
      </c>
      <c r="C115" s="1411" t="s">
        <v>3060</v>
      </c>
      <c r="D115" s="201"/>
      <c r="E115" s="3261">
        <v>1100000</v>
      </c>
      <c r="F115" s="376">
        <v>0.03</v>
      </c>
      <c r="G115" s="740">
        <f t="shared" si="3"/>
        <v>33000</v>
      </c>
    </row>
    <row r="116" spans="1:8" hidden="1" x14ac:dyDescent="0.3">
      <c r="A116" s="2480"/>
      <c r="B116" s="2481"/>
      <c r="C116" s="3224" t="s">
        <v>3763</v>
      </c>
      <c r="D116" s="201"/>
      <c r="E116" s="3261">
        <v>11050000</v>
      </c>
      <c r="F116" s="376">
        <v>0.03</v>
      </c>
      <c r="G116" s="740">
        <f t="shared" si="3"/>
        <v>331500</v>
      </c>
    </row>
    <row r="117" spans="1:8" hidden="1" x14ac:dyDescent="0.3">
      <c r="A117" s="2982"/>
      <c r="B117" s="2392"/>
      <c r="C117" s="160"/>
      <c r="D117" s="160"/>
      <c r="E117" s="3252">
        <f>SUM(E76:E115)</f>
        <v>44420000</v>
      </c>
      <c r="F117" s="2"/>
      <c r="G117" s="11"/>
    </row>
    <row r="118" spans="1:8" hidden="1" x14ac:dyDescent="0.3">
      <c r="A118" s="3182"/>
      <c r="B118" s="2393"/>
      <c r="C118" s="3225"/>
      <c r="D118" s="1805" t="s">
        <v>3764</v>
      </c>
      <c r="E118" s="3327"/>
      <c r="F118" s="2394"/>
      <c r="G118" s="980"/>
    </row>
    <row r="119" spans="1:8" hidden="1" x14ac:dyDescent="0.3"/>
    <row r="120" spans="1:8" ht="15.75" hidden="1" customHeight="1" x14ac:dyDescent="0.3">
      <c r="A120" s="3664" t="s">
        <v>3765</v>
      </c>
      <c r="B120" s="3664"/>
      <c r="C120" s="3226" t="s">
        <v>3766</v>
      </c>
    </row>
    <row r="121" spans="1:8" ht="15.75" hidden="1" customHeight="1" x14ac:dyDescent="0.3">
      <c r="A121" s="3664"/>
      <c r="B121" s="3664"/>
      <c r="C121" s="3226" t="s">
        <v>3767</v>
      </c>
    </row>
    <row r="122" spans="1:8" hidden="1" x14ac:dyDescent="0.3">
      <c r="B122" s="2390" t="s">
        <v>3768</v>
      </c>
      <c r="C122" s="3227">
        <v>1664100</v>
      </c>
      <c r="D122" s="2479">
        <v>0.03</v>
      </c>
    </row>
    <row r="123" spans="1:8" hidden="1" x14ac:dyDescent="0.3"/>
    <row r="124" spans="1:8" ht="46.2" hidden="1" x14ac:dyDescent="0.85">
      <c r="A124" s="3662" t="s">
        <v>3071</v>
      </c>
      <c r="B124" s="3662"/>
      <c r="C124" s="3662"/>
      <c r="D124" s="3662"/>
      <c r="E124" s="3662"/>
      <c r="F124" s="3662"/>
      <c r="G124" s="3662"/>
    </row>
    <row r="125" spans="1:8" hidden="1" x14ac:dyDescent="0.3"/>
    <row r="126" spans="1:8" hidden="1" x14ac:dyDescent="0.3">
      <c r="A126" s="3661" t="s">
        <v>3769</v>
      </c>
      <c r="B126" s="3661"/>
      <c r="C126" s="3661"/>
      <c r="D126" s="3661"/>
      <c r="E126" s="3661"/>
      <c r="F126" s="3661"/>
      <c r="G126" s="3661"/>
      <c r="H126" s="1"/>
    </row>
    <row r="127" spans="1:8" hidden="1" x14ac:dyDescent="0.3">
      <c r="A127" s="3661"/>
      <c r="B127" s="3661"/>
      <c r="C127" s="3661"/>
      <c r="D127" s="3661"/>
      <c r="E127" s="3661"/>
      <c r="F127" s="3661"/>
      <c r="G127" s="3661"/>
      <c r="H127" s="1"/>
    </row>
    <row r="128" spans="1:8" hidden="1" x14ac:dyDescent="0.3">
      <c r="A128" s="3182" t="s">
        <v>3751</v>
      </c>
      <c r="B128" s="2388" t="s">
        <v>2976</v>
      </c>
      <c r="C128" s="3018" t="s">
        <v>3752</v>
      </c>
      <c r="D128" s="1124" t="s">
        <v>3753</v>
      </c>
      <c r="E128" s="3322" t="s">
        <v>3754</v>
      </c>
      <c r="F128" s="2281" t="s">
        <v>2979</v>
      </c>
      <c r="G128" s="289" t="s">
        <v>2985</v>
      </c>
      <c r="H128" s="2225" t="s">
        <v>3755</v>
      </c>
    </row>
    <row r="129" spans="1:8" hidden="1" x14ac:dyDescent="0.3">
      <c r="A129" s="2305">
        <v>12700</v>
      </c>
      <c r="B129" s="1733">
        <v>0.1</v>
      </c>
      <c r="C129" s="1411" t="s">
        <v>3072</v>
      </c>
      <c r="D129" s="1058"/>
      <c r="E129" s="3334">
        <v>1300000</v>
      </c>
      <c r="F129" s="376">
        <v>0.06</v>
      </c>
      <c r="G129" s="740">
        <f>E129*F129</f>
        <v>78000</v>
      </c>
      <c r="H129" s="1780" t="s">
        <v>36</v>
      </c>
    </row>
    <row r="130" spans="1:8" hidden="1" x14ac:dyDescent="0.3">
      <c r="A130" s="2305">
        <v>12687</v>
      </c>
      <c r="B130" s="1733">
        <v>0.1</v>
      </c>
      <c r="C130" s="1088" t="s">
        <v>3086</v>
      </c>
      <c r="D130" s="1058"/>
      <c r="E130" s="3334">
        <v>1050000</v>
      </c>
      <c r="F130" s="376">
        <v>0.06</v>
      </c>
      <c r="G130" s="740">
        <f t="shared" ref="G130:G143" si="4">E130*F130</f>
        <v>63000</v>
      </c>
      <c r="H130" s="1780" t="s">
        <v>36</v>
      </c>
    </row>
    <row r="131" spans="1:8" hidden="1" x14ac:dyDescent="0.3">
      <c r="A131" s="2305">
        <v>12703</v>
      </c>
      <c r="B131" s="1733">
        <v>0.1</v>
      </c>
      <c r="C131" s="1088" t="s">
        <v>3087</v>
      </c>
      <c r="D131" s="1058"/>
      <c r="E131" s="3334">
        <v>1200000</v>
      </c>
      <c r="F131" s="376">
        <v>0.06</v>
      </c>
      <c r="G131" s="740">
        <f t="shared" si="4"/>
        <v>72000</v>
      </c>
      <c r="H131" s="1780" t="s">
        <v>36</v>
      </c>
    </row>
    <row r="132" spans="1:8" hidden="1" x14ac:dyDescent="0.3">
      <c r="A132" s="2305">
        <v>12713</v>
      </c>
      <c r="B132" s="1733">
        <v>0.1</v>
      </c>
      <c r="C132" s="1411" t="s">
        <v>3089</v>
      </c>
      <c r="D132" s="1058"/>
      <c r="E132" s="3334">
        <v>1300000</v>
      </c>
      <c r="F132" s="376">
        <v>0.06</v>
      </c>
      <c r="G132" s="740">
        <f t="shared" si="4"/>
        <v>78000</v>
      </c>
      <c r="H132" s="1780" t="s">
        <v>36</v>
      </c>
    </row>
    <row r="133" spans="1:8" hidden="1" x14ac:dyDescent="0.3">
      <c r="A133" s="2408">
        <v>12739</v>
      </c>
      <c r="B133" s="1733">
        <v>0.1</v>
      </c>
      <c r="C133" s="1088" t="s">
        <v>3113</v>
      </c>
      <c r="D133" s="1058"/>
      <c r="E133" s="3334">
        <v>1000000</v>
      </c>
      <c r="F133" s="376">
        <v>0.06</v>
      </c>
      <c r="G133" s="740">
        <f t="shared" si="4"/>
        <v>60000</v>
      </c>
      <c r="H133" s="1780" t="s">
        <v>36</v>
      </c>
    </row>
    <row r="134" spans="1:8" hidden="1" x14ac:dyDescent="0.3">
      <c r="A134" s="2403">
        <v>12764</v>
      </c>
      <c r="B134" s="2560">
        <v>0.08</v>
      </c>
      <c r="C134" s="1088" t="s">
        <v>3093</v>
      </c>
      <c r="D134" s="335"/>
      <c r="E134" s="3334">
        <v>1200000</v>
      </c>
      <c r="F134" s="2563">
        <v>0.05</v>
      </c>
      <c r="G134" s="740">
        <f t="shared" si="4"/>
        <v>60000</v>
      </c>
      <c r="H134" s="1780" t="s">
        <v>36</v>
      </c>
    </row>
    <row r="135" spans="1:8" hidden="1" x14ac:dyDescent="0.3">
      <c r="A135" s="2403">
        <v>12779</v>
      </c>
      <c r="B135" s="1733">
        <v>0.1</v>
      </c>
      <c r="C135" s="1088" t="s">
        <v>3092</v>
      </c>
      <c r="D135" s="335"/>
      <c r="E135" s="3334">
        <v>1150000</v>
      </c>
      <c r="F135" s="376">
        <v>0.06</v>
      </c>
      <c r="G135" s="740">
        <f t="shared" si="4"/>
        <v>69000</v>
      </c>
      <c r="H135" s="1780" t="s">
        <v>36</v>
      </c>
    </row>
    <row r="136" spans="1:8" hidden="1" x14ac:dyDescent="0.3">
      <c r="A136" s="2414">
        <v>12786</v>
      </c>
      <c r="B136" s="1733">
        <v>0.1</v>
      </c>
      <c r="C136" s="2158" t="s">
        <v>3079</v>
      </c>
      <c r="D136" s="1307"/>
      <c r="E136" s="3334">
        <v>1400000</v>
      </c>
      <c r="F136" s="376">
        <v>0.06</v>
      </c>
      <c r="G136" s="740">
        <f t="shared" si="4"/>
        <v>84000</v>
      </c>
      <c r="H136" s="1780" t="s">
        <v>36</v>
      </c>
    </row>
    <row r="137" spans="1:8" hidden="1" x14ac:dyDescent="0.3">
      <c r="A137" s="2414">
        <v>12794</v>
      </c>
      <c r="B137" s="1818">
        <v>0.1</v>
      </c>
      <c r="C137" s="2158" t="s">
        <v>3094</v>
      </c>
      <c r="D137" s="335"/>
      <c r="E137" s="3334">
        <v>750000</v>
      </c>
      <c r="F137" s="376">
        <v>0.06</v>
      </c>
      <c r="G137" s="740">
        <f t="shared" si="4"/>
        <v>45000</v>
      </c>
      <c r="H137" s="1780" t="s">
        <v>36</v>
      </c>
    </row>
    <row r="138" spans="1:8" hidden="1" x14ac:dyDescent="0.3">
      <c r="A138" s="2451">
        <v>12812</v>
      </c>
      <c r="B138" s="2420">
        <v>0.1</v>
      </c>
      <c r="C138" s="1272" t="s">
        <v>3102</v>
      </c>
      <c r="D138" s="1307"/>
      <c r="E138" s="3334">
        <v>1300000</v>
      </c>
      <c r="F138" s="376">
        <v>0.06</v>
      </c>
      <c r="G138" s="740">
        <f t="shared" si="4"/>
        <v>78000</v>
      </c>
      <c r="H138" s="1780" t="s">
        <v>36</v>
      </c>
    </row>
    <row r="139" spans="1:8" hidden="1" x14ac:dyDescent="0.3">
      <c r="A139" s="2451">
        <v>12840</v>
      </c>
      <c r="B139" s="2420">
        <v>0.1</v>
      </c>
      <c r="C139" s="1272" t="s">
        <v>3083</v>
      </c>
      <c r="D139" s="1058"/>
      <c r="E139" s="3334">
        <v>1800000</v>
      </c>
      <c r="F139" s="376">
        <v>0.06</v>
      </c>
      <c r="G139" s="740">
        <f t="shared" si="4"/>
        <v>108000</v>
      </c>
      <c r="H139" s="1780" t="s">
        <v>36</v>
      </c>
    </row>
    <row r="140" spans="1:8" hidden="1" x14ac:dyDescent="0.3">
      <c r="A140" s="2414">
        <v>12856</v>
      </c>
      <c r="B140" s="2420">
        <v>0.1</v>
      </c>
      <c r="C140" s="1272" t="s">
        <v>3770</v>
      </c>
      <c r="D140" s="1058"/>
      <c r="E140" s="3334">
        <v>800000</v>
      </c>
      <c r="F140" s="376">
        <v>0.06</v>
      </c>
      <c r="G140" s="740">
        <f t="shared" si="4"/>
        <v>48000</v>
      </c>
      <c r="H140" s="1780" t="s">
        <v>36</v>
      </c>
    </row>
    <row r="141" spans="1:8" hidden="1" x14ac:dyDescent="0.3">
      <c r="A141" s="2451">
        <v>12880</v>
      </c>
      <c r="B141" s="2420">
        <v>0.1</v>
      </c>
      <c r="C141" s="1272" t="s">
        <v>3106</v>
      </c>
      <c r="D141" s="1307"/>
      <c r="E141" s="3334">
        <v>1100000</v>
      </c>
      <c r="F141" s="376">
        <v>0.06</v>
      </c>
      <c r="G141" s="740">
        <f t="shared" si="4"/>
        <v>66000</v>
      </c>
      <c r="H141" s="1780" t="s">
        <v>36</v>
      </c>
    </row>
    <row r="142" spans="1:8" hidden="1" x14ac:dyDescent="0.3">
      <c r="A142" s="2403">
        <v>12873</v>
      </c>
      <c r="B142" s="2420">
        <v>0.1</v>
      </c>
      <c r="C142" s="1088" t="s">
        <v>3771</v>
      </c>
      <c r="D142" s="1058"/>
      <c r="E142" s="3334">
        <v>1300000</v>
      </c>
      <c r="F142" s="376">
        <v>0.06</v>
      </c>
      <c r="G142" s="740">
        <f t="shared" si="4"/>
        <v>78000</v>
      </c>
      <c r="H142" s="1780" t="s">
        <v>36</v>
      </c>
    </row>
    <row r="143" spans="1:8" hidden="1" x14ac:dyDescent="0.3">
      <c r="A143" s="1010">
        <v>12899</v>
      </c>
      <c r="B143" s="1733">
        <v>0.1</v>
      </c>
      <c r="C143" s="1088" t="s">
        <v>3772</v>
      </c>
      <c r="D143" s="2509"/>
      <c r="E143" s="3334">
        <v>1000000</v>
      </c>
      <c r="F143" s="376">
        <v>0.06</v>
      </c>
      <c r="G143" s="740">
        <f t="shared" si="4"/>
        <v>60000</v>
      </c>
      <c r="H143" s="1780" t="s">
        <v>36</v>
      </c>
    </row>
    <row r="144" spans="1:8" ht="15" hidden="1" customHeight="1" x14ac:dyDescent="0.3">
      <c r="A144" s="2527" t="s">
        <v>3018</v>
      </c>
      <c r="B144" s="624"/>
      <c r="C144" s="1226" t="s">
        <v>3773</v>
      </c>
      <c r="D144" s="335" t="s">
        <v>1963</v>
      </c>
      <c r="E144" s="3335"/>
      <c r="F144" s="376"/>
      <c r="G144" s="740"/>
      <c r="H144" s="925"/>
    </row>
    <row r="145" spans="1:8" hidden="1" x14ac:dyDescent="0.3">
      <c r="A145" s="2401" t="s">
        <v>3018</v>
      </c>
      <c r="B145" s="2501"/>
      <c r="C145" s="1246" t="s">
        <v>3124</v>
      </c>
      <c r="D145" s="335" t="s">
        <v>3125</v>
      </c>
      <c r="E145" s="3334"/>
      <c r="F145" s="376"/>
      <c r="G145" s="740"/>
      <c r="H145" s="970"/>
    </row>
    <row r="146" spans="1:8" hidden="1" x14ac:dyDescent="0.3">
      <c r="A146" s="2491" t="s">
        <v>3099</v>
      </c>
      <c r="B146" s="103"/>
      <c r="C146" s="1796" t="s">
        <v>3774</v>
      </c>
      <c r="D146" s="1058" t="s">
        <v>3108</v>
      </c>
      <c r="E146" s="3341"/>
      <c r="F146" s="376"/>
      <c r="G146" s="740"/>
      <c r="H146" s="925"/>
    </row>
    <row r="147" spans="1:8" hidden="1" x14ac:dyDescent="0.3">
      <c r="A147" s="2497"/>
      <c r="B147" s="2172"/>
      <c r="C147" s="1173"/>
      <c r="D147" s="2369"/>
      <c r="E147" s="3338"/>
      <c r="F147" s="376"/>
      <c r="G147" s="740"/>
      <c r="H147" s="970"/>
    </row>
    <row r="148" spans="1:8" hidden="1" x14ac:dyDescent="0.3">
      <c r="A148" s="3212"/>
      <c r="B148" s="2389"/>
      <c r="C148" s="3220"/>
      <c r="D148" s="1582" t="s">
        <v>3758</v>
      </c>
      <c r="E148" s="3336">
        <f>SUM(E129:E147)</f>
        <v>17650000</v>
      </c>
      <c r="F148" s="2446"/>
      <c r="G148" s="2585">
        <f>SUM(G129:G147)</f>
        <v>1047000</v>
      </c>
      <c r="H148" s="2448"/>
    </row>
    <row r="149" spans="1:8" hidden="1" x14ac:dyDescent="0.3"/>
    <row r="150" spans="1:8" hidden="1" x14ac:dyDescent="0.3">
      <c r="A150" s="3661" t="s">
        <v>3775</v>
      </c>
      <c r="B150" s="3661"/>
      <c r="C150" s="3661"/>
      <c r="D150" s="3661"/>
      <c r="E150" s="3661"/>
      <c r="F150" s="3661"/>
      <c r="G150" s="3661"/>
      <c r="H150" s="1"/>
    </row>
    <row r="151" spans="1:8" hidden="1" x14ac:dyDescent="0.3">
      <c r="A151" s="3661"/>
      <c r="B151" s="3661"/>
      <c r="C151" s="3661"/>
      <c r="D151" s="3661"/>
      <c r="E151" s="3661"/>
      <c r="F151" s="3661"/>
      <c r="G151" s="3661"/>
      <c r="H151" s="1"/>
    </row>
    <row r="152" spans="1:8" hidden="1" x14ac:dyDescent="0.3">
      <c r="A152" s="3213" t="s">
        <v>3751</v>
      </c>
      <c r="B152" s="2460" t="s">
        <v>2976</v>
      </c>
      <c r="C152" s="3223" t="s">
        <v>3752</v>
      </c>
      <c r="D152" s="2461" t="s">
        <v>3753</v>
      </c>
      <c r="E152" s="3326" t="s">
        <v>3754</v>
      </c>
      <c r="F152" s="2462" t="s">
        <v>2979</v>
      </c>
      <c r="G152" s="2463" t="s">
        <v>2985</v>
      </c>
      <c r="H152" s="2225" t="s">
        <v>3755</v>
      </c>
    </row>
    <row r="153" spans="1:8" hidden="1" x14ac:dyDescent="0.3">
      <c r="A153" s="2400">
        <v>12704</v>
      </c>
      <c r="B153" s="2039">
        <v>0.1</v>
      </c>
      <c r="C153" s="1566" t="s">
        <v>3075</v>
      </c>
      <c r="D153" s="298"/>
      <c r="E153" s="3334">
        <v>750000</v>
      </c>
      <c r="F153" s="376">
        <v>0.05</v>
      </c>
      <c r="G153" s="740">
        <f>E153*F153</f>
        <v>37500</v>
      </c>
      <c r="H153" s="2418" t="s">
        <v>3776</v>
      </c>
    </row>
    <row r="154" spans="1:8" hidden="1" x14ac:dyDescent="0.3">
      <c r="A154" s="2414">
        <v>12695</v>
      </c>
      <c r="B154" s="2039">
        <v>0.1</v>
      </c>
      <c r="C154" s="1411" t="s">
        <v>3111</v>
      </c>
      <c r="D154" s="298"/>
      <c r="E154" s="3334">
        <v>1200000</v>
      </c>
      <c r="F154" s="376">
        <v>0.05</v>
      </c>
      <c r="G154" s="740">
        <f t="shared" ref="G154:G165" si="5">E154*F154</f>
        <v>60000</v>
      </c>
      <c r="H154" s="2418" t="s">
        <v>3776</v>
      </c>
    </row>
    <row r="155" spans="1:8" hidden="1" x14ac:dyDescent="0.3">
      <c r="A155" s="2414">
        <v>12705</v>
      </c>
      <c r="B155" s="2039">
        <v>0.1</v>
      </c>
      <c r="C155" s="1411" t="s">
        <v>3127</v>
      </c>
      <c r="D155" s="298"/>
      <c r="E155" s="3334">
        <v>800000</v>
      </c>
      <c r="F155" s="376">
        <v>0.05</v>
      </c>
      <c r="G155" s="740">
        <f t="shared" si="5"/>
        <v>40000</v>
      </c>
      <c r="H155" s="2418" t="s">
        <v>3776</v>
      </c>
    </row>
    <row r="156" spans="1:8" hidden="1" x14ac:dyDescent="0.3">
      <c r="A156" s="2498">
        <v>12758</v>
      </c>
      <c r="B156" s="2039">
        <v>0.1</v>
      </c>
      <c r="C156" s="1411" t="s">
        <v>3077</v>
      </c>
      <c r="D156" s="1762"/>
      <c r="E156" s="3334">
        <v>1550000</v>
      </c>
      <c r="F156" s="376">
        <v>0.05</v>
      </c>
      <c r="G156" s="740">
        <f t="shared" si="5"/>
        <v>77500</v>
      </c>
      <c r="H156" s="2418" t="s">
        <v>3776</v>
      </c>
    </row>
    <row r="157" spans="1:8" hidden="1" x14ac:dyDescent="0.3">
      <c r="A157" s="2305">
        <v>12729</v>
      </c>
      <c r="B157" s="2039">
        <v>0.1</v>
      </c>
      <c r="C157" s="2158" t="s">
        <v>3090</v>
      </c>
      <c r="D157" s="1762"/>
      <c r="E157" s="3334">
        <v>1150000</v>
      </c>
      <c r="F157" s="376">
        <v>0.05</v>
      </c>
      <c r="G157" s="740">
        <f t="shared" si="5"/>
        <v>57500</v>
      </c>
      <c r="H157" s="2418" t="s">
        <v>3776</v>
      </c>
    </row>
    <row r="158" spans="1:8" hidden="1" x14ac:dyDescent="0.3">
      <c r="A158" s="2403">
        <v>12761</v>
      </c>
      <c r="B158" s="553">
        <v>0.08</v>
      </c>
      <c r="C158" s="1411" t="s">
        <v>3116</v>
      </c>
      <c r="D158" s="1762"/>
      <c r="E158" s="3334">
        <v>1450000</v>
      </c>
      <c r="F158" s="2563">
        <v>0.04</v>
      </c>
      <c r="G158" s="740">
        <f t="shared" si="5"/>
        <v>58000</v>
      </c>
      <c r="H158" s="2418" t="s">
        <v>3776</v>
      </c>
    </row>
    <row r="159" spans="1:8" hidden="1" x14ac:dyDescent="0.3">
      <c r="A159" s="2403">
        <v>12728</v>
      </c>
      <c r="B159" s="2039">
        <v>0.1</v>
      </c>
      <c r="C159" s="1411" t="s">
        <v>3777</v>
      </c>
      <c r="D159" s="1762"/>
      <c r="E159" s="3334">
        <v>750000</v>
      </c>
      <c r="F159" s="376">
        <v>0.05</v>
      </c>
      <c r="G159" s="740">
        <f t="shared" si="5"/>
        <v>37500</v>
      </c>
      <c r="H159" s="2418" t="s">
        <v>3776</v>
      </c>
    </row>
    <row r="160" spans="1:8" hidden="1" x14ac:dyDescent="0.3">
      <c r="A160" s="2305">
        <v>12802</v>
      </c>
      <c r="B160" s="2039">
        <v>0.1</v>
      </c>
      <c r="C160" s="1411" t="s">
        <v>3080</v>
      </c>
      <c r="D160" s="1779"/>
      <c r="E160" s="3334">
        <v>1600000</v>
      </c>
      <c r="F160" s="376">
        <v>0.05</v>
      </c>
      <c r="G160" s="740">
        <f t="shared" si="5"/>
        <v>80000</v>
      </c>
      <c r="H160" s="2223" t="s">
        <v>3776</v>
      </c>
    </row>
    <row r="161" spans="1:8" hidden="1" x14ac:dyDescent="0.3">
      <c r="A161" s="2305">
        <v>12830</v>
      </c>
      <c r="B161" s="2039">
        <v>0.1</v>
      </c>
      <c r="C161" s="1387" t="s">
        <v>3118</v>
      </c>
      <c r="D161" s="1762"/>
      <c r="E161" s="3334">
        <v>1000000</v>
      </c>
      <c r="F161" s="376">
        <v>0.05</v>
      </c>
      <c r="G161" s="740">
        <f t="shared" si="5"/>
        <v>50000</v>
      </c>
      <c r="H161" s="2507" t="s">
        <v>3776</v>
      </c>
    </row>
    <row r="162" spans="1:8" hidden="1" x14ac:dyDescent="0.3">
      <c r="A162" s="2305">
        <v>12829</v>
      </c>
      <c r="B162" s="2039">
        <v>0.1</v>
      </c>
      <c r="C162" s="2158" t="s">
        <v>3082</v>
      </c>
      <c r="D162" s="1762"/>
      <c r="E162" s="3334">
        <v>1200000</v>
      </c>
      <c r="F162" s="376">
        <v>0.05</v>
      </c>
      <c r="G162" s="740">
        <f t="shared" si="5"/>
        <v>60000</v>
      </c>
      <c r="H162" s="2223" t="s">
        <v>3776</v>
      </c>
    </row>
    <row r="163" spans="1:8" hidden="1" x14ac:dyDescent="0.3">
      <c r="A163" s="2305">
        <v>12869</v>
      </c>
      <c r="B163" s="2039">
        <v>0.1</v>
      </c>
      <c r="C163" s="1411" t="s">
        <v>3105</v>
      </c>
      <c r="D163" s="1307"/>
      <c r="E163" s="3342">
        <v>1100000</v>
      </c>
      <c r="F163" s="376">
        <v>0.05</v>
      </c>
      <c r="G163" s="740">
        <f t="shared" si="5"/>
        <v>55000</v>
      </c>
      <c r="H163" s="2223" t="s">
        <v>3776</v>
      </c>
    </row>
    <row r="164" spans="1:8" hidden="1" x14ac:dyDescent="0.3">
      <c r="A164" s="2305">
        <v>12898</v>
      </c>
      <c r="B164" s="2039">
        <v>0.1</v>
      </c>
      <c r="C164" s="1387" t="s">
        <v>3778</v>
      </c>
      <c r="D164" s="2509"/>
      <c r="E164" s="3334">
        <v>1700000</v>
      </c>
      <c r="F164" s="376">
        <v>0.05</v>
      </c>
      <c r="G164" s="740">
        <f t="shared" si="5"/>
        <v>85000</v>
      </c>
      <c r="H164" s="2223" t="s">
        <v>3776</v>
      </c>
    </row>
    <row r="165" spans="1:8" hidden="1" x14ac:dyDescent="0.3">
      <c r="A165" s="2305">
        <v>12900</v>
      </c>
      <c r="B165" s="2039">
        <v>0.1</v>
      </c>
      <c r="C165" s="1387" t="s">
        <v>3779</v>
      </c>
      <c r="D165" s="2509"/>
      <c r="E165" s="3339">
        <v>900000</v>
      </c>
      <c r="F165" s="376">
        <v>0.05</v>
      </c>
      <c r="G165" s="740">
        <f t="shared" si="5"/>
        <v>45000</v>
      </c>
      <c r="H165" s="2223" t="s">
        <v>3776</v>
      </c>
    </row>
    <row r="166" spans="1:8" hidden="1" x14ac:dyDescent="0.3">
      <c r="A166" s="2405" t="s">
        <v>3018</v>
      </c>
      <c r="B166" s="1444"/>
      <c r="C166" s="1226" t="s">
        <v>3098</v>
      </c>
      <c r="D166" s="2528" t="s">
        <v>1963</v>
      </c>
      <c r="E166" s="3339"/>
      <c r="F166" s="2465"/>
      <c r="G166" s="740"/>
      <c r="H166" s="2223"/>
    </row>
    <row r="167" spans="1:8" hidden="1" x14ac:dyDescent="0.3">
      <c r="A167" s="2486" t="s">
        <v>3780</v>
      </c>
      <c r="B167" s="2516"/>
      <c r="C167" s="1226" t="s">
        <v>3188</v>
      </c>
      <c r="D167" s="2517" t="s">
        <v>3108</v>
      </c>
      <c r="E167" s="3337"/>
      <c r="F167" s="985"/>
      <c r="G167" s="740"/>
      <c r="H167" s="2223"/>
    </row>
    <row r="168" spans="1:8" hidden="1" x14ac:dyDescent="0.3">
      <c r="A168" s="2486" t="s">
        <v>3018</v>
      </c>
      <c r="B168" s="2513"/>
      <c r="C168" s="1226" t="s">
        <v>3121</v>
      </c>
      <c r="D168" s="1334" t="s">
        <v>3781</v>
      </c>
      <c r="E168" s="3337"/>
      <c r="F168" s="985"/>
      <c r="G168" s="740" t="s">
        <v>3782</v>
      </c>
      <c r="H168" s="2223"/>
    </row>
    <row r="169" spans="1:8" hidden="1" x14ac:dyDescent="0.3">
      <c r="A169" s="2486" t="s">
        <v>3018</v>
      </c>
      <c r="B169" s="2514"/>
      <c r="C169" s="1226" t="s">
        <v>3783</v>
      </c>
      <c r="D169" s="2515" t="s">
        <v>3784</v>
      </c>
      <c r="E169" s="3337"/>
      <c r="F169" s="376"/>
      <c r="G169" s="740"/>
      <c r="H169" s="2223"/>
    </row>
    <row r="170" spans="1:8" hidden="1" x14ac:dyDescent="0.3">
      <c r="A170" s="2486" t="s">
        <v>3099</v>
      </c>
      <c r="B170" s="344"/>
      <c r="C170" s="1246" t="s">
        <v>3126</v>
      </c>
      <c r="D170" s="1795" t="s">
        <v>3108</v>
      </c>
      <c r="E170" s="3338"/>
      <c r="F170" s="1475"/>
      <c r="G170" s="1204"/>
      <c r="H170" s="2222"/>
    </row>
    <row r="171" spans="1:8" ht="26.4" hidden="1" x14ac:dyDescent="0.3">
      <c r="A171" s="2485" t="s">
        <v>2997</v>
      </c>
      <c r="B171" s="2386"/>
      <c r="C171" s="1246" t="s">
        <v>3109</v>
      </c>
      <c r="D171" s="806" t="s">
        <v>3110</v>
      </c>
      <c r="E171" s="3338"/>
      <c r="F171" s="1475"/>
      <c r="G171" s="1204"/>
      <c r="H171" s="2222"/>
    </row>
    <row r="172" spans="1:8" hidden="1" x14ac:dyDescent="0.3">
      <c r="A172" s="3214"/>
      <c r="B172" s="2391"/>
      <c r="C172" s="1214"/>
      <c r="D172" s="1582" t="s">
        <v>3758</v>
      </c>
      <c r="E172" s="3261">
        <f>SUM(E153:E171)</f>
        <v>15150000</v>
      </c>
      <c r="F172" s="51"/>
      <c r="G172" s="2584">
        <f>SUM(G153:G171)</f>
        <v>743000</v>
      </c>
      <c r="H172" s="2222"/>
    </row>
    <row r="173" spans="1:8" hidden="1" x14ac:dyDescent="0.3">
      <c r="A173" s="3215"/>
      <c r="D173" s="1082"/>
      <c r="H173" s="1"/>
    </row>
    <row r="174" spans="1:8" hidden="1" x14ac:dyDescent="0.3">
      <c r="A174" s="3215"/>
      <c r="D174" s="1082"/>
      <c r="H174" s="1"/>
    </row>
    <row r="175" spans="1:8" hidden="1" x14ac:dyDescent="0.3">
      <c r="A175" s="3215"/>
      <c r="D175" s="1082"/>
      <c r="H175" s="1"/>
    </row>
    <row r="176" spans="1:8" hidden="1" x14ac:dyDescent="0.3">
      <c r="A176" s="3661" t="s">
        <v>3785</v>
      </c>
      <c r="B176" s="3661"/>
      <c r="C176" s="3661"/>
      <c r="D176" s="3661"/>
      <c r="E176" s="3661"/>
      <c r="F176" s="3661"/>
      <c r="G176" s="3661"/>
      <c r="H176" s="1"/>
    </row>
    <row r="177" spans="1:8" hidden="1" x14ac:dyDescent="0.3">
      <c r="A177" s="3661"/>
      <c r="B177" s="3661"/>
      <c r="C177" s="3661"/>
      <c r="D177" s="3661"/>
      <c r="E177" s="3661"/>
      <c r="F177" s="3661"/>
      <c r="G177" s="3661"/>
      <c r="H177" s="1"/>
    </row>
    <row r="178" spans="1:8" hidden="1" x14ac:dyDescent="0.3">
      <c r="A178" s="3213" t="s">
        <v>3751</v>
      </c>
      <c r="B178" s="2460" t="s">
        <v>2976</v>
      </c>
      <c r="C178" s="3221" t="s">
        <v>3752</v>
      </c>
      <c r="D178" s="2461" t="s">
        <v>3753</v>
      </c>
      <c r="E178" s="3326" t="s">
        <v>3754</v>
      </c>
      <c r="F178" s="2462" t="s">
        <v>2979</v>
      </c>
      <c r="G178" s="2463" t="s">
        <v>2985</v>
      </c>
      <c r="H178" s="2226" t="s">
        <v>3755</v>
      </c>
    </row>
    <row r="179" spans="1:8" hidden="1" x14ac:dyDescent="0.3">
      <c r="A179" s="2414">
        <v>12717</v>
      </c>
      <c r="B179" s="761">
        <v>0.1</v>
      </c>
      <c r="C179" s="1170" t="s">
        <v>3786</v>
      </c>
      <c r="D179" s="201" t="s">
        <v>3787</v>
      </c>
      <c r="E179" s="3261">
        <v>750000</v>
      </c>
      <c r="F179" s="680">
        <v>0.02</v>
      </c>
      <c r="G179" s="1332">
        <f>E179*F179</f>
        <v>15000</v>
      </c>
      <c r="H179" s="51" t="s">
        <v>36</v>
      </c>
    </row>
    <row r="180" spans="1:8" hidden="1" x14ac:dyDescent="0.3">
      <c r="A180" s="2305">
        <v>12727</v>
      </c>
      <c r="B180" s="761">
        <v>0.1</v>
      </c>
      <c r="C180" s="1088" t="s">
        <v>3788</v>
      </c>
      <c r="D180" s="201" t="s">
        <v>3787</v>
      </c>
      <c r="E180" s="3340">
        <v>750000</v>
      </c>
      <c r="F180" s="680">
        <v>0.02</v>
      </c>
      <c r="G180" s="1332">
        <f t="shared" ref="G180:G188" si="6">E180*F180</f>
        <v>15000</v>
      </c>
      <c r="H180" s="51" t="s">
        <v>36</v>
      </c>
    </row>
    <row r="181" spans="1:8" hidden="1" x14ac:dyDescent="0.3">
      <c r="A181" s="2408">
        <v>12738</v>
      </c>
      <c r="B181" s="761">
        <v>0.1</v>
      </c>
      <c r="C181" s="1088" t="s">
        <v>3115</v>
      </c>
      <c r="D181" s="201" t="s">
        <v>3787</v>
      </c>
      <c r="E181" s="3339">
        <v>1200000</v>
      </c>
      <c r="F181" s="680">
        <v>0.02</v>
      </c>
      <c r="G181" s="1332">
        <f t="shared" si="6"/>
        <v>24000</v>
      </c>
      <c r="H181" s="51" t="s">
        <v>36</v>
      </c>
    </row>
    <row r="182" spans="1:8" hidden="1" x14ac:dyDescent="0.3">
      <c r="A182" s="2400">
        <v>12723</v>
      </c>
      <c r="B182" s="2558">
        <v>0.1</v>
      </c>
      <c r="C182" s="1411" t="s">
        <v>3129</v>
      </c>
      <c r="D182" s="201" t="s">
        <v>3787</v>
      </c>
      <c r="E182" s="3261">
        <v>950000</v>
      </c>
      <c r="F182" s="2510">
        <v>0.02</v>
      </c>
      <c r="G182" s="1332">
        <f t="shared" si="6"/>
        <v>19000</v>
      </c>
      <c r="H182" s="51" t="s">
        <v>36</v>
      </c>
    </row>
    <row r="183" spans="1:8" hidden="1" x14ac:dyDescent="0.3">
      <c r="A183" s="2366">
        <v>12740</v>
      </c>
      <c r="B183" s="2561">
        <v>0.08</v>
      </c>
      <c r="C183" s="1411" t="s">
        <v>3091</v>
      </c>
      <c r="D183" s="201" t="s">
        <v>3787</v>
      </c>
      <c r="E183" s="3261">
        <v>1150000</v>
      </c>
      <c r="F183" s="2457">
        <v>0.01</v>
      </c>
      <c r="G183" s="1332">
        <f t="shared" si="6"/>
        <v>11500</v>
      </c>
      <c r="H183" s="51" t="s">
        <v>36</v>
      </c>
    </row>
    <row r="184" spans="1:8" hidden="1" x14ac:dyDescent="0.3">
      <c r="A184" s="2444">
        <v>12811</v>
      </c>
      <c r="B184" s="761">
        <v>0.1</v>
      </c>
      <c r="C184" s="1411" t="s">
        <v>3103</v>
      </c>
      <c r="D184" s="201" t="s">
        <v>3787</v>
      </c>
      <c r="E184" s="3261">
        <v>970000</v>
      </c>
      <c r="F184" s="680">
        <v>0.02</v>
      </c>
      <c r="G184" s="1332">
        <f t="shared" si="6"/>
        <v>19400</v>
      </c>
      <c r="H184" s="51" t="s">
        <v>36</v>
      </c>
    </row>
    <row r="185" spans="1:8" hidden="1" x14ac:dyDescent="0.3">
      <c r="A185" s="2450">
        <v>12814</v>
      </c>
      <c r="B185" s="2559">
        <v>0.1</v>
      </c>
      <c r="C185" s="1095" t="s">
        <v>3131</v>
      </c>
      <c r="D185" s="201" t="s">
        <v>3787</v>
      </c>
      <c r="E185" s="3340">
        <v>840000</v>
      </c>
      <c r="F185" s="742">
        <v>0.02</v>
      </c>
      <c r="G185" s="1332">
        <f t="shared" si="6"/>
        <v>16800</v>
      </c>
      <c r="H185" s="51" t="s">
        <v>36</v>
      </c>
    </row>
    <row r="186" spans="1:8" hidden="1" x14ac:dyDescent="0.3">
      <c r="A186" s="2512">
        <v>12839</v>
      </c>
      <c r="B186" s="2559">
        <v>0.1</v>
      </c>
      <c r="C186" s="588" t="s">
        <v>3117</v>
      </c>
      <c r="D186" s="201" t="s">
        <v>3787</v>
      </c>
      <c r="E186" s="3340">
        <v>1700000</v>
      </c>
      <c r="F186" s="742">
        <v>0.02</v>
      </c>
      <c r="G186" s="1332">
        <f t="shared" si="6"/>
        <v>34000</v>
      </c>
      <c r="H186" s="51" t="s">
        <v>36</v>
      </c>
    </row>
    <row r="187" spans="1:8" hidden="1" x14ac:dyDescent="0.3">
      <c r="A187" s="2512">
        <v>12868</v>
      </c>
      <c r="B187" s="761">
        <v>0.1</v>
      </c>
      <c r="C187" s="588" t="s">
        <v>3081</v>
      </c>
      <c r="D187" s="201" t="s">
        <v>3787</v>
      </c>
      <c r="E187" s="3261">
        <v>1400000</v>
      </c>
      <c r="F187" s="680">
        <v>0.02</v>
      </c>
      <c r="G187" s="2599">
        <f t="shared" si="6"/>
        <v>28000</v>
      </c>
      <c r="H187" s="1071" t="s">
        <v>36</v>
      </c>
    </row>
    <row r="188" spans="1:8" hidden="1" x14ac:dyDescent="0.3">
      <c r="A188" s="2512">
        <v>12882</v>
      </c>
      <c r="B188" s="761">
        <v>0.1</v>
      </c>
      <c r="C188" s="588" t="s">
        <v>3095</v>
      </c>
      <c r="D188" s="34" t="s">
        <v>3789</v>
      </c>
      <c r="E188" s="3261">
        <v>850000</v>
      </c>
      <c r="F188" s="545">
        <v>0.02</v>
      </c>
      <c r="G188" s="2600">
        <f t="shared" si="6"/>
        <v>17000</v>
      </c>
      <c r="H188" s="51" t="s">
        <v>36</v>
      </c>
    </row>
    <row r="189" spans="1:8" hidden="1" x14ac:dyDescent="0.3">
      <c r="A189" s="2491" t="s">
        <v>3790</v>
      </c>
      <c r="B189" s="3219"/>
      <c r="C189" s="2969" t="s">
        <v>3791</v>
      </c>
      <c r="D189" s="34" t="s">
        <v>3792</v>
      </c>
      <c r="E189" s="3340"/>
      <c r="F189" s="742"/>
      <c r="G189" s="1576"/>
      <c r="H189" s="1059"/>
    </row>
    <row r="190" spans="1:8" hidden="1" x14ac:dyDescent="0.3">
      <c r="A190" s="2491" t="s">
        <v>2997</v>
      </c>
      <c r="B190" s="3219"/>
      <c r="C190" s="2969" t="s">
        <v>3123</v>
      </c>
      <c r="D190" s="1745"/>
      <c r="E190" s="3340"/>
      <c r="F190" s="1059"/>
      <c r="G190" s="1576"/>
      <c r="H190" s="51"/>
    </row>
    <row r="191" spans="1:8" hidden="1" x14ac:dyDescent="0.3">
      <c r="A191" s="2491" t="s">
        <v>3099</v>
      </c>
      <c r="B191" s="1237"/>
      <c r="C191" s="1246" t="s">
        <v>3100</v>
      </c>
      <c r="D191" s="1409"/>
      <c r="E191" s="3334"/>
      <c r="F191" s="833"/>
      <c r="G191" s="1204"/>
      <c r="H191" s="51"/>
    </row>
    <row r="192" spans="1:8" hidden="1" x14ac:dyDescent="0.3">
      <c r="A192" s="3214"/>
      <c r="B192" s="2391"/>
      <c r="C192" s="1214"/>
      <c r="D192" s="1582" t="s">
        <v>3758</v>
      </c>
      <c r="E192" s="3261">
        <f>SUM(E179:E191)</f>
        <v>10560000</v>
      </c>
      <c r="F192" s="51"/>
      <c r="G192" s="2584">
        <f>SUM(G179:G191)</f>
        <v>199700</v>
      </c>
      <c r="H192" s="2222"/>
    </row>
    <row r="193" spans="1:7" hidden="1" x14ac:dyDescent="0.3"/>
    <row r="194" spans="1:7" hidden="1" x14ac:dyDescent="0.3">
      <c r="A194" s="3661" t="s">
        <v>3793</v>
      </c>
      <c r="B194" s="3661"/>
      <c r="C194" s="3661"/>
      <c r="D194" s="3661"/>
      <c r="E194" s="3661"/>
      <c r="F194" s="3661"/>
      <c r="G194" s="3661"/>
    </row>
    <row r="195" spans="1:7" hidden="1" x14ac:dyDescent="0.3">
      <c r="A195" s="3661"/>
      <c r="B195" s="3661"/>
      <c r="C195" s="3661"/>
      <c r="D195" s="3661"/>
      <c r="E195" s="3661"/>
      <c r="F195" s="3661"/>
      <c r="G195" s="3661"/>
    </row>
    <row r="196" spans="1:7" hidden="1" x14ac:dyDescent="0.3">
      <c r="A196" s="3213" t="s">
        <v>3751</v>
      </c>
      <c r="B196" s="2460" t="s">
        <v>2976</v>
      </c>
      <c r="C196" s="3221" t="s">
        <v>3752</v>
      </c>
      <c r="D196" s="2461" t="s">
        <v>3753</v>
      </c>
      <c r="E196" s="3326" t="s">
        <v>3754</v>
      </c>
      <c r="F196" s="2462" t="s">
        <v>2979</v>
      </c>
      <c r="G196" s="2463" t="s">
        <v>2985</v>
      </c>
    </row>
    <row r="197" spans="1:7" hidden="1" x14ac:dyDescent="0.3">
      <c r="A197" s="2305">
        <v>12700</v>
      </c>
      <c r="B197" s="122">
        <v>0.1</v>
      </c>
      <c r="C197" s="1411" t="s">
        <v>3072</v>
      </c>
      <c r="D197" s="1058" t="s">
        <v>3507</v>
      </c>
      <c r="E197" s="3334">
        <v>1300000</v>
      </c>
      <c r="F197" s="376">
        <v>0.03</v>
      </c>
      <c r="G197" s="740">
        <f>E197*F197</f>
        <v>39000</v>
      </c>
    </row>
    <row r="198" spans="1:7" hidden="1" x14ac:dyDescent="0.3">
      <c r="A198" s="2305">
        <v>12687</v>
      </c>
      <c r="B198" s="122">
        <v>0.1</v>
      </c>
      <c r="C198" s="1411" t="s">
        <v>3086</v>
      </c>
      <c r="D198" s="1058" t="s">
        <v>3507</v>
      </c>
      <c r="E198" s="3334">
        <v>1050000</v>
      </c>
      <c r="F198" s="376">
        <v>0.03</v>
      </c>
      <c r="G198" s="740">
        <f t="shared" ref="G198:G234" si="7">E198*F198</f>
        <v>31500</v>
      </c>
    </row>
    <row r="199" spans="1:7" hidden="1" x14ac:dyDescent="0.3">
      <c r="A199" s="2305">
        <v>12703</v>
      </c>
      <c r="B199" s="122">
        <v>0.1</v>
      </c>
      <c r="C199" s="1411" t="s">
        <v>3087</v>
      </c>
      <c r="D199" s="1058" t="s">
        <v>3507</v>
      </c>
      <c r="E199" s="3334">
        <v>1200000</v>
      </c>
      <c r="F199" s="376">
        <v>0.03</v>
      </c>
      <c r="G199" s="740">
        <f t="shared" si="7"/>
        <v>36000</v>
      </c>
    </row>
    <row r="200" spans="1:7" hidden="1" x14ac:dyDescent="0.3">
      <c r="A200" s="2305">
        <v>12713</v>
      </c>
      <c r="B200" s="122">
        <v>0.1</v>
      </c>
      <c r="C200" s="1411" t="s">
        <v>3089</v>
      </c>
      <c r="D200" s="1058" t="s">
        <v>3507</v>
      </c>
      <c r="E200" s="3334">
        <v>1300000</v>
      </c>
      <c r="F200" s="376">
        <v>0.03</v>
      </c>
      <c r="G200" s="740">
        <f t="shared" si="7"/>
        <v>39000</v>
      </c>
    </row>
    <row r="201" spans="1:7" hidden="1" x14ac:dyDescent="0.3">
      <c r="A201" s="2408">
        <v>12739</v>
      </c>
      <c r="B201" s="122">
        <v>0.1</v>
      </c>
      <c r="C201" s="1411" t="s">
        <v>3113</v>
      </c>
      <c r="D201" s="1058" t="s">
        <v>3507</v>
      </c>
      <c r="E201" s="3334">
        <v>1000000</v>
      </c>
      <c r="F201" s="376">
        <v>0.03</v>
      </c>
      <c r="G201" s="740">
        <f t="shared" si="7"/>
        <v>30000</v>
      </c>
    </row>
    <row r="202" spans="1:7" hidden="1" x14ac:dyDescent="0.3">
      <c r="A202" s="2403">
        <v>12764</v>
      </c>
      <c r="B202" s="2560">
        <v>0.08</v>
      </c>
      <c r="C202" s="1411" t="s">
        <v>3093</v>
      </c>
      <c r="D202" s="335" t="s">
        <v>3507</v>
      </c>
      <c r="E202" s="3334">
        <v>1200000</v>
      </c>
      <c r="F202" s="2563">
        <v>0.02</v>
      </c>
      <c r="G202" s="740">
        <f t="shared" si="7"/>
        <v>24000</v>
      </c>
    </row>
    <row r="203" spans="1:7" hidden="1" x14ac:dyDescent="0.3">
      <c r="A203" s="2403">
        <v>12779</v>
      </c>
      <c r="B203" s="1733">
        <v>0.1</v>
      </c>
      <c r="C203" s="1411" t="s">
        <v>3092</v>
      </c>
      <c r="D203" s="335" t="s">
        <v>3507</v>
      </c>
      <c r="E203" s="3334">
        <v>1150000</v>
      </c>
      <c r="F203" s="376">
        <v>0.03</v>
      </c>
      <c r="G203" s="740">
        <f t="shared" si="7"/>
        <v>34500</v>
      </c>
    </row>
    <row r="204" spans="1:7" hidden="1" x14ac:dyDescent="0.3">
      <c r="A204" s="2414">
        <v>12786</v>
      </c>
      <c r="B204" s="1818">
        <v>0.1</v>
      </c>
      <c r="C204" s="1411" t="s">
        <v>3079</v>
      </c>
      <c r="D204" s="1307" t="s">
        <v>3507</v>
      </c>
      <c r="E204" s="3334">
        <v>1400000</v>
      </c>
      <c r="F204" s="376">
        <v>0.03</v>
      </c>
      <c r="G204" s="740">
        <f t="shared" si="7"/>
        <v>42000</v>
      </c>
    </row>
    <row r="205" spans="1:7" hidden="1" x14ac:dyDescent="0.3">
      <c r="A205" s="2414">
        <v>12794</v>
      </c>
      <c r="B205" s="1818">
        <v>0.1</v>
      </c>
      <c r="C205" s="1411" t="s">
        <v>3094</v>
      </c>
      <c r="D205" s="335" t="s">
        <v>3507</v>
      </c>
      <c r="E205" s="3334">
        <v>750000</v>
      </c>
      <c r="F205" s="376">
        <v>0.03</v>
      </c>
      <c r="G205" s="740">
        <f t="shared" si="7"/>
        <v>22500</v>
      </c>
    </row>
    <row r="206" spans="1:7" hidden="1" x14ac:dyDescent="0.3">
      <c r="A206" s="2451">
        <v>12812</v>
      </c>
      <c r="B206" s="2420">
        <v>0.1</v>
      </c>
      <c r="C206" s="1411" t="s">
        <v>3102</v>
      </c>
      <c r="D206" s="1307" t="s">
        <v>3507</v>
      </c>
      <c r="E206" s="3334">
        <v>1300000</v>
      </c>
      <c r="F206" s="376">
        <v>0.03</v>
      </c>
      <c r="G206" s="740">
        <f t="shared" si="7"/>
        <v>39000</v>
      </c>
    </row>
    <row r="207" spans="1:7" hidden="1" x14ac:dyDescent="0.3">
      <c r="A207" s="2451">
        <v>12840</v>
      </c>
      <c r="B207" s="2420">
        <v>0.1</v>
      </c>
      <c r="C207" s="1411" t="s">
        <v>3083</v>
      </c>
      <c r="D207" s="1058" t="s">
        <v>3507</v>
      </c>
      <c r="E207" s="3334">
        <v>1800000</v>
      </c>
      <c r="F207" s="376">
        <v>0.03</v>
      </c>
      <c r="G207" s="740">
        <f t="shared" si="7"/>
        <v>54000</v>
      </c>
    </row>
    <row r="208" spans="1:7" hidden="1" x14ac:dyDescent="0.3">
      <c r="A208" s="2414">
        <v>12856</v>
      </c>
      <c r="B208" s="2420">
        <v>0.1</v>
      </c>
      <c r="C208" s="1411" t="s">
        <v>3770</v>
      </c>
      <c r="D208" s="1058" t="s">
        <v>3507</v>
      </c>
      <c r="E208" s="3334">
        <v>800000</v>
      </c>
      <c r="F208" s="376">
        <v>0.03</v>
      </c>
      <c r="G208" s="740">
        <f t="shared" si="7"/>
        <v>24000</v>
      </c>
    </row>
    <row r="209" spans="1:7" hidden="1" x14ac:dyDescent="0.3">
      <c r="A209" s="2451">
        <v>12880</v>
      </c>
      <c r="B209" s="2420">
        <v>0.1</v>
      </c>
      <c r="C209" s="1411" t="s">
        <v>3106</v>
      </c>
      <c r="D209" s="1307" t="s">
        <v>3507</v>
      </c>
      <c r="E209" s="3334">
        <v>1100000</v>
      </c>
      <c r="F209" s="376">
        <v>0.03</v>
      </c>
      <c r="G209" s="740">
        <f>G141</f>
        <v>66000</v>
      </c>
    </row>
    <row r="210" spans="1:7" hidden="1" x14ac:dyDescent="0.3">
      <c r="A210" s="2403">
        <v>12873</v>
      </c>
      <c r="B210" s="2420">
        <v>0.1</v>
      </c>
      <c r="C210" s="1411" t="s">
        <v>3771</v>
      </c>
      <c r="D210" s="1058" t="s">
        <v>3507</v>
      </c>
      <c r="E210" s="3334">
        <v>1300000</v>
      </c>
      <c r="F210" s="376">
        <v>0.03</v>
      </c>
      <c r="G210" s="740">
        <f>G142</f>
        <v>78000</v>
      </c>
    </row>
    <row r="211" spans="1:7" hidden="1" x14ac:dyDescent="0.3">
      <c r="A211" s="1010">
        <v>10899</v>
      </c>
      <c r="B211" s="2420">
        <v>0.1</v>
      </c>
      <c r="C211" s="1411" t="s">
        <v>3772</v>
      </c>
      <c r="D211" s="2509" t="s">
        <v>3507</v>
      </c>
      <c r="E211" s="3334">
        <v>1000000</v>
      </c>
      <c r="F211" s="376">
        <v>0.03</v>
      </c>
      <c r="G211" s="740">
        <f t="shared" si="7"/>
        <v>30000</v>
      </c>
    </row>
    <row r="212" spans="1:7" hidden="1" x14ac:dyDescent="0.3">
      <c r="A212" s="2400">
        <v>12704</v>
      </c>
      <c r="B212" s="2420">
        <v>0.1</v>
      </c>
      <c r="C212" s="1411" t="s">
        <v>3075</v>
      </c>
      <c r="D212" s="298" t="s">
        <v>3507</v>
      </c>
      <c r="E212" s="3334">
        <v>750000</v>
      </c>
      <c r="F212" s="376">
        <v>0.03</v>
      </c>
      <c r="G212" s="740">
        <f t="shared" si="7"/>
        <v>22500</v>
      </c>
    </row>
    <row r="213" spans="1:7" hidden="1" x14ac:dyDescent="0.3">
      <c r="A213" s="2414">
        <v>12695</v>
      </c>
      <c r="B213" s="2420">
        <v>0.1</v>
      </c>
      <c r="C213" s="1411" t="s">
        <v>3111</v>
      </c>
      <c r="D213" s="298" t="s">
        <v>3507</v>
      </c>
      <c r="E213" s="3334">
        <v>1200000</v>
      </c>
      <c r="F213" s="376">
        <v>0.03</v>
      </c>
      <c r="G213" s="740">
        <f t="shared" si="7"/>
        <v>36000</v>
      </c>
    </row>
    <row r="214" spans="1:7" hidden="1" x14ac:dyDescent="0.3">
      <c r="A214" s="2366">
        <v>12705</v>
      </c>
      <c r="B214" s="2420">
        <v>0.1</v>
      </c>
      <c r="C214" s="1411" t="s">
        <v>3127</v>
      </c>
      <c r="D214" s="298" t="s">
        <v>3507</v>
      </c>
      <c r="E214" s="3334">
        <v>800000</v>
      </c>
      <c r="F214" s="376">
        <v>0.03</v>
      </c>
      <c r="G214" s="740">
        <f t="shared" si="7"/>
        <v>24000</v>
      </c>
    </row>
    <row r="215" spans="1:7" hidden="1" x14ac:dyDescent="0.3">
      <c r="A215" s="2498">
        <v>12758</v>
      </c>
      <c r="B215" s="2420">
        <v>0.1</v>
      </c>
      <c r="C215" s="1411" t="s">
        <v>3077</v>
      </c>
      <c r="D215" s="1762" t="s">
        <v>3507</v>
      </c>
      <c r="E215" s="3334">
        <v>1550000</v>
      </c>
      <c r="F215" s="376">
        <v>0.03</v>
      </c>
      <c r="G215" s="740">
        <f t="shared" si="7"/>
        <v>46500</v>
      </c>
    </row>
    <row r="216" spans="1:7" hidden="1" x14ac:dyDescent="0.3">
      <c r="A216" s="2305">
        <v>12729</v>
      </c>
      <c r="B216" s="2420">
        <v>0.1</v>
      </c>
      <c r="C216" s="1411" t="s">
        <v>3090</v>
      </c>
      <c r="D216" s="1762" t="s">
        <v>3507</v>
      </c>
      <c r="E216" s="3334">
        <v>1150000</v>
      </c>
      <c r="F216" s="376">
        <v>0.03</v>
      </c>
      <c r="G216" s="740">
        <f t="shared" si="7"/>
        <v>34500</v>
      </c>
    </row>
    <row r="217" spans="1:7" hidden="1" x14ac:dyDescent="0.3">
      <c r="A217" s="2403">
        <v>12761</v>
      </c>
      <c r="B217" s="553">
        <v>0.08</v>
      </c>
      <c r="C217" s="1411" t="s">
        <v>3116</v>
      </c>
      <c r="D217" s="1762" t="s">
        <v>3507</v>
      </c>
      <c r="E217" s="3334">
        <v>1450000</v>
      </c>
      <c r="F217" s="2563">
        <v>0.02</v>
      </c>
      <c r="G217" s="740">
        <f t="shared" si="7"/>
        <v>29000</v>
      </c>
    </row>
    <row r="218" spans="1:7" hidden="1" x14ac:dyDescent="0.3">
      <c r="A218" s="2403">
        <v>12728</v>
      </c>
      <c r="B218" s="761">
        <v>0.1</v>
      </c>
      <c r="C218" s="1411" t="s">
        <v>3777</v>
      </c>
      <c r="D218" s="1762" t="s">
        <v>3507</v>
      </c>
      <c r="E218" s="3334">
        <v>750000</v>
      </c>
      <c r="F218" s="376">
        <v>0.03</v>
      </c>
      <c r="G218" s="740">
        <f t="shared" si="7"/>
        <v>22500</v>
      </c>
    </row>
    <row r="219" spans="1:7" hidden="1" x14ac:dyDescent="0.3">
      <c r="A219" s="2305">
        <v>12802</v>
      </c>
      <c r="B219" s="761">
        <v>0.1</v>
      </c>
      <c r="C219" s="1411" t="s">
        <v>3080</v>
      </c>
      <c r="D219" s="1307" t="s">
        <v>3507</v>
      </c>
      <c r="E219" s="3334">
        <v>1600000</v>
      </c>
      <c r="F219" s="376">
        <v>0.03</v>
      </c>
      <c r="G219" s="740">
        <f>G160</f>
        <v>80000</v>
      </c>
    </row>
    <row r="220" spans="1:7" hidden="1" x14ac:dyDescent="0.3">
      <c r="A220" s="2305">
        <v>12830</v>
      </c>
      <c r="B220" s="761">
        <v>0.1</v>
      </c>
      <c r="C220" s="1411" t="s">
        <v>3118</v>
      </c>
      <c r="D220" s="1762" t="s">
        <v>3507</v>
      </c>
      <c r="E220" s="3334">
        <v>1000000</v>
      </c>
      <c r="F220" s="376">
        <v>0.03</v>
      </c>
      <c r="G220" s="740">
        <f>G161</f>
        <v>50000</v>
      </c>
    </row>
    <row r="221" spans="1:7" hidden="1" x14ac:dyDescent="0.3">
      <c r="A221" s="2305">
        <v>12829</v>
      </c>
      <c r="B221" s="761">
        <v>0.1</v>
      </c>
      <c r="C221" s="1411" t="s">
        <v>3082</v>
      </c>
      <c r="D221" s="1762" t="s">
        <v>3507</v>
      </c>
      <c r="E221" s="3334">
        <v>1200000</v>
      </c>
      <c r="F221" s="376">
        <v>0.03</v>
      </c>
      <c r="G221" s="740">
        <f t="shared" si="7"/>
        <v>36000</v>
      </c>
    </row>
    <row r="222" spans="1:7" hidden="1" x14ac:dyDescent="0.3">
      <c r="A222" s="2305">
        <v>12869</v>
      </c>
      <c r="B222" s="761">
        <v>0.1</v>
      </c>
      <c r="C222" s="1411" t="s">
        <v>3105</v>
      </c>
      <c r="D222" s="1307" t="s">
        <v>3507</v>
      </c>
      <c r="E222" s="3342">
        <v>1100000</v>
      </c>
      <c r="F222" s="376">
        <v>0.03</v>
      </c>
      <c r="G222" s="740">
        <f t="shared" si="7"/>
        <v>33000</v>
      </c>
    </row>
    <row r="223" spans="1:7" hidden="1" x14ac:dyDescent="0.3">
      <c r="A223" s="2305">
        <v>12898</v>
      </c>
      <c r="B223" s="761">
        <v>0.1</v>
      </c>
      <c r="C223" s="1411" t="s">
        <v>3778</v>
      </c>
      <c r="D223" s="2509" t="s">
        <v>3507</v>
      </c>
      <c r="E223" s="3334">
        <v>1700000</v>
      </c>
      <c r="F223" s="376">
        <v>0.03</v>
      </c>
      <c r="G223" s="740">
        <f t="shared" si="7"/>
        <v>51000</v>
      </c>
    </row>
    <row r="224" spans="1:7" hidden="1" x14ac:dyDescent="0.3">
      <c r="A224" s="2305">
        <v>12900</v>
      </c>
      <c r="B224" s="761">
        <v>0.1</v>
      </c>
      <c r="C224" s="1411" t="s">
        <v>3779</v>
      </c>
      <c r="D224" s="2509" t="s">
        <v>3507</v>
      </c>
      <c r="E224" s="3339">
        <v>900000</v>
      </c>
      <c r="F224" s="376">
        <v>0.03</v>
      </c>
      <c r="G224" s="740">
        <f t="shared" si="7"/>
        <v>27000</v>
      </c>
    </row>
    <row r="225" spans="1:7" hidden="1" x14ac:dyDescent="0.3">
      <c r="A225" s="2414">
        <v>12717</v>
      </c>
      <c r="B225" s="761">
        <v>0.1</v>
      </c>
      <c r="C225" s="1411" t="s">
        <v>3786</v>
      </c>
      <c r="D225" s="201" t="s">
        <v>3507</v>
      </c>
      <c r="E225" s="3261">
        <v>750000</v>
      </c>
      <c r="F225" s="376">
        <v>0.03</v>
      </c>
      <c r="G225" s="740">
        <f t="shared" si="7"/>
        <v>22500</v>
      </c>
    </row>
    <row r="226" spans="1:7" hidden="1" x14ac:dyDescent="0.3">
      <c r="A226" s="2305">
        <v>12727</v>
      </c>
      <c r="B226" s="761">
        <v>0.1</v>
      </c>
      <c r="C226" s="1411" t="s">
        <v>3788</v>
      </c>
      <c r="D226" s="201" t="s">
        <v>3507</v>
      </c>
      <c r="E226" s="3340">
        <v>750000</v>
      </c>
      <c r="F226" s="376">
        <v>0.03</v>
      </c>
      <c r="G226" s="740">
        <f t="shared" si="7"/>
        <v>22500</v>
      </c>
    </row>
    <row r="227" spans="1:7" hidden="1" x14ac:dyDescent="0.3">
      <c r="A227" s="2408">
        <v>12738</v>
      </c>
      <c r="B227" s="761">
        <v>0.1</v>
      </c>
      <c r="C227" s="1411" t="s">
        <v>3115</v>
      </c>
      <c r="D227" s="201" t="s">
        <v>3507</v>
      </c>
      <c r="E227" s="3339">
        <v>1200000</v>
      </c>
      <c r="F227" s="376">
        <v>0.03</v>
      </c>
      <c r="G227" s="740">
        <f t="shared" si="7"/>
        <v>36000</v>
      </c>
    </row>
    <row r="228" spans="1:7" hidden="1" x14ac:dyDescent="0.3">
      <c r="A228" s="2400">
        <v>12723</v>
      </c>
      <c r="B228" s="2558">
        <v>0.1</v>
      </c>
      <c r="C228" s="1411" t="s">
        <v>3129</v>
      </c>
      <c r="D228" s="201" t="s">
        <v>3507</v>
      </c>
      <c r="E228" s="3261">
        <v>950000</v>
      </c>
      <c r="F228" s="376">
        <v>0.03</v>
      </c>
      <c r="G228" s="740">
        <f t="shared" si="7"/>
        <v>28500</v>
      </c>
    </row>
    <row r="229" spans="1:7" hidden="1" x14ac:dyDescent="0.3">
      <c r="A229" s="2366">
        <v>12740</v>
      </c>
      <c r="B229" s="2561">
        <v>0.08</v>
      </c>
      <c r="C229" s="1411" t="s">
        <v>3091</v>
      </c>
      <c r="D229" s="201" t="s">
        <v>3507</v>
      </c>
      <c r="E229" s="3261">
        <v>1150000</v>
      </c>
      <c r="F229" s="2563">
        <v>0.02</v>
      </c>
      <c r="G229" s="740">
        <f t="shared" si="7"/>
        <v>23000</v>
      </c>
    </row>
    <row r="230" spans="1:7" hidden="1" x14ac:dyDescent="0.3">
      <c r="A230" s="2444">
        <v>12811</v>
      </c>
      <c r="B230" s="761">
        <v>0.1</v>
      </c>
      <c r="C230" s="1411" t="s">
        <v>3103</v>
      </c>
      <c r="D230" s="201" t="s">
        <v>3507</v>
      </c>
      <c r="E230" s="3261">
        <v>970000</v>
      </c>
      <c r="F230" s="376">
        <v>0.03</v>
      </c>
      <c r="G230" s="740">
        <f t="shared" si="7"/>
        <v>29100</v>
      </c>
    </row>
    <row r="231" spans="1:7" hidden="1" x14ac:dyDescent="0.3">
      <c r="A231" s="2450">
        <v>12814</v>
      </c>
      <c r="B231" s="2559">
        <v>0.1</v>
      </c>
      <c r="C231" s="1411" t="s">
        <v>3131</v>
      </c>
      <c r="D231" s="201" t="s">
        <v>3507</v>
      </c>
      <c r="E231" s="3340">
        <v>840000</v>
      </c>
      <c r="F231" s="376">
        <v>0.03</v>
      </c>
      <c r="G231" s="740">
        <f t="shared" si="7"/>
        <v>25200</v>
      </c>
    </row>
    <row r="232" spans="1:7" hidden="1" x14ac:dyDescent="0.3">
      <c r="A232" s="2512">
        <v>12839</v>
      </c>
      <c r="B232" s="2559">
        <v>0.1</v>
      </c>
      <c r="C232" s="1411" t="s">
        <v>3117</v>
      </c>
      <c r="D232" s="201" t="s">
        <v>3507</v>
      </c>
      <c r="E232" s="3340">
        <v>1700000</v>
      </c>
      <c r="F232" s="376">
        <v>0.03</v>
      </c>
      <c r="G232" s="740">
        <f t="shared" si="7"/>
        <v>51000</v>
      </c>
    </row>
    <row r="233" spans="1:7" hidden="1" x14ac:dyDescent="0.3">
      <c r="A233" s="2512">
        <v>12868</v>
      </c>
      <c r="B233" s="761">
        <v>0.1</v>
      </c>
      <c r="C233" s="1411" t="s">
        <v>3081</v>
      </c>
      <c r="D233" s="201" t="s">
        <v>3507</v>
      </c>
      <c r="E233" s="3261">
        <v>1400000</v>
      </c>
      <c r="F233" s="376">
        <v>0.03</v>
      </c>
      <c r="G233" s="740">
        <f t="shared" si="7"/>
        <v>42000</v>
      </c>
    </row>
    <row r="234" spans="1:7" hidden="1" x14ac:dyDescent="0.3">
      <c r="A234" s="2512">
        <v>12882</v>
      </c>
      <c r="B234" s="761">
        <v>0.1</v>
      </c>
      <c r="C234" s="1411" t="s">
        <v>3095</v>
      </c>
      <c r="D234" s="34" t="s">
        <v>3507</v>
      </c>
      <c r="E234" s="3261">
        <v>850000</v>
      </c>
      <c r="F234" s="376">
        <v>0.03</v>
      </c>
      <c r="G234" s="740">
        <f t="shared" si="7"/>
        <v>25500</v>
      </c>
    </row>
    <row r="235" spans="1:7" ht="15.75" customHeight="1" x14ac:dyDescent="0.3">
      <c r="A235" s="3214"/>
      <c r="B235" s="2391"/>
      <c r="C235" s="1214"/>
      <c r="D235" s="1582" t="s">
        <v>3758</v>
      </c>
      <c r="E235" s="3343">
        <f>SUM(E197:E234)</f>
        <v>43360000</v>
      </c>
      <c r="F235" s="1071"/>
      <c r="G235" s="2583">
        <f>SUM(G197:G234)</f>
        <v>1386800</v>
      </c>
    </row>
    <row r="236" spans="1:7" ht="15.75" customHeight="1" x14ac:dyDescent="0.3">
      <c r="E236" s="3253">
        <f>E235/30*15</f>
        <v>21680000</v>
      </c>
      <c r="F236" s="2648">
        <v>0.03</v>
      </c>
      <c r="G236" s="2647">
        <f>E236*F236</f>
        <v>650400</v>
      </c>
    </row>
    <row r="237" spans="1:7" s="511" customFormat="1" ht="15.6" x14ac:dyDescent="0.3">
      <c r="A237" s="3167"/>
      <c r="B237" s="2649"/>
      <c r="C237" s="3228"/>
      <c r="E237" s="3254"/>
      <c r="F237" s="2651"/>
      <c r="G237" s="2650"/>
    </row>
    <row r="238" spans="1:7" ht="46.2" x14ac:dyDescent="0.85">
      <c r="A238" s="3666" t="s">
        <v>3134</v>
      </c>
      <c r="B238" s="3666"/>
      <c r="C238" s="3666"/>
      <c r="D238" s="3666"/>
      <c r="E238" s="3666"/>
      <c r="F238" s="3666"/>
      <c r="G238" s="3666"/>
    </row>
    <row r="240" spans="1:7" ht="46.2" x14ac:dyDescent="0.85">
      <c r="A240" s="3662" t="s">
        <v>1963</v>
      </c>
      <c r="B240" s="3662"/>
      <c r="C240" s="3662"/>
      <c r="D240" s="3662"/>
      <c r="E240" s="3662"/>
      <c r="F240" s="3662"/>
      <c r="G240" s="3662"/>
    </row>
    <row r="242" spans="1:8" x14ac:dyDescent="0.3">
      <c r="A242" s="3661" t="s">
        <v>3769</v>
      </c>
      <c r="B242" s="3661"/>
      <c r="C242" s="3661"/>
      <c r="D242" s="3661"/>
      <c r="E242" s="3661"/>
      <c r="F242" s="3661"/>
      <c r="G242" s="3661"/>
      <c r="H242" s="1"/>
    </row>
    <row r="243" spans="1:8" x14ac:dyDescent="0.3">
      <c r="A243" s="3661"/>
      <c r="B243" s="3661"/>
      <c r="C243" s="3661"/>
      <c r="D243" s="3661"/>
      <c r="E243" s="3661"/>
      <c r="F243" s="3661"/>
      <c r="G243" s="3661"/>
      <c r="H243" s="1"/>
    </row>
    <row r="244" spans="1:8" x14ac:dyDescent="0.3">
      <c r="A244" s="3182" t="s">
        <v>3751</v>
      </c>
      <c r="B244" s="2606" t="s">
        <v>2976</v>
      </c>
      <c r="C244" s="3018" t="s">
        <v>3752</v>
      </c>
      <c r="D244" s="1124" t="s">
        <v>3753</v>
      </c>
      <c r="E244" s="3322" t="s">
        <v>3754</v>
      </c>
      <c r="F244" s="2281" t="s">
        <v>2979</v>
      </c>
      <c r="G244" s="289" t="s">
        <v>2985</v>
      </c>
      <c r="H244" s="2225" t="s">
        <v>3755</v>
      </c>
    </row>
    <row r="245" spans="1:8" x14ac:dyDescent="0.3">
      <c r="A245" s="2607">
        <v>12932</v>
      </c>
      <c r="B245" s="2608">
        <v>0.1</v>
      </c>
      <c r="C245" s="1625" t="s">
        <v>3199</v>
      </c>
      <c r="D245" s="1124"/>
      <c r="E245" s="3322">
        <v>900000</v>
      </c>
      <c r="F245" s="2281"/>
      <c r="G245" s="289"/>
      <c r="H245" s="2225" t="s">
        <v>36</v>
      </c>
    </row>
    <row r="246" spans="1:8" x14ac:dyDescent="0.3">
      <c r="A246" s="2607">
        <v>12938</v>
      </c>
      <c r="B246" s="2608">
        <v>0.1</v>
      </c>
      <c r="C246" s="1625" t="s">
        <v>3794</v>
      </c>
      <c r="D246" s="1124"/>
      <c r="E246" s="3322">
        <v>1000000</v>
      </c>
      <c r="F246" s="2281"/>
      <c r="G246" s="289"/>
      <c r="H246" s="2225" t="s">
        <v>36</v>
      </c>
    </row>
    <row r="247" spans="1:8" x14ac:dyDescent="0.3">
      <c r="A247" s="2607">
        <v>12954</v>
      </c>
      <c r="B247" s="2693">
        <v>0.09</v>
      </c>
      <c r="C247" s="1625" t="s">
        <v>3186</v>
      </c>
      <c r="D247" s="1124"/>
      <c r="E247" s="3322">
        <v>1700000</v>
      </c>
      <c r="F247" s="2281"/>
      <c r="G247" s="289"/>
      <c r="H247" s="2225" t="s">
        <v>36</v>
      </c>
    </row>
    <row r="248" spans="1:8" x14ac:dyDescent="0.3">
      <c r="A248" s="2607">
        <v>12953</v>
      </c>
      <c r="B248" s="2608">
        <v>0.1</v>
      </c>
      <c r="C248" s="1625" t="s">
        <v>3187</v>
      </c>
      <c r="D248" s="1124"/>
      <c r="E248" s="3322">
        <v>720000</v>
      </c>
      <c r="F248" s="2281"/>
      <c r="G248" s="289"/>
      <c r="H248" s="2225" t="s">
        <v>36</v>
      </c>
    </row>
    <row r="249" spans="1:8" x14ac:dyDescent="0.3">
      <c r="A249" s="2607">
        <v>12958</v>
      </c>
      <c r="B249" s="2608">
        <v>0.1</v>
      </c>
      <c r="C249" s="1625" t="s">
        <v>3150</v>
      </c>
      <c r="D249" s="335"/>
      <c r="E249" s="3334">
        <v>1300000</v>
      </c>
      <c r="F249" s="376"/>
      <c r="G249" s="289"/>
      <c r="H249" s="1780" t="s">
        <v>36</v>
      </c>
    </row>
    <row r="250" spans="1:8" x14ac:dyDescent="0.3">
      <c r="A250" s="2607">
        <v>12998</v>
      </c>
      <c r="B250" s="2608">
        <v>0.1</v>
      </c>
      <c r="C250" s="1625" t="s">
        <v>3138</v>
      </c>
      <c r="D250" s="335"/>
      <c r="E250" s="3334">
        <v>1150000</v>
      </c>
      <c r="F250" s="376"/>
      <c r="G250" s="289"/>
      <c r="H250" s="1780" t="s">
        <v>36</v>
      </c>
    </row>
    <row r="251" spans="1:8" x14ac:dyDescent="0.3">
      <c r="A251" s="2607">
        <v>12991</v>
      </c>
      <c r="B251" s="2608">
        <v>0.1</v>
      </c>
      <c r="C251" s="1625" t="s">
        <v>3151</v>
      </c>
      <c r="D251" s="335"/>
      <c r="E251" s="3334">
        <v>1200000</v>
      </c>
      <c r="F251" s="376"/>
      <c r="G251" s="289"/>
      <c r="H251" s="1780" t="s">
        <v>36</v>
      </c>
    </row>
    <row r="252" spans="1:8" x14ac:dyDescent="0.3">
      <c r="A252" s="2609" t="s">
        <v>3022</v>
      </c>
      <c r="B252" s="2610"/>
      <c r="C252" s="3229" t="s">
        <v>3167</v>
      </c>
      <c r="D252" s="335" t="s">
        <v>3795</v>
      </c>
      <c r="E252" s="3334"/>
      <c r="F252" s="376"/>
      <c r="G252" s="289"/>
      <c r="H252" s="1780"/>
    </row>
    <row r="253" spans="1:8" x14ac:dyDescent="0.3">
      <c r="A253" s="2605" t="s">
        <v>3022</v>
      </c>
      <c r="B253" s="409"/>
      <c r="C253" s="1396" t="s">
        <v>3184</v>
      </c>
      <c r="D253" s="335"/>
      <c r="E253" s="3334"/>
      <c r="F253" s="2456"/>
      <c r="G253" s="289"/>
      <c r="H253" s="970"/>
    </row>
    <row r="254" spans="1:8" x14ac:dyDescent="0.3">
      <c r="A254" s="2605" t="s">
        <v>3022</v>
      </c>
      <c r="B254" s="409"/>
      <c r="C254" s="1396" t="s">
        <v>3206</v>
      </c>
      <c r="D254" s="335"/>
      <c r="E254" s="3334"/>
      <c r="F254" s="376"/>
      <c r="G254" s="740"/>
      <c r="H254" s="970"/>
    </row>
    <row r="255" spans="1:8" x14ac:dyDescent="0.3">
      <c r="A255" s="2497"/>
      <c r="B255" s="2172"/>
      <c r="C255" s="1173"/>
      <c r="D255" s="2369"/>
      <c r="E255" s="3338"/>
      <c r="F255" s="376"/>
      <c r="G255" s="740"/>
      <c r="H255" s="970"/>
    </row>
    <row r="256" spans="1:8" x14ac:dyDescent="0.3">
      <c r="A256" s="3212"/>
      <c r="B256" s="2389"/>
      <c r="C256" s="3220"/>
      <c r="D256" s="1582" t="s">
        <v>3758</v>
      </c>
      <c r="E256" s="3336">
        <f>SUM(E245:E255)</f>
        <v>7970000</v>
      </c>
      <c r="F256" s="2446"/>
      <c r="G256" s="2447">
        <f>SUM(G249:G255)</f>
        <v>0</v>
      </c>
      <c r="H256" s="2448"/>
    </row>
    <row r="258" spans="1:8" x14ac:dyDescent="0.3">
      <c r="A258" s="3661" t="s">
        <v>3796</v>
      </c>
      <c r="B258" s="3661"/>
      <c r="C258" s="3661"/>
      <c r="D258" s="3661"/>
      <c r="E258" s="3661"/>
      <c r="F258" s="3661"/>
      <c r="G258" s="3661"/>
      <c r="H258" s="1"/>
    </row>
    <row r="259" spans="1:8" x14ac:dyDescent="0.3">
      <c r="A259" s="3661"/>
      <c r="B259" s="3661"/>
      <c r="C259" s="3661"/>
      <c r="D259" s="3661"/>
      <c r="E259" s="3661"/>
      <c r="F259" s="3661"/>
      <c r="G259" s="3661"/>
      <c r="H259" s="1"/>
    </row>
    <row r="260" spans="1:8" x14ac:dyDescent="0.3">
      <c r="A260" s="3182" t="s">
        <v>3751</v>
      </c>
      <c r="B260" s="2577" t="s">
        <v>2976</v>
      </c>
      <c r="C260" s="3018" t="s">
        <v>3752</v>
      </c>
      <c r="D260" s="1124" t="s">
        <v>3753</v>
      </c>
      <c r="E260" s="3322" t="s">
        <v>3754</v>
      </c>
      <c r="F260" s="2281" t="s">
        <v>2979</v>
      </c>
      <c r="G260" s="2565" t="s">
        <v>2985</v>
      </c>
      <c r="H260" s="2225" t="s">
        <v>3755</v>
      </c>
    </row>
    <row r="261" spans="1:8" x14ac:dyDescent="0.3">
      <c r="A261" s="1010">
        <v>12907</v>
      </c>
      <c r="B261" s="553">
        <v>0.08</v>
      </c>
      <c r="C261" s="1411" t="s">
        <v>3200</v>
      </c>
      <c r="D261" s="2597"/>
      <c r="E261" s="3334">
        <v>1100000</v>
      </c>
      <c r="F261" s="2563">
        <v>0.04</v>
      </c>
      <c r="G261" s="2677">
        <f t="shared" ref="G261:G275" si="8">E261*F261</f>
        <v>44000</v>
      </c>
      <c r="H261" s="2564" t="s">
        <v>3776</v>
      </c>
    </row>
    <row r="262" spans="1:8" x14ac:dyDescent="0.3">
      <c r="A262" s="1010">
        <v>12916</v>
      </c>
      <c r="B262" s="274">
        <v>0.1</v>
      </c>
      <c r="C262" s="1411" t="s">
        <v>3172</v>
      </c>
      <c r="D262" s="1124"/>
      <c r="E262" s="3334">
        <v>1200000</v>
      </c>
      <c r="F262" s="2672">
        <v>0.05</v>
      </c>
      <c r="G262" s="2677">
        <f t="shared" si="8"/>
        <v>60000</v>
      </c>
      <c r="H262" s="2564" t="s">
        <v>3776</v>
      </c>
    </row>
    <row r="263" spans="1:8" x14ac:dyDescent="0.3">
      <c r="A263" s="1010">
        <v>12937</v>
      </c>
      <c r="B263" s="274">
        <v>0.1</v>
      </c>
      <c r="C263" s="1411" t="s">
        <v>3153</v>
      </c>
      <c r="D263" s="1124"/>
      <c r="E263" s="3334">
        <v>1050000</v>
      </c>
      <c r="F263" s="2672">
        <v>0.05</v>
      </c>
      <c r="G263" s="2677">
        <f t="shared" si="8"/>
        <v>52500</v>
      </c>
      <c r="H263" s="2564" t="s">
        <v>3776</v>
      </c>
    </row>
    <row r="264" spans="1:8" x14ac:dyDescent="0.3">
      <c r="A264" s="1010">
        <v>12960</v>
      </c>
      <c r="B264" s="2611">
        <v>0.1</v>
      </c>
      <c r="C264" s="1387" t="s">
        <v>3155</v>
      </c>
      <c r="D264" s="2602"/>
      <c r="E264" s="3339">
        <v>1250000</v>
      </c>
      <c r="F264" s="2672">
        <v>0.05</v>
      </c>
      <c r="G264" s="2677">
        <f t="shared" si="8"/>
        <v>62500</v>
      </c>
      <c r="H264" s="2564" t="s">
        <v>3776</v>
      </c>
    </row>
    <row r="265" spans="1:8" x14ac:dyDescent="0.3">
      <c r="A265" s="2444">
        <v>12978</v>
      </c>
      <c r="B265" s="2613">
        <v>0.1</v>
      </c>
      <c r="C265" s="1387" t="s">
        <v>3174</v>
      </c>
      <c r="D265" s="2602"/>
      <c r="E265" s="3339">
        <v>1150000</v>
      </c>
      <c r="F265" s="2672">
        <v>0.05</v>
      </c>
      <c r="G265" s="2677">
        <f t="shared" si="8"/>
        <v>57500</v>
      </c>
      <c r="H265" s="2564" t="s">
        <v>3776</v>
      </c>
    </row>
    <row r="266" spans="1:8" x14ac:dyDescent="0.3">
      <c r="A266" s="2444">
        <v>13008</v>
      </c>
      <c r="B266" s="2613">
        <v>0.1</v>
      </c>
      <c r="C266" s="1387" t="s">
        <v>3137</v>
      </c>
      <c r="D266" s="2602"/>
      <c r="E266" s="3339">
        <v>1950000</v>
      </c>
      <c r="F266" s="2672">
        <v>0.05</v>
      </c>
      <c r="G266" s="2677">
        <f t="shared" si="8"/>
        <v>97500</v>
      </c>
      <c r="H266" s="2564" t="s">
        <v>3776</v>
      </c>
    </row>
    <row r="267" spans="1:8" x14ac:dyDescent="0.3">
      <c r="A267" s="1010">
        <v>13009</v>
      </c>
      <c r="B267" s="2611">
        <v>0.1</v>
      </c>
      <c r="C267" s="1387" t="s">
        <v>3139</v>
      </c>
      <c r="D267" s="2602"/>
      <c r="E267" s="3344">
        <v>1300000</v>
      </c>
      <c r="F267" s="2672">
        <v>0.05</v>
      </c>
      <c r="G267" s="2677">
        <f t="shared" si="8"/>
        <v>65000</v>
      </c>
      <c r="H267" s="2564" t="s">
        <v>3776</v>
      </c>
    </row>
    <row r="268" spans="1:8" x14ac:dyDescent="0.3">
      <c r="A268" s="1010">
        <v>13004</v>
      </c>
      <c r="B268" s="2420">
        <v>0.1</v>
      </c>
      <c r="C268" s="1095" t="s">
        <v>3140</v>
      </c>
      <c r="D268" s="2602"/>
      <c r="E268" s="3334">
        <v>1200000</v>
      </c>
      <c r="F268" s="2672">
        <v>0.05</v>
      </c>
      <c r="G268" s="2677">
        <f t="shared" si="8"/>
        <v>60000</v>
      </c>
      <c r="H268" s="2564" t="s">
        <v>3776</v>
      </c>
    </row>
    <row r="269" spans="1:8" x14ac:dyDescent="0.3">
      <c r="A269" s="2654">
        <v>13017</v>
      </c>
      <c r="B269" s="2420">
        <v>0.1</v>
      </c>
      <c r="C269" s="1095" t="s">
        <v>3152</v>
      </c>
      <c r="D269" s="2602"/>
      <c r="E269" s="3334">
        <v>1300000</v>
      </c>
      <c r="F269" s="2672">
        <v>0.05</v>
      </c>
      <c r="G269" s="2677">
        <f t="shared" si="8"/>
        <v>65000</v>
      </c>
      <c r="H269" s="2564" t="s">
        <v>3776</v>
      </c>
    </row>
    <row r="270" spans="1:8" x14ac:dyDescent="0.3">
      <c r="A270" s="2654">
        <v>13025</v>
      </c>
      <c r="B270" s="2420">
        <v>0.1</v>
      </c>
      <c r="C270" s="1095" t="s">
        <v>3177</v>
      </c>
      <c r="D270" s="2602"/>
      <c r="E270" s="3334">
        <v>1300000</v>
      </c>
      <c r="F270" s="2672">
        <v>0.05</v>
      </c>
      <c r="G270" s="2677">
        <f t="shared" si="8"/>
        <v>65000</v>
      </c>
      <c r="H270" s="2564" t="s">
        <v>3776</v>
      </c>
    </row>
    <row r="271" spans="1:8" x14ac:dyDescent="0.3">
      <c r="A271" s="2654">
        <v>13038</v>
      </c>
      <c r="B271" s="2420">
        <v>0.1</v>
      </c>
      <c r="C271" s="1095" t="s">
        <v>3158</v>
      </c>
      <c r="D271" s="2602"/>
      <c r="E271" s="3334">
        <v>1200000</v>
      </c>
      <c r="F271" s="2672">
        <v>0.05</v>
      </c>
      <c r="G271" s="2677">
        <f t="shared" si="8"/>
        <v>60000</v>
      </c>
      <c r="H271" s="2564" t="s">
        <v>3776</v>
      </c>
    </row>
    <row r="272" spans="1:8" x14ac:dyDescent="0.3">
      <c r="A272" s="2654">
        <v>13054</v>
      </c>
      <c r="B272" s="2420">
        <v>0.1</v>
      </c>
      <c r="C272" s="1095" t="s">
        <v>3173</v>
      </c>
      <c r="D272" s="2602"/>
      <c r="E272" s="3334">
        <v>1200000</v>
      </c>
      <c r="F272" s="2672">
        <v>0.05</v>
      </c>
      <c r="G272" s="2677">
        <f t="shared" si="8"/>
        <v>60000</v>
      </c>
      <c r="H272" s="2564" t="s">
        <v>36</v>
      </c>
    </row>
    <row r="273" spans="1:8" x14ac:dyDescent="0.3">
      <c r="A273" s="2654">
        <v>13060</v>
      </c>
      <c r="B273" s="2420">
        <v>0.1</v>
      </c>
      <c r="C273" s="1095" t="s">
        <v>3797</v>
      </c>
      <c r="D273" s="2602"/>
      <c r="E273" s="3334">
        <v>1200000</v>
      </c>
      <c r="F273" s="2672">
        <v>0.05</v>
      </c>
      <c r="G273" s="2677">
        <f t="shared" si="8"/>
        <v>60000</v>
      </c>
      <c r="H273" s="2564" t="s">
        <v>36</v>
      </c>
    </row>
    <row r="274" spans="1:8" x14ac:dyDescent="0.3">
      <c r="A274" s="2451">
        <v>13073</v>
      </c>
      <c r="B274" s="2667">
        <v>0.1</v>
      </c>
      <c r="C274" s="3230" t="s">
        <v>3161</v>
      </c>
      <c r="D274" s="2668"/>
      <c r="E274" s="3337">
        <v>1700000</v>
      </c>
      <c r="F274" s="2672">
        <v>0.05</v>
      </c>
      <c r="G274" s="2677">
        <f t="shared" si="8"/>
        <v>85000</v>
      </c>
      <c r="H274" s="2564" t="s">
        <v>3776</v>
      </c>
    </row>
    <row r="275" spans="1:8" x14ac:dyDescent="0.3">
      <c r="A275" s="2451">
        <v>13119</v>
      </c>
      <c r="B275" s="2596">
        <v>0.1</v>
      </c>
      <c r="C275" s="1095" t="s">
        <v>3175</v>
      </c>
      <c r="D275" s="2669"/>
      <c r="E275" s="3345">
        <v>700000</v>
      </c>
      <c r="F275" s="2672">
        <v>0.05</v>
      </c>
      <c r="G275" s="2677">
        <f t="shared" si="8"/>
        <v>35000</v>
      </c>
      <c r="H275" s="2564" t="s">
        <v>36</v>
      </c>
    </row>
    <row r="276" spans="1:8" x14ac:dyDescent="0.3">
      <c r="A276" s="2652" t="s">
        <v>3165</v>
      </c>
      <c r="B276" s="2653"/>
      <c r="C276" s="1094" t="s">
        <v>3166</v>
      </c>
      <c r="D276" s="2602" t="s">
        <v>3108</v>
      </c>
      <c r="E276" s="3334"/>
      <c r="F276" s="2603"/>
      <c r="G276" s="2565"/>
      <c r="H276" s="2564"/>
    </row>
    <row r="277" spans="1:8" ht="27" x14ac:dyDescent="0.3">
      <c r="A277" s="2652" t="s">
        <v>3145</v>
      </c>
      <c r="B277" s="2653"/>
      <c r="C277" s="1094" t="s">
        <v>3194</v>
      </c>
      <c r="D277" s="2602"/>
      <c r="E277" s="3334"/>
      <c r="F277" s="2603"/>
      <c r="G277" s="2565"/>
      <c r="H277" s="2564"/>
    </row>
    <row r="278" spans="1:8" ht="28.8" x14ac:dyDescent="0.3">
      <c r="A278" s="2617" t="s">
        <v>3168</v>
      </c>
      <c r="B278" s="344"/>
      <c r="C278" s="1246" t="s">
        <v>3169</v>
      </c>
      <c r="D278" s="2616" t="s">
        <v>3798</v>
      </c>
      <c r="E278" s="3334"/>
      <c r="F278" s="1316"/>
      <c r="G278" s="2615"/>
      <c r="H278" s="2223"/>
    </row>
    <row r="279" spans="1:8" x14ac:dyDescent="0.3">
      <c r="A279" s="2612" t="s">
        <v>3020</v>
      </c>
      <c r="B279" s="1237"/>
      <c r="C279" s="1169" t="s">
        <v>3205</v>
      </c>
      <c r="D279" s="2526" t="s">
        <v>3122</v>
      </c>
      <c r="E279" s="3334"/>
      <c r="F279" s="985"/>
      <c r="G279" s="740"/>
      <c r="H279" s="2223"/>
    </row>
    <row r="280" spans="1:8" x14ac:dyDescent="0.3">
      <c r="A280" s="2612" t="s">
        <v>3165</v>
      </c>
      <c r="B280" s="1237"/>
      <c r="C280" s="1094" t="s">
        <v>3167</v>
      </c>
      <c r="D280" s="2526" t="s">
        <v>3108</v>
      </c>
      <c r="E280" s="3337"/>
      <c r="F280" s="985"/>
      <c r="G280" s="740"/>
      <c r="H280" s="2223"/>
    </row>
    <row r="281" spans="1:8" x14ac:dyDescent="0.3">
      <c r="A281" s="2612" t="s">
        <v>3020</v>
      </c>
      <c r="B281" s="103"/>
      <c r="C281" s="1169" t="s">
        <v>3183</v>
      </c>
      <c r="D281" s="1307" t="s">
        <v>3799</v>
      </c>
      <c r="E281" s="3337"/>
      <c r="F281" s="985"/>
      <c r="G281" s="740"/>
      <c r="H281" s="2223"/>
    </row>
    <row r="282" spans="1:8" x14ac:dyDescent="0.3">
      <c r="A282" s="3214"/>
      <c r="B282" s="2578"/>
      <c r="C282" s="1214"/>
      <c r="D282" s="1582" t="s">
        <v>3758</v>
      </c>
      <c r="E282" s="3261">
        <f>SUM(E261:E281)</f>
        <v>18800000</v>
      </c>
      <c r="F282" s="51"/>
      <c r="G282" s="2701">
        <f>SUM(G261:G281)</f>
        <v>929000</v>
      </c>
      <c r="H282" s="2222"/>
    </row>
    <row r="283" spans="1:8" x14ac:dyDescent="0.3">
      <c r="H283" s="1"/>
    </row>
    <row r="284" spans="1:8" x14ac:dyDescent="0.3">
      <c r="A284" s="3215"/>
      <c r="D284" s="1082"/>
      <c r="H284" s="1"/>
    </row>
    <row r="285" spans="1:8" x14ac:dyDescent="0.3">
      <c r="A285" s="3661" t="s">
        <v>3800</v>
      </c>
      <c r="B285" s="3661"/>
      <c r="C285" s="3661"/>
      <c r="D285" s="3661"/>
      <c r="E285" s="3661"/>
      <c r="F285" s="3661"/>
      <c r="G285" s="3661"/>
      <c r="H285" s="1"/>
    </row>
    <row r="286" spans="1:8" x14ac:dyDescent="0.3">
      <c r="A286" s="3661"/>
      <c r="B286" s="3661"/>
      <c r="C286" s="3661"/>
      <c r="D286" s="3661"/>
      <c r="E286" s="3661"/>
      <c r="F286" s="3661"/>
      <c r="G286" s="3661"/>
      <c r="H286" s="1"/>
    </row>
    <row r="287" spans="1:8" x14ac:dyDescent="0.3">
      <c r="A287" s="3182" t="s">
        <v>3751</v>
      </c>
      <c r="B287" s="2252" t="s">
        <v>2976</v>
      </c>
      <c r="C287" s="3018" t="s">
        <v>3752</v>
      </c>
      <c r="D287" s="2461" t="s">
        <v>3753</v>
      </c>
      <c r="E287" s="3326" t="s">
        <v>3754</v>
      </c>
      <c r="F287" s="2462" t="s">
        <v>2979</v>
      </c>
      <c r="G287" s="2511" t="s">
        <v>2985</v>
      </c>
      <c r="H287" s="2226" t="s">
        <v>3755</v>
      </c>
    </row>
    <row r="288" spans="1:8" x14ac:dyDescent="0.3">
      <c r="A288" s="2449">
        <v>12908</v>
      </c>
      <c r="B288" s="761">
        <v>0.1</v>
      </c>
      <c r="C288" s="1088" t="s">
        <v>3157</v>
      </c>
      <c r="D288" s="244"/>
      <c r="E288" s="3346">
        <v>1300000</v>
      </c>
      <c r="F288" s="680">
        <v>0.05</v>
      </c>
      <c r="G288" s="1332">
        <f>E288*F288</f>
        <v>65000</v>
      </c>
      <c r="H288" s="51" t="s">
        <v>36</v>
      </c>
    </row>
    <row r="289" spans="1:8" x14ac:dyDescent="0.3">
      <c r="A289" s="2450">
        <v>12909</v>
      </c>
      <c r="B289" s="2694">
        <v>0.08</v>
      </c>
      <c r="C289" s="1095" t="s">
        <v>3188</v>
      </c>
      <c r="D289" s="34"/>
      <c r="E289" s="3346">
        <v>1850000</v>
      </c>
      <c r="F289" s="2457">
        <v>0.04</v>
      </c>
      <c r="G289" s="1332">
        <f t="shared" ref="G289:G303" si="9">E289*F289</f>
        <v>74000</v>
      </c>
      <c r="H289" s="51" t="s">
        <v>36</v>
      </c>
    </row>
    <row r="290" spans="1:8" x14ac:dyDescent="0.3">
      <c r="A290" s="2450">
        <v>12904</v>
      </c>
      <c r="B290" s="2596">
        <v>0.1</v>
      </c>
      <c r="C290" s="1095" t="s">
        <v>3201</v>
      </c>
      <c r="D290" s="34"/>
      <c r="E290" s="3346">
        <v>900000</v>
      </c>
      <c r="F290" s="680">
        <v>0.05</v>
      </c>
      <c r="G290" s="1332">
        <f t="shared" si="9"/>
        <v>45000</v>
      </c>
      <c r="H290" s="51" t="s">
        <v>36</v>
      </c>
    </row>
    <row r="291" spans="1:8" x14ac:dyDescent="0.3">
      <c r="A291" s="2450">
        <v>12925</v>
      </c>
      <c r="B291" s="2596">
        <v>0.1</v>
      </c>
      <c r="C291" s="1095" t="s">
        <v>3189</v>
      </c>
      <c r="D291" s="34"/>
      <c r="E291" s="3346">
        <v>1000000</v>
      </c>
      <c r="F291" s="680">
        <v>0.05</v>
      </c>
      <c r="G291" s="1332">
        <f t="shared" si="9"/>
        <v>50000</v>
      </c>
      <c r="H291" s="1071" t="s">
        <v>36</v>
      </c>
    </row>
    <row r="292" spans="1:8" x14ac:dyDescent="0.3">
      <c r="A292" s="2614">
        <v>12933</v>
      </c>
      <c r="B292" s="2596">
        <v>0.1</v>
      </c>
      <c r="C292" s="1095" t="s">
        <v>3156</v>
      </c>
      <c r="D292" s="34"/>
      <c r="E292" s="3346">
        <v>1100000</v>
      </c>
      <c r="F292" s="545">
        <v>0.05</v>
      </c>
      <c r="G292" s="1332">
        <f t="shared" si="9"/>
        <v>55000</v>
      </c>
      <c r="H292" s="51" t="s">
        <v>36</v>
      </c>
    </row>
    <row r="293" spans="1:8" x14ac:dyDescent="0.3">
      <c r="A293" s="2450">
        <v>12976</v>
      </c>
      <c r="B293" s="2596">
        <v>0.1</v>
      </c>
      <c r="C293" s="1095" t="s">
        <v>3176</v>
      </c>
      <c r="D293" s="44"/>
      <c r="E293" s="3347">
        <v>1250000</v>
      </c>
      <c r="F293" s="545">
        <v>0.05</v>
      </c>
      <c r="G293" s="1332">
        <f t="shared" si="9"/>
        <v>62500</v>
      </c>
      <c r="H293" s="51" t="s">
        <v>36</v>
      </c>
    </row>
    <row r="294" spans="1:8" x14ac:dyDescent="0.3">
      <c r="A294" s="2450">
        <v>12973</v>
      </c>
      <c r="B294" s="2596">
        <v>0.1</v>
      </c>
      <c r="C294" s="1095" t="s">
        <v>3141</v>
      </c>
      <c r="D294" s="44"/>
      <c r="E294" s="3348">
        <v>1650000</v>
      </c>
      <c r="F294" s="545">
        <v>0.05</v>
      </c>
      <c r="G294" s="1332">
        <f t="shared" si="9"/>
        <v>82500</v>
      </c>
      <c r="H294" s="51" t="s">
        <v>36</v>
      </c>
    </row>
    <row r="295" spans="1:8" x14ac:dyDescent="0.3">
      <c r="A295" s="2450">
        <v>13039</v>
      </c>
      <c r="B295" s="2596">
        <v>0.1</v>
      </c>
      <c r="C295" s="1095" t="s">
        <v>3160</v>
      </c>
      <c r="D295" s="2602"/>
      <c r="E295" s="3347">
        <v>1300000</v>
      </c>
      <c r="F295" s="545">
        <v>0.05</v>
      </c>
      <c r="G295" s="2599">
        <f t="shared" si="9"/>
        <v>65000</v>
      </c>
      <c r="H295" s="51" t="s">
        <v>36</v>
      </c>
    </row>
    <row r="296" spans="1:8" x14ac:dyDescent="0.3">
      <c r="A296" s="2450">
        <v>13019</v>
      </c>
      <c r="B296" s="2596">
        <v>0.1</v>
      </c>
      <c r="C296" s="1095" t="s">
        <v>3159</v>
      </c>
      <c r="D296" s="2602"/>
      <c r="E296" s="3347">
        <v>1200000</v>
      </c>
      <c r="F296" s="545">
        <v>0.05</v>
      </c>
      <c r="G296" s="1332">
        <f t="shared" si="9"/>
        <v>60000</v>
      </c>
      <c r="H296" s="2569" t="s">
        <v>36</v>
      </c>
    </row>
    <row r="297" spans="1:8" x14ac:dyDescent="0.3">
      <c r="A297" s="2444">
        <v>13062</v>
      </c>
      <c r="B297" s="2596">
        <v>0.1</v>
      </c>
      <c r="C297" s="1095" t="s">
        <v>3142</v>
      </c>
      <c r="D297" s="2602"/>
      <c r="E297" s="3346">
        <v>1000000</v>
      </c>
      <c r="F297" s="545">
        <v>0.05</v>
      </c>
      <c r="G297" s="1332">
        <f t="shared" si="9"/>
        <v>50000</v>
      </c>
      <c r="H297" s="1620" t="s">
        <v>24</v>
      </c>
    </row>
    <row r="298" spans="1:8" x14ac:dyDescent="0.3">
      <c r="A298" s="2444">
        <v>13101</v>
      </c>
      <c r="B298" s="2596">
        <v>0.1</v>
      </c>
      <c r="C298" s="1095" t="s">
        <v>3143</v>
      </c>
      <c r="D298" s="2602"/>
      <c r="E298" s="3347">
        <v>1400000</v>
      </c>
      <c r="F298" s="545">
        <v>0.05</v>
      </c>
      <c r="G298" s="1332">
        <f t="shared" si="9"/>
        <v>70000</v>
      </c>
      <c r="H298" s="2569" t="s">
        <v>36</v>
      </c>
    </row>
    <row r="299" spans="1:8" x14ac:dyDescent="0.3">
      <c r="A299" s="2444">
        <v>13085</v>
      </c>
      <c r="B299" s="2596">
        <v>0.1</v>
      </c>
      <c r="C299" s="2965" t="s">
        <v>3191</v>
      </c>
      <c r="D299" s="2602"/>
      <c r="E299" s="3261">
        <v>960000</v>
      </c>
      <c r="F299" s="57">
        <v>0.05</v>
      </c>
      <c r="G299" s="1332">
        <f t="shared" si="9"/>
        <v>48000</v>
      </c>
      <c r="H299" s="2569" t="s">
        <v>24</v>
      </c>
    </row>
    <row r="300" spans="1:8" x14ac:dyDescent="0.3">
      <c r="A300" s="2444">
        <v>13095</v>
      </c>
      <c r="B300" s="2596">
        <v>0.1</v>
      </c>
      <c r="C300" s="1625" t="s">
        <v>3163</v>
      </c>
      <c r="D300" s="2602"/>
      <c r="E300" s="3349">
        <v>1400000</v>
      </c>
      <c r="F300" s="545">
        <v>0.05</v>
      </c>
      <c r="G300" s="1332">
        <f t="shared" si="9"/>
        <v>70000</v>
      </c>
      <c r="H300" s="2569" t="s">
        <v>36</v>
      </c>
    </row>
    <row r="301" spans="1:8" x14ac:dyDescent="0.3">
      <c r="A301" s="2450">
        <v>13039</v>
      </c>
      <c r="B301" s="2596">
        <v>0.1</v>
      </c>
      <c r="C301" s="1095" t="s">
        <v>3179</v>
      </c>
      <c r="D301" s="2602"/>
      <c r="E301" s="3347">
        <v>1450000</v>
      </c>
      <c r="F301" s="545">
        <v>0.05</v>
      </c>
      <c r="G301" s="1332">
        <f t="shared" si="9"/>
        <v>72500</v>
      </c>
      <c r="H301" s="2569" t="s">
        <v>36</v>
      </c>
    </row>
    <row r="302" spans="1:8" x14ac:dyDescent="0.3">
      <c r="A302" s="2450">
        <v>13096</v>
      </c>
      <c r="B302" s="2596">
        <v>0.1</v>
      </c>
      <c r="C302" s="1095" t="s">
        <v>3181</v>
      </c>
      <c r="D302" s="2602"/>
      <c r="E302" s="3350">
        <v>800000</v>
      </c>
      <c r="F302" s="545">
        <v>0.05</v>
      </c>
      <c r="G302" s="1332">
        <f t="shared" si="9"/>
        <v>40000</v>
      </c>
      <c r="H302" s="2569" t="s">
        <v>36</v>
      </c>
    </row>
    <row r="303" spans="1:8" x14ac:dyDescent="0.3">
      <c r="A303" s="2444">
        <v>13123</v>
      </c>
      <c r="B303" s="2596">
        <v>0.1</v>
      </c>
      <c r="C303" s="1095" t="s">
        <v>3144</v>
      </c>
      <c r="D303" s="2602" t="s">
        <v>3801</v>
      </c>
      <c r="E303" s="3261">
        <v>1350000</v>
      </c>
      <c r="F303" s="57">
        <v>0.05</v>
      </c>
      <c r="G303" s="1332">
        <f t="shared" si="9"/>
        <v>67500</v>
      </c>
      <c r="H303" s="2569"/>
    </row>
    <row r="304" spans="1:8" ht="26.4" x14ac:dyDescent="0.3">
      <c r="A304" s="2527" t="s">
        <v>3145</v>
      </c>
      <c r="B304" s="2513"/>
      <c r="C304" s="1094" t="s">
        <v>3146</v>
      </c>
      <c r="D304" s="2602" t="s">
        <v>3802</v>
      </c>
      <c r="E304" s="3261"/>
      <c r="F304" s="169"/>
      <c r="G304" s="1576"/>
      <c r="H304" s="51"/>
    </row>
    <row r="305" spans="1:8" x14ac:dyDescent="0.3">
      <c r="A305" s="2527" t="s">
        <v>3203</v>
      </c>
      <c r="B305" s="2513"/>
      <c r="C305" s="1094" t="s">
        <v>3204</v>
      </c>
      <c r="D305" s="2602" t="s">
        <v>3803</v>
      </c>
      <c r="E305" s="3261"/>
      <c r="F305" s="169"/>
      <c r="G305" s="34"/>
      <c r="H305" s="51"/>
    </row>
    <row r="306" spans="1:8" x14ac:dyDescent="0.3">
      <c r="A306" s="2527" t="s">
        <v>3022</v>
      </c>
      <c r="B306" s="2513"/>
      <c r="C306" s="1094" t="s">
        <v>3148</v>
      </c>
      <c r="D306" s="44" t="s">
        <v>3804</v>
      </c>
      <c r="E306" s="3346"/>
      <c r="F306" s="680"/>
      <c r="G306" s="34"/>
      <c r="H306" s="51"/>
    </row>
    <row r="307" spans="1:8" x14ac:dyDescent="0.3">
      <c r="A307" s="2527" t="s">
        <v>3022</v>
      </c>
      <c r="B307" s="2513"/>
      <c r="C307" s="1094" t="s">
        <v>3202</v>
      </c>
      <c r="D307" s="44" t="s">
        <v>3805</v>
      </c>
      <c r="E307" s="3347"/>
      <c r="F307" s="680"/>
      <c r="G307" s="34"/>
      <c r="H307" s="51"/>
    </row>
    <row r="308" spans="1:8" x14ac:dyDescent="0.3">
      <c r="A308" s="2527" t="s">
        <v>3018</v>
      </c>
      <c r="B308" s="2513"/>
      <c r="C308" s="1094" t="s">
        <v>3182</v>
      </c>
      <c r="D308" s="44" t="s">
        <v>3806</v>
      </c>
      <c r="E308" s="3347"/>
      <c r="F308" s="680"/>
      <c r="G308" s="34"/>
      <c r="H308" s="51"/>
    </row>
    <row r="309" spans="1:8" x14ac:dyDescent="0.3">
      <c r="A309" s="2513" t="s">
        <v>3195</v>
      </c>
      <c r="B309" s="2513"/>
      <c r="C309" s="1094" t="s">
        <v>3196</v>
      </c>
      <c r="D309" s="44" t="s">
        <v>3807</v>
      </c>
      <c r="E309" s="3347"/>
      <c r="F309" s="680"/>
      <c r="G309" s="1332"/>
      <c r="H309" s="2518"/>
    </row>
    <row r="310" spans="1:8" x14ac:dyDescent="0.3">
      <c r="A310" s="3214"/>
      <c r="B310" s="2391"/>
      <c r="C310" s="1214"/>
      <c r="D310" s="2601" t="s">
        <v>3758</v>
      </c>
      <c r="E310" s="3340">
        <f>SUM(E288:E309)</f>
        <v>19910000</v>
      </c>
      <c r="F310" s="2570"/>
      <c r="G310" s="2666">
        <f>SUM(G288:G309)</f>
        <v>977000</v>
      </c>
      <c r="H310" s="2391"/>
    </row>
    <row r="312" spans="1:8" x14ac:dyDescent="0.3">
      <c r="A312" s="3661" t="s">
        <v>3808</v>
      </c>
      <c r="B312" s="3661"/>
      <c r="C312" s="3661"/>
      <c r="D312" s="3661"/>
      <c r="E312" s="3661"/>
      <c r="F312" s="3661"/>
      <c r="G312" s="3661"/>
      <c r="H312" s="1"/>
    </row>
    <row r="313" spans="1:8" x14ac:dyDescent="0.3">
      <c r="A313" s="3661"/>
      <c r="B313" s="3661"/>
      <c r="C313" s="3661"/>
      <c r="D313" s="3661"/>
      <c r="E313" s="3661"/>
      <c r="F313" s="3661"/>
      <c r="G313" s="3661"/>
      <c r="H313" s="1"/>
    </row>
    <row r="314" spans="1:8" x14ac:dyDescent="0.3">
      <c r="A314" s="3182" t="s">
        <v>3751</v>
      </c>
      <c r="B314" s="2606" t="s">
        <v>2976</v>
      </c>
      <c r="C314" s="3018" t="s">
        <v>3752</v>
      </c>
      <c r="D314" s="1124" t="s">
        <v>3753</v>
      </c>
      <c r="E314" s="3322" t="s">
        <v>3754</v>
      </c>
      <c r="F314" s="2281" t="s">
        <v>2979</v>
      </c>
      <c r="G314" s="2663" t="s">
        <v>2985</v>
      </c>
      <c r="H314" s="2225" t="s">
        <v>3755</v>
      </c>
    </row>
    <row r="315" spans="1:8" x14ac:dyDescent="0.3">
      <c r="A315" s="2607">
        <v>13042</v>
      </c>
      <c r="B315" s="2693">
        <v>0.08</v>
      </c>
      <c r="C315" s="1625" t="s">
        <v>3178</v>
      </c>
      <c r="D315" s="335"/>
      <c r="E315" s="3338">
        <v>1200000</v>
      </c>
      <c r="F315" s="2456">
        <v>0.01</v>
      </c>
      <c r="G315" s="2665">
        <f>E315*F315</f>
        <v>12000</v>
      </c>
      <c r="H315" s="1780" t="s">
        <v>3809</v>
      </c>
    </row>
    <row r="316" spans="1:8" x14ac:dyDescent="0.3">
      <c r="A316" s="2607">
        <v>13024</v>
      </c>
      <c r="B316" s="2608">
        <v>0.1</v>
      </c>
      <c r="C316" s="1625" t="s">
        <v>3190</v>
      </c>
      <c r="D316" s="335"/>
      <c r="E316" s="3338">
        <v>1000000</v>
      </c>
      <c r="F316" s="376">
        <v>0.02</v>
      </c>
      <c r="G316" s="2665">
        <f>E316*F316</f>
        <v>20000</v>
      </c>
      <c r="H316" s="1780" t="s">
        <v>3809</v>
      </c>
    </row>
    <row r="317" spans="1:8" x14ac:dyDescent="0.3">
      <c r="A317" s="2607">
        <v>12961</v>
      </c>
      <c r="B317" s="2608">
        <v>0.1</v>
      </c>
      <c r="C317" s="1625" t="s">
        <v>3810</v>
      </c>
      <c r="D317" s="335"/>
      <c r="E317" s="3338">
        <v>1700000</v>
      </c>
      <c r="F317" s="376">
        <v>0.02</v>
      </c>
      <c r="G317" s="2665">
        <f t="shared" ref="G317:G319" si="10">E317*F317</f>
        <v>34000</v>
      </c>
      <c r="H317" s="1780" t="s">
        <v>1488</v>
      </c>
    </row>
    <row r="318" spans="1:8" x14ac:dyDescent="0.3">
      <c r="A318" s="2607">
        <v>12956</v>
      </c>
      <c r="B318" s="2608">
        <v>0.1</v>
      </c>
      <c r="C318" s="1625" t="s">
        <v>3811</v>
      </c>
      <c r="D318" s="335"/>
      <c r="E318" s="3338">
        <v>1350000</v>
      </c>
      <c r="F318" s="376">
        <v>0.02</v>
      </c>
      <c r="G318" s="2665">
        <f t="shared" si="10"/>
        <v>27000</v>
      </c>
      <c r="H318" s="1780" t="s">
        <v>1488</v>
      </c>
    </row>
    <row r="319" spans="1:8" x14ac:dyDescent="0.3">
      <c r="A319" s="2607">
        <v>12970</v>
      </c>
      <c r="B319" s="2608">
        <v>0.1</v>
      </c>
      <c r="C319" s="1625" t="s">
        <v>3812</v>
      </c>
      <c r="D319" s="335"/>
      <c r="E319" s="3338">
        <v>1700000</v>
      </c>
      <c r="F319" s="376">
        <v>0.02</v>
      </c>
      <c r="G319" s="2665">
        <f t="shared" si="10"/>
        <v>34000</v>
      </c>
      <c r="H319" s="1780" t="s">
        <v>1488</v>
      </c>
    </row>
    <row r="320" spans="1:8" x14ac:dyDescent="0.3">
      <c r="A320" s="2609" t="s">
        <v>3062</v>
      </c>
      <c r="B320" s="2660"/>
      <c r="C320" s="3229" t="s">
        <v>3210</v>
      </c>
      <c r="D320" s="335"/>
      <c r="E320" s="3338"/>
      <c r="F320" s="376"/>
      <c r="G320" s="2663"/>
      <c r="H320" s="1780"/>
    </row>
    <row r="321" spans="1:8" x14ac:dyDescent="0.3">
      <c r="A321" s="2409" t="s">
        <v>3192</v>
      </c>
      <c r="B321" s="2661"/>
      <c r="C321" s="3231" t="s">
        <v>3193</v>
      </c>
      <c r="D321" s="1612"/>
      <c r="E321" s="3337"/>
      <c r="F321" s="1305"/>
      <c r="G321" s="2664"/>
      <c r="H321" s="1780"/>
    </row>
    <row r="322" spans="1:8" ht="27" x14ac:dyDescent="0.3">
      <c r="A322" s="2609" t="s">
        <v>3203</v>
      </c>
      <c r="B322" s="2660"/>
      <c r="C322" s="1396" t="s">
        <v>3208</v>
      </c>
      <c r="D322" s="335"/>
      <c r="E322" s="3338">
        <f>E315+E316</f>
        <v>2200000</v>
      </c>
      <c r="F322" s="376"/>
      <c r="G322" s="2663"/>
      <c r="H322" s="1780"/>
    </row>
    <row r="323" spans="1:8" x14ac:dyDescent="0.3">
      <c r="A323" s="3212"/>
      <c r="B323" s="2389"/>
      <c r="C323" s="3220"/>
      <c r="D323" s="1582" t="s">
        <v>3758</v>
      </c>
      <c r="E323" s="3336">
        <f>E315+E316+E317+E318+E319</f>
        <v>6950000</v>
      </c>
      <c r="F323" s="2446"/>
      <c r="G323" s="2447">
        <f>SUM(G315:G322)</f>
        <v>127000</v>
      </c>
      <c r="H323" s="2448"/>
    </row>
    <row r="325" spans="1:8" x14ac:dyDescent="0.3">
      <c r="A325" s="3661" t="s">
        <v>3813</v>
      </c>
      <c r="B325" s="3661"/>
      <c r="C325" s="3661"/>
      <c r="D325" s="3661"/>
      <c r="E325" s="3661"/>
      <c r="F325" s="3661"/>
      <c r="G325" s="3661"/>
    </row>
    <row r="326" spans="1:8" x14ac:dyDescent="0.3">
      <c r="A326" s="3661"/>
      <c r="B326" s="3661"/>
      <c r="C326" s="3661"/>
      <c r="D326" s="3661"/>
      <c r="E326" s="3661"/>
      <c r="F326" s="3661"/>
      <c r="G326" s="3661"/>
    </row>
    <row r="327" spans="1:8" x14ac:dyDescent="0.3">
      <c r="A327" s="3182" t="s">
        <v>3751</v>
      </c>
      <c r="B327" s="2606" t="s">
        <v>2976</v>
      </c>
      <c r="C327" s="3018" t="s">
        <v>3752</v>
      </c>
      <c r="D327" s="1124" t="s">
        <v>3753</v>
      </c>
      <c r="E327" s="3322" t="s">
        <v>3754</v>
      </c>
      <c r="F327" s="2281" t="s">
        <v>2979</v>
      </c>
      <c r="G327" s="2663" t="s">
        <v>2985</v>
      </c>
    </row>
    <row r="328" spans="1:8" x14ac:dyDescent="0.3">
      <c r="A328" s="2607">
        <v>12932</v>
      </c>
      <c r="B328" s="2608">
        <v>0.1</v>
      </c>
      <c r="C328" s="1625" t="s">
        <v>3199</v>
      </c>
      <c r="D328" s="1124"/>
      <c r="E328" s="3322">
        <v>900000</v>
      </c>
      <c r="F328" s="2672">
        <v>0.03</v>
      </c>
      <c r="G328" s="2681">
        <f>E328*F328</f>
        <v>27000</v>
      </c>
    </row>
    <row r="329" spans="1:8" x14ac:dyDescent="0.3">
      <c r="A329" s="2607">
        <v>12938</v>
      </c>
      <c r="B329" s="2608">
        <v>0.1</v>
      </c>
      <c r="C329" s="1625" t="s">
        <v>3794</v>
      </c>
      <c r="D329" s="1124"/>
      <c r="E329" s="3322">
        <v>1000000</v>
      </c>
      <c r="F329" s="2672">
        <v>0.03</v>
      </c>
      <c r="G329" s="2681">
        <f t="shared" ref="G329:G367" si="11">E329*F329</f>
        <v>30000</v>
      </c>
    </row>
    <row r="330" spans="1:8" x14ac:dyDescent="0.3">
      <c r="A330" s="2607">
        <v>12954</v>
      </c>
      <c r="B330" s="2693">
        <v>0.09</v>
      </c>
      <c r="C330" s="1625" t="s">
        <v>3186</v>
      </c>
      <c r="D330" s="1124"/>
      <c r="E330" s="3322">
        <v>1700000</v>
      </c>
      <c r="F330" s="2563">
        <v>0.02</v>
      </c>
      <c r="G330" s="2681">
        <f t="shared" si="11"/>
        <v>34000</v>
      </c>
    </row>
    <row r="331" spans="1:8" x14ac:dyDescent="0.3">
      <c r="A331" s="2607">
        <v>12953</v>
      </c>
      <c r="B331" s="2608">
        <v>0.1</v>
      </c>
      <c r="C331" s="1625" t="s">
        <v>3187</v>
      </c>
      <c r="D331" s="1124"/>
      <c r="E331" s="3322">
        <v>720000</v>
      </c>
      <c r="F331" s="2672">
        <v>0.03</v>
      </c>
      <c r="G331" s="2681">
        <f t="shared" si="11"/>
        <v>21600</v>
      </c>
    </row>
    <row r="332" spans="1:8" x14ac:dyDescent="0.3">
      <c r="A332" s="2607">
        <v>12958</v>
      </c>
      <c r="B332" s="2608">
        <v>0.1</v>
      </c>
      <c r="C332" s="1625" t="s">
        <v>3150</v>
      </c>
      <c r="D332" s="335"/>
      <c r="E332" s="3334">
        <v>1300000</v>
      </c>
      <c r="F332" s="2672">
        <v>0.03</v>
      </c>
      <c r="G332" s="2681">
        <f t="shared" si="11"/>
        <v>39000</v>
      </c>
    </row>
    <row r="333" spans="1:8" x14ac:dyDescent="0.3">
      <c r="A333" s="2607">
        <v>12998</v>
      </c>
      <c r="B333" s="2608">
        <v>0.1</v>
      </c>
      <c r="C333" s="1625" t="s">
        <v>3138</v>
      </c>
      <c r="D333" s="335"/>
      <c r="E333" s="3334">
        <v>1150000</v>
      </c>
      <c r="F333" s="2672">
        <v>0.03</v>
      </c>
      <c r="G333" s="2681">
        <f t="shared" si="11"/>
        <v>34500</v>
      </c>
    </row>
    <row r="334" spans="1:8" x14ac:dyDescent="0.3">
      <c r="A334" s="2607">
        <v>12991</v>
      </c>
      <c r="B334" s="2608">
        <v>0.1</v>
      </c>
      <c r="C334" s="1625" t="s">
        <v>3151</v>
      </c>
      <c r="D334" s="335"/>
      <c r="E334" s="3334">
        <v>1200000</v>
      </c>
      <c r="F334" s="2672">
        <v>0.03</v>
      </c>
      <c r="G334" s="2681">
        <f t="shared" si="11"/>
        <v>36000</v>
      </c>
    </row>
    <row r="335" spans="1:8" x14ac:dyDescent="0.3">
      <c r="A335" s="1010">
        <v>12907</v>
      </c>
      <c r="B335" s="553">
        <v>0.08</v>
      </c>
      <c r="C335" s="1411" t="s">
        <v>3200</v>
      </c>
      <c r="D335" s="2597"/>
      <c r="E335" s="3334">
        <v>1100000</v>
      </c>
      <c r="F335" s="2563">
        <v>0.02</v>
      </c>
      <c r="G335" s="2681">
        <f t="shared" si="11"/>
        <v>22000</v>
      </c>
    </row>
    <row r="336" spans="1:8" x14ac:dyDescent="0.3">
      <c r="A336" s="1010">
        <v>12916</v>
      </c>
      <c r="B336" s="274">
        <v>0.1</v>
      </c>
      <c r="C336" s="1411" t="s">
        <v>3172</v>
      </c>
      <c r="D336" s="1124"/>
      <c r="E336" s="3334">
        <v>1200000</v>
      </c>
      <c r="F336" s="2672">
        <v>0.03</v>
      </c>
      <c r="G336" s="2681">
        <f t="shared" si="11"/>
        <v>36000</v>
      </c>
    </row>
    <row r="337" spans="1:7" x14ac:dyDescent="0.3">
      <c r="A337" s="1010">
        <v>12937</v>
      </c>
      <c r="B337" s="274">
        <v>0.1</v>
      </c>
      <c r="C337" s="1411" t="s">
        <v>3153</v>
      </c>
      <c r="D337" s="1124"/>
      <c r="E337" s="3334">
        <v>1050000</v>
      </c>
      <c r="F337" s="2672">
        <v>0.03</v>
      </c>
      <c r="G337" s="2681">
        <f t="shared" si="11"/>
        <v>31500</v>
      </c>
    </row>
    <row r="338" spans="1:7" x14ac:dyDescent="0.3">
      <c r="A338" s="1010">
        <v>12960</v>
      </c>
      <c r="B338" s="2611">
        <v>0.1</v>
      </c>
      <c r="C338" s="1387" t="s">
        <v>3155</v>
      </c>
      <c r="D338" s="2602"/>
      <c r="E338" s="3339">
        <v>1250000</v>
      </c>
      <c r="F338" s="2672">
        <v>0.03</v>
      </c>
      <c r="G338" s="2681">
        <f t="shared" si="11"/>
        <v>37500</v>
      </c>
    </row>
    <row r="339" spans="1:7" x14ac:dyDescent="0.3">
      <c r="A339" s="2444">
        <v>12978</v>
      </c>
      <c r="B339" s="2613">
        <v>0.1</v>
      </c>
      <c r="C339" s="1387" t="s">
        <v>3174</v>
      </c>
      <c r="D339" s="2602"/>
      <c r="E339" s="3339">
        <v>1150000</v>
      </c>
      <c r="F339" s="2672">
        <v>0.03</v>
      </c>
      <c r="G339" s="2681">
        <f t="shared" si="11"/>
        <v>34500</v>
      </c>
    </row>
    <row r="340" spans="1:7" x14ac:dyDescent="0.3">
      <c r="A340" s="2444">
        <v>13008</v>
      </c>
      <c r="B340" s="2613">
        <v>0.1</v>
      </c>
      <c r="C340" s="1387" t="s">
        <v>3137</v>
      </c>
      <c r="D340" s="2602"/>
      <c r="E340" s="3339">
        <v>1950000</v>
      </c>
      <c r="F340" s="2672">
        <v>0.03</v>
      </c>
      <c r="G340" s="2681">
        <f>G266</f>
        <v>97500</v>
      </c>
    </row>
    <row r="341" spans="1:7" x14ac:dyDescent="0.3">
      <c r="A341" s="1010">
        <v>13009</v>
      </c>
      <c r="B341" s="2611">
        <v>0.1</v>
      </c>
      <c r="C341" s="1387" t="s">
        <v>3139</v>
      </c>
      <c r="D341" s="2602"/>
      <c r="E341" s="3344">
        <v>1300000</v>
      </c>
      <c r="F341" s="2672">
        <v>0.03</v>
      </c>
      <c r="G341" s="2681">
        <f t="shared" si="11"/>
        <v>39000</v>
      </c>
    </row>
    <row r="342" spans="1:7" x14ac:dyDescent="0.3">
      <c r="A342" s="1010">
        <v>13004</v>
      </c>
      <c r="B342" s="2420">
        <v>0.1</v>
      </c>
      <c r="C342" s="1095" t="s">
        <v>3140</v>
      </c>
      <c r="D342" s="2602"/>
      <c r="E342" s="3334">
        <v>1200000</v>
      </c>
      <c r="F342" s="2672">
        <v>0.03</v>
      </c>
      <c r="G342" s="2681">
        <f t="shared" si="11"/>
        <v>36000</v>
      </c>
    </row>
    <row r="343" spans="1:7" x14ac:dyDescent="0.3">
      <c r="A343" s="2654">
        <v>13017</v>
      </c>
      <c r="B343" s="2420">
        <v>0.1</v>
      </c>
      <c r="C343" s="1095" t="s">
        <v>3152</v>
      </c>
      <c r="D343" s="2602"/>
      <c r="E343" s="3334">
        <v>1300000</v>
      </c>
      <c r="F343" s="2672">
        <v>0.03</v>
      </c>
      <c r="G343" s="2681">
        <f t="shared" si="11"/>
        <v>39000</v>
      </c>
    </row>
    <row r="344" spans="1:7" x14ac:dyDescent="0.3">
      <c r="A344" s="2654">
        <v>13025</v>
      </c>
      <c r="B344" s="2420">
        <v>0.1</v>
      </c>
      <c r="C344" s="1095" t="s">
        <v>3177</v>
      </c>
      <c r="D344" s="2602"/>
      <c r="E344" s="3334">
        <v>1300000</v>
      </c>
      <c r="F344" s="2672">
        <v>0.03</v>
      </c>
      <c r="G344" s="2681">
        <f t="shared" si="11"/>
        <v>39000</v>
      </c>
    </row>
    <row r="345" spans="1:7" x14ac:dyDescent="0.3">
      <c r="A345" s="2654">
        <v>13038</v>
      </c>
      <c r="B345" s="2420">
        <v>0.1</v>
      </c>
      <c r="C345" s="1095" t="s">
        <v>3158</v>
      </c>
      <c r="D345" s="2602"/>
      <c r="E345" s="3334">
        <v>1200000</v>
      </c>
      <c r="F345" s="2672">
        <v>0.03</v>
      </c>
      <c r="G345" s="2681">
        <f t="shared" si="11"/>
        <v>36000</v>
      </c>
    </row>
    <row r="346" spans="1:7" x14ac:dyDescent="0.3">
      <c r="A346" s="2654">
        <v>13054</v>
      </c>
      <c r="B346" s="2420">
        <v>0.1</v>
      </c>
      <c r="C346" s="1095" t="s">
        <v>3173</v>
      </c>
      <c r="D346" s="2602"/>
      <c r="E346" s="3334">
        <v>1200000</v>
      </c>
      <c r="F346" s="2672">
        <v>0.03</v>
      </c>
      <c r="G346" s="2681">
        <f t="shared" si="11"/>
        <v>36000</v>
      </c>
    </row>
    <row r="347" spans="1:7" x14ac:dyDescent="0.3">
      <c r="A347" s="2654">
        <v>13060</v>
      </c>
      <c r="B347" s="2420">
        <v>0.1</v>
      </c>
      <c r="C347" s="1095" t="s">
        <v>3797</v>
      </c>
      <c r="D347" s="2602"/>
      <c r="E347" s="3334">
        <v>1200000</v>
      </c>
      <c r="F347" s="2672">
        <v>0.03</v>
      </c>
      <c r="G347" s="2681">
        <f t="shared" si="11"/>
        <v>36000</v>
      </c>
    </row>
    <row r="348" spans="1:7" x14ac:dyDescent="0.3">
      <c r="A348" s="2451">
        <v>13073</v>
      </c>
      <c r="B348" s="2667">
        <v>0.1</v>
      </c>
      <c r="C348" s="3230" t="s">
        <v>3161</v>
      </c>
      <c r="D348" s="2668"/>
      <c r="E348" s="3337">
        <v>1700000</v>
      </c>
      <c r="F348" s="2672">
        <v>0.03</v>
      </c>
      <c r="G348" s="2681">
        <f>G274</f>
        <v>85000</v>
      </c>
    </row>
    <row r="349" spans="1:7" x14ac:dyDescent="0.3">
      <c r="A349" s="2451">
        <v>13119</v>
      </c>
      <c r="B349" s="2596">
        <v>0.1</v>
      </c>
      <c r="C349" s="1095" t="s">
        <v>3175</v>
      </c>
      <c r="D349" s="2669" t="s">
        <v>3814</v>
      </c>
      <c r="E349" s="3345">
        <v>700000</v>
      </c>
      <c r="F349" s="2672">
        <v>0.03</v>
      </c>
      <c r="G349" s="2681">
        <f t="shared" si="11"/>
        <v>21000</v>
      </c>
    </row>
    <row r="350" spans="1:7" x14ac:dyDescent="0.3">
      <c r="A350" s="2449">
        <v>12908</v>
      </c>
      <c r="B350" s="761">
        <v>0.1</v>
      </c>
      <c r="C350" s="1088" t="s">
        <v>3157</v>
      </c>
      <c r="D350" s="244"/>
      <c r="E350" s="3346">
        <v>1300000</v>
      </c>
      <c r="F350" s="2672">
        <v>0.03</v>
      </c>
      <c r="G350" s="2681">
        <f t="shared" si="11"/>
        <v>39000</v>
      </c>
    </row>
    <row r="351" spans="1:7" x14ac:dyDescent="0.3">
      <c r="A351" s="2450">
        <v>12909</v>
      </c>
      <c r="B351" s="2694">
        <v>0.08</v>
      </c>
      <c r="C351" s="1095" t="s">
        <v>3188</v>
      </c>
      <c r="D351" s="34"/>
      <c r="E351" s="3346">
        <v>1850000</v>
      </c>
      <c r="F351" s="2563">
        <v>0.02</v>
      </c>
      <c r="G351" s="2681">
        <f t="shared" si="11"/>
        <v>37000</v>
      </c>
    </row>
    <row r="352" spans="1:7" x14ac:dyDescent="0.3">
      <c r="A352" s="2450">
        <v>12904</v>
      </c>
      <c r="B352" s="2596">
        <v>0.1</v>
      </c>
      <c r="C352" s="1095" t="s">
        <v>3201</v>
      </c>
      <c r="D352" s="34"/>
      <c r="E352" s="3346">
        <v>900000</v>
      </c>
      <c r="F352" s="2672">
        <v>0.03</v>
      </c>
      <c r="G352" s="2681">
        <f t="shared" si="11"/>
        <v>27000</v>
      </c>
    </row>
    <row r="353" spans="1:7" x14ac:dyDescent="0.3">
      <c r="A353" s="2450">
        <v>12925</v>
      </c>
      <c r="B353" s="2596">
        <v>0.1</v>
      </c>
      <c r="C353" s="1095" t="s">
        <v>3189</v>
      </c>
      <c r="D353" s="34"/>
      <c r="E353" s="3346">
        <v>1000000</v>
      </c>
      <c r="F353" s="2672">
        <v>0.03</v>
      </c>
      <c r="G353" s="2681">
        <f t="shared" si="11"/>
        <v>30000</v>
      </c>
    </row>
    <row r="354" spans="1:7" x14ac:dyDescent="0.3">
      <c r="A354" s="2614">
        <v>12933</v>
      </c>
      <c r="B354" s="2596">
        <v>0.1</v>
      </c>
      <c r="C354" s="1095" t="s">
        <v>3156</v>
      </c>
      <c r="D354" s="34"/>
      <c r="E354" s="3346">
        <v>1100000</v>
      </c>
      <c r="F354" s="2672">
        <v>0.03</v>
      </c>
      <c r="G354" s="2681">
        <f t="shared" si="11"/>
        <v>33000</v>
      </c>
    </row>
    <row r="355" spans="1:7" x14ac:dyDescent="0.3">
      <c r="A355" s="2450">
        <v>12976</v>
      </c>
      <c r="B355" s="2596">
        <v>0.1</v>
      </c>
      <c r="C355" s="1095" t="s">
        <v>3176</v>
      </c>
      <c r="D355" s="44"/>
      <c r="E355" s="3347">
        <v>1250000</v>
      </c>
      <c r="F355" s="2672">
        <v>0.03</v>
      </c>
      <c r="G355" s="2699">
        <f t="shared" si="11"/>
        <v>37500</v>
      </c>
    </row>
    <row r="356" spans="1:7" x14ac:dyDescent="0.3">
      <c r="A356" s="2450">
        <v>12973</v>
      </c>
      <c r="B356" s="2596">
        <v>0.1</v>
      </c>
      <c r="C356" s="1095" t="s">
        <v>3141</v>
      </c>
      <c r="D356" s="44"/>
      <c r="E356" s="3348">
        <v>1650000</v>
      </c>
      <c r="F356" s="2698">
        <v>0.03</v>
      </c>
      <c r="G356" s="2681">
        <f>G294</f>
        <v>82500</v>
      </c>
    </row>
    <row r="357" spans="1:7" x14ac:dyDescent="0.3">
      <c r="A357" s="2450">
        <v>13039</v>
      </c>
      <c r="B357" s="2596">
        <v>0.1</v>
      </c>
      <c r="C357" s="1095" t="s">
        <v>3160</v>
      </c>
      <c r="D357" s="2602"/>
      <c r="E357" s="3347">
        <v>1300000</v>
      </c>
      <c r="F357" s="2698">
        <v>0.03</v>
      </c>
      <c r="G357" s="2681">
        <f t="shared" si="11"/>
        <v>39000</v>
      </c>
    </row>
    <row r="358" spans="1:7" x14ac:dyDescent="0.3">
      <c r="A358" s="2450">
        <v>13019</v>
      </c>
      <c r="B358" s="2596">
        <v>0.1</v>
      </c>
      <c r="C358" s="1095" t="s">
        <v>3159</v>
      </c>
      <c r="D358" s="2602"/>
      <c r="E358" s="3347">
        <v>1200000</v>
      </c>
      <c r="F358" s="2672">
        <v>0.03</v>
      </c>
      <c r="G358" s="2697">
        <f t="shared" si="11"/>
        <v>36000</v>
      </c>
    </row>
    <row r="359" spans="1:7" x14ac:dyDescent="0.3">
      <c r="A359" s="2444">
        <v>13062</v>
      </c>
      <c r="B359" s="2596">
        <v>0.1</v>
      </c>
      <c r="C359" s="1095" t="s">
        <v>3142</v>
      </c>
      <c r="D359" s="2602"/>
      <c r="E359" s="3346">
        <v>1000000</v>
      </c>
      <c r="F359" s="2672">
        <v>0.03</v>
      </c>
      <c r="G359" s="2681">
        <f t="shared" si="11"/>
        <v>30000</v>
      </c>
    </row>
    <row r="360" spans="1:7" x14ac:dyDescent="0.3">
      <c r="A360" s="2444">
        <v>13101</v>
      </c>
      <c r="B360" s="2596">
        <v>0.1</v>
      </c>
      <c r="C360" s="1095" t="s">
        <v>3143</v>
      </c>
      <c r="D360" s="2602" t="s">
        <v>3815</v>
      </c>
      <c r="E360" s="3347">
        <v>1400000</v>
      </c>
      <c r="F360" s="2672">
        <v>0.03</v>
      </c>
      <c r="G360" s="2681">
        <f t="shared" si="11"/>
        <v>42000</v>
      </c>
    </row>
    <row r="361" spans="1:7" x14ac:dyDescent="0.3">
      <c r="A361" s="2444">
        <v>13085</v>
      </c>
      <c r="B361" s="2596">
        <v>0.1</v>
      </c>
      <c r="C361" s="2965" t="s">
        <v>3191</v>
      </c>
      <c r="D361" s="2602"/>
      <c r="E361" s="3261">
        <v>960000</v>
      </c>
      <c r="F361" s="2672">
        <v>0.03</v>
      </c>
      <c r="G361" s="2681">
        <f t="shared" si="11"/>
        <v>28800</v>
      </c>
    </row>
    <row r="362" spans="1:7" x14ac:dyDescent="0.3">
      <c r="A362" s="2444">
        <v>13095</v>
      </c>
      <c r="B362" s="2596">
        <v>0.1</v>
      </c>
      <c r="C362" s="1625" t="s">
        <v>3163</v>
      </c>
      <c r="D362" s="2602" t="s">
        <v>3816</v>
      </c>
      <c r="E362" s="3349">
        <v>1400000</v>
      </c>
      <c r="F362" s="2672">
        <v>0.03</v>
      </c>
      <c r="G362" s="2681">
        <f t="shared" si="11"/>
        <v>42000</v>
      </c>
    </row>
    <row r="363" spans="1:7" x14ac:dyDescent="0.3">
      <c r="A363" s="2450">
        <v>13039</v>
      </c>
      <c r="B363" s="2596">
        <v>0.1</v>
      </c>
      <c r="C363" s="1095" t="s">
        <v>3179</v>
      </c>
      <c r="D363" s="2602" t="s">
        <v>3816</v>
      </c>
      <c r="E363" s="3347">
        <v>1450000</v>
      </c>
      <c r="F363" s="2672">
        <v>0.03</v>
      </c>
      <c r="G363" s="2681">
        <f t="shared" si="11"/>
        <v>43500</v>
      </c>
    </row>
    <row r="364" spans="1:7" x14ac:dyDescent="0.3">
      <c r="A364" s="2450">
        <v>13096</v>
      </c>
      <c r="B364" s="2596">
        <v>0.1</v>
      </c>
      <c r="C364" s="1095" t="s">
        <v>3181</v>
      </c>
      <c r="D364" s="2602" t="s">
        <v>3815</v>
      </c>
      <c r="E364" s="3350">
        <v>800000</v>
      </c>
      <c r="F364" s="2672">
        <v>0.03</v>
      </c>
      <c r="G364" s="2681">
        <f t="shared" si="11"/>
        <v>24000</v>
      </c>
    </row>
    <row r="365" spans="1:7" x14ac:dyDescent="0.3">
      <c r="A365" s="2444">
        <v>13123</v>
      </c>
      <c r="B365" s="2596">
        <v>0.1</v>
      </c>
      <c r="C365" s="1095" t="s">
        <v>3144</v>
      </c>
      <c r="D365" s="2602" t="s">
        <v>3817</v>
      </c>
      <c r="E365" s="3261">
        <v>1350000</v>
      </c>
      <c r="F365" s="2672">
        <v>0.03</v>
      </c>
      <c r="G365" s="2681">
        <f t="shared" si="11"/>
        <v>40500</v>
      </c>
    </row>
    <row r="366" spans="1:7" x14ac:dyDescent="0.3">
      <c r="A366" s="2607">
        <v>13042</v>
      </c>
      <c r="B366" s="2596">
        <v>0.1</v>
      </c>
      <c r="C366" s="1625" t="s">
        <v>3178</v>
      </c>
      <c r="D366" s="335"/>
      <c r="E366" s="3338">
        <v>1200000</v>
      </c>
      <c r="F366" s="2563">
        <v>0.02</v>
      </c>
      <c r="G366" s="2681">
        <f t="shared" si="11"/>
        <v>24000</v>
      </c>
    </row>
    <row r="367" spans="1:7" x14ac:dyDescent="0.3">
      <c r="A367" s="2607">
        <v>13024</v>
      </c>
      <c r="B367" s="2596">
        <v>0.1</v>
      </c>
      <c r="C367" s="1625" t="s">
        <v>3190</v>
      </c>
      <c r="D367" s="335"/>
      <c r="E367" s="3338">
        <v>1000000</v>
      </c>
      <c r="F367" s="2672">
        <v>0.03</v>
      </c>
      <c r="G367" s="2681">
        <f t="shared" si="11"/>
        <v>30000</v>
      </c>
    </row>
    <row r="368" spans="1:7" x14ac:dyDescent="0.3">
      <c r="A368" s="3212"/>
      <c r="B368" s="2389"/>
      <c r="C368" s="3220"/>
      <c r="D368" s="1582" t="s">
        <v>3758</v>
      </c>
      <c r="E368" s="3336">
        <f>SUM(E328:E367)</f>
        <v>48880000</v>
      </c>
      <c r="F368" s="2446"/>
      <c r="G368" s="2447">
        <f>SUM(G328:G367)</f>
        <v>1513900</v>
      </c>
    </row>
    <row r="371" spans="1:8" ht="42" customHeight="1" x14ac:dyDescent="0.85">
      <c r="A371" s="3662" t="s">
        <v>2103</v>
      </c>
      <c r="B371" s="3662"/>
      <c r="C371" s="3662"/>
      <c r="D371" s="3662"/>
      <c r="E371" s="3662"/>
      <c r="F371" s="3662"/>
      <c r="G371" s="3662"/>
    </row>
    <row r="373" spans="1:8" x14ac:dyDescent="0.3">
      <c r="A373" s="3661" t="s">
        <v>3796</v>
      </c>
      <c r="B373" s="3661"/>
      <c r="C373" s="3661"/>
      <c r="D373" s="3661"/>
      <c r="E373" s="3661"/>
      <c r="F373" s="3661"/>
      <c r="G373" s="3661"/>
      <c r="H373" s="1"/>
    </row>
    <row r="374" spans="1:8" x14ac:dyDescent="0.3">
      <c r="A374" s="3661"/>
      <c r="B374" s="3661"/>
      <c r="C374" s="3661"/>
      <c r="D374" s="3661"/>
      <c r="E374" s="3661"/>
      <c r="F374" s="3661"/>
      <c r="G374" s="3661"/>
      <c r="H374" s="1"/>
    </row>
    <row r="375" spans="1:8" x14ac:dyDescent="0.3">
      <c r="A375" s="3182" t="s">
        <v>3751</v>
      </c>
      <c r="B375" s="2719" t="s">
        <v>2976</v>
      </c>
      <c r="C375" s="3018" t="s">
        <v>3752</v>
      </c>
      <c r="D375" s="1124" t="s">
        <v>3753</v>
      </c>
      <c r="E375" s="3322" t="s">
        <v>3754</v>
      </c>
      <c r="F375" s="2281" t="s">
        <v>2979</v>
      </c>
      <c r="G375" s="2565" t="s">
        <v>2985</v>
      </c>
      <c r="H375" s="2225" t="s">
        <v>3755</v>
      </c>
    </row>
    <row r="376" spans="1:8" x14ac:dyDescent="0.3">
      <c r="A376" s="1010">
        <v>13228</v>
      </c>
      <c r="B376" s="2693">
        <v>0.08</v>
      </c>
      <c r="C376" s="1411" t="s">
        <v>3217</v>
      </c>
      <c r="D376" s="2597"/>
      <c r="E376" s="3334">
        <v>1300000</v>
      </c>
      <c r="F376" s="2456">
        <v>0.04</v>
      </c>
      <c r="G376" s="2677">
        <f>E376*F376</f>
        <v>52000</v>
      </c>
      <c r="H376" s="2789"/>
    </row>
    <row r="377" spans="1:8" x14ac:dyDescent="0.3">
      <c r="A377" s="1010">
        <v>13251</v>
      </c>
      <c r="B377" s="333">
        <v>0.1</v>
      </c>
      <c r="C377" s="1088" t="s">
        <v>3221</v>
      </c>
      <c r="D377" s="2526"/>
      <c r="E377" s="3334">
        <v>1200000</v>
      </c>
      <c r="F377" s="320">
        <v>0.05</v>
      </c>
      <c r="G377" s="2677">
        <f t="shared" ref="G377:G393" si="12">E377*F377</f>
        <v>60000</v>
      </c>
      <c r="H377" s="2789"/>
    </row>
    <row r="378" spans="1:8" x14ac:dyDescent="0.3">
      <c r="A378" s="1010">
        <v>13336</v>
      </c>
      <c r="B378" s="333">
        <v>0.1</v>
      </c>
      <c r="C378" s="1088" t="s">
        <v>3223</v>
      </c>
      <c r="D378" s="2526"/>
      <c r="E378" s="3334">
        <v>1200000</v>
      </c>
      <c r="F378" s="320">
        <v>0.05</v>
      </c>
      <c r="G378" s="2677">
        <f t="shared" si="12"/>
        <v>60000</v>
      </c>
      <c r="H378" s="2789"/>
    </row>
    <row r="379" spans="1:8" x14ac:dyDescent="0.3">
      <c r="A379" s="1010">
        <v>13359</v>
      </c>
      <c r="B379" s="333">
        <v>0.1</v>
      </c>
      <c r="C379" s="1088" t="s">
        <v>3224</v>
      </c>
      <c r="D379" s="2526"/>
      <c r="E379" s="3334">
        <v>1450000</v>
      </c>
      <c r="F379" s="320">
        <v>0.05</v>
      </c>
      <c r="G379" s="2677">
        <f t="shared" si="12"/>
        <v>72500</v>
      </c>
      <c r="H379" s="2789"/>
    </row>
    <row r="380" spans="1:8" x14ac:dyDescent="0.3">
      <c r="A380" s="2444" t="s">
        <v>3226</v>
      </c>
      <c r="B380" s="333">
        <v>0.1</v>
      </c>
      <c r="C380" s="3230" t="s">
        <v>3227</v>
      </c>
      <c r="D380" s="2526"/>
      <c r="E380" s="3335">
        <v>1000000</v>
      </c>
      <c r="F380" s="320">
        <v>0.05</v>
      </c>
      <c r="G380" s="2677">
        <f t="shared" si="12"/>
        <v>50000</v>
      </c>
      <c r="H380" s="2789"/>
    </row>
    <row r="381" spans="1:8" x14ac:dyDescent="0.3">
      <c r="A381" s="1010">
        <v>13210</v>
      </c>
      <c r="B381" s="2608">
        <v>0.1</v>
      </c>
      <c r="C381" s="1411" t="s">
        <v>3235</v>
      </c>
      <c r="D381" s="2526"/>
      <c r="E381" s="3351">
        <v>1200000</v>
      </c>
      <c r="F381" s="614">
        <v>0.05</v>
      </c>
      <c r="G381" s="2677">
        <f t="shared" si="12"/>
        <v>60000</v>
      </c>
      <c r="H381" s="2789"/>
    </row>
    <row r="382" spans="1:8" x14ac:dyDescent="0.3">
      <c r="A382" s="2452">
        <v>13387</v>
      </c>
      <c r="B382" s="2734">
        <v>0.1</v>
      </c>
      <c r="C382" s="3232" t="s">
        <v>3240</v>
      </c>
      <c r="D382" s="2526"/>
      <c r="E382" s="3352">
        <v>900000</v>
      </c>
      <c r="F382" s="614">
        <v>0.05</v>
      </c>
      <c r="G382" s="2677">
        <f t="shared" si="12"/>
        <v>45000</v>
      </c>
      <c r="H382" s="2789"/>
    </row>
    <row r="383" spans="1:8" x14ac:dyDescent="0.3">
      <c r="A383" s="2449">
        <v>13360</v>
      </c>
      <c r="B383" s="333">
        <v>0.1</v>
      </c>
      <c r="C383" s="1088" t="s">
        <v>3244</v>
      </c>
      <c r="D383" s="2602"/>
      <c r="E383" s="3335">
        <v>1200000</v>
      </c>
      <c r="F383" s="614">
        <v>0.05</v>
      </c>
      <c r="G383" s="2677">
        <f t="shared" si="12"/>
        <v>60000</v>
      </c>
      <c r="H383" s="2789"/>
    </row>
    <row r="384" spans="1:8" x14ac:dyDescent="0.3">
      <c r="A384" s="1010">
        <v>13145</v>
      </c>
      <c r="B384" s="2608">
        <v>0.1</v>
      </c>
      <c r="C384" s="1411" t="s">
        <v>3167</v>
      </c>
      <c r="D384" s="2602"/>
      <c r="E384" s="3335">
        <v>1500000</v>
      </c>
      <c r="F384" s="1216">
        <v>0.05</v>
      </c>
      <c r="G384" s="2677">
        <f t="shared" si="12"/>
        <v>75000</v>
      </c>
      <c r="H384" s="2789"/>
    </row>
    <row r="385" spans="1:8" x14ac:dyDescent="0.3">
      <c r="A385" s="1010">
        <v>13191</v>
      </c>
      <c r="B385" s="2608">
        <v>0.1</v>
      </c>
      <c r="C385" s="1411" t="s">
        <v>3251</v>
      </c>
      <c r="D385" s="1124"/>
      <c r="E385" s="3335">
        <v>1200000</v>
      </c>
      <c r="F385" s="1216">
        <v>0.05</v>
      </c>
      <c r="G385" s="2677">
        <f t="shared" si="12"/>
        <v>60000</v>
      </c>
      <c r="H385" s="2789"/>
    </row>
    <row r="386" spans="1:8" x14ac:dyDescent="0.3">
      <c r="A386" s="1010">
        <v>13205</v>
      </c>
      <c r="B386" s="2608">
        <v>0.1</v>
      </c>
      <c r="C386" s="1411" t="s">
        <v>3253</v>
      </c>
      <c r="D386" s="2790"/>
      <c r="E386" s="3335">
        <v>1200000</v>
      </c>
      <c r="F386" s="1720">
        <v>0.05</v>
      </c>
      <c r="G386" s="2677">
        <f t="shared" si="12"/>
        <v>60000</v>
      </c>
      <c r="H386" s="2789"/>
    </row>
    <row r="387" spans="1:8" x14ac:dyDescent="0.3">
      <c r="A387" s="1010">
        <v>13307</v>
      </c>
      <c r="B387" s="2608">
        <v>0.1</v>
      </c>
      <c r="C387" s="1088" t="s">
        <v>3254</v>
      </c>
      <c r="D387" s="2790"/>
      <c r="E387" s="3335">
        <v>1300000</v>
      </c>
      <c r="F387" s="1216">
        <v>0.05</v>
      </c>
      <c r="G387" s="2677">
        <f t="shared" si="12"/>
        <v>65000</v>
      </c>
      <c r="H387" s="2789"/>
    </row>
    <row r="388" spans="1:8" x14ac:dyDescent="0.3">
      <c r="A388" s="1010">
        <v>13382</v>
      </c>
      <c r="B388" s="2693">
        <v>0.08</v>
      </c>
      <c r="C388" s="1088" t="s">
        <v>3256</v>
      </c>
      <c r="D388" s="2790"/>
      <c r="E388" s="3335">
        <v>1350000</v>
      </c>
      <c r="F388" s="2468">
        <v>0.04</v>
      </c>
      <c r="G388" s="2677">
        <f t="shared" si="12"/>
        <v>54000</v>
      </c>
      <c r="H388" s="2789"/>
    </row>
    <row r="389" spans="1:8" x14ac:dyDescent="0.3">
      <c r="A389" s="1010">
        <v>13139</v>
      </c>
      <c r="B389" s="333">
        <v>0.1</v>
      </c>
      <c r="C389" s="1088" t="s">
        <v>3259</v>
      </c>
      <c r="D389" s="2790"/>
      <c r="E389" s="3353">
        <v>1000000</v>
      </c>
      <c r="F389" s="1899">
        <v>0.05</v>
      </c>
      <c r="G389" s="2677">
        <f t="shared" si="12"/>
        <v>50000</v>
      </c>
      <c r="H389" s="2789"/>
    </row>
    <row r="390" spans="1:8" x14ac:dyDescent="0.3">
      <c r="A390" s="1010">
        <v>13214</v>
      </c>
      <c r="B390" s="333">
        <v>0.1</v>
      </c>
      <c r="C390" s="1088" t="s">
        <v>3216</v>
      </c>
      <c r="D390" s="2736"/>
      <c r="E390" s="3322">
        <v>1100000</v>
      </c>
      <c r="F390" s="1899">
        <v>0.05</v>
      </c>
      <c r="G390" s="2677">
        <f t="shared" si="12"/>
        <v>55000</v>
      </c>
      <c r="H390" s="2789"/>
    </row>
    <row r="391" spans="1:8" x14ac:dyDescent="0.3">
      <c r="A391" s="1010">
        <v>13288</v>
      </c>
      <c r="B391" s="553">
        <v>0.08</v>
      </c>
      <c r="C391" s="1088" t="s">
        <v>3245</v>
      </c>
      <c r="D391" s="2736"/>
      <c r="E391" s="3322">
        <v>740000</v>
      </c>
      <c r="F391" s="2466">
        <v>0.04</v>
      </c>
      <c r="G391" s="2677">
        <f t="shared" si="12"/>
        <v>29600</v>
      </c>
      <c r="H391" s="2789"/>
    </row>
    <row r="392" spans="1:8" x14ac:dyDescent="0.3">
      <c r="A392" s="1010">
        <v>13343</v>
      </c>
      <c r="B392" s="553">
        <v>0.08</v>
      </c>
      <c r="C392" s="1088" t="s">
        <v>3261</v>
      </c>
      <c r="D392" s="2736"/>
      <c r="E392" s="3322">
        <v>1200000</v>
      </c>
      <c r="F392" s="2466">
        <v>0.04</v>
      </c>
      <c r="G392" s="2677">
        <f t="shared" si="12"/>
        <v>48000</v>
      </c>
      <c r="H392" s="2789"/>
    </row>
    <row r="393" spans="1:8" x14ac:dyDescent="0.3">
      <c r="A393" s="1010">
        <v>13393</v>
      </c>
      <c r="B393" s="2608">
        <v>0.1</v>
      </c>
      <c r="C393" s="1411" t="s">
        <v>3241</v>
      </c>
      <c r="D393" s="2736"/>
      <c r="E393" s="3322">
        <v>1250000</v>
      </c>
      <c r="F393" s="1899">
        <v>0.05</v>
      </c>
      <c r="G393" s="2677">
        <f t="shared" si="12"/>
        <v>62500</v>
      </c>
      <c r="H393" s="2789"/>
    </row>
    <row r="394" spans="1:8" ht="28.8" x14ac:dyDescent="0.3">
      <c r="A394" s="2723" t="s">
        <v>3192</v>
      </c>
      <c r="B394" s="2723"/>
      <c r="C394" s="1087" t="s">
        <v>3228</v>
      </c>
      <c r="D394" s="2727" t="s">
        <v>3229</v>
      </c>
      <c r="E394" s="3339"/>
      <c r="F394" s="2672"/>
      <c r="G394" s="2677"/>
      <c r="H394" s="2789"/>
    </row>
    <row r="395" spans="1:8" x14ac:dyDescent="0.3">
      <c r="A395" s="2617" t="s">
        <v>3022</v>
      </c>
      <c r="B395" s="2723"/>
      <c r="C395" s="1087" t="s">
        <v>3231</v>
      </c>
      <c r="D395" s="1058" t="s">
        <v>3232</v>
      </c>
      <c r="E395" s="3334"/>
      <c r="F395" s="2672"/>
      <c r="G395" s="2677"/>
      <c r="H395" s="2789"/>
    </row>
    <row r="396" spans="1:8" x14ac:dyDescent="0.3">
      <c r="A396" s="2617" t="s">
        <v>3192</v>
      </c>
      <c r="B396" s="2610"/>
      <c r="C396" s="3233" t="s">
        <v>3246</v>
      </c>
      <c r="D396" s="118"/>
      <c r="E396" s="3334"/>
      <c r="F396" s="985"/>
      <c r="G396" s="740"/>
      <c r="H396" s="2223"/>
    </row>
    <row r="397" spans="1:8" x14ac:dyDescent="0.3">
      <c r="A397" s="2617" t="s">
        <v>3022</v>
      </c>
      <c r="B397" s="2707"/>
      <c r="C397" s="3234" t="s">
        <v>3249</v>
      </c>
      <c r="D397" s="335" t="s">
        <v>3250</v>
      </c>
      <c r="E397" s="3334"/>
      <c r="F397" s="985"/>
      <c r="G397" s="740"/>
      <c r="H397" s="2223"/>
    </row>
    <row r="398" spans="1:8" ht="17.25" customHeight="1" x14ac:dyDescent="0.3">
      <c r="A398" s="2617" t="s">
        <v>3192</v>
      </c>
      <c r="B398" s="2660"/>
      <c r="C398" s="1246" t="s">
        <v>3271</v>
      </c>
      <c r="D398" s="1779" t="s">
        <v>3272</v>
      </c>
      <c r="E398" s="3334"/>
      <c r="F398" s="985"/>
      <c r="G398" s="740"/>
      <c r="H398" s="2223"/>
    </row>
    <row r="399" spans="1:8" x14ac:dyDescent="0.3">
      <c r="A399" s="3214"/>
      <c r="B399" s="2578"/>
      <c r="C399" s="1214"/>
      <c r="D399" s="1582" t="s">
        <v>3758</v>
      </c>
      <c r="E399" s="3340">
        <f>SUM(E376:E398)</f>
        <v>21290000</v>
      </c>
      <c r="F399" s="51"/>
      <c r="G399" s="2701">
        <f>SUM(G376:G398)</f>
        <v>1018600</v>
      </c>
      <c r="H399" s="2222"/>
    </row>
    <row r="400" spans="1:8" x14ac:dyDescent="0.3">
      <c r="H400" s="1"/>
    </row>
    <row r="401" spans="1:8" x14ac:dyDescent="0.3">
      <c r="A401" s="3661" t="s">
        <v>3818</v>
      </c>
      <c r="B401" s="3667"/>
      <c r="C401" s="3667"/>
      <c r="D401" s="3667"/>
      <c r="E401" s="3667"/>
      <c r="F401" s="3667"/>
      <c r="G401" s="3667"/>
      <c r="H401" s="1"/>
    </row>
    <row r="402" spans="1:8" x14ac:dyDescent="0.3">
      <c r="A402" s="3668"/>
      <c r="B402" s="3668"/>
      <c r="C402" s="3668"/>
      <c r="D402" s="3668"/>
      <c r="E402" s="3668"/>
      <c r="F402" s="3668"/>
      <c r="G402" s="3667"/>
      <c r="H402" s="1"/>
    </row>
    <row r="403" spans="1:8" x14ac:dyDescent="0.3">
      <c r="A403" s="2819" t="s">
        <v>3751</v>
      </c>
      <c r="B403" s="2577" t="s">
        <v>2976</v>
      </c>
      <c r="C403" s="3018" t="s">
        <v>3752</v>
      </c>
      <c r="D403" s="1124" t="s">
        <v>3753</v>
      </c>
      <c r="E403" s="3322" t="s">
        <v>3754</v>
      </c>
      <c r="F403" s="2281" t="s">
        <v>2979</v>
      </c>
      <c r="G403" s="2565" t="s">
        <v>2985</v>
      </c>
      <c r="H403" s="2225" t="s">
        <v>3755</v>
      </c>
    </row>
    <row r="404" spans="1:8" x14ac:dyDescent="0.3">
      <c r="A404" s="1010">
        <v>13207</v>
      </c>
      <c r="B404" s="2732">
        <v>0.1</v>
      </c>
      <c r="C404" s="3235" t="s">
        <v>3213</v>
      </c>
      <c r="D404" s="2709"/>
      <c r="E404" s="3354">
        <v>1500000</v>
      </c>
      <c r="F404" s="2710"/>
      <c r="G404" s="2711"/>
      <c r="H404" s="2564" t="s">
        <v>36</v>
      </c>
    </row>
    <row r="405" spans="1:8" x14ac:dyDescent="0.3">
      <c r="A405" s="1010">
        <v>13242</v>
      </c>
      <c r="B405" s="2737">
        <v>0.1</v>
      </c>
      <c r="C405" s="3236" t="s">
        <v>3819</v>
      </c>
      <c r="D405" s="2721" t="s">
        <v>3820</v>
      </c>
      <c r="E405" s="3354">
        <v>1400000</v>
      </c>
      <c r="F405" s="2710">
        <v>0.02</v>
      </c>
      <c r="G405" s="2711"/>
      <c r="H405" s="2564" t="s">
        <v>36</v>
      </c>
    </row>
    <row r="406" spans="1:8" x14ac:dyDescent="0.3">
      <c r="A406" s="2444">
        <v>13244</v>
      </c>
      <c r="B406" s="2737">
        <v>0.1</v>
      </c>
      <c r="C406" s="1411" t="s">
        <v>3219</v>
      </c>
      <c r="D406" s="2717" t="s">
        <v>3821</v>
      </c>
      <c r="E406" s="3355">
        <v>1450000</v>
      </c>
      <c r="F406" s="2712"/>
      <c r="G406" s="2711"/>
      <c r="H406" s="2564" t="s">
        <v>36</v>
      </c>
    </row>
    <row r="407" spans="1:8" x14ac:dyDescent="0.3">
      <c r="A407" s="2486" t="s">
        <v>3018</v>
      </c>
      <c r="B407" s="2516"/>
      <c r="C407" s="1226" t="s">
        <v>3241</v>
      </c>
      <c r="D407" s="2708" t="s">
        <v>3248</v>
      </c>
      <c r="E407" s="3356"/>
      <c r="F407" s="2712"/>
      <c r="G407" s="2711"/>
      <c r="H407" s="2564"/>
    </row>
    <row r="408" spans="1:8" x14ac:dyDescent="0.3">
      <c r="A408" s="2720" t="s">
        <v>3192</v>
      </c>
      <c r="B408" s="2653"/>
      <c r="C408" s="1094" t="s">
        <v>3239</v>
      </c>
      <c r="D408" s="2708" t="s">
        <v>3822</v>
      </c>
      <c r="E408" s="3354"/>
      <c r="F408" s="2712"/>
      <c r="G408" s="2711"/>
      <c r="H408" s="2564"/>
    </row>
    <row r="409" spans="1:8" x14ac:dyDescent="0.3">
      <c r="A409" s="2486" t="s">
        <v>3022</v>
      </c>
      <c r="B409" s="2653"/>
      <c r="C409" s="1094" t="s">
        <v>3230</v>
      </c>
      <c r="D409" s="2658" t="s">
        <v>3823</v>
      </c>
      <c r="E409" s="3354"/>
      <c r="F409" s="2714"/>
      <c r="G409" s="2715"/>
      <c r="H409" s="2713"/>
    </row>
    <row r="410" spans="1:8" x14ac:dyDescent="0.3">
      <c r="A410" s="2527" t="s">
        <v>3203</v>
      </c>
      <c r="B410" s="2513"/>
      <c r="C410" s="1094" t="s">
        <v>3233</v>
      </c>
      <c r="D410" s="2716" t="s">
        <v>3824</v>
      </c>
      <c r="E410" s="3354"/>
      <c r="F410" s="2714"/>
      <c r="G410" s="2715"/>
      <c r="H410" s="2713"/>
    </row>
    <row r="411" spans="1:8" x14ac:dyDescent="0.3">
      <c r="A411" s="2409" t="s">
        <v>3020</v>
      </c>
      <c r="B411" s="2705"/>
      <c r="C411" s="3231" t="s">
        <v>3273</v>
      </c>
      <c r="D411" s="2716" t="s">
        <v>3825</v>
      </c>
      <c r="E411" s="3354"/>
      <c r="F411" s="2714"/>
      <c r="G411" s="2715"/>
      <c r="H411" s="2713"/>
    </row>
    <row r="412" spans="1:8" x14ac:dyDescent="0.3">
      <c r="A412" s="3214"/>
      <c r="B412" s="2578"/>
      <c r="C412" s="1214"/>
      <c r="D412" s="1582" t="s">
        <v>3758</v>
      </c>
      <c r="E412" s="3340">
        <f>SUM(E404:E411)</f>
        <v>4350000</v>
      </c>
      <c r="F412" s="51"/>
      <c r="G412" s="2701">
        <f>SUM(G404:G408)</f>
        <v>0</v>
      </c>
      <c r="H412" s="2222"/>
    </row>
    <row r="414" spans="1:8" x14ac:dyDescent="0.3">
      <c r="A414" s="3661" t="s">
        <v>3826</v>
      </c>
      <c r="B414" s="3661"/>
      <c r="C414" s="3661"/>
      <c r="D414" s="3661"/>
      <c r="E414" s="3661"/>
      <c r="F414" s="3661"/>
      <c r="G414" s="3661"/>
      <c r="H414" s="1"/>
    </row>
    <row r="415" spans="1:8" x14ac:dyDescent="0.3">
      <c r="A415" s="3661"/>
      <c r="B415" s="3661"/>
      <c r="C415" s="3661"/>
      <c r="D415" s="3661"/>
      <c r="E415" s="3661"/>
      <c r="F415" s="3661"/>
      <c r="G415" s="3661"/>
      <c r="H415" s="1"/>
    </row>
    <row r="416" spans="1:8" x14ac:dyDescent="0.3">
      <c r="A416" s="2819" t="s">
        <v>3751</v>
      </c>
      <c r="B416" s="2719" t="s">
        <v>2976</v>
      </c>
      <c r="C416" s="3237" t="s">
        <v>3752</v>
      </c>
      <c r="D416" s="2796" t="s">
        <v>3753</v>
      </c>
      <c r="E416" s="3328" t="s">
        <v>3754</v>
      </c>
      <c r="F416" s="1595" t="s">
        <v>2979</v>
      </c>
      <c r="G416" s="2797" t="s">
        <v>2985</v>
      </c>
      <c r="H416" s="2226" t="s">
        <v>3755</v>
      </c>
    </row>
    <row r="417" spans="1:8" x14ac:dyDescent="0.3">
      <c r="A417" s="1010">
        <v>13283</v>
      </c>
      <c r="B417" s="2608">
        <v>0.1</v>
      </c>
      <c r="C417" s="1411" t="s">
        <v>3222</v>
      </c>
      <c r="D417" s="11"/>
      <c r="E417" s="3334">
        <v>1200000</v>
      </c>
      <c r="F417" s="320">
        <v>0.05</v>
      </c>
      <c r="G417" s="1549">
        <f>E417*F417</f>
        <v>60000</v>
      </c>
      <c r="H417" s="11" t="s">
        <v>36</v>
      </c>
    </row>
    <row r="418" spans="1:8" x14ac:dyDescent="0.3">
      <c r="A418" s="1010">
        <v>13354</v>
      </c>
      <c r="B418" s="333">
        <v>0.1</v>
      </c>
      <c r="C418" s="1088" t="s">
        <v>3225</v>
      </c>
      <c r="D418" s="11"/>
      <c r="E418" s="3334">
        <v>1300000</v>
      </c>
      <c r="F418" s="320">
        <v>0.05</v>
      </c>
      <c r="G418" s="1549">
        <f t="shared" ref="G418:G427" si="13">E418*F418</f>
        <v>65000</v>
      </c>
      <c r="H418" s="11" t="s">
        <v>36</v>
      </c>
    </row>
    <row r="419" spans="1:8" x14ac:dyDescent="0.3">
      <c r="A419" s="1010">
        <v>13322</v>
      </c>
      <c r="B419" s="333">
        <v>0.1</v>
      </c>
      <c r="C419" s="1088" t="s">
        <v>3236</v>
      </c>
      <c r="D419" s="11"/>
      <c r="E419" s="3335">
        <v>1100000</v>
      </c>
      <c r="F419" s="376">
        <v>0.05</v>
      </c>
      <c r="G419" s="1549">
        <f t="shared" si="13"/>
        <v>55000</v>
      </c>
      <c r="H419" s="11" t="s">
        <v>36</v>
      </c>
    </row>
    <row r="420" spans="1:8" x14ac:dyDescent="0.3">
      <c r="A420" s="2449">
        <v>13315</v>
      </c>
      <c r="B420" s="333">
        <v>0.1</v>
      </c>
      <c r="C420" s="1088" t="s">
        <v>3238</v>
      </c>
      <c r="D420" s="11"/>
      <c r="E420" s="3335">
        <v>1000000</v>
      </c>
      <c r="F420" s="376">
        <v>0.05</v>
      </c>
      <c r="G420" s="1549">
        <f t="shared" si="13"/>
        <v>50000</v>
      </c>
      <c r="H420" s="11" t="s">
        <v>36</v>
      </c>
    </row>
    <row r="421" spans="1:8" x14ac:dyDescent="0.3">
      <c r="A421" s="1010">
        <v>13394</v>
      </c>
      <c r="B421" s="2608">
        <v>0.1</v>
      </c>
      <c r="C421" s="1411" t="s">
        <v>3242</v>
      </c>
      <c r="D421" s="11"/>
      <c r="E421" s="3335">
        <v>1150000</v>
      </c>
      <c r="F421" s="376">
        <v>0.05</v>
      </c>
      <c r="G421" s="1549">
        <f t="shared" si="13"/>
        <v>57500</v>
      </c>
      <c r="H421" s="11" t="s">
        <v>36</v>
      </c>
    </row>
    <row r="422" spans="1:8" x14ac:dyDescent="0.3">
      <c r="A422" s="1010">
        <v>13232</v>
      </c>
      <c r="B422" s="2608">
        <v>0.1</v>
      </c>
      <c r="C422" s="1088" t="s">
        <v>3214</v>
      </c>
      <c r="D422" s="11"/>
      <c r="E422" s="3335">
        <v>1100000</v>
      </c>
      <c r="F422" s="1216">
        <v>0.05</v>
      </c>
      <c r="G422" s="1549">
        <f t="shared" si="13"/>
        <v>55000</v>
      </c>
      <c r="H422" s="11" t="s">
        <v>36</v>
      </c>
    </row>
    <row r="423" spans="1:8" x14ac:dyDescent="0.3">
      <c r="A423" s="1010">
        <v>13286</v>
      </c>
      <c r="B423" s="2608">
        <v>0.1</v>
      </c>
      <c r="C423" s="1088" t="s">
        <v>3239</v>
      </c>
      <c r="D423" s="11"/>
      <c r="E423" s="3335">
        <v>1200000</v>
      </c>
      <c r="F423" s="1216">
        <v>0.05</v>
      </c>
      <c r="G423" s="1549">
        <f t="shared" si="13"/>
        <v>60000</v>
      </c>
      <c r="H423" s="11" t="s">
        <v>36</v>
      </c>
    </row>
    <row r="424" spans="1:8" x14ac:dyDescent="0.3">
      <c r="A424" s="1010">
        <v>13325</v>
      </c>
      <c r="B424" s="333">
        <v>0.1</v>
      </c>
      <c r="C424" s="1088" t="s">
        <v>3260</v>
      </c>
      <c r="D424" s="11"/>
      <c r="E424" s="3322">
        <v>820000</v>
      </c>
      <c r="F424" s="1899">
        <v>0.05</v>
      </c>
      <c r="G424" s="1549">
        <f t="shared" si="13"/>
        <v>41000</v>
      </c>
      <c r="H424" s="11" t="s">
        <v>36</v>
      </c>
    </row>
    <row r="425" spans="1:8" x14ac:dyDescent="0.3">
      <c r="A425" s="1010">
        <v>13380</v>
      </c>
      <c r="B425" s="2608">
        <v>0.1</v>
      </c>
      <c r="C425" s="1411" t="s">
        <v>3262</v>
      </c>
      <c r="D425" s="11"/>
      <c r="E425" s="3322">
        <v>1200000</v>
      </c>
      <c r="F425" s="1899">
        <v>0.05</v>
      </c>
      <c r="G425" s="1549">
        <f t="shared" si="13"/>
        <v>60000</v>
      </c>
      <c r="H425" s="11" t="s">
        <v>36</v>
      </c>
    </row>
    <row r="426" spans="1:8" x14ac:dyDescent="0.3">
      <c r="A426" s="1010">
        <v>13397</v>
      </c>
      <c r="B426" s="553">
        <v>0.08</v>
      </c>
      <c r="C426" s="1411" t="s">
        <v>3252</v>
      </c>
      <c r="D426" s="11"/>
      <c r="E426" s="3322">
        <v>1250000</v>
      </c>
      <c r="F426" s="2466">
        <v>0.04</v>
      </c>
      <c r="G426" s="1549">
        <f t="shared" si="13"/>
        <v>50000</v>
      </c>
      <c r="H426" s="11" t="s">
        <v>36</v>
      </c>
    </row>
    <row r="427" spans="1:8" x14ac:dyDescent="0.3">
      <c r="A427" s="1010">
        <v>13372</v>
      </c>
      <c r="B427" s="2608">
        <v>0.1</v>
      </c>
      <c r="C427" s="1170" t="s">
        <v>3275</v>
      </c>
      <c r="D427" s="11"/>
      <c r="E427" s="3322">
        <v>1500000</v>
      </c>
      <c r="F427" s="1943">
        <v>0.05</v>
      </c>
      <c r="G427" s="1549">
        <f t="shared" si="13"/>
        <v>75000</v>
      </c>
      <c r="H427" s="11" t="s">
        <v>36</v>
      </c>
    </row>
    <row r="428" spans="1:8" x14ac:dyDescent="0.3">
      <c r="A428" s="2527" t="s">
        <v>3247</v>
      </c>
      <c r="B428" s="2513"/>
      <c r="C428" s="1094" t="s">
        <v>3244</v>
      </c>
      <c r="D428" s="2815" t="s">
        <v>3234</v>
      </c>
      <c r="E428" s="3357"/>
      <c r="F428" s="795"/>
      <c r="G428" s="171"/>
      <c r="H428" s="171"/>
    </row>
    <row r="429" spans="1:8" x14ac:dyDescent="0.3">
      <c r="A429" s="2617" t="s">
        <v>3192</v>
      </c>
      <c r="B429" s="2660"/>
      <c r="C429" s="1246" t="s">
        <v>3263</v>
      </c>
      <c r="D429" s="1307" t="s">
        <v>3264</v>
      </c>
      <c r="E429" s="3139"/>
      <c r="F429" s="2"/>
      <c r="G429" s="11"/>
      <c r="H429" s="11"/>
    </row>
    <row r="430" spans="1:8" x14ac:dyDescent="0.3">
      <c r="A430" s="2617" t="s">
        <v>3022</v>
      </c>
      <c r="B430" s="2660"/>
      <c r="C430" s="1246" t="s">
        <v>3265</v>
      </c>
      <c r="D430" s="1307"/>
      <c r="E430" s="3139"/>
      <c r="F430" s="2"/>
      <c r="G430" s="11"/>
      <c r="H430" s="11"/>
    </row>
    <row r="431" spans="1:8" x14ac:dyDescent="0.3">
      <c r="A431" s="2723" t="s">
        <v>3192</v>
      </c>
      <c r="B431" s="2723"/>
      <c r="C431" s="1087" t="s">
        <v>3266</v>
      </c>
      <c r="D431" s="1307" t="s">
        <v>3267</v>
      </c>
      <c r="E431" s="3139"/>
      <c r="F431" s="2"/>
      <c r="G431" s="11"/>
      <c r="H431" s="11"/>
    </row>
    <row r="432" spans="1:8" x14ac:dyDescent="0.3">
      <c r="A432" s="2723" t="s">
        <v>3192</v>
      </c>
      <c r="B432" s="2723"/>
      <c r="C432" s="1087" t="s">
        <v>3268</v>
      </c>
      <c r="D432" s="1307" t="s">
        <v>3269</v>
      </c>
      <c r="E432" s="3139"/>
      <c r="F432" s="2"/>
      <c r="G432" s="11"/>
      <c r="H432" s="11"/>
    </row>
    <row r="433" spans="1:8" x14ac:dyDescent="0.3">
      <c r="A433" s="2723" t="s">
        <v>3192</v>
      </c>
      <c r="B433" s="2723"/>
      <c r="C433" s="1087" t="s">
        <v>3270</v>
      </c>
      <c r="D433" s="1307" t="s">
        <v>3041</v>
      </c>
      <c r="E433" s="3139"/>
      <c r="F433" s="2"/>
      <c r="G433" s="11"/>
      <c r="H433" s="11"/>
    </row>
    <row r="434" spans="1:8" x14ac:dyDescent="0.3">
      <c r="A434" s="3214"/>
      <c r="B434" s="2578"/>
      <c r="C434" s="1214"/>
      <c r="D434" s="1582" t="s">
        <v>3758</v>
      </c>
      <c r="E434" s="3340">
        <f>SUM(E417:E433)</f>
        <v>12820000</v>
      </c>
      <c r="F434" s="51"/>
      <c r="G434" s="2701">
        <f>SUM(G417:G433)</f>
        <v>628500</v>
      </c>
      <c r="H434" s="2222"/>
    </row>
    <row r="435" spans="1:8" ht="30.75" customHeight="1" x14ac:dyDescent="0.3">
      <c r="A435" s="3676" t="s">
        <v>1488</v>
      </c>
      <c r="B435" s="3677"/>
      <c r="C435" s="3677"/>
      <c r="D435" s="3677"/>
      <c r="E435" s="3677"/>
      <c r="F435" s="3677"/>
      <c r="G435" s="3677"/>
      <c r="H435" s="3678"/>
    </row>
    <row r="436" spans="1:8" x14ac:dyDescent="0.3">
      <c r="A436" s="2819" t="s">
        <v>3751</v>
      </c>
      <c r="B436" s="2719" t="s">
        <v>2976</v>
      </c>
      <c r="C436" s="3237" t="s">
        <v>3752</v>
      </c>
      <c r="D436" s="2796" t="s">
        <v>3753</v>
      </c>
      <c r="E436" s="3328" t="s">
        <v>3754</v>
      </c>
      <c r="F436" s="1595" t="s">
        <v>2979</v>
      </c>
      <c r="G436" s="2797" t="s">
        <v>2985</v>
      </c>
      <c r="H436" s="11"/>
    </row>
    <row r="437" spans="1:8" x14ac:dyDescent="0.3">
      <c r="A437" s="121">
        <v>13158</v>
      </c>
      <c r="B437" s="2805">
        <v>0.08</v>
      </c>
      <c r="C437" s="3227" t="s">
        <v>3827</v>
      </c>
      <c r="D437" s="11"/>
      <c r="E437" s="3322">
        <v>3900000</v>
      </c>
      <c r="F437" s="2466">
        <v>0.04</v>
      </c>
      <c r="G437" s="1549">
        <f>E437*F437</f>
        <v>156000</v>
      </c>
      <c r="H437" s="2" t="s">
        <v>36</v>
      </c>
    </row>
    <row r="438" spans="1:8" x14ac:dyDescent="0.3">
      <c r="A438" s="121">
        <v>13161</v>
      </c>
      <c r="B438" s="2806">
        <v>0.1</v>
      </c>
      <c r="C438" s="3227" t="s">
        <v>3828</v>
      </c>
      <c r="D438" s="11"/>
      <c r="E438" s="3322">
        <v>1200000</v>
      </c>
      <c r="F438" s="1899">
        <v>0.05</v>
      </c>
      <c r="G438" s="1549">
        <f t="shared" ref="G438:G444" si="14">E438*F438</f>
        <v>60000</v>
      </c>
      <c r="H438" s="2" t="s">
        <v>36</v>
      </c>
    </row>
    <row r="439" spans="1:8" x14ac:dyDescent="0.3">
      <c r="A439" s="121">
        <v>13177</v>
      </c>
      <c r="B439" s="2805">
        <v>0.08</v>
      </c>
      <c r="C439" s="3227" t="s">
        <v>3829</v>
      </c>
      <c r="D439" s="11"/>
      <c r="E439" s="3322">
        <v>1850000</v>
      </c>
      <c r="F439" s="2466">
        <v>0.04</v>
      </c>
      <c r="G439" s="1549">
        <f t="shared" si="14"/>
        <v>74000</v>
      </c>
      <c r="H439" s="2" t="s">
        <v>36</v>
      </c>
    </row>
    <row r="440" spans="1:8" x14ac:dyDescent="0.3">
      <c r="A440" s="121">
        <v>13216</v>
      </c>
      <c r="B440" s="2806">
        <v>0.1</v>
      </c>
      <c r="C440" s="3227" t="s">
        <v>3830</v>
      </c>
      <c r="D440" s="11"/>
      <c r="E440" s="3322">
        <v>1500000</v>
      </c>
      <c r="F440" s="1899">
        <v>0.05</v>
      </c>
      <c r="G440" s="1549">
        <f t="shared" si="14"/>
        <v>75000</v>
      </c>
      <c r="H440" s="2" t="s">
        <v>36</v>
      </c>
    </row>
    <row r="441" spans="1:8" x14ac:dyDescent="0.3">
      <c r="A441" s="121">
        <v>13269</v>
      </c>
      <c r="B441" s="2806">
        <v>0.1</v>
      </c>
      <c r="C441" s="3227" t="s">
        <v>3831</v>
      </c>
      <c r="D441" s="11"/>
      <c r="E441" s="3322">
        <v>1500000</v>
      </c>
      <c r="F441" s="1899">
        <v>0.05</v>
      </c>
      <c r="G441" s="1549">
        <f t="shared" si="14"/>
        <v>75000</v>
      </c>
      <c r="H441" s="2" t="s">
        <v>36</v>
      </c>
    </row>
    <row r="442" spans="1:8" x14ac:dyDescent="0.3">
      <c r="A442" s="121">
        <v>13234</v>
      </c>
      <c r="B442" s="2805">
        <v>0.08</v>
      </c>
      <c r="C442" s="3227" t="s">
        <v>3832</v>
      </c>
      <c r="D442" s="11"/>
      <c r="E442" s="3322">
        <v>1200000</v>
      </c>
      <c r="F442" s="2466">
        <v>0.04</v>
      </c>
      <c r="G442" s="1549">
        <f t="shared" si="14"/>
        <v>48000</v>
      </c>
      <c r="H442" s="2" t="s">
        <v>36</v>
      </c>
    </row>
    <row r="443" spans="1:8" x14ac:dyDescent="0.3">
      <c r="A443" s="121">
        <v>13238</v>
      </c>
      <c r="B443" s="2806">
        <v>0.1</v>
      </c>
      <c r="C443" s="3227" t="s">
        <v>3833</v>
      </c>
      <c r="D443" s="11"/>
      <c r="E443" s="3322">
        <v>1000000</v>
      </c>
      <c r="F443" s="1899">
        <v>0.05</v>
      </c>
      <c r="G443" s="1549">
        <f t="shared" si="14"/>
        <v>50000</v>
      </c>
      <c r="H443" s="2" t="s">
        <v>36</v>
      </c>
    </row>
    <row r="444" spans="1:8" x14ac:dyDescent="0.3">
      <c r="A444" s="196">
        <v>13281</v>
      </c>
      <c r="B444" s="2808">
        <v>0.1</v>
      </c>
      <c r="C444" s="3238" t="s">
        <v>3834</v>
      </c>
      <c r="D444" s="1553"/>
      <c r="E444" s="3328">
        <v>1400000</v>
      </c>
      <c r="F444" s="2810">
        <v>0.05</v>
      </c>
      <c r="G444" s="1353">
        <f t="shared" si="14"/>
        <v>70000</v>
      </c>
      <c r="H444" s="268" t="s">
        <v>36</v>
      </c>
    </row>
    <row r="445" spans="1:8" x14ac:dyDescent="0.3">
      <c r="A445" s="1050"/>
      <c r="B445" s="2807"/>
      <c r="C445" s="2157"/>
      <c r="D445" s="1195" t="s">
        <v>3758</v>
      </c>
      <c r="E445" s="3261">
        <f>SUM(E437:E444)</f>
        <v>13550000</v>
      </c>
      <c r="F445" s="51"/>
      <c r="G445" s="2701">
        <f>SUM(G437:G444)</f>
        <v>608000</v>
      </c>
      <c r="H445" s="2222"/>
    </row>
    <row r="446" spans="1:8" ht="18" x14ac:dyDescent="0.35">
      <c r="A446" s="1050"/>
      <c r="B446" s="2807"/>
      <c r="C446" s="2157"/>
      <c r="D446" s="3679" t="s">
        <v>3835</v>
      </c>
      <c r="E446" s="3680"/>
      <c r="F446" s="3681"/>
      <c r="G446" s="2811">
        <f>G434+G445</f>
        <v>1236500</v>
      </c>
      <c r="H446" s="2222"/>
    </row>
    <row r="448" spans="1:8" x14ac:dyDescent="0.3">
      <c r="A448" s="3661" t="s">
        <v>3836</v>
      </c>
      <c r="B448" s="3661"/>
      <c r="C448" s="3661"/>
      <c r="D448" s="3661"/>
      <c r="E448" s="3661"/>
      <c r="F448" s="3661"/>
      <c r="G448" s="3661"/>
      <c r="H448" s="1"/>
    </row>
    <row r="449" spans="1:8" x14ac:dyDescent="0.3">
      <c r="A449" s="3661"/>
      <c r="B449" s="3661"/>
      <c r="C449" s="3661"/>
      <c r="D449" s="3661"/>
      <c r="E449" s="3661"/>
      <c r="F449" s="3661"/>
      <c r="G449" s="3661"/>
      <c r="H449" s="1"/>
    </row>
    <row r="450" spans="1:8" x14ac:dyDescent="0.3">
      <c r="A450" s="2819" t="s">
        <v>3751</v>
      </c>
      <c r="B450" s="2719" t="s">
        <v>2976</v>
      </c>
      <c r="C450" s="3237" t="s">
        <v>3752</v>
      </c>
      <c r="D450" s="2796" t="s">
        <v>3753</v>
      </c>
      <c r="E450" s="3328" t="s">
        <v>3754</v>
      </c>
      <c r="F450" s="1595" t="s">
        <v>2979</v>
      </c>
      <c r="G450" s="2797" t="s">
        <v>2985</v>
      </c>
      <c r="H450" s="2226" t="s">
        <v>3755</v>
      </c>
    </row>
    <row r="451" spans="1:8" x14ac:dyDescent="0.3">
      <c r="A451" s="1010">
        <v>13386</v>
      </c>
      <c r="B451" s="2693">
        <v>0.08</v>
      </c>
      <c r="C451" s="1088" t="s">
        <v>3257</v>
      </c>
      <c r="D451" s="11"/>
      <c r="E451" s="3335">
        <v>1250000</v>
      </c>
      <c r="F451" s="2468">
        <v>0.02</v>
      </c>
      <c r="G451" s="1549">
        <f>E451*F451</f>
        <v>25000</v>
      </c>
      <c r="H451" s="11"/>
    </row>
    <row r="452" spans="1:8" x14ac:dyDescent="0.3">
      <c r="A452" s="1010" t="s">
        <v>3226</v>
      </c>
      <c r="B452" s="2608">
        <v>0.1</v>
      </c>
      <c r="C452" s="1411" t="s">
        <v>3243</v>
      </c>
      <c r="D452" s="11"/>
      <c r="E452" s="3322">
        <v>1250000</v>
      </c>
      <c r="F452" s="1899">
        <v>0.03</v>
      </c>
      <c r="G452" s="1549">
        <f>E452*F452</f>
        <v>37500</v>
      </c>
      <c r="H452" s="11"/>
    </row>
    <row r="453" spans="1:8" x14ac:dyDescent="0.3">
      <c r="A453" s="3214"/>
      <c r="B453" s="2578"/>
      <c r="C453" s="1214"/>
      <c r="D453" s="1582" t="s">
        <v>3758</v>
      </c>
      <c r="E453" s="3340">
        <f>SUM(E451:E452)</f>
        <v>2500000</v>
      </c>
      <c r="F453" s="51"/>
      <c r="G453" s="2701">
        <f>SUM(G451:G452)</f>
        <v>62500</v>
      </c>
      <c r="H453" s="2222"/>
    </row>
    <row r="455" spans="1:8" x14ac:dyDescent="0.3">
      <c r="A455" s="3661" t="s">
        <v>3837</v>
      </c>
      <c r="B455" s="3661"/>
      <c r="C455" s="3661"/>
      <c r="D455" s="3661"/>
      <c r="E455" s="3661"/>
      <c r="F455" s="3661"/>
      <c r="G455" s="3661"/>
    </row>
    <row r="456" spans="1:8" x14ac:dyDescent="0.3">
      <c r="A456" s="3661"/>
      <c r="B456" s="3661"/>
      <c r="C456" s="3661"/>
      <c r="D456" s="3661"/>
      <c r="E456" s="3661"/>
      <c r="F456" s="3661"/>
      <c r="G456" s="3675"/>
    </row>
    <row r="457" spans="1:8" x14ac:dyDescent="0.3">
      <c r="A457" s="2819" t="s">
        <v>3751</v>
      </c>
      <c r="B457" s="2719" t="s">
        <v>2976</v>
      </c>
      <c r="C457" s="3237" t="s">
        <v>3752</v>
      </c>
      <c r="D457" s="2796" t="s">
        <v>3753</v>
      </c>
      <c r="E457" s="3328" t="s">
        <v>3754</v>
      </c>
      <c r="F457" s="2641" t="s">
        <v>2979</v>
      </c>
      <c r="G457" s="289" t="s">
        <v>2985</v>
      </c>
    </row>
    <row r="458" spans="1:8" x14ac:dyDescent="0.3">
      <c r="A458" s="1010">
        <v>13228</v>
      </c>
      <c r="B458" s="2693">
        <v>0.08</v>
      </c>
      <c r="C458" s="1811" t="s">
        <v>3217</v>
      </c>
      <c r="D458" s="2597"/>
      <c r="E458" s="3334">
        <v>1300000</v>
      </c>
      <c r="F458" s="2801">
        <v>1.4999999999999999E-2</v>
      </c>
      <c r="G458" s="2800">
        <f>E458*F458</f>
        <v>19500</v>
      </c>
    </row>
    <row r="459" spans="1:8" x14ac:dyDescent="0.3">
      <c r="A459" s="1010">
        <v>13251</v>
      </c>
      <c r="B459" s="333">
        <v>0.1</v>
      </c>
      <c r="C459" s="2992" t="s">
        <v>3221</v>
      </c>
      <c r="D459" s="2597"/>
      <c r="E459" s="3334">
        <v>1200000</v>
      </c>
      <c r="F459" s="2802">
        <v>2.5000000000000001E-2</v>
      </c>
      <c r="G459" s="2677">
        <f t="shared" ref="G459:G491" si="15">E459*F459</f>
        <v>30000</v>
      </c>
    </row>
    <row r="460" spans="1:8" x14ac:dyDescent="0.3">
      <c r="A460" s="1010">
        <v>13336</v>
      </c>
      <c r="B460" s="333">
        <v>0.1</v>
      </c>
      <c r="C460" s="2992" t="s">
        <v>3223</v>
      </c>
      <c r="D460" s="2597"/>
      <c r="E460" s="3334">
        <v>1200000</v>
      </c>
      <c r="F460" s="2802">
        <v>2.5000000000000001E-2</v>
      </c>
      <c r="G460" s="2677">
        <f t="shared" si="15"/>
        <v>30000</v>
      </c>
    </row>
    <row r="461" spans="1:8" x14ac:dyDescent="0.3">
      <c r="A461" s="1010">
        <v>13359</v>
      </c>
      <c r="B461" s="333">
        <v>0.1</v>
      </c>
      <c r="C461" s="2992" t="s">
        <v>3224</v>
      </c>
      <c r="D461" s="2597"/>
      <c r="E461" s="3334">
        <v>1450000</v>
      </c>
      <c r="F461" s="2802">
        <v>2.5000000000000001E-2</v>
      </c>
      <c r="G461" s="2677">
        <f t="shared" si="15"/>
        <v>36250</v>
      </c>
    </row>
    <row r="462" spans="1:8" x14ac:dyDescent="0.3">
      <c r="A462" s="2444" t="s">
        <v>3226</v>
      </c>
      <c r="B462" s="333">
        <v>0.1</v>
      </c>
      <c r="C462" s="3239" t="s">
        <v>3227</v>
      </c>
      <c r="D462" s="2597"/>
      <c r="E462" s="3335">
        <v>1000000</v>
      </c>
      <c r="F462" s="2802">
        <v>2.5000000000000001E-2</v>
      </c>
      <c r="G462" s="2677">
        <f t="shared" si="15"/>
        <v>25000</v>
      </c>
    </row>
    <row r="463" spans="1:8" x14ac:dyDescent="0.3">
      <c r="A463" s="1010">
        <v>13210</v>
      </c>
      <c r="B463" s="2608">
        <v>0.1</v>
      </c>
      <c r="C463" s="1811" t="s">
        <v>3235</v>
      </c>
      <c r="D463" s="2597"/>
      <c r="E463" s="3335">
        <v>1200000</v>
      </c>
      <c r="F463" s="2802">
        <v>2.5000000000000001E-2</v>
      </c>
      <c r="G463" s="2677">
        <f t="shared" si="15"/>
        <v>30000</v>
      </c>
    </row>
    <row r="464" spans="1:8" x14ac:dyDescent="0.3">
      <c r="A464" s="2452">
        <v>13387</v>
      </c>
      <c r="B464" s="2734">
        <v>0.1</v>
      </c>
      <c r="C464" s="3240" t="s">
        <v>3240</v>
      </c>
      <c r="D464" s="2597"/>
      <c r="E464" s="3335">
        <v>900000</v>
      </c>
      <c r="F464" s="2802">
        <v>2.5000000000000001E-2</v>
      </c>
      <c r="G464" s="2677">
        <f t="shared" si="15"/>
        <v>22500</v>
      </c>
    </row>
    <row r="465" spans="1:7" x14ac:dyDescent="0.3">
      <c r="A465" s="2449">
        <v>13360</v>
      </c>
      <c r="B465" s="333">
        <v>0.1</v>
      </c>
      <c r="C465" s="2992" t="s">
        <v>3244</v>
      </c>
      <c r="D465" s="1124"/>
      <c r="E465" s="3335">
        <v>1200000</v>
      </c>
      <c r="F465" s="2802">
        <v>2.5000000000000001E-2</v>
      </c>
      <c r="G465" s="2677">
        <f t="shared" si="15"/>
        <v>30000</v>
      </c>
    </row>
    <row r="466" spans="1:7" x14ac:dyDescent="0.3">
      <c r="A466" s="1010">
        <v>13145</v>
      </c>
      <c r="B466" s="2608">
        <v>0.1</v>
      </c>
      <c r="C466" s="1811" t="s">
        <v>3167</v>
      </c>
      <c r="D466" s="1124"/>
      <c r="E466" s="3335">
        <v>1500000</v>
      </c>
      <c r="F466" s="2802">
        <v>2.5000000000000001E-2</v>
      </c>
      <c r="G466" s="2677">
        <f>G384</f>
        <v>75000</v>
      </c>
    </row>
    <row r="467" spans="1:7" x14ac:dyDescent="0.3">
      <c r="A467" s="1010">
        <v>13191</v>
      </c>
      <c r="B467" s="2608">
        <v>0.1</v>
      </c>
      <c r="C467" s="1811" t="s">
        <v>3251</v>
      </c>
      <c r="D467" s="1124"/>
      <c r="E467" s="3335">
        <v>1200000</v>
      </c>
      <c r="F467" s="2802">
        <v>2.5000000000000001E-2</v>
      </c>
      <c r="G467" s="2677">
        <f t="shared" si="15"/>
        <v>30000</v>
      </c>
    </row>
    <row r="468" spans="1:7" x14ac:dyDescent="0.3">
      <c r="A468" s="1010">
        <v>13205</v>
      </c>
      <c r="B468" s="2608">
        <v>0.1</v>
      </c>
      <c r="C468" s="1811" t="s">
        <v>3253</v>
      </c>
      <c r="D468" s="1124"/>
      <c r="E468" s="3335">
        <v>1200000</v>
      </c>
      <c r="F468" s="2802">
        <v>2.5000000000000001E-2</v>
      </c>
      <c r="G468" s="2677">
        <f t="shared" si="15"/>
        <v>30000</v>
      </c>
    </row>
    <row r="469" spans="1:7" x14ac:dyDescent="0.3">
      <c r="A469" s="1010">
        <v>13307</v>
      </c>
      <c r="B469" s="2608">
        <v>0.1</v>
      </c>
      <c r="C469" s="2992" t="s">
        <v>3254</v>
      </c>
      <c r="D469" s="1124"/>
      <c r="E469" s="3335">
        <v>1300000</v>
      </c>
      <c r="F469" s="2802">
        <v>2.5000000000000001E-2</v>
      </c>
      <c r="G469" s="2677">
        <f t="shared" si="15"/>
        <v>32500</v>
      </c>
    </row>
    <row r="470" spans="1:7" x14ac:dyDescent="0.3">
      <c r="A470" s="1010">
        <v>13382</v>
      </c>
      <c r="B470" s="2693">
        <v>0.08</v>
      </c>
      <c r="C470" s="2992" t="s">
        <v>3256</v>
      </c>
      <c r="D470" s="1124"/>
      <c r="E470" s="3335">
        <v>1350000</v>
      </c>
      <c r="F470" s="2803">
        <v>1.4999999999999999E-2</v>
      </c>
      <c r="G470" s="2677">
        <f>G388</f>
        <v>54000</v>
      </c>
    </row>
    <row r="471" spans="1:7" x14ac:dyDescent="0.3">
      <c r="A471" s="1010">
        <v>13139</v>
      </c>
      <c r="B471" s="333">
        <v>0.1</v>
      </c>
      <c r="C471" s="1088" t="s">
        <v>3259</v>
      </c>
      <c r="D471" s="2804"/>
      <c r="E471" s="3358">
        <v>1000000</v>
      </c>
      <c r="F471" s="2799">
        <v>2.5000000000000001E-2</v>
      </c>
      <c r="G471" s="2677">
        <f t="shared" si="15"/>
        <v>25000</v>
      </c>
    </row>
    <row r="472" spans="1:7" x14ac:dyDescent="0.3">
      <c r="A472" s="1010">
        <v>13214</v>
      </c>
      <c r="B472" s="333">
        <v>0.1</v>
      </c>
      <c r="C472" s="1088" t="s">
        <v>3216</v>
      </c>
      <c r="D472" s="2736"/>
      <c r="E472" s="3322">
        <v>1100000</v>
      </c>
      <c r="F472" s="2799">
        <v>2.5000000000000001E-2</v>
      </c>
      <c r="G472" s="2677">
        <f t="shared" si="15"/>
        <v>27500</v>
      </c>
    </row>
    <row r="473" spans="1:7" x14ac:dyDescent="0.3">
      <c r="A473" s="1010">
        <v>13288</v>
      </c>
      <c r="B473" s="553">
        <v>0.08</v>
      </c>
      <c r="C473" s="1088" t="s">
        <v>3245</v>
      </c>
      <c r="D473" s="2736"/>
      <c r="E473" s="3322">
        <v>740000</v>
      </c>
      <c r="F473" s="2798">
        <v>1.4999999999999999E-2</v>
      </c>
      <c r="G473" s="2677">
        <f t="shared" si="15"/>
        <v>11100</v>
      </c>
    </row>
    <row r="474" spans="1:7" x14ac:dyDescent="0.3">
      <c r="A474" s="1010">
        <v>13343</v>
      </c>
      <c r="B474" s="553">
        <v>0.08</v>
      </c>
      <c r="C474" s="1088" t="s">
        <v>3261</v>
      </c>
      <c r="D474" s="2736"/>
      <c r="E474" s="3322">
        <v>1200000</v>
      </c>
      <c r="F474" s="2798">
        <v>1.4999999999999999E-2</v>
      </c>
      <c r="G474" s="2677">
        <f t="shared" si="15"/>
        <v>18000</v>
      </c>
    </row>
    <row r="475" spans="1:7" x14ac:dyDescent="0.3">
      <c r="A475" s="1010">
        <v>13393</v>
      </c>
      <c r="B475" s="2608">
        <v>0.1</v>
      </c>
      <c r="C475" s="1411" t="s">
        <v>3241</v>
      </c>
      <c r="D475" s="2736"/>
      <c r="E475" s="3322">
        <v>1250000</v>
      </c>
      <c r="F475" s="2799">
        <v>2.5000000000000001E-2</v>
      </c>
      <c r="G475" s="2677">
        <f t="shared" si="15"/>
        <v>31250</v>
      </c>
    </row>
    <row r="476" spans="1:7" x14ac:dyDescent="0.3">
      <c r="A476" s="1010">
        <v>13207</v>
      </c>
      <c r="B476" s="2732">
        <v>0.1</v>
      </c>
      <c r="C476" s="3235" t="s">
        <v>3213</v>
      </c>
      <c r="D476" s="2709"/>
      <c r="E476" s="3354">
        <v>1500000</v>
      </c>
      <c r="F476" s="2799">
        <v>2.5000000000000001E-2</v>
      </c>
      <c r="G476" s="2677">
        <f t="shared" si="15"/>
        <v>37500</v>
      </c>
    </row>
    <row r="477" spans="1:7" x14ac:dyDescent="0.3">
      <c r="A477" s="1010">
        <v>13242</v>
      </c>
      <c r="B477" s="2737">
        <v>0.1</v>
      </c>
      <c r="C477" s="1098" t="s">
        <v>3819</v>
      </c>
      <c r="D477" s="2721"/>
      <c r="E477" s="3354">
        <v>1400000</v>
      </c>
      <c r="F477" s="2798">
        <v>1.4999999999999999E-2</v>
      </c>
      <c r="G477" s="2677">
        <f t="shared" si="15"/>
        <v>21000</v>
      </c>
    </row>
    <row r="478" spans="1:7" x14ac:dyDescent="0.3">
      <c r="A478" s="2444">
        <v>13244</v>
      </c>
      <c r="B478" s="2737">
        <v>0.1</v>
      </c>
      <c r="C478" s="1411" t="s">
        <v>3219</v>
      </c>
      <c r="D478" s="2717"/>
      <c r="E478" s="3355">
        <v>1450000</v>
      </c>
      <c r="F478" s="2799">
        <v>2.5000000000000001E-2</v>
      </c>
      <c r="G478" s="2677">
        <f t="shared" si="15"/>
        <v>36250</v>
      </c>
    </row>
    <row r="479" spans="1:7" x14ac:dyDescent="0.3">
      <c r="A479" s="1010">
        <v>13283</v>
      </c>
      <c r="B479" s="2608">
        <v>0.1</v>
      </c>
      <c r="C479" s="1411" t="s">
        <v>3222</v>
      </c>
      <c r="D479" s="11"/>
      <c r="E479" s="3334">
        <v>1200000</v>
      </c>
      <c r="F479" s="2799">
        <v>2.5000000000000001E-2</v>
      </c>
      <c r="G479" s="2677">
        <f t="shared" si="15"/>
        <v>30000</v>
      </c>
    </row>
    <row r="480" spans="1:7" x14ac:dyDescent="0.3">
      <c r="A480" s="1010">
        <v>13354</v>
      </c>
      <c r="B480" s="333">
        <v>0.1</v>
      </c>
      <c r="C480" s="1088" t="s">
        <v>3225</v>
      </c>
      <c r="D480" s="11"/>
      <c r="E480" s="3334">
        <v>1300000</v>
      </c>
      <c r="F480" s="2799">
        <v>2.5000000000000001E-2</v>
      </c>
      <c r="G480" s="2677">
        <f t="shared" si="15"/>
        <v>32500</v>
      </c>
    </row>
    <row r="481" spans="1:7" x14ac:dyDescent="0.3">
      <c r="A481" s="1010">
        <v>13322</v>
      </c>
      <c r="B481" s="333">
        <v>0.1</v>
      </c>
      <c r="C481" s="1088" t="s">
        <v>3236</v>
      </c>
      <c r="D481" s="11"/>
      <c r="E481" s="3335">
        <v>1100000</v>
      </c>
      <c r="F481" s="2799">
        <v>2.5000000000000001E-2</v>
      </c>
      <c r="G481" s="2677">
        <f t="shared" si="15"/>
        <v>27500</v>
      </c>
    </row>
    <row r="482" spans="1:7" x14ac:dyDescent="0.3">
      <c r="A482" s="2449">
        <v>13315</v>
      </c>
      <c r="B482" s="333">
        <v>0.1</v>
      </c>
      <c r="C482" s="1088" t="s">
        <v>3238</v>
      </c>
      <c r="D482" s="11"/>
      <c r="E482" s="3335">
        <v>1000000</v>
      </c>
      <c r="F482" s="2799">
        <v>2.5000000000000001E-2</v>
      </c>
      <c r="G482" s="2677">
        <f t="shared" si="15"/>
        <v>25000</v>
      </c>
    </row>
    <row r="483" spans="1:7" x14ac:dyDescent="0.3">
      <c r="A483" s="1010">
        <v>13394</v>
      </c>
      <c r="B483" s="2608">
        <v>0.1</v>
      </c>
      <c r="C483" s="1411" t="s">
        <v>3242</v>
      </c>
      <c r="D483" s="11"/>
      <c r="E483" s="3335">
        <v>1150000</v>
      </c>
      <c r="F483" s="2799">
        <v>2.5000000000000001E-2</v>
      </c>
      <c r="G483" s="2677">
        <f t="shared" si="15"/>
        <v>28750</v>
      </c>
    </row>
    <row r="484" spans="1:7" x14ac:dyDescent="0.3">
      <c r="A484" s="1010">
        <v>13232</v>
      </c>
      <c r="B484" s="2608">
        <v>0.1</v>
      </c>
      <c r="C484" s="1088" t="s">
        <v>3214</v>
      </c>
      <c r="D484" s="11"/>
      <c r="E484" s="3335">
        <v>1100000</v>
      </c>
      <c r="F484" s="2799">
        <v>2.5000000000000001E-2</v>
      </c>
      <c r="G484" s="2677">
        <f t="shared" si="15"/>
        <v>27500</v>
      </c>
    </row>
    <row r="485" spans="1:7" x14ac:dyDescent="0.3">
      <c r="A485" s="1010">
        <v>13286</v>
      </c>
      <c r="B485" s="2608">
        <v>0.1</v>
      </c>
      <c r="C485" s="1088" t="s">
        <v>3239</v>
      </c>
      <c r="D485" s="11"/>
      <c r="E485" s="3335">
        <v>1200000</v>
      </c>
      <c r="F485" s="2799">
        <v>2.5000000000000001E-2</v>
      </c>
      <c r="G485" s="2677">
        <f t="shared" si="15"/>
        <v>30000</v>
      </c>
    </row>
    <row r="486" spans="1:7" x14ac:dyDescent="0.3">
      <c r="A486" s="1010">
        <v>13325</v>
      </c>
      <c r="B486" s="333">
        <v>0.1</v>
      </c>
      <c r="C486" s="1088" t="s">
        <v>3260</v>
      </c>
      <c r="D486" s="11"/>
      <c r="E486" s="3322">
        <v>820000</v>
      </c>
      <c r="F486" s="2799">
        <v>2.5000000000000001E-2</v>
      </c>
      <c r="G486" s="2677">
        <f t="shared" si="15"/>
        <v>20500</v>
      </c>
    </row>
    <row r="487" spans="1:7" x14ac:dyDescent="0.3">
      <c r="A487" s="1010">
        <v>13380</v>
      </c>
      <c r="B487" s="2608">
        <v>0.1</v>
      </c>
      <c r="C487" s="1411" t="s">
        <v>3262</v>
      </c>
      <c r="D487" s="11"/>
      <c r="E487" s="3322">
        <v>1200000</v>
      </c>
      <c r="F487" s="2799">
        <v>2.5000000000000001E-2</v>
      </c>
      <c r="G487" s="2677">
        <f t="shared" si="15"/>
        <v>30000</v>
      </c>
    </row>
    <row r="488" spans="1:7" x14ac:dyDescent="0.3">
      <c r="A488" s="1010">
        <v>13397</v>
      </c>
      <c r="B488" s="553">
        <v>0.08</v>
      </c>
      <c r="C488" s="1411" t="s">
        <v>3252</v>
      </c>
      <c r="D488" s="11"/>
      <c r="E488" s="3322">
        <v>1250000</v>
      </c>
      <c r="F488" s="2798">
        <v>1.4999999999999999E-2</v>
      </c>
      <c r="G488" s="2677">
        <f t="shared" si="15"/>
        <v>18750</v>
      </c>
    </row>
    <row r="489" spans="1:7" x14ac:dyDescent="0.3">
      <c r="A489" s="1010">
        <v>13372</v>
      </c>
      <c r="B489" s="2608">
        <v>0.1</v>
      </c>
      <c r="C489" s="1170" t="s">
        <v>3275</v>
      </c>
      <c r="D489" s="11"/>
      <c r="E489" s="3322">
        <v>1500000</v>
      </c>
      <c r="F489" s="2799">
        <v>2.5000000000000001E-2</v>
      </c>
      <c r="G489" s="2677">
        <f>G427</f>
        <v>75000</v>
      </c>
    </row>
    <row r="490" spans="1:7" x14ac:dyDescent="0.3">
      <c r="A490" s="1010">
        <v>13386</v>
      </c>
      <c r="B490" s="2693">
        <v>0.08</v>
      </c>
      <c r="C490" s="1088" t="s">
        <v>3257</v>
      </c>
      <c r="D490" s="11"/>
      <c r="E490" s="3335">
        <v>1250000</v>
      </c>
      <c r="F490" s="2798">
        <v>1.4999999999999999E-2</v>
      </c>
      <c r="G490" s="2677">
        <f t="shared" si="15"/>
        <v>18750</v>
      </c>
    </row>
    <row r="491" spans="1:7" x14ac:dyDescent="0.3">
      <c r="A491" s="1010" t="s">
        <v>3226</v>
      </c>
      <c r="B491" s="2608">
        <v>0.1</v>
      </c>
      <c r="C491" s="1411" t="s">
        <v>3243</v>
      </c>
      <c r="D491" s="11"/>
      <c r="E491" s="3322">
        <v>1250000</v>
      </c>
      <c r="F491" s="2799">
        <v>2.5000000000000001E-2</v>
      </c>
      <c r="G491" s="2677">
        <f t="shared" si="15"/>
        <v>31250</v>
      </c>
    </row>
    <row r="492" spans="1:7" x14ac:dyDescent="0.3">
      <c r="A492" s="3214"/>
      <c r="B492" s="2578"/>
      <c r="C492" s="1214"/>
      <c r="D492" s="1582" t="s">
        <v>3758</v>
      </c>
      <c r="E492" s="3340">
        <f>SUM(E458:E491)</f>
        <v>40960000</v>
      </c>
      <c r="F492" s="51"/>
      <c r="G492" s="2701">
        <f>SUM(G458:G491)</f>
        <v>1047850</v>
      </c>
    </row>
    <row r="495" spans="1:7" ht="46.2" x14ac:dyDescent="0.85">
      <c r="A495" s="3662" t="s">
        <v>3838</v>
      </c>
      <c r="B495" s="3662"/>
      <c r="C495" s="3662"/>
      <c r="D495" s="3662"/>
      <c r="E495" s="3662"/>
      <c r="F495" s="3662"/>
      <c r="G495" s="3662"/>
    </row>
    <row r="497" spans="1:8" x14ac:dyDescent="0.3">
      <c r="A497" s="3661" t="s">
        <v>3839</v>
      </c>
      <c r="B497" s="3661"/>
      <c r="C497" s="3661"/>
      <c r="D497" s="3661"/>
      <c r="E497" s="3661"/>
      <c r="F497" s="3661"/>
      <c r="G497" s="3661"/>
      <c r="H497" s="1"/>
    </row>
    <row r="498" spans="1:8" x14ac:dyDescent="0.3">
      <c r="A498" s="3661"/>
      <c r="B498" s="3661"/>
      <c r="C498" s="3661"/>
      <c r="D498" s="3661"/>
      <c r="E498" s="3661"/>
      <c r="F498" s="3661"/>
      <c r="G498" s="3661"/>
      <c r="H498" s="1"/>
    </row>
    <row r="499" spans="1:8" x14ac:dyDescent="0.3">
      <c r="A499" s="3182" t="s">
        <v>3751</v>
      </c>
      <c r="B499" s="2577" t="s">
        <v>2976</v>
      </c>
      <c r="C499" s="3018" t="s">
        <v>3752</v>
      </c>
      <c r="D499" s="1124" t="s">
        <v>3753</v>
      </c>
      <c r="E499" s="3322" t="s">
        <v>3754</v>
      </c>
      <c r="F499" s="2281" t="s">
        <v>2979</v>
      </c>
      <c r="G499" s="2565" t="s">
        <v>2985</v>
      </c>
      <c r="H499" s="2225" t="s">
        <v>3755</v>
      </c>
    </row>
    <row r="500" spans="1:8" x14ac:dyDescent="0.3">
      <c r="A500" s="1010">
        <v>13461</v>
      </c>
      <c r="B500" s="333">
        <v>0.1</v>
      </c>
      <c r="C500" s="1088" t="s">
        <v>3280</v>
      </c>
      <c r="D500" s="1632"/>
      <c r="E500" s="3334">
        <v>1300000</v>
      </c>
      <c r="F500" s="320">
        <v>0.05</v>
      </c>
      <c r="G500" s="2800">
        <f>E500*F500</f>
        <v>65000</v>
      </c>
      <c r="H500" s="2789"/>
    </row>
    <row r="501" spans="1:8" x14ac:dyDescent="0.3">
      <c r="A501" s="1010">
        <v>13510</v>
      </c>
      <c r="B501" s="333">
        <v>0.1</v>
      </c>
      <c r="C501" s="1088" t="s">
        <v>3284</v>
      </c>
      <c r="D501" s="1632"/>
      <c r="E501" s="3334">
        <v>1300000</v>
      </c>
      <c r="F501" s="320">
        <v>0.05</v>
      </c>
      <c r="G501" s="2800">
        <f t="shared" ref="G501:G516" si="16">E501*F501</f>
        <v>65000</v>
      </c>
      <c r="H501" s="2789"/>
    </row>
    <row r="502" spans="1:8" x14ac:dyDescent="0.3">
      <c r="A502" s="2449">
        <v>13549</v>
      </c>
      <c r="B502" s="333">
        <v>0.1</v>
      </c>
      <c r="C502" s="1088" t="s">
        <v>3288</v>
      </c>
      <c r="D502" s="1632"/>
      <c r="E502" s="3334">
        <v>1300000</v>
      </c>
      <c r="F502" s="320">
        <v>0.05</v>
      </c>
      <c r="G502" s="2800">
        <f t="shared" si="16"/>
        <v>65000</v>
      </c>
      <c r="H502" s="2789"/>
    </row>
    <row r="503" spans="1:8" x14ac:dyDescent="0.3">
      <c r="A503" s="2449">
        <v>13645</v>
      </c>
      <c r="B503" s="333">
        <v>0.1</v>
      </c>
      <c r="C503" s="2993" t="s">
        <v>3291</v>
      </c>
      <c r="D503" s="1632"/>
      <c r="E503" s="3334">
        <v>1700000</v>
      </c>
      <c r="F503" s="320">
        <v>0.05</v>
      </c>
      <c r="G503" s="2800">
        <f t="shared" si="16"/>
        <v>85000</v>
      </c>
      <c r="H503" s="2789"/>
    </row>
    <row r="504" spans="1:8" x14ac:dyDescent="0.3">
      <c r="A504" s="2449">
        <v>13654</v>
      </c>
      <c r="B504" s="2596">
        <v>0.1</v>
      </c>
      <c r="C504" s="2993" t="s">
        <v>3292</v>
      </c>
      <c r="D504" s="1632"/>
      <c r="E504" s="3334">
        <v>1400000</v>
      </c>
      <c r="F504" s="768">
        <v>0.05</v>
      </c>
      <c r="G504" s="2800">
        <f t="shared" si="16"/>
        <v>70000</v>
      </c>
      <c r="H504" s="2789"/>
    </row>
    <row r="505" spans="1:8" x14ac:dyDescent="0.3">
      <c r="A505" s="2452">
        <v>13445</v>
      </c>
      <c r="B505" s="333">
        <v>0.1</v>
      </c>
      <c r="C505" s="1088" t="s">
        <v>3306</v>
      </c>
      <c r="D505" s="1771"/>
      <c r="E505" s="3352">
        <v>1100000</v>
      </c>
      <c r="F505" s="768">
        <v>0.05</v>
      </c>
      <c r="G505" s="2800">
        <f t="shared" si="16"/>
        <v>55000</v>
      </c>
      <c r="H505" s="2789"/>
    </row>
    <row r="506" spans="1:8" x14ac:dyDescent="0.3">
      <c r="A506" s="2449">
        <v>13555</v>
      </c>
      <c r="B506" s="2824">
        <v>0.1</v>
      </c>
      <c r="C506" s="1095" t="s">
        <v>3308</v>
      </c>
      <c r="D506" s="1628"/>
      <c r="E506" s="3335">
        <v>1200000</v>
      </c>
      <c r="F506" s="320">
        <v>0.05</v>
      </c>
      <c r="G506" s="2800">
        <f t="shared" si="16"/>
        <v>60000</v>
      </c>
      <c r="H506" s="2789"/>
    </row>
    <row r="507" spans="1:8" x14ac:dyDescent="0.3">
      <c r="A507" s="1010">
        <v>13631</v>
      </c>
      <c r="B507" s="2737">
        <v>0.1</v>
      </c>
      <c r="C507" s="1088" t="s">
        <v>3310</v>
      </c>
      <c r="D507" s="1771"/>
      <c r="E507" s="3352">
        <v>900000</v>
      </c>
      <c r="F507" s="376">
        <v>0.05</v>
      </c>
      <c r="G507" s="2800">
        <f t="shared" si="16"/>
        <v>45000</v>
      </c>
      <c r="H507" s="2789"/>
    </row>
    <row r="508" spans="1:8" x14ac:dyDescent="0.3">
      <c r="A508" s="2450">
        <v>13649</v>
      </c>
      <c r="B508" s="2596">
        <v>0.1</v>
      </c>
      <c r="C508" s="2993" t="s">
        <v>3315</v>
      </c>
      <c r="D508" s="1628"/>
      <c r="E508" s="3335">
        <v>1000000</v>
      </c>
      <c r="F508" s="376">
        <v>0.05</v>
      </c>
      <c r="G508" s="2800">
        <f t="shared" si="16"/>
        <v>50000</v>
      </c>
      <c r="H508" s="2789"/>
    </row>
    <row r="509" spans="1:8" x14ac:dyDescent="0.3">
      <c r="A509" s="1010">
        <v>13431</v>
      </c>
      <c r="B509" s="553">
        <v>0.08</v>
      </c>
      <c r="C509" s="1088" t="s">
        <v>3317</v>
      </c>
      <c r="D509" s="1628"/>
      <c r="E509" s="3335">
        <v>1250000</v>
      </c>
      <c r="F509" s="2456">
        <v>0.04</v>
      </c>
      <c r="G509" s="2800">
        <f t="shared" si="16"/>
        <v>50000</v>
      </c>
      <c r="H509" s="2789"/>
    </row>
    <row r="510" spans="1:8" x14ac:dyDescent="0.3">
      <c r="A510" s="2450">
        <v>13548</v>
      </c>
      <c r="B510" s="2694">
        <v>0.08</v>
      </c>
      <c r="C510" s="1095" t="s">
        <v>3320</v>
      </c>
      <c r="D510" s="1628"/>
      <c r="E510" s="3335">
        <v>1400000</v>
      </c>
      <c r="F510" s="2456">
        <v>0.04</v>
      </c>
      <c r="G510" s="2800">
        <f t="shared" si="16"/>
        <v>56000</v>
      </c>
      <c r="H510" s="2789"/>
    </row>
    <row r="511" spans="1:8" x14ac:dyDescent="0.3">
      <c r="A511" s="1010">
        <v>13556</v>
      </c>
      <c r="B511" s="333">
        <v>0.1</v>
      </c>
      <c r="C511" s="1088" t="s">
        <v>3321</v>
      </c>
      <c r="D511" s="1628"/>
      <c r="E511" s="3335">
        <v>1200000</v>
      </c>
      <c r="F511" s="1216">
        <v>0.05</v>
      </c>
      <c r="G511" s="2800">
        <f t="shared" si="16"/>
        <v>60000</v>
      </c>
      <c r="H511" s="2789"/>
    </row>
    <row r="512" spans="1:8" x14ac:dyDescent="0.3">
      <c r="A512" s="1010">
        <v>13581</v>
      </c>
      <c r="B512" s="333">
        <v>0.1</v>
      </c>
      <c r="C512" s="1088" t="s">
        <v>3281</v>
      </c>
      <c r="D512" s="1628"/>
      <c r="E512" s="3335">
        <v>1600000</v>
      </c>
      <c r="F512" s="1216">
        <v>0.05</v>
      </c>
      <c r="G512" s="2800">
        <f t="shared" si="16"/>
        <v>80000</v>
      </c>
      <c r="H512" s="2789"/>
    </row>
    <row r="513" spans="1:8" x14ac:dyDescent="0.3">
      <c r="A513" s="1010">
        <v>13474</v>
      </c>
      <c r="B513" s="553">
        <v>0.08</v>
      </c>
      <c r="C513" s="1088" t="s">
        <v>3283</v>
      </c>
      <c r="D513" s="2676"/>
      <c r="E513" s="3322">
        <v>1350000</v>
      </c>
      <c r="F513" s="2456">
        <v>0.04</v>
      </c>
      <c r="G513" s="2800">
        <f t="shared" si="16"/>
        <v>54000</v>
      </c>
      <c r="H513" s="2789"/>
    </row>
    <row r="514" spans="1:8" x14ac:dyDescent="0.3">
      <c r="A514" s="1010">
        <v>13464</v>
      </c>
      <c r="B514" s="333">
        <v>0.1</v>
      </c>
      <c r="C514" s="1088" t="s">
        <v>3332</v>
      </c>
      <c r="D514" s="2676"/>
      <c r="E514" s="3322">
        <v>700000</v>
      </c>
      <c r="F514" s="320">
        <v>0.05</v>
      </c>
      <c r="G514" s="2800">
        <f t="shared" si="16"/>
        <v>35000</v>
      </c>
      <c r="H514" s="2789"/>
    </row>
    <row r="515" spans="1:8" x14ac:dyDescent="0.3">
      <c r="A515" s="1010">
        <v>13536</v>
      </c>
      <c r="B515" s="333">
        <v>0.1</v>
      </c>
      <c r="C515" s="1088" t="s">
        <v>3334</v>
      </c>
      <c r="D515" s="2676"/>
      <c r="E515" s="3322">
        <v>1200000</v>
      </c>
      <c r="F515" s="1216">
        <v>0.05</v>
      </c>
      <c r="G515" s="2800">
        <f t="shared" si="16"/>
        <v>60000</v>
      </c>
      <c r="H515" s="2789"/>
    </row>
    <row r="516" spans="1:8" x14ac:dyDescent="0.3">
      <c r="A516" s="2607">
        <v>13435</v>
      </c>
      <c r="B516" s="2596">
        <v>0.1</v>
      </c>
      <c r="C516" s="1411" t="s">
        <v>3343</v>
      </c>
      <c r="D516" s="2676"/>
      <c r="E516" s="3322">
        <v>1100000</v>
      </c>
      <c r="F516" s="1216">
        <v>0.05</v>
      </c>
      <c r="G516" s="2800">
        <f t="shared" si="16"/>
        <v>55000</v>
      </c>
      <c r="H516" s="2789"/>
    </row>
    <row r="517" spans="1:8" x14ac:dyDescent="0.3">
      <c r="A517" s="2825" t="s">
        <v>3020</v>
      </c>
      <c r="B517" s="2723"/>
      <c r="C517" s="1570" t="s">
        <v>3338</v>
      </c>
      <c r="D517" s="1124"/>
      <c r="E517" s="3335"/>
      <c r="F517" s="1216"/>
      <c r="G517" s="2677"/>
      <c r="H517" s="2789"/>
    </row>
    <row r="518" spans="1:8" x14ac:dyDescent="0.3">
      <c r="A518" s="2617" t="s">
        <v>3302</v>
      </c>
      <c r="B518" s="2723"/>
      <c r="C518" s="1087" t="s">
        <v>3340</v>
      </c>
      <c r="D518" s="1124"/>
      <c r="E518" s="3335"/>
      <c r="F518" s="1216"/>
      <c r="G518" s="2677"/>
      <c r="H518" s="2789"/>
    </row>
    <row r="519" spans="1:8" x14ac:dyDescent="0.3">
      <c r="A519" s="2617" t="s">
        <v>3302</v>
      </c>
      <c r="B519" s="2723"/>
      <c r="C519" s="1087" t="s">
        <v>3325</v>
      </c>
      <c r="D519" s="1124"/>
      <c r="E519" s="3335"/>
      <c r="F519" s="1216"/>
      <c r="G519" s="2677"/>
      <c r="H519" s="2789"/>
    </row>
    <row r="520" spans="1:8" x14ac:dyDescent="0.3">
      <c r="A520" s="2617" t="s">
        <v>3302</v>
      </c>
      <c r="B520" s="2816">
        <v>0.08</v>
      </c>
      <c r="C520" s="1087" t="s">
        <v>3303</v>
      </c>
      <c r="D520" s="2597"/>
      <c r="E520" s="3322"/>
      <c r="F520" s="1899"/>
      <c r="G520" s="2677"/>
      <c r="H520" s="2789"/>
    </row>
    <row r="521" spans="1:8" x14ac:dyDescent="0.3">
      <c r="A521" s="2486" t="s">
        <v>3192</v>
      </c>
      <c r="B521" s="2513" t="s">
        <v>3293</v>
      </c>
      <c r="C521" s="1094" t="s">
        <v>3294</v>
      </c>
      <c r="D521" s="1058"/>
      <c r="E521" s="3339"/>
      <c r="F521" s="2672"/>
      <c r="G521" s="2677"/>
      <c r="H521" s="2789"/>
    </row>
    <row r="522" spans="1:8" x14ac:dyDescent="0.3">
      <c r="A522" s="3214"/>
      <c r="B522" s="2578"/>
      <c r="C522" s="1214"/>
      <c r="D522" s="1582" t="s">
        <v>3758</v>
      </c>
      <c r="E522" s="3340">
        <f>SUM(E500:E521)</f>
        <v>21000000</v>
      </c>
      <c r="F522" s="51"/>
      <c r="G522" s="2701">
        <f>SUM(G500:G521)</f>
        <v>1010000</v>
      </c>
      <c r="H522" s="2222"/>
    </row>
    <row r="523" spans="1:8" x14ac:dyDescent="0.3">
      <c r="H523" s="1"/>
    </row>
    <row r="524" spans="1:8" x14ac:dyDescent="0.3">
      <c r="A524" s="3661" t="s">
        <v>3840</v>
      </c>
      <c r="B524" s="3667"/>
      <c r="C524" s="3667"/>
      <c r="D524" s="3667"/>
      <c r="E524" s="3667"/>
      <c r="F524" s="3667"/>
      <c r="G524" s="3667"/>
      <c r="H524" s="1"/>
    </row>
    <row r="525" spans="1:8" x14ac:dyDescent="0.3">
      <c r="A525" s="3668"/>
      <c r="B525" s="3668"/>
      <c r="C525" s="3668"/>
      <c r="D525" s="3668"/>
      <c r="E525" s="3668"/>
      <c r="F525" s="3668"/>
      <c r="G525" s="3667"/>
      <c r="H525" s="1"/>
    </row>
    <row r="526" spans="1:8" x14ac:dyDescent="0.3">
      <c r="A526" s="2819" t="s">
        <v>3751</v>
      </c>
      <c r="B526" s="2577" t="s">
        <v>2976</v>
      </c>
      <c r="C526" s="3018" t="s">
        <v>3752</v>
      </c>
      <c r="D526" s="1124" t="s">
        <v>3753</v>
      </c>
      <c r="E526" s="3322" t="s">
        <v>3754</v>
      </c>
      <c r="F526" s="2281" t="s">
        <v>2979</v>
      </c>
      <c r="G526" s="2565" t="s">
        <v>2985</v>
      </c>
      <c r="H526" s="2225" t="s">
        <v>3755</v>
      </c>
    </row>
    <row r="527" spans="1:8" x14ac:dyDescent="0.3">
      <c r="A527" s="2449">
        <v>13634</v>
      </c>
      <c r="B527" s="2596">
        <v>0.1</v>
      </c>
      <c r="C527" s="2993" t="s">
        <v>3841</v>
      </c>
      <c r="D527" s="1628"/>
      <c r="E527" s="3335">
        <v>800000</v>
      </c>
      <c r="F527" s="2672">
        <v>0.02</v>
      </c>
      <c r="G527" s="2677">
        <f>E527*F527</f>
        <v>16000</v>
      </c>
      <c r="H527" s="2789"/>
    </row>
    <row r="528" spans="1:8" x14ac:dyDescent="0.3">
      <c r="A528" s="1010">
        <v>13629</v>
      </c>
      <c r="B528" s="2824">
        <v>0.1</v>
      </c>
      <c r="C528" s="2993" t="s">
        <v>3311</v>
      </c>
      <c r="D528" s="1628"/>
      <c r="E528" s="3335">
        <v>1200000</v>
      </c>
      <c r="F528" s="2672">
        <v>0.02</v>
      </c>
      <c r="G528" s="2677">
        <f t="shared" ref="G528:G535" si="17">E528*F528</f>
        <v>24000</v>
      </c>
      <c r="H528" s="2789"/>
    </row>
    <row r="529" spans="1:8" x14ac:dyDescent="0.3">
      <c r="A529" s="2450">
        <v>13644</v>
      </c>
      <c r="B529" s="333">
        <v>0.1</v>
      </c>
      <c r="C529" s="2993" t="s">
        <v>3313</v>
      </c>
      <c r="D529" s="1628"/>
      <c r="E529" s="3335">
        <v>1050000</v>
      </c>
      <c r="F529" s="2672">
        <v>0.02</v>
      </c>
      <c r="G529" s="2677">
        <f t="shared" si="17"/>
        <v>21000</v>
      </c>
      <c r="H529" s="2789"/>
    </row>
    <row r="530" spans="1:8" x14ac:dyDescent="0.3">
      <c r="A530" s="1010">
        <v>13448</v>
      </c>
      <c r="B530" s="333">
        <v>0.1</v>
      </c>
      <c r="C530" s="1088" t="s">
        <v>3318</v>
      </c>
      <c r="D530" s="1628"/>
      <c r="E530" s="3335">
        <v>1200000</v>
      </c>
      <c r="F530" s="2821">
        <v>0.02</v>
      </c>
      <c r="G530" s="2677">
        <f t="shared" si="17"/>
        <v>24000</v>
      </c>
      <c r="H530" s="2789"/>
    </row>
    <row r="531" spans="1:8" x14ac:dyDescent="0.3">
      <c r="A531" s="1010">
        <v>13542</v>
      </c>
      <c r="B531" s="333">
        <v>0.1</v>
      </c>
      <c r="C531" s="1088" t="s">
        <v>3279</v>
      </c>
      <c r="D531" s="1628"/>
      <c r="E531" s="3335">
        <v>1200000</v>
      </c>
      <c r="F531" s="2672">
        <v>0.02</v>
      </c>
      <c r="G531" s="2677">
        <f t="shared" si="17"/>
        <v>24000</v>
      </c>
      <c r="H531" s="2789"/>
    </row>
    <row r="532" spans="1:8" x14ac:dyDescent="0.3">
      <c r="A532" s="1010">
        <v>13451</v>
      </c>
      <c r="B532" s="333">
        <v>0.1</v>
      </c>
      <c r="C532" s="1088" t="s">
        <v>3285</v>
      </c>
      <c r="D532" s="2676"/>
      <c r="E532" s="3322">
        <v>1200000</v>
      </c>
      <c r="F532" s="2672">
        <v>0.02</v>
      </c>
      <c r="G532" s="2677">
        <f t="shared" si="17"/>
        <v>24000</v>
      </c>
      <c r="H532" s="2789"/>
    </row>
    <row r="533" spans="1:8" x14ac:dyDescent="0.3">
      <c r="A533" s="2607">
        <v>13444</v>
      </c>
      <c r="B533" s="2608">
        <v>0.1</v>
      </c>
      <c r="C533" s="1625" t="s">
        <v>3333</v>
      </c>
      <c r="D533" s="2676"/>
      <c r="E533" s="3322">
        <v>1500000</v>
      </c>
      <c r="F533" s="2672">
        <v>0.02</v>
      </c>
      <c r="G533" s="2677">
        <f t="shared" si="17"/>
        <v>30000</v>
      </c>
      <c r="H533" s="2789"/>
    </row>
    <row r="534" spans="1:8" x14ac:dyDescent="0.3">
      <c r="A534" s="2444">
        <v>13546</v>
      </c>
      <c r="B534" s="2611">
        <v>0.1</v>
      </c>
      <c r="C534" s="1387" t="s">
        <v>3344</v>
      </c>
      <c r="D534" s="2676"/>
      <c r="E534" s="3322">
        <v>850000</v>
      </c>
      <c r="F534" s="2672">
        <v>0.02</v>
      </c>
      <c r="G534" s="2677">
        <f t="shared" si="17"/>
        <v>17000</v>
      </c>
      <c r="H534" s="2789"/>
    </row>
    <row r="535" spans="1:8" x14ac:dyDescent="0.3">
      <c r="A535" s="2444">
        <v>13561</v>
      </c>
      <c r="B535" s="2596">
        <v>0.1</v>
      </c>
      <c r="C535" s="2993" t="s">
        <v>3345</v>
      </c>
      <c r="D535" s="2676"/>
      <c r="E535" s="3322">
        <v>1400000</v>
      </c>
      <c r="F535" s="2821">
        <v>0.02</v>
      </c>
      <c r="G535" s="2677">
        <f t="shared" si="17"/>
        <v>28000</v>
      </c>
      <c r="H535" s="2789"/>
    </row>
    <row r="536" spans="1:8" x14ac:dyDescent="0.3">
      <c r="A536" s="2486" t="s">
        <v>3299</v>
      </c>
      <c r="B536" s="2516"/>
      <c r="C536" s="3241" t="s">
        <v>3327</v>
      </c>
      <c r="D536" s="2736"/>
      <c r="E536" s="3339"/>
      <c r="F536" s="2672"/>
      <c r="G536" s="2677"/>
      <c r="H536" s="2789"/>
    </row>
    <row r="537" spans="1:8" x14ac:dyDescent="0.3">
      <c r="A537" s="2617" t="s">
        <v>3302</v>
      </c>
      <c r="B537" s="2723"/>
      <c r="C537" s="1087" t="s">
        <v>3323</v>
      </c>
      <c r="D537" s="2736"/>
      <c r="E537" s="3339"/>
      <c r="F537" s="2821"/>
      <c r="G537" s="2677"/>
      <c r="H537" s="2789"/>
    </row>
    <row r="538" spans="1:8" x14ac:dyDescent="0.3">
      <c r="A538" s="2486" t="s">
        <v>3299</v>
      </c>
      <c r="B538" s="2513"/>
      <c r="C538" s="3242" t="s">
        <v>3300</v>
      </c>
      <c r="D538" s="1124"/>
      <c r="E538" s="3334"/>
      <c r="F538" s="2821"/>
      <c r="G538" s="2677"/>
      <c r="H538" s="2789"/>
    </row>
    <row r="539" spans="1:8" x14ac:dyDescent="0.3">
      <c r="A539" s="3214"/>
      <c r="B539" s="2578"/>
      <c r="C539" s="1214"/>
      <c r="D539" s="1582" t="s">
        <v>3758</v>
      </c>
      <c r="E539" s="3340">
        <f>SUM(E527:E538)</f>
        <v>10400000</v>
      </c>
      <c r="F539" s="51"/>
      <c r="G539" s="2701">
        <f>SUM(G527:G538)</f>
        <v>208000</v>
      </c>
      <c r="H539" s="2222"/>
    </row>
    <row r="541" spans="1:8" x14ac:dyDescent="0.3">
      <c r="A541" s="3661" t="s">
        <v>3826</v>
      </c>
      <c r="B541" s="3661"/>
      <c r="C541" s="3661"/>
      <c r="D541" s="3661"/>
      <c r="E541" s="3661"/>
      <c r="F541" s="3661"/>
      <c r="G541" s="3661"/>
      <c r="H541" s="1"/>
    </row>
    <row r="542" spans="1:8" x14ac:dyDescent="0.3">
      <c r="A542" s="3661"/>
      <c r="B542" s="3661"/>
      <c r="C542" s="3661"/>
      <c r="D542" s="3661"/>
      <c r="E542" s="3661"/>
      <c r="F542" s="3661"/>
      <c r="G542" s="3661"/>
      <c r="H542" s="1"/>
    </row>
    <row r="543" spans="1:8" x14ac:dyDescent="0.3">
      <c r="A543" s="2819" t="s">
        <v>3751</v>
      </c>
      <c r="B543" s="2719" t="s">
        <v>2976</v>
      </c>
      <c r="C543" s="3237" t="s">
        <v>3752</v>
      </c>
      <c r="D543" s="2796" t="s">
        <v>3753</v>
      </c>
      <c r="E543" s="3328" t="s">
        <v>3754</v>
      </c>
      <c r="F543" s="1595" t="s">
        <v>2979</v>
      </c>
      <c r="G543" s="2797" t="s">
        <v>2985</v>
      </c>
      <c r="H543" s="2226" t="s">
        <v>3755</v>
      </c>
    </row>
    <row r="544" spans="1:8" x14ac:dyDescent="0.3">
      <c r="A544" s="1010">
        <v>13476</v>
      </c>
      <c r="B544" s="333">
        <v>0.1</v>
      </c>
      <c r="C544" s="1088" t="s">
        <v>3278</v>
      </c>
      <c r="D544" s="1632"/>
      <c r="E544" s="3334">
        <v>1350000</v>
      </c>
      <c r="F544" s="320">
        <v>0.05</v>
      </c>
      <c r="G544" s="1332">
        <f>E544*F544</f>
        <v>67500</v>
      </c>
      <c r="H544" s="51" t="s">
        <v>36</v>
      </c>
    </row>
    <row r="545" spans="1:8" x14ac:dyDescent="0.3">
      <c r="A545" s="1010">
        <v>13460</v>
      </c>
      <c r="B545" s="553">
        <v>0.08</v>
      </c>
      <c r="C545" s="1088" t="s">
        <v>3282</v>
      </c>
      <c r="D545" s="2676"/>
      <c r="E545" s="3322">
        <v>1350000</v>
      </c>
      <c r="F545" s="2468">
        <v>0.04</v>
      </c>
      <c r="G545" s="1332">
        <f t="shared" ref="G545:G558" si="18">E545*F545</f>
        <v>54000</v>
      </c>
      <c r="H545" s="51" t="s">
        <v>36</v>
      </c>
    </row>
    <row r="546" spans="1:8" x14ac:dyDescent="0.3">
      <c r="A546" s="1010">
        <v>13523</v>
      </c>
      <c r="B546" s="333">
        <v>0.1</v>
      </c>
      <c r="C546" s="1088" t="s">
        <v>3286</v>
      </c>
      <c r="D546" s="1632"/>
      <c r="E546" s="3334">
        <v>2200000</v>
      </c>
      <c r="F546" s="320">
        <v>0.05</v>
      </c>
      <c r="G546" s="1332">
        <f t="shared" si="18"/>
        <v>110000</v>
      </c>
      <c r="H546" s="51" t="s">
        <v>36</v>
      </c>
    </row>
    <row r="547" spans="1:8" x14ac:dyDescent="0.3">
      <c r="A547" s="2449">
        <v>13524</v>
      </c>
      <c r="B547" s="333">
        <v>0.1</v>
      </c>
      <c r="C547" s="1088" t="s">
        <v>3287</v>
      </c>
      <c r="D547" s="1632"/>
      <c r="E547" s="3334">
        <v>1550000</v>
      </c>
      <c r="F547" s="320">
        <v>0.05</v>
      </c>
      <c r="G547" s="1332">
        <f t="shared" si="18"/>
        <v>77500</v>
      </c>
      <c r="H547" s="51" t="s">
        <v>36</v>
      </c>
    </row>
    <row r="548" spans="1:8" x14ac:dyDescent="0.3">
      <c r="A548" s="2449">
        <v>13537</v>
      </c>
      <c r="B548" s="553">
        <v>0.08</v>
      </c>
      <c r="C548" s="1088" t="s">
        <v>3289</v>
      </c>
      <c r="D548" s="1632"/>
      <c r="E548" s="3334">
        <v>4500000</v>
      </c>
      <c r="F548" s="2468">
        <v>0.04</v>
      </c>
      <c r="G548" s="1332">
        <f t="shared" si="18"/>
        <v>180000</v>
      </c>
      <c r="H548" s="51" t="s">
        <v>36</v>
      </c>
    </row>
    <row r="549" spans="1:8" x14ac:dyDescent="0.3">
      <c r="A549" s="2452">
        <v>13446</v>
      </c>
      <c r="B549" s="2832">
        <v>0.08</v>
      </c>
      <c r="C549" s="3232" t="s">
        <v>3305</v>
      </c>
      <c r="D549" s="1771"/>
      <c r="E549" s="3352">
        <v>1300000</v>
      </c>
      <c r="F549" s="2468">
        <v>0.04</v>
      </c>
      <c r="G549" s="1332">
        <f t="shared" si="18"/>
        <v>52000</v>
      </c>
      <c r="H549" s="51" t="s">
        <v>36</v>
      </c>
    </row>
    <row r="550" spans="1:8" x14ac:dyDescent="0.3">
      <c r="A550" s="1010">
        <v>13473</v>
      </c>
      <c r="B550" s="2737">
        <v>0.1</v>
      </c>
      <c r="C550" s="1088" t="s">
        <v>3307</v>
      </c>
      <c r="D550" s="1771"/>
      <c r="E550" s="3352">
        <v>1100000</v>
      </c>
      <c r="F550" s="1216">
        <v>0.05</v>
      </c>
      <c r="G550" s="1332">
        <f t="shared" si="18"/>
        <v>55000</v>
      </c>
      <c r="H550" s="51" t="s">
        <v>36</v>
      </c>
    </row>
    <row r="551" spans="1:8" x14ac:dyDescent="0.3">
      <c r="A551" s="1010">
        <v>13605</v>
      </c>
      <c r="B551" s="2737">
        <v>0.1</v>
      </c>
      <c r="C551" s="1088" t="s">
        <v>3309</v>
      </c>
      <c r="D551" s="1628"/>
      <c r="E551" s="3335">
        <v>650000</v>
      </c>
      <c r="F551" s="1216">
        <v>0.05</v>
      </c>
      <c r="G551" s="1332">
        <f t="shared" si="18"/>
        <v>32500</v>
      </c>
      <c r="H551" s="51" t="s">
        <v>36</v>
      </c>
    </row>
    <row r="552" spans="1:8" x14ac:dyDescent="0.3">
      <c r="A552" s="2450">
        <v>13658</v>
      </c>
      <c r="B552" s="333">
        <v>0.1</v>
      </c>
      <c r="C552" s="2992" t="s">
        <v>3312</v>
      </c>
      <c r="D552" s="1628"/>
      <c r="E552" s="3335">
        <v>1200000</v>
      </c>
      <c r="F552" s="1216">
        <v>0.05</v>
      </c>
      <c r="G552" s="1332">
        <f t="shared" si="18"/>
        <v>60000</v>
      </c>
      <c r="H552" s="51" t="s">
        <v>36</v>
      </c>
    </row>
    <row r="553" spans="1:8" x14ac:dyDescent="0.3">
      <c r="A553" s="2444">
        <v>13640</v>
      </c>
      <c r="B553" s="2596">
        <v>0.1</v>
      </c>
      <c r="C553" s="2993" t="s">
        <v>3314</v>
      </c>
      <c r="D553" s="1628"/>
      <c r="E553" s="3335">
        <v>1100000</v>
      </c>
      <c r="F553" s="376">
        <v>0.05</v>
      </c>
      <c r="G553" s="1332">
        <f t="shared" si="18"/>
        <v>55000</v>
      </c>
      <c r="H553" s="51" t="s">
        <v>36</v>
      </c>
    </row>
    <row r="554" spans="1:8" x14ac:dyDescent="0.3">
      <c r="A554" s="1010">
        <v>13420</v>
      </c>
      <c r="B554" s="333">
        <v>0.1</v>
      </c>
      <c r="C554" s="1088" t="s">
        <v>3316</v>
      </c>
      <c r="D554" s="1628"/>
      <c r="E554" s="3335">
        <v>1200000</v>
      </c>
      <c r="F554" s="376">
        <v>0.05</v>
      </c>
      <c r="G554" s="1332">
        <f t="shared" si="18"/>
        <v>60000</v>
      </c>
      <c r="H554" s="51" t="s">
        <v>36</v>
      </c>
    </row>
    <row r="555" spans="1:8" x14ac:dyDescent="0.3">
      <c r="A555" s="1010">
        <v>13507</v>
      </c>
      <c r="B555" s="333">
        <v>0.1</v>
      </c>
      <c r="C555" s="1088" t="s">
        <v>3319</v>
      </c>
      <c r="D555" s="1628"/>
      <c r="E555" s="3335">
        <v>1200000</v>
      </c>
      <c r="F555" s="1216">
        <v>0.05</v>
      </c>
      <c r="G555" s="1332">
        <f t="shared" si="18"/>
        <v>60000</v>
      </c>
      <c r="H555" s="51" t="s">
        <v>36</v>
      </c>
    </row>
    <row r="556" spans="1:8" x14ac:dyDescent="0.3">
      <c r="A556" s="1010">
        <v>13615</v>
      </c>
      <c r="B556" s="553">
        <v>0.08</v>
      </c>
      <c r="C556" s="1088" t="s">
        <v>3322</v>
      </c>
      <c r="D556" s="1628"/>
      <c r="E556" s="3335">
        <v>1300000</v>
      </c>
      <c r="F556" s="2468">
        <v>0.04</v>
      </c>
      <c r="G556" s="1332">
        <f t="shared" si="18"/>
        <v>52000</v>
      </c>
      <c r="H556" s="51" t="s">
        <v>36</v>
      </c>
    </row>
    <row r="557" spans="1:8" x14ac:dyDescent="0.3">
      <c r="A557" s="1010">
        <v>13544</v>
      </c>
      <c r="B557" s="333">
        <v>0.1</v>
      </c>
      <c r="C557" s="1088" t="s">
        <v>3335</v>
      </c>
      <c r="D557" s="2676"/>
      <c r="E557" s="3322">
        <v>1000000</v>
      </c>
      <c r="F557" s="1216">
        <v>0.05</v>
      </c>
      <c r="G557" s="1332">
        <f t="shared" si="18"/>
        <v>50000</v>
      </c>
      <c r="H557" s="51" t="s">
        <v>36</v>
      </c>
    </row>
    <row r="558" spans="1:8" x14ac:dyDescent="0.3">
      <c r="A558" s="1010">
        <v>13625</v>
      </c>
      <c r="B558" s="333">
        <v>0.1</v>
      </c>
      <c r="C558" s="2965" t="s">
        <v>3336</v>
      </c>
      <c r="D558" s="2676"/>
      <c r="E558" s="3322">
        <v>1000000</v>
      </c>
      <c r="F558" s="1216">
        <v>0.05</v>
      </c>
      <c r="G558" s="1332">
        <f t="shared" si="18"/>
        <v>50000</v>
      </c>
      <c r="H558" s="51" t="s">
        <v>36</v>
      </c>
    </row>
    <row r="559" spans="1:8" x14ac:dyDescent="0.3">
      <c r="A559" s="2486" t="s">
        <v>3296</v>
      </c>
      <c r="B559" s="2513"/>
      <c r="C559" s="3242" t="s">
        <v>3297</v>
      </c>
      <c r="D559" s="34"/>
      <c r="E559" s="3322"/>
      <c r="F559" s="1899"/>
      <c r="G559" s="1332"/>
      <c r="H559" s="34"/>
    </row>
    <row r="560" spans="1:8" x14ac:dyDescent="0.3">
      <c r="A560" s="3214"/>
      <c r="B560" s="2578"/>
      <c r="C560" s="1214"/>
      <c r="D560" s="1582" t="s">
        <v>3758</v>
      </c>
      <c r="E560" s="3340">
        <f>SUM(E544:E559)</f>
        <v>22000000</v>
      </c>
      <c r="F560" s="51"/>
      <c r="G560" s="2701">
        <f>SUM(G544:G559)</f>
        <v>1015500</v>
      </c>
      <c r="H560" s="2222"/>
    </row>
    <row r="562" spans="1:7" x14ac:dyDescent="0.3">
      <c r="A562" s="3661" t="s">
        <v>3837</v>
      </c>
      <c r="B562" s="3661"/>
      <c r="C562" s="3661"/>
      <c r="D562" s="3661"/>
      <c r="E562" s="3661"/>
      <c r="F562" s="3661"/>
      <c r="G562" s="3661"/>
    </row>
    <row r="563" spans="1:7" x14ac:dyDescent="0.3">
      <c r="A563" s="3661"/>
      <c r="B563" s="3661"/>
      <c r="C563" s="3661"/>
      <c r="D563" s="3661"/>
      <c r="E563" s="3661"/>
      <c r="F563" s="3661"/>
      <c r="G563" s="3661"/>
    </row>
    <row r="564" spans="1:7" x14ac:dyDescent="0.3">
      <c r="A564" s="3182" t="s">
        <v>3751</v>
      </c>
      <c r="B564" s="2577" t="s">
        <v>2976</v>
      </c>
      <c r="C564" s="3018" t="s">
        <v>3752</v>
      </c>
      <c r="D564" s="1124" t="s">
        <v>3753</v>
      </c>
      <c r="E564" s="3322" t="s">
        <v>3754</v>
      </c>
      <c r="F564" s="2281" t="s">
        <v>2979</v>
      </c>
      <c r="G564" s="2565" t="s">
        <v>2985</v>
      </c>
    </row>
    <row r="565" spans="1:7" x14ac:dyDescent="0.3">
      <c r="A565" s="1010">
        <v>13461</v>
      </c>
      <c r="B565" s="333">
        <v>0.1</v>
      </c>
      <c r="C565" s="1088" t="s">
        <v>3280</v>
      </c>
      <c r="D565" s="1632"/>
      <c r="E565" s="3334">
        <v>1300000</v>
      </c>
      <c r="F565" s="320">
        <v>0.03</v>
      </c>
      <c r="G565" s="2820">
        <f>E565*F565</f>
        <v>39000</v>
      </c>
    </row>
    <row r="566" spans="1:7" x14ac:dyDescent="0.3">
      <c r="A566" s="1010">
        <v>13510</v>
      </c>
      <c r="B566" s="333">
        <v>0.1</v>
      </c>
      <c r="C566" s="1088" t="s">
        <v>3284</v>
      </c>
      <c r="D566" s="1632"/>
      <c r="E566" s="3334">
        <v>1300000</v>
      </c>
      <c r="F566" s="320">
        <v>0.03</v>
      </c>
      <c r="G566" s="2820">
        <f t="shared" ref="G566:G581" si="19">E566*F566</f>
        <v>39000</v>
      </c>
    </row>
    <row r="567" spans="1:7" x14ac:dyDescent="0.3">
      <c r="A567" s="2449">
        <v>13549</v>
      </c>
      <c r="B567" s="333">
        <v>0.1</v>
      </c>
      <c r="C567" s="1088" t="s">
        <v>3288</v>
      </c>
      <c r="D567" s="1632"/>
      <c r="E567" s="3334">
        <v>1300000</v>
      </c>
      <c r="F567" s="320">
        <v>0.03</v>
      </c>
      <c r="G567" s="2820">
        <f t="shared" si="19"/>
        <v>39000</v>
      </c>
    </row>
    <row r="568" spans="1:7" x14ac:dyDescent="0.3">
      <c r="A568" s="2449">
        <v>13645</v>
      </c>
      <c r="B568" s="333">
        <v>0.1</v>
      </c>
      <c r="C568" s="2993" t="s">
        <v>3291</v>
      </c>
      <c r="D568" s="1632"/>
      <c r="E568" s="3334">
        <v>1700000</v>
      </c>
      <c r="F568" s="320">
        <v>0.03</v>
      </c>
      <c r="G568" s="2820">
        <f>G503</f>
        <v>85000</v>
      </c>
    </row>
    <row r="569" spans="1:7" x14ac:dyDescent="0.3">
      <c r="A569" s="2449">
        <v>13654</v>
      </c>
      <c r="B569" s="2596">
        <v>0.1</v>
      </c>
      <c r="C569" s="2993" t="s">
        <v>3292</v>
      </c>
      <c r="D569" s="1632"/>
      <c r="E569" s="3334">
        <v>1400000</v>
      </c>
      <c r="F569" s="768">
        <v>0.03</v>
      </c>
      <c r="G569" s="2820">
        <f t="shared" si="19"/>
        <v>42000</v>
      </c>
    </row>
    <row r="570" spans="1:7" x14ac:dyDescent="0.3">
      <c r="A570" s="2452">
        <v>13445</v>
      </c>
      <c r="B570" s="333">
        <v>0.1</v>
      </c>
      <c r="C570" s="1088" t="s">
        <v>3306</v>
      </c>
      <c r="D570" s="1771"/>
      <c r="E570" s="3352">
        <v>1100000</v>
      </c>
      <c r="F570" s="768">
        <v>0.03</v>
      </c>
      <c r="G570" s="2820">
        <f t="shared" si="19"/>
        <v>33000</v>
      </c>
    </row>
    <row r="571" spans="1:7" x14ac:dyDescent="0.3">
      <c r="A571" s="2449">
        <v>13555</v>
      </c>
      <c r="B571" s="2824">
        <v>0.1</v>
      </c>
      <c r="C571" s="1095" t="s">
        <v>3308</v>
      </c>
      <c r="D571" s="1628"/>
      <c r="E571" s="3335">
        <v>1200000</v>
      </c>
      <c r="F571" s="320">
        <v>0.03</v>
      </c>
      <c r="G571" s="2820">
        <f t="shared" si="19"/>
        <v>36000</v>
      </c>
    </row>
    <row r="572" spans="1:7" x14ac:dyDescent="0.3">
      <c r="A572" s="1010">
        <v>13631</v>
      </c>
      <c r="B572" s="2737">
        <v>0.1</v>
      </c>
      <c r="C572" s="1088" t="s">
        <v>3310</v>
      </c>
      <c r="D572" s="1771"/>
      <c r="E572" s="3352">
        <v>900000</v>
      </c>
      <c r="F572" s="376">
        <v>0.03</v>
      </c>
      <c r="G572" s="2820">
        <f t="shared" si="19"/>
        <v>27000</v>
      </c>
    </row>
    <row r="573" spans="1:7" x14ac:dyDescent="0.3">
      <c r="A573" s="2450">
        <v>13649</v>
      </c>
      <c r="B573" s="2596">
        <v>0.1</v>
      </c>
      <c r="C573" s="2993" t="s">
        <v>3315</v>
      </c>
      <c r="D573" s="1628"/>
      <c r="E573" s="3335">
        <v>1000000</v>
      </c>
      <c r="F573" s="376">
        <v>0.03</v>
      </c>
      <c r="G573" s="2820">
        <f t="shared" si="19"/>
        <v>30000</v>
      </c>
    </row>
    <row r="574" spans="1:7" x14ac:dyDescent="0.3">
      <c r="A574" s="1010">
        <v>13431</v>
      </c>
      <c r="B574" s="553">
        <v>0.08</v>
      </c>
      <c r="C574" s="1088" t="s">
        <v>3317</v>
      </c>
      <c r="D574" s="1628"/>
      <c r="E574" s="3335">
        <v>1250000</v>
      </c>
      <c r="F574" s="2456">
        <v>0.02</v>
      </c>
      <c r="G574" s="2820">
        <f t="shared" si="19"/>
        <v>25000</v>
      </c>
    </row>
    <row r="575" spans="1:7" x14ac:dyDescent="0.3">
      <c r="A575" s="2450">
        <v>13548</v>
      </c>
      <c r="B575" s="2694">
        <v>0.08</v>
      </c>
      <c r="C575" s="1095" t="s">
        <v>3320</v>
      </c>
      <c r="D575" s="1628"/>
      <c r="E575" s="3335">
        <v>1400000</v>
      </c>
      <c r="F575" s="2456">
        <v>0.02</v>
      </c>
      <c r="G575" s="2820">
        <f t="shared" si="19"/>
        <v>28000</v>
      </c>
    </row>
    <row r="576" spans="1:7" x14ac:dyDescent="0.3">
      <c r="A576" s="1010">
        <v>13556</v>
      </c>
      <c r="B576" s="333">
        <v>0.1</v>
      </c>
      <c r="C576" s="1088" t="s">
        <v>3321</v>
      </c>
      <c r="D576" s="1628"/>
      <c r="E576" s="3335">
        <v>1200000</v>
      </c>
      <c r="F576" s="1216">
        <v>0.03</v>
      </c>
      <c r="G576" s="2820">
        <f t="shared" si="19"/>
        <v>36000</v>
      </c>
    </row>
    <row r="577" spans="1:7" x14ac:dyDescent="0.3">
      <c r="A577" s="1010">
        <v>13581</v>
      </c>
      <c r="B577" s="333">
        <v>0.1</v>
      </c>
      <c r="C577" s="1088" t="s">
        <v>3281</v>
      </c>
      <c r="D577" s="1628"/>
      <c r="E577" s="3335">
        <v>1600000</v>
      </c>
      <c r="F577" s="1216">
        <v>0.03</v>
      </c>
      <c r="G577" s="2820">
        <f>G512</f>
        <v>80000</v>
      </c>
    </row>
    <row r="578" spans="1:7" x14ac:dyDescent="0.3">
      <c r="A578" s="1010">
        <v>13474</v>
      </c>
      <c r="B578" s="553">
        <v>0.08</v>
      </c>
      <c r="C578" s="1088" t="s">
        <v>3283</v>
      </c>
      <c r="D578" s="2676"/>
      <c r="E578" s="3322">
        <v>1350000</v>
      </c>
      <c r="F578" s="2456">
        <v>0.02</v>
      </c>
      <c r="G578" s="2820">
        <f t="shared" si="19"/>
        <v>27000</v>
      </c>
    </row>
    <row r="579" spans="1:7" x14ac:dyDescent="0.3">
      <c r="A579" s="1010">
        <v>13464</v>
      </c>
      <c r="B579" s="333">
        <v>0.1</v>
      </c>
      <c r="C579" s="1088" t="s">
        <v>3332</v>
      </c>
      <c r="D579" s="2676"/>
      <c r="E579" s="3322">
        <v>700000</v>
      </c>
      <c r="F579" s="320">
        <v>0.03</v>
      </c>
      <c r="G579" s="2820">
        <f t="shared" si="19"/>
        <v>21000</v>
      </c>
    </row>
    <row r="580" spans="1:7" x14ac:dyDescent="0.3">
      <c r="A580" s="1010">
        <v>13536</v>
      </c>
      <c r="B580" s="333">
        <v>0.1</v>
      </c>
      <c r="C580" s="1088" t="s">
        <v>3334</v>
      </c>
      <c r="D580" s="2676"/>
      <c r="E580" s="3322">
        <v>1200000</v>
      </c>
      <c r="F580" s="1216">
        <v>0.03</v>
      </c>
      <c r="G580" s="2820">
        <f t="shared" si="19"/>
        <v>36000</v>
      </c>
    </row>
    <row r="581" spans="1:7" x14ac:dyDescent="0.3">
      <c r="A581" s="2607">
        <v>13435</v>
      </c>
      <c r="B581" s="2596">
        <v>0.1</v>
      </c>
      <c r="C581" s="1411" t="s">
        <v>3343</v>
      </c>
      <c r="D581" s="2676"/>
      <c r="E581" s="3322">
        <v>1100000</v>
      </c>
      <c r="F581" s="1216">
        <v>0.03</v>
      </c>
      <c r="G581" s="2820">
        <f t="shared" si="19"/>
        <v>33000</v>
      </c>
    </row>
    <row r="582" spans="1:7" x14ac:dyDescent="0.3">
      <c r="A582" s="2449">
        <v>13634</v>
      </c>
      <c r="B582" s="2596">
        <v>0.1</v>
      </c>
      <c r="C582" s="2993" t="s">
        <v>3290</v>
      </c>
      <c r="D582" s="1628"/>
      <c r="E582" s="3335">
        <v>800000</v>
      </c>
      <c r="F582" s="2672">
        <v>0.03</v>
      </c>
      <c r="G582" s="2842">
        <f>E582*F582</f>
        <v>24000</v>
      </c>
    </row>
    <row r="583" spans="1:7" x14ac:dyDescent="0.3">
      <c r="A583" s="1010">
        <v>13629</v>
      </c>
      <c r="B583" s="2824">
        <v>0.1</v>
      </c>
      <c r="C583" s="2993" t="s">
        <v>3311</v>
      </c>
      <c r="D583" s="1628"/>
      <c r="E583" s="3335">
        <v>1200000</v>
      </c>
      <c r="F583" s="2672">
        <v>0.03</v>
      </c>
      <c r="G583" s="2842">
        <f t="shared" ref="G583:G590" si="20">E583*F583</f>
        <v>36000</v>
      </c>
    </row>
    <row r="584" spans="1:7" x14ac:dyDescent="0.3">
      <c r="A584" s="2450">
        <v>13644</v>
      </c>
      <c r="B584" s="333">
        <v>0.1</v>
      </c>
      <c r="C584" s="2993" t="s">
        <v>3313</v>
      </c>
      <c r="D584" s="1628"/>
      <c r="E584" s="3335">
        <v>1050000</v>
      </c>
      <c r="F584" s="2672">
        <v>0.03</v>
      </c>
      <c r="G584" s="2842">
        <f t="shared" si="20"/>
        <v>31500</v>
      </c>
    </row>
    <row r="585" spans="1:7" x14ac:dyDescent="0.3">
      <c r="A585" s="1010">
        <v>13448</v>
      </c>
      <c r="B585" s="333">
        <v>0.1</v>
      </c>
      <c r="C585" s="1088" t="s">
        <v>3318</v>
      </c>
      <c r="D585" s="1628"/>
      <c r="E585" s="3335">
        <v>1200000</v>
      </c>
      <c r="F585" s="2821">
        <v>0.03</v>
      </c>
      <c r="G585" s="2842">
        <f t="shared" si="20"/>
        <v>36000</v>
      </c>
    </row>
    <row r="586" spans="1:7" x14ac:dyDescent="0.3">
      <c r="A586" s="1010">
        <v>13542</v>
      </c>
      <c r="B586" s="333">
        <v>0.1</v>
      </c>
      <c r="C586" s="1088" t="s">
        <v>3279</v>
      </c>
      <c r="D586" s="1628"/>
      <c r="E586" s="3335">
        <v>1200000</v>
      </c>
      <c r="F586" s="2672">
        <v>0.03</v>
      </c>
      <c r="G586" s="2842">
        <f t="shared" si="20"/>
        <v>36000</v>
      </c>
    </row>
    <row r="587" spans="1:7" x14ac:dyDescent="0.3">
      <c r="A587" s="1010">
        <v>13451</v>
      </c>
      <c r="B587" s="333">
        <v>0.1</v>
      </c>
      <c r="C587" s="1088" t="s">
        <v>3285</v>
      </c>
      <c r="D587" s="2676"/>
      <c r="E587" s="3322">
        <v>1200000</v>
      </c>
      <c r="F587" s="2672">
        <v>0.03</v>
      </c>
      <c r="G587" s="2842">
        <f t="shared" si="20"/>
        <v>36000</v>
      </c>
    </row>
    <row r="588" spans="1:7" x14ac:dyDescent="0.3">
      <c r="A588" s="2607">
        <v>13444</v>
      </c>
      <c r="B588" s="2608">
        <v>0.1</v>
      </c>
      <c r="C588" s="1625" t="s">
        <v>3333</v>
      </c>
      <c r="D588" s="2676"/>
      <c r="E588" s="3322">
        <v>1500000</v>
      </c>
      <c r="F588" s="2672">
        <v>0.03</v>
      </c>
      <c r="G588" s="2842">
        <f t="shared" si="20"/>
        <v>45000</v>
      </c>
    </row>
    <row r="589" spans="1:7" x14ac:dyDescent="0.3">
      <c r="A589" s="2444">
        <v>13546</v>
      </c>
      <c r="B589" s="2611">
        <v>0.1</v>
      </c>
      <c r="C589" s="1387" t="s">
        <v>3344</v>
      </c>
      <c r="D589" s="2676"/>
      <c r="E589" s="3322">
        <v>850000</v>
      </c>
      <c r="F589" s="2672">
        <v>0.03</v>
      </c>
      <c r="G589" s="2842">
        <f t="shared" si="20"/>
        <v>25500</v>
      </c>
    </row>
    <row r="590" spans="1:7" x14ac:dyDescent="0.3">
      <c r="A590" s="2444">
        <v>13561</v>
      </c>
      <c r="B590" s="2596">
        <v>0.1</v>
      </c>
      <c r="C590" s="2993" t="s">
        <v>3345</v>
      </c>
      <c r="D590" s="2676"/>
      <c r="E590" s="3322">
        <v>1400000</v>
      </c>
      <c r="F590" s="2821">
        <v>0.03</v>
      </c>
      <c r="G590" s="2842">
        <f t="shared" si="20"/>
        <v>42000</v>
      </c>
    </row>
    <row r="591" spans="1:7" x14ac:dyDescent="0.3">
      <c r="A591" s="1010">
        <v>13476</v>
      </c>
      <c r="B591" s="333">
        <v>0.1</v>
      </c>
      <c r="C591" s="1088" t="s">
        <v>3278</v>
      </c>
      <c r="D591" s="1632"/>
      <c r="E591" s="3334">
        <v>1350000</v>
      </c>
      <c r="F591" s="320">
        <v>0.03</v>
      </c>
      <c r="G591" s="1332">
        <f>E591*F591</f>
        <v>40500</v>
      </c>
    </row>
    <row r="592" spans="1:7" x14ac:dyDescent="0.3">
      <c r="A592" s="1010">
        <v>13460</v>
      </c>
      <c r="B592" s="553">
        <v>0.08</v>
      </c>
      <c r="C592" s="1088" t="s">
        <v>3282</v>
      </c>
      <c r="D592" s="2676"/>
      <c r="E592" s="3322">
        <v>1350000</v>
      </c>
      <c r="F592" s="2468">
        <v>0.02</v>
      </c>
      <c r="G592" s="1332">
        <f t="shared" ref="G592:G605" si="21">E592*F592</f>
        <v>27000</v>
      </c>
    </row>
    <row r="593" spans="1:7" x14ac:dyDescent="0.3">
      <c r="A593" s="1010">
        <v>13523</v>
      </c>
      <c r="B593" s="333">
        <v>0.1</v>
      </c>
      <c r="C593" s="1088" t="s">
        <v>3286</v>
      </c>
      <c r="D593" s="1632"/>
      <c r="E593" s="3334">
        <v>2200000</v>
      </c>
      <c r="F593" s="320">
        <v>0.03</v>
      </c>
      <c r="G593" s="1332">
        <f t="shared" si="21"/>
        <v>66000</v>
      </c>
    </row>
    <row r="594" spans="1:7" x14ac:dyDescent="0.3">
      <c r="A594" s="2449">
        <v>13524</v>
      </c>
      <c r="B594" s="333">
        <v>0.1</v>
      </c>
      <c r="C594" s="1088" t="s">
        <v>3287</v>
      </c>
      <c r="D594" s="1632"/>
      <c r="E594" s="3334">
        <v>1550000</v>
      </c>
      <c r="F594" s="320">
        <v>0.03</v>
      </c>
      <c r="G594" s="1332">
        <f>G547</f>
        <v>77500</v>
      </c>
    </row>
    <row r="595" spans="1:7" x14ac:dyDescent="0.3">
      <c r="A595" s="2449">
        <v>13537</v>
      </c>
      <c r="B595" s="553">
        <v>0.08</v>
      </c>
      <c r="C595" s="1088" t="s">
        <v>3289</v>
      </c>
      <c r="D595" s="1632"/>
      <c r="E595" s="3334">
        <v>4500000</v>
      </c>
      <c r="F595" s="2468">
        <v>0.02</v>
      </c>
      <c r="G595" s="1332">
        <f t="shared" si="21"/>
        <v>90000</v>
      </c>
    </row>
    <row r="596" spans="1:7" x14ac:dyDescent="0.3">
      <c r="A596" s="2452">
        <v>13446</v>
      </c>
      <c r="B596" s="2832">
        <v>0.08</v>
      </c>
      <c r="C596" s="3232" t="s">
        <v>3305</v>
      </c>
      <c r="D596" s="1771"/>
      <c r="E596" s="3352">
        <v>1300000</v>
      </c>
      <c r="F596" s="2468">
        <v>0.02</v>
      </c>
      <c r="G596" s="1332">
        <f t="shared" si="21"/>
        <v>26000</v>
      </c>
    </row>
    <row r="597" spans="1:7" x14ac:dyDescent="0.3">
      <c r="A597" s="1010">
        <v>13473</v>
      </c>
      <c r="B597" s="2737">
        <v>0.1</v>
      </c>
      <c r="C597" s="1088" t="s">
        <v>3307</v>
      </c>
      <c r="D597" s="1771"/>
      <c r="E597" s="3352">
        <v>1100000</v>
      </c>
      <c r="F597" s="1216">
        <v>0.03</v>
      </c>
      <c r="G597" s="1332">
        <f t="shared" si="21"/>
        <v>33000</v>
      </c>
    </row>
    <row r="598" spans="1:7" x14ac:dyDescent="0.3">
      <c r="A598" s="1010">
        <v>13605</v>
      </c>
      <c r="B598" s="2737">
        <v>0.1</v>
      </c>
      <c r="C598" s="1088" t="s">
        <v>3309</v>
      </c>
      <c r="D598" s="1628"/>
      <c r="E598" s="3335">
        <v>650000</v>
      </c>
      <c r="F598" s="1216">
        <v>0.03</v>
      </c>
      <c r="G598" s="1332">
        <f t="shared" si="21"/>
        <v>19500</v>
      </c>
    </row>
    <row r="599" spans="1:7" x14ac:dyDescent="0.3">
      <c r="A599" s="2450">
        <v>13658</v>
      </c>
      <c r="B599" s="333">
        <v>0.1</v>
      </c>
      <c r="C599" s="2992" t="s">
        <v>3312</v>
      </c>
      <c r="D599" s="1628"/>
      <c r="E599" s="3335">
        <v>1200000</v>
      </c>
      <c r="F599" s="1216">
        <v>0.03</v>
      </c>
      <c r="G599" s="1332">
        <f t="shared" si="21"/>
        <v>36000</v>
      </c>
    </row>
    <row r="600" spans="1:7" x14ac:dyDescent="0.3">
      <c r="A600" s="2444">
        <v>13640</v>
      </c>
      <c r="B600" s="2596">
        <v>0.1</v>
      </c>
      <c r="C600" s="2993" t="s">
        <v>3314</v>
      </c>
      <c r="D600" s="1628"/>
      <c r="E600" s="3335">
        <v>1100000</v>
      </c>
      <c r="F600" s="376">
        <v>0.03</v>
      </c>
      <c r="G600" s="1332">
        <f t="shared" si="21"/>
        <v>33000</v>
      </c>
    </row>
    <row r="601" spans="1:7" x14ac:dyDescent="0.3">
      <c r="A601" s="1010">
        <v>13420</v>
      </c>
      <c r="B601" s="333">
        <v>0.1</v>
      </c>
      <c r="C601" s="1088" t="s">
        <v>3316</v>
      </c>
      <c r="D601" s="1628"/>
      <c r="E601" s="3335">
        <v>1200000</v>
      </c>
      <c r="F601" s="376">
        <v>0.03</v>
      </c>
      <c r="G601" s="1332">
        <f t="shared" si="21"/>
        <v>36000</v>
      </c>
    </row>
    <row r="602" spans="1:7" x14ac:dyDescent="0.3">
      <c r="A602" s="1010">
        <v>13507</v>
      </c>
      <c r="B602" s="333">
        <v>0.1</v>
      </c>
      <c r="C602" s="1088" t="s">
        <v>3319</v>
      </c>
      <c r="D602" s="1628"/>
      <c r="E602" s="3335">
        <v>1200000</v>
      </c>
      <c r="F602" s="1216">
        <v>0.03</v>
      </c>
      <c r="G602" s="1332">
        <f t="shared" si="21"/>
        <v>36000</v>
      </c>
    </row>
    <row r="603" spans="1:7" x14ac:dyDescent="0.3">
      <c r="A603" s="1010">
        <v>13615</v>
      </c>
      <c r="B603" s="553">
        <v>0.08</v>
      </c>
      <c r="C603" s="1088" t="s">
        <v>3322</v>
      </c>
      <c r="D603" s="1628"/>
      <c r="E603" s="3335">
        <v>1300000</v>
      </c>
      <c r="F603" s="2468">
        <v>0.02</v>
      </c>
      <c r="G603" s="1332">
        <f>G556</f>
        <v>52000</v>
      </c>
    </row>
    <row r="604" spans="1:7" x14ac:dyDescent="0.3">
      <c r="A604" s="1010">
        <v>13544</v>
      </c>
      <c r="B604" s="333">
        <v>0.1</v>
      </c>
      <c r="C604" s="1088" t="s">
        <v>3335</v>
      </c>
      <c r="D604" s="2676"/>
      <c r="E604" s="3322">
        <v>1000000</v>
      </c>
      <c r="F604" s="1216">
        <v>0.03</v>
      </c>
      <c r="G604" s="1332">
        <f t="shared" si="21"/>
        <v>30000</v>
      </c>
    </row>
    <row r="605" spans="1:7" x14ac:dyDescent="0.3">
      <c r="A605" s="1010">
        <v>13625</v>
      </c>
      <c r="B605" s="333">
        <v>0.1</v>
      </c>
      <c r="C605" s="2965" t="s">
        <v>3336</v>
      </c>
      <c r="D605" s="2676"/>
      <c r="E605" s="3322">
        <v>1000000</v>
      </c>
      <c r="F605" s="1216">
        <v>0.03</v>
      </c>
      <c r="G605" s="1332">
        <f t="shared" si="21"/>
        <v>30000</v>
      </c>
    </row>
    <row r="606" spans="1:7" x14ac:dyDescent="0.3">
      <c r="A606" s="3214"/>
      <c r="B606" s="2578"/>
      <c r="C606" s="1214"/>
      <c r="D606" s="1582" t="s">
        <v>3758</v>
      </c>
      <c r="E606" s="3340">
        <f>SUM(E565:E605)</f>
        <v>53400000</v>
      </c>
      <c r="F606" s="51"/>
      <c r="G606" s="2701">
        <f>SUM(G565:G605)</f>
        <v>1600500</v>
      </c>
    </row>
    <row r="609" spans="1:8" ht="46.2" x14ac:dyDescent="0.85">
      <c r="A609" s="3662" t="s">
        <v>2405</v>
      </c>
      <c r="B609" s="3662"/>
      <c r="C609" s="3662"/>
      <c r="D609" s="3662"/>
      <c r="E609" s="3662"/>
      <c r="F609" s="3662"/>
      <c r="G609" s="3662"/>
    </row>
    <row r="611" spans="1:8" x14ac:dyDescent="0.3">
      <c r="A611" s="3661" t="s">
        <v>3839</v>
      </c>
      <c r="B611" s="3661"/>
      <c r="C611" s="3661"/>
      <c r="D611" s="3661"/>
      <c r="E611" s="3661"/>
      <c r="F611" s="3661"/>
      <c r="G611" s="3661"/>
      <c r="H611" s="1"/>
    </row>
    <row r="612" spans="1:8" x14ac:dyDescent="0.3">
      <c r="A612" s="3661"/>
      <c r="B612" s="3661"/>
      <c r="C612" s="3661"/>
      <c r="D612" s="3661"/>
      <c r="E612" s="3661"/>
      <c r="F612" s="3661"/>
      <c r="G612" s="3661"/>
      <c r="H612" s="1"/>
    </row>
    <row r="613" spans="1:8" x14ac:dyDescent="0.3">
      <c r="A613" s="3182" t="s">
        <v>3751</v>
      </c>
      <c r="B613" s="2577" t="s">
        <v>2976</v>
      </c>
      <c r="C613" s="3018" t="s">
        <v>3752</v>
      </c>
      <c r="D613" s="1124" t="s">
        <v>3753</v>
      </c>
      <c r="E613" s="3322" t="s">
        <v>3754</v>
      </c>
      <c r="F613" s="2281" t="s">
        <v>2979</v>
      </c>
      <c r="G613" s="2565" t="s">
        <v>2985</v>
      </c>
      <c r="H613" s="2225" t="s">
        <v>3755</v>
      </c>
    </row>
    <row r="614" spans="1:8" x14ac:dyDescent="0.3">
      <c r="A614" s="2449">
        <v>13732</v>
      </c>
      <c r="B614" s="333">
        <v>0.1</v>
      </c>
      <c r="C614" s="1088" t="s">
        <v>3355</v>
      </c>
      <c r="D614" s="1632"/>
      <c r="E614" s="3334">
        <v>1300000</v>
      </c>
      <c r="F614" s="320">
        <v>0.05</v>
      </c>
      <c r="G614" s="2800">
        <f>E614*F614</f>
        <v>65000</v>
      </c>
      <c r="H614" s="2789"/>
    </row>
    <row r="615" spans="1:8" x14ac:dyDescent="0.3">
      <c r="A615" s="1010">
        <v>13686</v>
      </c>
      <c r="B615" s="333">
        <v>0.1</v>
      </c>
      <c r="C615" s="1088" t="s">
        <v>3356</v>
      </c>
      <c r="D615" s="1632"/>
      <c r="E615" s="3334">
        <v>1400000</v>
      </c>
      <c r="F615" s="320">
        <v>0.05</v>
      </c>
      <c r="G615" s="2800">
        <f t="shared" ref="G615:G628" si="22">E615*F615</f>
        <v>70000</v>
      </c>
      <c r="H615" s="2789"/>
    </row>
    <row r="616" spans="1:8" x14ac:dyDescent="0.3">
      <c r="A616" s="2607">
        <v>13739</v>
      </c>
      <c r="B616" s="333">
        <v>0.1</v>
      </c>
      <c r="C616" s="1567" t="s">
        <v>3357</v>
      </c>
      <c r="D616" s="1632"/>
      <c r="E616" s="3334">
        <v>1350000</v>
      </c>
      <c r="F616" s="320">
        <v>0.05</v>
      </c>
      <c r="G616" s="2800">
        <f t="shared" si="22"/>
        <v>67500</v>
      </c>
      <c r="H616" s="2789"/>
    </row>
    <row r="617" spans="1:8" x14ac:dyDescent="0.3">
      <c r="A617" s="2444">
        <v>13755</v>
      </c>
      <c r="B617" s="2694">
        <v>0.08</v>
      </c>
      <c r="C617" s="2994" t="s">
        <v>3358</v>
      </c>
      <c r="D617" s="1632"/>
      <c r="E617" s="3334">
        <v>1050000</v>
      </c>
      <c r="F617" s="2456">
        <v>0.04</v>
      </c>
      <c r="G617" s="2800">
        <f t="shared" si="22"/>
        <v>42000</v>
      </c>
      <c r="H617" s="2789"/>
    </row>
    <row r="618" spans="1:8" x14ac:dyDescent="0.3">
      <c r="A618" s="2444">
        <v>13701</v>
      </c>
      <c r="B618" s="2596">
        <v>0.1</v>
      </c>
      <c r="C618" s="2993" t="s">
        <v>3369</v>
      </c>
      <c r="D618" s="1771"/>
      <c r="E618" s="3352">
        <v>1000000</v>
      </c>
      <c r="F618" s="320">
        <v>0.05</v>
      </c>
      <c r="G618" s="2800">
        <f t="shared" si="22"/>
        <v>50000</v>
      </c>
      <c r="H618" s="2789"/>
    </row>
    <row r="619" spans="1:8" x14ac:dyDescent="0.3">
      <c r="A619" s="2444">
        <v>13836</v>
      </c>
      <c r="B619" s="333">
        <v>0.1</v>
      </c>
      <c r="C619" s="2998" t="s">
        <v>3373</v>
      </c>
      <c r="D619" s="1628"/>
      <c r="E619" s="3335">
        <v>1250000</v>
      </c>
      <c r="F619" s="768">
        <v>0.05</v>
      </c>
      <c r="G619" s="2800">
        <f t="shared" si="22"/>
        <v>62500</v>
      </c>
      <c r="H619" s="2789"/>
    </row>
    <row r="620" spans="1:8" x14ac:dyDescent="0.3">
      <c r="A620" s="2444" t="s">
        <v>3226</v>
      </c>
      <c r="B620" s="2596">
        <v>0.1</v>
      </c>
      <c r="C620" s="2998" t="s">
        <v>3378</v>
      </c>
      <c r="D620" s="1628"/>
      <c r="E620" s="3335">
        <v>1300000</v>
      </c>
      <c r="F620" s="376">
        <v>0.05</v>
      </c>
      <c r="G620" s="2800">
        <f t="shared" si="22"/>
        <v>65000</v>
      </c>
      <c r="H620" s="2789"/>
    </row>
    <row r="621" spans="1:8" x14ac:dyDescent="0.3">
      <c r="A621" s="2444">
        <v>13803</v>
      </c>
      <c r="B621" s="333">
        <v>0.1</v>
      </c>
      <c r="C621" s="1088" t="s">
        <v>3388</v>
      </c>
      <c r="D621" s="1628"/>
      <c r="E621" s="3335">
        <v>1300000</v>
      </c>
      <c r="F621" s="376">
        <v>0.05</v>
      </c>
      <c r="G621" s="2800">
        <f t="shared" si="22"/>
        <v>65000</v>
      </c>
      <c r="H621" s="2789"/>
    </row>
    <row r="622" spans="1:8" x14ac:dyDescent="0.3">
      <c r="A622" s="2444">
        <v>13791</v>
      </c>
      <c r="B622" s="333">
        <v>0.1</v>
      </c>
      <c r="C622" s="1088" t="s">
        <v>3325</v>
      </c>
      <c r="D622" s="1628"/>
      <c r="E622" s="3335">
        <v>1450000</v>
      </c>
      <c r="F622" s="376">
        <v>0.05</v>
      </c>
      <c r="G622" s="2800">
        <f t="shared" si="22"/>
        <v>72500</v>
      </c>
      <c r="H622" s="2789"/>
    </row>
    <row r="623" spans="1:8" x14ac:dyDescent="0.3">
      <c r="A623" s="2444">
        <v>13817</v>
      </c>
      <c r="B623" s="333">
        <v>0.1</v>
      </c>
      <c r="C623" s="2965" t="s">
        <v>3842</v>
      </c>
      <c r="D623" s="1628"/>
      <c r="E623" s="3335">
        <v>1550000</v>
      </c>
      <c r="F623" s="376">
        <v>0.05</v>
      </c>
      <c r="G623" s="2800">
        <f t="shared" si="22"/>
        <v>77500</v>
      </c>
      <c r="H623" s="2789"/>
    </row>
    <row r="624" spans="1:8" x14ac:dyDescent="0.3">
      <c r="A624" s="1010">
        <v>13754</v>
      </c>
      <c r="B624" s="333">
        <v>0.1</v>
      </c>
      <c r="C624" s="1088" t="s">
        <v>3399</v>
      </c>
      <c r="D624" s="2676"/>
      <c r="E624" s="3322">
        <v>1200000</v>
      </c>
      <c r="F624" s="376">
        <v>0.05</v>
      </c>
      <c r="G624" s="2800">
        <f t="shared" si="22"/>
        <v>60000</v>
      </c>
      <c r="H624" s="2789"/>
    </row>
    <row r="625" spans="1:8" x14ac:dyDescent="0.3">
      <c r="A625" s="1010">
        <v>13765</v>
      </c>
      <c r="B625" s="333">
        <v>0.1</v>
      </c>
      <c r="C625" s="1088" t="s">
        <v>3400</v>
      </c>
      <c r="D625" s="2676"/>
      <c r="E625" s="3322">
        <v>1050000</v>
      </c>
      <c r="F625" s="376">
        <v>0.05</v>
      </c>
      <c r="G625" s="2800">
        <f t="shared" si="22"/>
        <v>52500</v>
      </c>
      <c r="H625" s="2789"/>
    </row>
    <row r="626" spans="1:8" x14ac:dyDescent="0.3">
      <c r="A626" s="2444">
        <v>13853</v>
      </c>
      <c r="B626" s="2596">
        <v>0.1</v>
      </c>
      <c r="C626" s="2965" t="s">
        <v>3405</v>
      </c>
      <c r="D626" s="2857"/>
      <c r="E626" s="3326">
        <v>850000</v>
      </c>
      <c r="F626" s="376">
        <v>0.05</v>
      </c>
      <c r="G626" s="2800">
        <f t="shared" si="22"/>
        <v>42500</v>
      </c>
      <c r="H626" s="2789"/>
    </row>
    <row r="627" spans="1:8" x14ac:dyDescent="0.3">
      <c r="A627" s="1010">
        <v>13864</v>
      </c>
      <c r="B627" s="333">
        <v>0.1</v>
      </c>
      <c r="C627" s="2965" t="s">
        <v>3407</v>
      </c>
      <c r="D627" s="2676"/>
      <c r="E627" s="3322">
        <v>650000</v>
      </c>
      <c r="F627" s="376">
        <v>0.05</v>
      </c>
      <c r="G627" s="2800">
        <f t="shared" si="22"/>
        <v>32500</v>
      </c>
      <c r="H627" s="2789"/>
    </row>
    <row r="628" spans="1:8" x14ac:dyDescent="0.3">
      <c r="A628" s="1010">
        <v>13855</v>
      </c>
      <c r="B628" s="333">
        <v>0.1</v>
      </c>
      <c r="C628" s="2965" t="s">
        <v>3408</v>
      </c>
      <c r="D628" s="2676"/>
      <c r="E628" s="3322">
        <v>1000000</v>
      </c>
      <c r="F628" s="376">
        <v>0.05</v>
      </c>
      <c r="G628" s="2800">
        <f t="shared" si="22"/>
        <v>50000</v>
      </c>
      <c r="H628" s="2789"/>
    </row>
    <row r="629" spans="1:8" x14ac:dyDescent="0.3">
      <c r="A629" s="1010">
        <v>13787</v>
      </c>
      <c r="B629" s="333">
        <v>0.1</v>
      </c>
      <c r="C629" s="1088" t="s">
        <v>3402</v>
      </c>
      <c r="D629" s="2676"/>
      <c r="E629" s="3322">
        <v>1100000</v>
      </c>
      <c r="F629" s="320">
        <v>0.05</v>
      </c>
      <c r="G629" s="1332">
        <f>E629*F629</f>
        <v>55000</v>
      </c>
      <c r="H629" s="2569"/>
    </row>
    <row r="630" spans="1:8" ht="28.8" x14ac:dyDescent="0.3">
      <c r="A630" s="2486" t="s">
        <v>3302</v>
      </c>
      <c r="B630" s="2513"/>
      <c r="C630" s="3242" t="s">
        <v>3353</v>
      </c>
      <c r="D630" s="2850" t="s">
        <v>3393</v>
      </c>
      <c r="E630" s="3339"/>
      <c r="F630" s="2672"/>
      <c r="G630" s="2677"/>
      <c r="H630" s="2789"/>
    </row>
    <row r="631" spans="1:8" x14ac:dyDescent="0.3">
      <c r="A631" s="3214"/>
      <c r="B631" s="2578"/>
      <c r="C631" s="1214"/>
      <c r="D631" s="1582" t="s">
        <v>3758</v>
      </c>
      <c r="E631" s="3340">
        <f>SUM(E614:E630)</f>
        <v>18800000</v>
      </c>
      <c r="F631" s="51"/>
      <c r="G631" s="2701">
        <f>SUM(G614:G630)</f>
        <v>929500</v>
      </c>
      <c r="H631" s="2222"/>
    </row>
    <row r="632" spans="1:8" x14ac:dyDescent="0.3">
      <c r="H632" s="1"/>
    </row>
    <row r="633" spans="1:8" x14ac:dyDescent="0.3">
      <c r="A633" s="3661" t="s">
        <v>3840</v>
      </c>
      <c r="B633" s="3667"/>
      <c r="C633" s="3667"/>
      <c r="D633" s="3667"/>
      <c r="E633" s="3667"/>
      <c r="F633" s="3667"/>
      <c r="G633" s="3667"/>
      <c r="H633" s="1"/>
    </row>
    <row r="634" spans="1:8" x14ac:dyDescent="0.3">
      <c r="A634" s="3668"/>
      <c r="B634" s="3668"/>
      <c r="C634" s="3668"/>
      <c r="D634" s="3668"/>
      <c r="E634" s="3668"/>
      <c r="F634" s="3668"/>
      <c r="G634" s="3667"/>
      <c r="H634" s="1"/>
    </row>
    <row r="635" spans="1:8" x14ac:dyDescent="0.3">
      <c r="A635" s="2819" t="s">
        <v>3751</v>
      </c>
      <c r="B635" s="2719" t="s">
        <v>2976</v>
      </c>
      <c r="C635" s="3237" t="s">
        <v>3752</v>
      </c>
      <c r="D635" s="2796" t="s">
        <v>3753</v>
      </c>
      <c r="E635" s="3322" t="s">
        <v>3754</v>
      </c>
      <c r="F635" s="2281" t="s">
        <v>2979</v>
      </c>
      <c r="G635" s="2565" t="s">
        <v>2985</v>
      </c>
      <c r="H635" s="2225" t="s">
        <v>3755</v>
      </c>
    </row>
    <row r="636" spans="1:8" x14ac:dyDescent="0.3">
      <c r="A636" s="1010">
        <v>13729</v>
      </c>
      <c r="B636" s="553">
        <v>0.08</v>
      </c>
      <c r="C636" s="1088" t="s">
        <v>3386</v>
      </c>
      <c r="D636" s="1628"/>
      <c r="E636" s="3341">
        <v>820000</v>
      </c>
      <c r="F636" s="2456">
        <v>0.01</v>
      </c>
      <c r="G636" s="1332">
        <f>E636*F636</f>
        <v>8200</v>
      </c>
      <c r="H636" s="51" t="s">
        <v>36</v>
      </c>
    </row>
    <row r="637" spans="1:8" s="511" customFormat="1" x14ac:dyDescent="0.3">
      <c r="A637" s="2486" t="s">
        <v>3192</v>
      </c>
      <c r="B637" s="2513"/>
      <c r="C637" s="3243" t="s">
        <v>3377</v>
      </c>
      <c r="D637" s="2130" t="s">
        <v>3843</v>
      </c>
      <c r="E637" s="3335"/>
      <c r="F637" s="2672"/>
      <c r="G637" s="2677"/>
      <c r="H637" s="2789"/>
    </row>
    <row r="638" spans="1:8" s="511" customFormat="1" x14ac:dyDescent="0.3">
      <c r="A638" s="2617" t="s">
        <v>3022</v>
      </c>
      <c r="B638" s="2723"/>
      <c r="C638" s="1570" t="s">
        <v>3409</v>
      </c>
      <c r="D638" s="1628" t="s">
        <v>3844</v>
      </c>
      <c r="E638" s="3335"/>
      <c r="F638" s="2672"/>
      <c r="G638" s="2677"/>
      <c r="H638" s="2789"/>
    </row>
    <row r="639" spans="1:8" s="511" customFormat="1" x14ac:dyDescent="0.3">
      <c r="A639" s="2486" t="s">
        <v>3099</v>
      </c>
      <c r="B639" s="2513"/>
      <c r="C639" s="3243" t="s">
        <v>3380</v>
      </c>
      <c r="D639" s="1628" t="s">
        <v>3099</v>
      </c>
      <c r="E639" s="3335"/>
      <c r="F639" s="2672"/>
      <c r="G639" s="2677"/>
      <c r="H639" s="2789"/>
    </row>
    <row r="640" spans="1:8" s="511" customFormat="1" x14ac:dyDescent="0.3">
      <c r="A640" s="2617" t="s">
        <v>3099</v>
      </c>
      <c r="B640" s="2723"/>
      <c r="C640" s="1570" t="s">
        <v>3389</v>
      </c>
      <c r="D640" s="1628" t="s">
        <v>3099</v>
      </c>
      <c r="E640" s="3335"/>
      <c r="F640" s="2672"/>
      <c r="G640" s="2677"/>
      <c r="H640" s="2789"/>
    </row>
    <row r="641" spans="1:8" s="511" customFormat="1" x14ac:dyDescent="0.3">
      <c r="A641" s="2617" t="s">
        <v>3099</v>
      </c>
      <c r="B641" s="2723"/>
      <c r="C641" s="1570" t="s">
        <v>3411</v>
      </c>
      <c r="D641" s="1628" t="s">
        <v>3099</v>
      </c>
      <c r="E641" s="3335"/>
      <c r="F641" s="2672"/>
      <c r="G641" s="2677"/>
      <c r="H641" s="2789"/>
    </row>
    <row r="642" spans="1:8" x14ac:dyDescent="0.3">
      <c r="A642" s="2609" t="s">
        <v>3302</v>
      </c>
      <c r="B642" s="2660"/>
      <c r="C642" s="3229" t="s">
        <v>3360</v>
      </c>
      <c r="D642" s="2676" t="s">
        <v>3845</v>
      </c>
      <c r="E642" s="3335"/>
      <c r="F642" s="2672"/>
      <c r="G642" s="2677"/>
      <c r="H642" s="2789"/>
    </row>
    <row r="643" spans="1:8" x14ac:dyDescent="0.3">
      <c r="A643" s="2486" t="s">
        <v>3361</v>
      </c>
      <c r="B643" s="2513"/>
      <c r="C643" s="3242" t="s">
        <v>3281</v>
      </c>
      <c r="D643" s="2676" t="s">
        <v>3845</v>
      </c>
      <c r="E643" s="3335"/>
      <c r="F643" s="2672"/>
      <c r="G643" s="2677"/>
      <c r="H643" s="2789"/>
    </row>
    <row r="644" spans="1:8" x14ac:dyDescent="0.3">
      <c r="E644" s="3335"/>
      <c r="F644" s="2821"/>
      <c r="G644" s="2677"/>
      <c r="H644" s="2789"/>
    </row>
    <row r="645" spans="1:8" x14ac:dyDescent="0.3">
      <c r="E645" s="3335"/>
      <c r="F645" s="2672"/>
      <c r="G645" s="2677"/>
      <c r="H645" s="2789"/>
    </row>
    <row r="646" spans="1:8" x14ac:dyDescent="0.3">
      <c r="A646" s="3214"/>
      <c r="B646" s="2578"/>
      <c r="C646" s="1214"/>
      <c r="D646" s="1582" t="s">
        <v>3758</v>
      </c>
      <c r="E646" s="3340">
        <f>SUM(E636:E645)</f>
        <v>820000</v>
      </c>
      <c r="F646" s="51"/>
      <c r="G646" s="2701">
        <f>SUM(G636:G645)</f>
        <v>8200</v>
      </c>
      <c r="H646" s="2222"/>
    </row>
    <row r="648" spans="1:8" x14ac:dyDescent="0.3">
      <c r="A648" s="3661" t="s">
        <v>3826</v>
      </c>
      <c r="B648" s="3661"/>
      <c r="C648" s="3661"/>
      <c r="D648" s="3661"/>
      <c r="E648" s="3661"/>
      <c r="F648" s="3661"/>
      <c r="G648" s="3661"/>
      <c r="H648" s="1"/>
    </row>
    <row r="649" spans="1:8" x14ac:dyDescent="0.3">
      <c r="A649" s="3661"/>
      <c r="B649" s="3661"/>
      <c r="C649" s="3661"/>
      <c r="D649" s="3661"/>
      <c r="E649" s="3661"/>
      <c r="F649" s="3661"/>
      <c r="G649" s="3661"/>
      <c r="H649" s="1"/>
    </row>
    <row r="650" spans="1:8" x14ac:dyDescent="0.3">
      <c r="A650" s="2819" t="s">
        <v>3751</v>
      </c>
      <c r="B650" s="2719" t="s">
        <v>2976</v>
      </c>
      <c r="C650" s="3237" t="s">
        <v>3752</v>
      </c>
      <c r="D650" s="2796" t="s">
        <v>3753</v>
      </c>
      <c r="E650" s="3328" t="s">
        <v>3754</v>
      </c>
      <c r="F650" s="1595" t="s">
        <v>2979</v>
      </c>
      <c r="G650" s="2797" t="s">
        <v>2985</v>
      </c>
      <c r="H650" s="2226" t="s">
        <v>3755</v>
      </c>
    </row>
    <row r="651" spans="1:8" x14ac:dyDescent="0.3">
      <c r="A651" s="2449">
        <v>13694</v>
      </c>
      <c r="B651" s="333">
        <v>0.1</v>
      </c>
      <c r="C651" s="1088" t="s">
        <v>3353</v>
      </c>
      <c r="D651" s="1632"/>
      <c r="E651" s="3338">
        <v>1400000</v>
      </c>
      <c r="F651" s="320">
        <v>0.05</v>
      </c>
      <c r="G651" s="1332">
        <f>E651*F651</f>
        <v>70000</v>
      </c>
      <c r="H651" s="51" t="s">
        <v>36</v>
      </c>
    </row>
    <row r="652" spans="1:8" x14ac:dyDescent="0.3">
      <c r="A652" s="2444">
        <v>13669</v>
      </c>
      <c r="B652" s="2596">
        <v>0.1</v>
      </c>
      <c r="C652" s="1095" t="s">
        <v>3367</v>
      </c>
      <c r="D652" s="2130"/>
      <c r="E652" s="3335">
        <v>1100000</v>
      </c>
      <c r="F652" s="320">
        <v>0.05</v>
      </c>
      <c r="G652" s="1332">
        <f t="shared" ref="G652:G673" si="23">E652*F652</f>
        <v>55000</v>
      </c>
      <c r="H652" s="51" t="s">
        <v>36</v>
      </c>
    </row>
    <row r="653" spans="1:8" x14ac:dyDescent="0.3">
      <c r="A653" s="2444">
        <v>13774</v>
      </c>
      <c r="B653" s="2596">
        <v>0.1</v>
      </c>
      <c r="C653" s="2998" t="s">
        <v>3370</v>
      </c>
      <c r="D653" s="1628"/>
      <c r="E653" s="3335">
        <v>1600000</v>
      </c>
      <c r="F653" s="320">
        <v>0.05</v>
      </c>
      <c r="G653" s="1332">
        <f t="shared" si="23"/>
        <v>80000</v>
      </c>
      <c r="H653" s="51" t="s">
        <v>36</v>
      </c>
    </row>
    <row r="654" spans="1:8" x14ac:dyDescent="0.3">
      <c r="A654" s="2444">
        <v>13818</v>
      </c>
      <c r="B654" s="2694">
        <v>0.08</v>
      </c>
      <c r="C654" s="2998" t="s">
        <v>3371</v>
      </c>
      <c r="D654" s="1628"/>
      <c r="E654" s="3335">
        <v>1350000</v>
      </c>
      <c r="F654" s="2456">
        <v>0.04</v>
      </c>
      <c r="G654" s="1332">
        <f t="shared" si="23"/>
        <v>54000</v>
      </c>
      <c r="H654" s="51" t="s">
        <v>36</v>
      </c>
    </row>
    <row r="655" spans="1:8" x14ac:dyDescent="0.3">
      <c r="A655" s="2444">
        <v>13825</v>
      </c>
      <c r="B655" s="2596">
        <v>0.1</v>
      </c>
      <c r="C655" s="2998" t="s">
        <v>3372</v>
      </c>
      <c r="D655" s="1628"/>
      <c r="E655" s="3335">
        <v>800000</v>
      </c>
      <c r="F655" s="320">
        <v>0.05</v>
      </c>
      <c r="G655" s="1332">
        <f t="shared" si="23"/>
        <v>40000</v>
      </c>
      <c r="H655" s="51" t="s">
        <v>36</v>
      </c>
    </row>
    <row r="656" spans="1:8" x14ac:dyDescent="0.3">
      <c r="A656" s="2444">
        <v>13840</v>
      </c>
      <c r="B656" s="2596">
        <v>0.1</v>
      </c>
      <c r="C656" s="2998" t="s">
        <v>3374</v>
      </c>
      <c r="D656" s="1628"/>
      <c r="E656" s="3335">
        <v>1500000</v>
      </c>
      <c r="F656" s="320">
        <v>0.05</v>
      </c>
      <c r="G656" s="1332">
        <f t="shared" si="23"/>
        <v>75000</v>
      </c>
      <c r="H656" s="51" t="s">
        <v>36</v>
      </c>
    </row>
    <row r="657" spans="1:8" x14ac:dyDescent="0.3">
      <c r="A657" s="2444">
        <v>13848</v>
      </c>
      <c r="B657" s="2596">
        <v>0.1</v>
      </c>
      <c r="C657" s="2998" t="s">
        <v>3375</v>
      </c>
      <c r="D657" s="1628"/>
      <c r="E657" s="3335">
        <v>1000000</v>
      </c>
      <c r="F657" s="320">
        <v>0.05</v>
      </c>
      <c r="G657" s="1332">
        <f t="shared" si="23"/>
        <v>50000</v>
      </c>
      <c r="H657" s="51" t="s">
        <v>36</v>
      </c>
    </row>
    <row r="658" spans="1:8" x14ac:dyDescent="0.3">
      <c r="A658" s="2444">
        <v>13866</v>
      </c>
      <c r="B658" s="2596">
        <v>0.1</v>
      </c>
      <c r="C658" s="2998" t="s">
        <v>3376</v>
      </c>
      <c r="D658" s="1628"/>
      <c r="E658" s="3335">
        <v>1300000</v>
      </c>
      <c r="F658" s="320">
        <v>0.05</v>
      </c>
      <c r="G658" s="1332">
        <f t="shared" si="23"/>
        <v>65000</v>
      </c>
      <c r="H658" s="51" t="s">
        <v>36</v>
      </c>
    </row>
    <row r="659" spans="1:8" x14ac:dyDescent="0.3">
      <c r="A659" s="2444">
        <v>13868</v>
      </c>
      <c r="B659" s="2596">
        <v>0.1</v>
      </c>
      <c r="C659" s="2998" t="s">
        <v>3377</v>
      </c>
      <c r="D659" s="1628"/>
      <c r="E659" s="3335">
        <v>1050000</v>
      </c>
      <c r="F659" s="320">
        <v>0.05</v>
      </c>
      <c r="G659" s="1332">
        <f t="shared" si="23"/>
        <v>52500</v>
      </c>
      <c r="H659" s="51" t="s">
        <v>36</v>
      </c>
    </row>
    <row r="660" spans="1:8" x14ac:dyDescent="0.3">
      <c r="A660" s="2444">
        <v>13865</v>
      </c>
      <c r="B660" s="2596">
        <v>0.1</v>
      </c>
      <c r="C660" s="2998" t="s">
        <v>3352</v>
      </c>
      <c r="D660" s="1628"/>
      <c r="E660" s="3335">
        <v>1350000</v>
      </c>
      <c r="F660" s="320">
        <v>0.05</v>
      </c>
      <c r="G660" s="1332">
        <f t="shared" si="23"/>
        <v>67500</v>
      </c>
      <c r="H660" s="51" t="s">
        <v>24</v>
      </c>
    </row>
    <row r="661" spans="1:8" x14ac:dyDescent="0.3">
      <c r="A661" s="1010">
        <v>13667</v>
      </c>
      <c r="B661" s="333">
        <v>0.1</v>
      </c>
      <c r="C661" s="1088" t="s">
        <v>3385</v>
      </c>
      <c r="D661" s="1628"/>
      <c r="E661" s="3335">
        <v>1300000</v>
      </c>
      <c r="F661" s="320">
        <v>0.05</v>
      </c>
      <c r="G661" s="1332">
        <f t="shared" si="23"/>
        <v>65000</v>
      </c>
      <c r="H661" s="51" t="s">
        <v>36</v>
      </c>
    </row>
    <row r="662" spans="1:8" x14ac:dyDescent="0.3">
      <c r="A662" s="2444">
        <v>13745</v>
      </c>
      <c r="B662" s="333">
        <v>0.1</v>
      </c>
      <c r="C662" s="1088" t="s">
        <v>3368</v>
      </c>
      <c r="D662" s="1628"/>
      <c r="E662" s="3335">
        <v>1050000</v>
      </c>
      <c r="F662" s="2672">
        <v>0.05</v>
      </c>
      <c r="G662" s="2677">
        <f>E662*F662</f>
        <v>52500</v>
      </c>
      <c r="H662" s="51" t="s">
        <v>36</v>
      </c>
    </row>
    <row r="663" spans="1:8" x14ac:dyDescent="0.3">
      <c r="A663" s="2450">
        <v>13753</v>
      </c>
      <c r="B663" s="2596">
        <v>0.1</v>
      </c>
      <c r="C663" s="2993" t="s">
        <v>3387</v>
      </c>
      <c r="D663" s="1628"/>
      <c r="E663" s="3335">
        <v>1250000</v>
      </c>
      <c r="F663" s="320">
        <v>0.05</v>
      </c>
      <c r="G663" s="1332">
        <f t="shared" si="23"/>
        <v>62500</v>
      </c>
      <c r="H663" s="51" t="s">
        <v>36</v>
      </c>
    </row>
    <row r="664" spans="1:8" x14ac:dyDescent="0.3">
      <c r="A664" s="2444">
        <v>13761</v>
      </c>
      <c r="B664" s="2596">
        <v>0.1</v>
      </c>
      <c r="C664" s="2993" t="s">
        <v>3351</v>
      </c>
      <c r="D664" s="1628"/>
      <c r="E664" s="3326">
        <v>1000000</v>
      </c>
      <c r="F664" s="320">
        <v>0.05</v>
      </c>
      <c r="G664" s="1332">
        <f t="shared" si="23"/>
        <v>50000</v>
      </c>
      <c r="H664" s="51" t="s">
        <v>36</v>
      </c>
    </row>
    <row r="665" spans="1:8" x14ac:dyDescent="0.3">
      <c r="A665" s="1010">
        <v>13689</v>
      </c>
      <c r="B665" s="333">
        <v>0.1</v>
      </c>
      <c r="C665" s="2965" t="s">
        <v>3354</v>
      </c>
      <c r="D665" s="2676"/>
      <c r="E665" s="3322">
        <v>1300000</v>
      </c>
      <c r="F665" s="320">
        <v>0.05</v>
      </c>
      <c r="G665" s="1332">
        <f t="shared" si="23"/>
        <v>65000</v>
      </c>
      <c r="H665" s="51" t="s">
        <v>36</v>
      </c>
    </row>
    <row r="666" spans="1:8" x14ac:dyDescent="0.3">
      <c r="A666" s="1010">
        <v>13699</v>
      </c>
      <c r="B666" s="333">
        <v>0.1</v>
      </c>
      <c r="C666" s="1088" t="s">
        <v>3395</v>
      </c>
      <c r="D666" s="2676"/>
      <c r="E666" s="3322">
        <v>950000</v>
      </c>
      <c r="F666" s="320">
        <v>0.05</v>
      </c>
      <c r="G666" s="1332">
        <f t="shared" si="23"/>
        <v>47500</v>
      </c>
      <c r="H666" s="51" t="s">
        <v>36</v>
      </c>
    </row>
    <row r="667" spans="1:8" x14ac:dyDescent="0.3">
      <c r="A667" s="1010">
        <v>13721</v>
      </c>
      <c r="B667" s="333">
        <v>0.1</v>
      </c>
      <c r="C667" s="2965" t="s">
        <v>3396</v>
      </c>
      <c r="D667" s="2676"/>
      <c r="E667" s="3322">
        <v>1150000</v>
      </c>
      <c r="F667" s="320">
        <v>0.05</v>
      </c>
      <c r="G667" s="1332">
        <f t="shared" si="23"/>
        <v>57500</v>
      </c>
      <c r="H667" s="51" t="s">
        <v>36</v>
      </c>
    </row>
    <row r="668" spans="1:8" x14ac:dyDescent="0.3">
      <c r="A668" s="2311">
        <v>13731</v>
      </c>
      <c r="B668" s="2442">
        <v>0.1</v>
      </c>
      <c r="C668" s="1089" t="s">
        <v>3398</v>
      </c>
      <c r="D668" s="2809"/>
      <c r="E668" s="3328">
        <v>1050000</v>
      </c>
      <c r="F668" s="320">
        <v>0.05</v>
      </c>
      <c r="G668" s="1332">
        <f t="shared" si="23"/>
        <v>52500</v>
      </c>
      <c r="H668" s="51" t="s">
        <v>36</v>
      </c>
    </row>
    <row r="669" spans="1:8" x14ac:dyDescent="0.3">
      <c r="A669" s="1010">
        <v>13752</v>
      </c>
      <c r="B669" s="333">
        <v>0.1</v>
      </c>
      <c r="C669" s="1088" t="s">
        <v>3401</v>
      </c>
      <c r="D669" s="2676"/>
      <c r="E669" s="3322">
        <v>1200000</v>
      </c>
      <c r="F669" s="320">
        <v>0.05</v>
      </c>
      <c r="G669" s="1332">
        <f t="shared" si="23"/>
        <v>60000</v>
      </c>
      <c r="H669" s="51" t="s">
        <v>36</v>
      </c>
    </row>
    <row r="670" spans="1:8" x14ac:dyDescent="0.3">
      <c r="A670" s="2444">
        <v>13777</v>
      </c>
      <c r="B670" s="2596">
        <v>0.1</v>
      </c>
      <c r="C670" s="2965" t="s">
        <v>3403</v>
      </c>
      <c r="D670" s="2857"/>
      <c r="E670" s="3326">
        <v>1100000</v>
      </c>
      <c r="F670" s="320">
        <v>0.05</v>
      </c>
      <c r="G670" s="1332">
        <f t="shared" si="23"/>
        <v>55000</v>
      </c>
      <c r="H670" s="2569" t="s">
        <v>36</v>
      </c>
    </row>
    <row r="671" spans="1:8" x14ac:dyDescent="0.3">
      <c r="A671" s="1010">
        <v>13842</v>
      </c>
      <c r="B671" s="333">
        <v>0.1</v>
      </c>
      <c r="C671" s="2965" t="s">
        <v>3404</v>
      </c>
      <c r="D671" s="2676"/>
      <c r="E671" s="3322">
        <v>1600000</v>
      </c>
      <c r="F671" s="320">
        <v>0.05</v>
      </c>
      <c r="G671" s="1332">
        <f t="shared" si="23"/>
        <v>80000</v>
      </c>
      <c r="H671" s="2569" t="s">
        <v>36</v>
      </c>
    </row>
    <row r="672" spans="1:8" x14ac:dyDescent="0.3">
      <c r="A672" s="1010">
        <v>13857</v>
      </c>
      <c r="B672" s="553">
        <v>0.08</v>
      </c>
      <c r="C672" s="2965" t="s">
        <v>3406</v>
      </c>
      <c r="D672" s="2676"/>
      <c r="E672" s="3322">
        <v>1160000</v>
      </c>
      <c r="F672" s="2456">
        <v>0.04</v>
      </c>
      <c r="G672" s="1332">
        <f t="shared" si="23"/>
        <v>46400</v>
      </c>
      <c r="H672" s="2789" t="s">
        <v>36</v>
      </c>
    </row>
    <row r="673" spans="1:8" x14ac:dyDescent="0.3">
      <c r="A673" s="2444">
        <v>13863</v>
      </c>
      <c r="B673" s="2596">
        <v>0.1</v>
      </c>
      <c r="C673" s="2993" t="s">
        <v>3390</v>
      </c>
      <c r="D673" s="2877"/>
      <c r="E673" s="3326">
        <v>1400000</v>
      </c>
      <c r="F673" s="528">
        <v>0.05</v>
      </c>
      <c r="G673" s="1332">
        <f t="shared" si="23"/>
        <v>70000</v>
      </c>
      <c r="H673" s="2789" t="s">
        <v>36</v>
      </c>
    </row>
    <row r="674" spans="1:8" x14ac:dyDescent="0.3">
      <c r="A674" s="2609" t="s">
        <v>3192</v>
      </c>
      <c r="B674" s="2723"/>
      <c r="C674" s="3244" t="s">
        <v>3363</v>
      </c>
      <c r="D674" s="1632" t="s">
        <v>3846</v>
      </c>
      <c r="E674" s="3322"/>
      <c r="F674" s="1216"/>
      <c r="G674" s="1332"/>
      <c r="H674" s="51"/>
    </row>
    <row r="675" spans="1:8" x14ac:dyDescent="0.3">
      <c r="A675" s="2486" t="s">
        <v>3382</v>
      </c>
      <c r="B675" s="2513"/>
      <c r="C675" s="3242" t="s">
        <v>3383</v>
      </c>
      <c r="D675" s="1628"/>
      <c r="E675" s="3322"/>
      <c r="F675" s="1216"/>
      <c r="G675" s="1332"/>
      <c r="H675" s="51"/>
    </row>
    <row r="676" spans="1:8" x14ac:dyDescent="0.3">
      <c r="A676" s="2486" t="s">
        <v>3296</v>
      </c>
      <c r="B676" s="2513"/>
      <c r="C676" s="3242" t="s">
        <v>3365</v>
      </c>
      <c r="D676" s="1628"/>
      <c r="E676" s="3322"/>
      <c r="F676" s="1216"/>
      <c r="G676" s="1332"/>
      <c r="H676" s="51"/>
    </row>
    <row r="677" spans="1:8" x14ac:dyDescent="0.3">
      <c r="A677" s="2486" t="s">
        <v>3022</v>
      </c>
      <c r="B677" s="2513"/>
      <c r="C677" s="3242" t="s">
        <v>3300</v>
      </c>
      <c r="D677" s="2764" t="s">
        <v>3394</v>
      </c>
      <c r="E677" s="3322"/>
      <c r="F677" s="1216"/>
      <c r="G677" s="1332"/>
      <c r="H677" s="51"/>
    </row>
    <row r="678" spans="1:8" ht="27" x14ac:dyDescent="0.3">
      <c r="A678" s="2617" t="s">
        <v>3192</v>
      </c>
      <c r="B678" s="2723"/>
      <c r="C678" s="1087" t="s">
        <v>3325</v>
      </c>
      <c r="D678" s="609" t="s">
        <v>3384</v>
      </c>
      <c r="E678" s="3322"/>
      <c r="F678" s="1899"/>
      <c r="G678" s="1332"/>
      <c r="H678" s="34"/>
    </row>
    <row r="679" spans="1:8" x14ac:dyDescent="0.3">
      <c r="A679" s="2486" t="s">
        <v>3022</v>
      </c>
      <c r="B679" s="2513"/>
      <c r="C679" s="3242" t="s">
        <v>3847</v>
      </c>
      <c r="D679" s="2676"/>
      <c r="E679" s="3322"/>
      <c r="F679" s="376"/>
      <c r="G679" s="1332"/>
      <c r="H679" s="51"/>
    </row>
    <row r="680" spans="1:8" x14ac:dyDescent="0.3">
      <c r="A680" s="3214"/>
      <c r="B680" s="2578"/>
      <c r="C680" s="1214"/>
      <c r="D680" s="1582" t="s">
        <v>3758</v>
      </c>
      <c r="E680" s="3340">
        <f>SUM(E651:E679)</f>
        <v>27960000</v>
      </c>
      <c r="F680" s="51"/>
      <c r="G680" s="2701">
        <f>SUM(G651:G679)</f>
        <v>1372900</v>
      </c>
      <c r="H680" s="2222"/>
    </row>
    <row r="682" spans="1:8" x14ac:dyDescent="0.3">
      <c r="A682" s="3661" t="s">
        <v>3837</v>
      </c>
      <c r="B682" s="3661"/>
      <c r="C682" s="3661"/>
      <c r="D682" s="3661"/>
      <c r="E682" s="3661"/>
      <c r="F682" s="3661"/>
      <c r="G682" s="3661"/>
    </row>
    <row r="683" spans="1:8" x14ac:dyDescent="0.3">
      <c r="A683" s="3661"/>
      <c r="B683" s="3661"/>
      <c r="C683" s="3661"/>
      <c r="D683" s="3661"/>
      <c r="E683" s="3661"/>
      <c r="F683" s="3661"/>
      <c r="G683" s="3661"/>
    </row>
    <row r="684" spans="1:8" x14ac:dyDescent="0.3">
      <c r="A684" s="3182" t="s">
        <v>3751</v>
      </c>
      <c r="B684" s="2577" t="s">
        <v>2976</v>
      </c>
      <c r="C684" s="3018" t="s">
        <v>3752</v>
      </c>
      <c r="D684" s="1124" t="s">
        <v>3753</v>
      </c>
      <c r="E684" s="3322" t="s">
        <v>3754</v>
      </c>
      <c r="F684" s="2281" t="s">
        <v>2979</v>
      </c>
      <c r="G684" s="2565" t="s">
        <v>2985</v>
      </c>
    </row>
    <row r="685" spans="1:8" x14ac:dyDescent="0.3">
      <c r="A685" s="2449">
        <v>13732</v>
      </c>
      <c r="B685" s="333">
        <v>0.1</v>
      </c>
      <c r="C685" s="1088" t="s">
        <v>3355</v>
      </c>
      <c r="D685" s="1632"/>
      <c r="E685" s="3334">
        <v>1300000</v>
      </c>
      <c r="F685" s="320">
        <v>0.03</v>
      </c>
      <c r="G685" s="2800">
        <f>E685*F685</f>
        <v>39000</v>
      </c>
    </row>
    <row r="686" spans="1:8" x14ac:dyDescent="0.3">
      <c r="A686" s="1010">
        <v>13686</v>
      </c>
      <c r="B686" s="333">
        <v>0.1</v>
      </c>
      <c r="C686" s="1088" t="s">
        <v>3356</v>
      </c>
      <c r="D686" s="1632"/>
      <c r="E686" s="3334">
        <v>1400000</v>
      </c>
      <c r="F686" s="320">
        <v>0.03</v>
      </c>
      <c r="G686" s="2800">
        <f t="shared" ref="G686:G723" si="24">E686*F686</f>
        <v>42000</v>
      </c>
    </row>
    <row r="687" spans="1:8" x14ac:dyDescent="0.3">
      <c r="A687" s="2607">
        <v>13739</v>
      </c>
      <c r="B687" s="333">
        <v>0.1</v>
      </c>
      <c r="C687" s="1567" t="s">
        <v>3357</v>
      </c>
      <c r="D687" s="1632"/>
      <c r="E687" s="3334">
        <v>1350000</v>
      </c>
      <c r="F687" s="320">
        <v>0.03</v>
      </c>
      <c r="G687" s="2800">
        <f t="shared" si="24"/>
        <v>40500</v>
      </c>
    </row>
    <row r="688" spans="1:8" x14ac:dyDescent="0.3">
      <c r="A688" s="2444">
        <v>13755</v>
      </c>
      <c r="B688" s="2694">
        <v>0.08</v>
      </c>
      <c r="C688" s="2994" t="s">
        <v>3358</v>
      </c>
      <c r="D688" s="1632"/>
      <c r="E688" s="3334">
        <v>1050000</v>
      </c>
      <c r="F688" s="2456">
        <v>0.02</v>
      </c>
      <c r="G688" s="2800">
        <f t="shared" si="24"/>
        <v>21000</v>
      </c>
    </row>
    <row r="689" spans="1:7" x14ac:dyDescent="0.3">
      <c r="A689" s="2444">
        <v>13701</v>
      </c>
      <c r="B689" s="2596">
        <v>0.1</v>
      </c>
      <c r="C689" s="2993" t="s">
        <v>3369</v>
      </c>
      <c r="D689" s="1771"/>
      <c r="E689" s="3352">
        <v>1000000</v>
      </c>
      <c r="F689" s="320">
        <v>0.03</v>
      </c>
      <c r="G689" s="2800">
        <f t="shared" si="24"/>
        <v>30000</v>
      </c>
    </row>
    <row r="690" spans="1:7" x14ac:dyDescent="0.3">
      <c r="A690" s="2444">
        <v>13836</v>
      </c>
      <c r="B690" s="333">
        <v>0.1</v>
      </c>
      <c r="C690" s="2998" t="s">
        <v>3373</v>
      </c>
      <c r="D690" s="1628"/>
      <c r="E690" s="3335">
        <v>1250000</v>
      </c>
      <c r="F690" s="768">
        <v>0.03</v>
      </c>
      <c r="G690" s="2800">
        <f t="shared" si="24"/>
        <v>37500</v>
      </c>
    </row>
    <row r="691" spans="1:7" x14ac:dyDescent="0.3">
      <c r="A691" s="2444" t="s">
        <v>3226</v>
      </c>
      <c r="B691" s="2596">
        <v>0.1</v>
      </c>
      <c r="C691" s="2998" t="s">
        <v>3378</v>
      </c>
      <c r="D691" s="1628"/>
      <c r="E691" s="3335">
        <v>1300000</v>
      </c>
      <c r="F691" s="376">
        <v>0.03</v>
      </c>
      <c r="G691" s="2800">
        <f t="shared" si="24"/>
        <v>39000</v>
      </c>
    </row>
    <row r="692" spans="1:7" x14ac:dyDescent="0.3">
      <c r="A692" s="2444">
        <v>13803</v>
      </c>
      <c r="B692" s="333">
        <v>0.1</v>
      </c>
      <c r="C692" s="1088" t="s">
        <v>3388</v>
      </c>
      <c r="D692" s="1628"/>
      <c r="E692" s="3335">
        <v>1300000</v>
      </c>
      <c r="F692" s="376">
        <v>0.03</v>
      </c>
      <c r="G692" s="2800">
        <f t="shared" si="24"/>
        <v>39000</v>
      </c>
    </row>
    <row r="693" spans="1:7" x14ac:dyDescent="0.3">
      <c r="A693" s="2444">
        <v>13791</v>
      </c>
      <c r="B693" s="333">
        <v>0.1</v>
      </c>
      <c r="C693" s="1088" t="s">
        <v>3325</v>
      </c>
      <c r="D693" s="1628"/>
      <c r="E693" s="3335">
        <v>1450000</v>
      </c>
      <c r="F693" s="376">
        <v>0.03</v>
      </c>
      <c r="G693" s="2800">
        <f t="shared" si="24"/>
        <v>43500</v>
      </c>
    </row>
    <row r="694" spans="1:7" x14ac:dyDescent="0.3">
      <c r="A694" s="2444">
        <v>13817</v>
      </c>
      <c r="B694" s="333">
        <v>0.1</v>
      </c>
      <c r="C694" s="2965" t="s">
        <v>3842</v>
      </c>
      <c r="D694" s="1628"/>
      <c r="E694" s="3335">
        <v>1550000</v>
      </c>
      <c r="F694" s="376">
        <v>0.03</v>
      </c>
      <c r="G694" s="2800">
        <f t="shared" si="24"/>
        <v>46500</v>
      </c>
    </row>
    <row r="695" spans="1:7" x14ac:dyDescent="0.3">
      <c r="A695" s="1010">
        <v>13754</v>
      </c>
      <c r="B695" s="333">
        <v>0.1</v>
      </c>
      <c r="C695" s="1088" t="s">
        <v>3399</v>
      </c>
      <c r="D695" s="2676"/>
      <c r="E695" s="3322">
        <v>1200000</v>
      </c>
      <c r="F695" s="376">
        <v>0.03</v>
      </c>
      <c r="G695" s="2800">
        <f t="shared" si="24"/>
        <v>36000</v>
      </c>
    </row>
    <row r="696" spans="1:7" x14ac:dyDescent="0.3">
      <c r="A696" s="1010">
        <v>13765</v>
      </c>
      <c r="B696" s="333">
        <v>0.1</v>
      </c>
      <c r="C696" s="1088" t="s">
        <v>3400</v>
      </c>
      <c r="D696" s="2676"/>
      <c r="E696" s="3322">
        <v>1050000</v>
      </c>
      <c r="F696" s="376">
        <v>0.03</v>
      </c>
      <c r="G696" s="2800">
        <f t="shared" si="24"/>
        <v>31500</v>
      </c>
    </row>
    <row r="697" spans="1:7" x14ac:dyDescent="0.3">
      <c r="A697" s="2444">
        <v>13853</v>
      </c>
      <c r="B697" s="2596">
        <v>0.1</v>
      </c>
      <c r="C697" s="2965" t="s">
        <v>3405</v>
      </c>
      <c r="D697" s="2857"/>
      <c r="E697" s="3326">
        <v>850000</v>
      </c>
      <c r="F697" s="376">
        <v>0.03</v>
      </c>
      <c r="G697" s="2800">
        <f t="shared" si="24"/>
        <v>25500</v>
      </c>
    </row>
    <row r="698" spans="1:7" x14ac:dyDescent="0.3">
      <c r="A698" s="1010">
        <v>13864</v>
      </c>
      <c r="B698" s="333">
        <v>0.1</v>
      </c>
      <c r="C698" s="2965" t="s">
        <v>3407</v>
      </c>
      <c r="D698" s="2676"/>
      <c r="E698" s="3322">
        <v>650000</v>
      </c>
      <c r="F698" s="376">
        <v>0.03</v>
      </c>
      <c r="G698" s="2800">
        <f t="shared" si="24"/>
        <v>19500</v>
      </c>
    </row>
    <row r="699" spans="1:7" x14ac:dyDescent="0.3">
      <c r="A699" s="1010">
        <v>13855</v>
      </c>
      <c r="B699" s="333">
        <v>0.1</v>
      </c>
      <c r="C699" s="2965" t="s">
        <v>3408</v>
      </c>
      <c r="D699" s="2676"/>
      <c r="E699" s="3322">
        <v>1000000</v>
      </c>
      <c r="F699" s="376">
        <v>0.03</v>
      </c>
      <c r="G699" s="2800">
        <f t="shared" si="24"/>
        <v>30000</v>
      </c>
    </row>
    <row r="700" spans="1:7" x14ac:dyDescent="0.3">
      <c r="A700" s="2444">
        <v>13745</v>
      </c>
      <c r="B700" s="333">
        <v>0.1</v>
      </c>
      <c r="C700" s="1088" t="s">
        <v>3368</v>
      </c>
      <c r="D700" s="1628"/>
      <c r="E700" s="3335">
        <v>1050000</v>
      </c>
      <c r="F700" s="2672">
        <v>0.03</v>
      </c>
      <c r="G700" s="2800">
        <f t="shared" si="24"/>
        <v>31500</v>
      </c>
    </row>
    <row r="701" spans="1:7" x14ac:dyDescent="0.3">
      <c r="A701" s="2449">
        <v>13694</v>
      </c>
      <c r="B701" s="333">
        <v>0.1</v>
      </c>
      <c r="C701" s="1088" t="s">
        <v>3353</v>
      </c>
      <c r="D701" s="1632"/>
      <c r="E701" s="3338">
        <v>1400000</v>
      </c>
      <c r="F701" s="320">
        <v>0.03</v>
      </c>
      <c r="G701" s="2800">
        <f t="shared" si="24"/>
        <v>42000</v>
      </c>
    </row>
    <row r="702" spans="1:7" x14ac:dyDescent="0.3">
      <c r="A702" s="2444">
        <v>13669</v>
      </c>
      <c r="B702" s="2596">
        <v>0.1</v>
      </c>
      <c r="C702" s="1095" t="s">
        <v>3367</v>
      </c>
      <c r="D702" s="2130"/>
      <c r="E702" s="3335">
        <v>1100000</v>
      </c>
      <c r="F702" s="320">
        <v>0.03</v>
      </c>
      <c r="G702" s="2800">
        <f t="shared" si="24"/>
        <v>33000</v>
      </c>
    </row>
    <row r="703" spans="1:7" x14ac:dyDescent="0.3">
      <c r="A703" s="2444">
        <v>13774</v>
      </c>
      <c r="B703" s="2596">
        <v>0.1</v>
      </c>
      <c r="C703" s="2998" t="s">
        <v>3370</v>
      </c>
      <c r="D703" s="1628"/>
      <c r="E703" s="3335">
        <v>1600000</v>
      </c>
      <c r="F703" s="320">
        <v>0.03</v>
      </c>
      <c r="G703" s="2800">
        <f>G653</f>
        <v>80000</v>
      </c>
    </row>
    <row r="704" spans="1:7" x14ac:dyDescent="0.3">
      <c r="A704" s="2444">
        <v>13818</v>
      </c>
      <c r="B704" s="2694">
        <v>0.08</v>
      </c>
      <c r="C704" s="2998" t="s">
        <v>3371</v>
      </c>
      <c r="D704" s="1628"/>
      <c r="E704" s="3335">
        <v>1350000</v>
      </c>
      <c r="F704" s="2456">
        <v>0.02</v>
      </c>
      <c r="G704" s="2800">
        <f t="shared" si="24"/>
        <v>27000</v>
      </c>
    </row>
    <row r="705" spans="1:7" x14ac:dyDescent="0.3">
      <c r="A705" s="2444">
        <v>13825</v>
      </c>
      <c r="B705" s="2596">
        <v>0.1</v>
      </c>
      <c r="C705" s="2998" t="s">
        <v>3372</v>
      </c>
      <c r="D705" s="1628"/>
      <c r="E705" s="3335">
        <v>800000</v>
      </c>
      <c r="F705" s="320">
        <v>0.03</v>
      </c>
      <c r="G705" s="2800">
        <f t="shared" si="24"/>
        <v>24000</v>
      </c>
    </row>
    <row r="706" spans="1:7" x14ac:dyDescent="0.3">
      <c r="A706" s="2444">
        <v>13840</v>
      </c>
      <c r="B706" s="2596">
        <v>0.1</v>
      </c>
      <c r="C706" s="2998" t="s">
        <v>3374</v>
      </c>
      <c r="D706" s="1628"/>
      <c r="E706" s="3335">
        <v>1500000</v>
      </c>
      <c r="F706" s="320">
        <v>0.03</v>
      </c>
      <c r="G706" s="2800">
        <f t="shared" si="24"/>
        <v>45000</v>
      </c>
    </row>
    <row r="707" spans="1:7" x14ac:dyDescent="0.3">
      <c r="A707" s="2444">
        <v>13848</v>
      </c>
      <c r="B707" s="2596">
        <v>0.1</v>
      </c>
      <c r="C707" s="2998" t="s">
        <v>3375</v>
      </c>
      <c r="D707" s="1628"/>
      <c r="E707" s="3335">
        <v>1000000</v>
      </c>
      <c r="F707" s="320">
        <v>0.03</v>
      </c>
      <c r="G707" s="2800">
        <f t="shared" si="24"/>
        <v>30000</v>
      </c>
    </row>
    <row r="708" spans="1:7" x14ac:dyDescent="0.3">
      <c r="A708" s="2444">
        <v>13866</v>
      </c>
      <c r="B708" s="2596">
        <v>0.1</v>
      </c>
      <c r="C708" s="2998" t="s">
        <v>3376</v>
      </c>
      <c r="D708" s="1628"/>
      <c r="E708" s="3335">
        <v>1300000</v>
      </c>
      <c r="F708" s="320">
        <v>0.03</v>
      </c>
      <c r="G708" s="2800">
        <f t="shared" si="24"/>
        <v>39000</v>
      </c>
    </row>
    <row r="709" spans="1:7" x14ac:dyDescent="0.3">
      <c r="A709" s="2444">
        <v>13868</v>
      </c>
      <c r="B709" s="2596">
        <v>0.1</v>
      </c>
      <c r="C709" s="2998" t="s">
        <v>3377</v>
      </c>
      <c r="D709" s="1628"/>
      <c r="E709" s="3335">
        <v>1050000</v>
      </c>
      <c r="F709" s="320">
        <v>0.03</v>
      </c>
      <c r="G709" s="2800">
        <f t="shared" si="24"/>
        <v>31500</v>
      </c>
    </row>
    <row r="710" spans="1:7" x14ac:dyDescent="0.3">
      <c r="A710" s="2444" t="s">
        <v>3226</v>
      </c>
      <c r="B710" s="2596">
        <v>0.1</v>
      </c>
      <c r="C710" s="2998" t="s">
        <v>3352</v>
      </c>
      <c r="D710" s="1628"/>
      <c r="E710" s="3335">
        <v>1350000</v>
      </c>
      <c r="F710" s="320">
        <v>0.03</v>
      </c>
      <c r="G710" s="2800">
        <f t="shared" si="24"/>
        <v>40500</v>
      </c>
    </row>
    <row r="711" spans="1:7" x14ac:dyDescent="0.3">
      <c r="A711" s="1010">
        <v>13667</v>
      </c>
      <c r="B711" s="333">
        <v>0.1</v>
      </c>
      <c r="C711" s="1088" t="s">
        <v>3385</v>
      </c>
      <c r="D711" s="1628"/>
      <c r="E711" s="3335">
        <v>1300000</v>
      </c>
      <c r="F711" s="320">
        <v>0.03</v>
      </c>
      <c r="G711" s="2800">
        <f t="shared" si="24"/>
        <v>39000</v>
      </c>
    </row>
    <row r="712" spans="1:7" x14ac:dyDescent="0.3">
      <c r="A712" s="2444">
        <v>13729</v>
      </c>
      <c r="B712" s="553">
        <v>0.08</v>
      </c>
      <c r="C712" s="1088" t="s">
        <v>3386</v>
      </c>
      <c r="D712" s="1628"/>
      <c r="E712" s="3335">
        <v>820000</v>
      </c>
      <c r="F712" s="2456">
        <v>0.02</v>
      </c>
      <c r="G712" s="2800">
        <f t="shared" si="24"/>
        <v>16400</v>
      </c>
    </row>
    <row r="713" spans="1:7" x14ac:dyDescent="0.3">
      <c r="A713" s="2450">
        <v>13753</v>
      </c>
      <c r="B713" s="2596">
        <v>0.1</v>
      </c>
      <c r="C713" s="2993" t="s">
        <v>3387</v>
      </c>
      <c r="D713" s="1628"/>
      <c r="E713" s="3335">
        <v>1250000</v>
      </c>
      <c r="F713" s="320">
        <v>0.03</v>
      </c>
      <c r="G713" s="2800">
        <f t="shared" si="24"/>
        <v>37500</v>
      </c>
    </row>
    <row r="714" spans="1:7" x14ac:dyDescent="0.3">
      <c r="A714" s="1010">
        <v>13689</v>
      </c>
      <c r="B714" s="333">
        <v>0.1</v>
      </c>
      <c r="C714" s="2965" t="s">
        <v>3354</v>
      </c>
      <c r="D714" s="2676"/>
      <c r="E714" s="3322">
        <v>1300000</v>
      </c>
      <c r="F714" s="320">
        <v>0.03</v>
      </c>
      <c r="G714" s="2800">
        <f t="shared" si="24"/>
        <v>39000</v>
      </c>
    </row>
    <row r="715" spans="1:7" x14ac:dyDescent="0.3">
      <c r="A715" s="1010">
        <v>13699</v>
      </c>
      <c r="B715" s="333">
        <v>0.1</v>
      </c>
      <c r="C715" s="1088" t="s">
        <v>3395</v>
      </c>
      <c r="D715" s="2676"/>
      <c r="E715" s="3322">
        <v>950000</v>
      </c>
      <c r="F715" s="320">
        <v>0.03</v>
      </c>
      <c r="G715" s="2800">
        <f t="shared" si="24"/>
        <v>28500</v>
      </c>
    </row>
    <row r="716" spans="1:7" x14ac:dyDescent="0.3">
      <c r="A716" s="1010">
        <v>13721</v>
      </c>
      <c r="B716" s="333">
        <v>0.1</v>
      </c>
      <c r="C716" s="2965" t="s">
        <v>3396</v>
      </c>
      <c r="D716" s="2676"/>
      <c r="E716" s="3322">
        <v>1150000</v>
      </c>
      <c r="F716" s="320">
        <v>0.03</v>
      </c>
      <c r="G716" s="2800">
        <f t="shared" si="24"/>
        <v>34500</v>
      </c>
    </row>
    <row r="717" spans="1:7" x14ac:dyDescent="0.3">
      <c r="A717" s="2311">
        <v>13731</v>
      </c>
      <c r="B717" s="2442">
        <v>0.1</v>
      </c>
      <c r="C717" s="1089" t="s">
        <v>3398</v>
      </c>
      <c r="D717" s="2809"/>
      <c r="E717" s="3328">
        <v>1050000</v>
      </c>
      <c r="F717" s="320">
        <v>0.03</v>
      </c>
      <c r="G717" s="2800">
        <f t="shared" si="24"/>
        <v>31500</v>
      </c>
    </row>
    <row r="718" spans="1:7" x14ac:dyDescent="0.3">
      <c r="A718" s="1010">
        <v>13752</v>
      </c>
      <c r="B718" s="333">
        <v>0.1</v>
      </c>
      <c r="C718" s="1088" t="s">
        <v>3401</v>
      </c>
      <c r="D718" s="2676"/>
      <c r="E718" s="3322">
        <v>1200000</v>
      </c>
      <c r="F718" s="320">
        <v>0.03</v>
      </c>
      <c r="G718" s="2800">
        <f t="shared" si="24"/>
        <v>36000</v>
      </c>
    </row>
    <row r="719" spans="1:7" x14ac:dyDescent="0.3">
      <c r="A719" s="1010">
        <v>13787</v>
      </c>
      <c r="B719" s="333">
        <v>0.1</v>
      </c>
      <c r="C719" s="1088" t="s">
        <v>3402</v>
      </c>
      <c r="D719" s="2676"/>
      <c r="E719" s="3322">
        <v>1100000</v>
      </c>
      <c r="F719" s="320">
        <v>0.03</v>
      </c>
      <c r="G719" s="2800">
        <f t="shared" si="24"/>
        <v>33000</v>
      </c>
    </row>
    <row r="720" spans="1:7" x14ac:dyDescent="0.3">
      <c r="A720" s="2444">
        <v>13777</v>
      </c>
      <c r="B720" s="2596">
        <v>0.1</v>
      </c>
      <c r="C720" s="2965" t="s">
        <v>3403</v>
      </c>
      <c r="D720" s="2857"/>
      <c r="E720" s="3326">
        <v>1100000</v>
      </c>
      <c r="F720" s="320">
        <v>0.03</v>
      </c>
      <c r="G720" s="2800">
        <f t="shared" si="24"/>
        <v>33000</v>
      </c>
    </row>
    <row r="721" spans="1:8" x14ac:dyDescent="0.3">
      <c r="A721" s="1010">
        <v>13842</v>
      </c>
      <c r="B721" s="333">
        <v>0.1</v>
      </c>
      <c r="C721" s="2965" t="s">
        <v>3404</v>
      </c>
      <c r="D721" s="2809"/>
      <c r="E721" s="3328">
        <v>1600000</v>
      </c>
      <c r="F721" s="528">
        <v>0.03</v>
      </c>
      <c r="G721" s="2800">
        <f>G671</f>
        <v>80000</v>
      </c>
    </row>
    <row r="722" spans="1:8" x14ac:dyDescent="0.3">
      <c r="A722" s="1010">
        <v>13857</v>
      </c>
      <c r="B722" s="553">
        <v>0.08</v>
      </c>
      <c r="C722" s="2998" t="s">
        <v>3406</v>
      </c>
      <c r="D722" s="2676"/>
      <c r="E722" s="3322">
        <v>1160000</v>
      </c>
      <c r="F722" s="2456">
        <v>0.02</v>
      </c>
      <c r="G722" s="2800">
        <f t="shared" si="24"/>
        <v>23200</v>
      </c>
    </row>
    <row r="723" spans="1:8" x14ac:dyDescent="0.3">
      <c r="A723" s="1010">
        <v>13768</v>
      </c>
      <c r="B723" s="333">
        <v>0.1</v>
      </c>
      <c r="C723" s="2998" t="s">
        <v>3397</v>
      </c>
      <c r="D723" s="2676"/>
      <c r="E723" s="3322">
        <v>1000000</v>
      </c>
      <c r="F723" s="528">
        <v>0.03</v>
      </c>
      <c r="G723" s="2800">
        <f t="shared" si="24"/>
        <v>30000</v>
      </c>
    </row>
    <row r="724" spans="1:8" x14ac:dyDescent="0.3">
      <c r="A724" s="2444">
        <v>13761</v>
      </c>
      <c r="B724" s="2596">
        <v>0.1</v>
      </c>
      <c r="C724" s="2993" t="s">
        <v>3351</v>
      </c>
      <c r="D724" s="1628"/>
      <c r="E724" s="3326">
        <v>1000000</v>
      </c>
      <c r="F724" s="528">
        <v>0.03</v>
      </c>
      <c r="G724" s="2800">
        <f t="shared" ref="G724" si="25">E724*F724</f>
        <v>30000</v>
      </c>
    </row>
    <row r="725" spans="1:8" x14ac:dyDescent="0.3">
      <c r="A725" s="2444">
        <v>13863</v>
      </c>
      <c r="B725" s="2596">
        <v>0.1</v>
      </c>
      <c r="C725" s="2993" t="s">
        <v>3390</v>
      </c>
      <c r="D725" s="2877"/>
      <c r="E725" s="3326">
        <v>1400000</v>
      </c>
      <c r="F725" s="528">
        <v>0.03</v>
      </c>
      <c r="G725" s="2800">
        <f>G673</f>
        <v>70000</v>
      </c>
    </row>
    <row r="726" spans="1:8" x14ac:dyDescent="0.3">
      <c r="A726" s="3214"/>
      <c r="B726" s="2578"/>
      <c r="C726" s="1214"/>
      <c r="D726" s="1582" t="s">
        <v>3758</v>
      </c>
      <c r="E726" s="3340">
        <f>SUM(E685:E724)</f>
        <v>47180000</v>
      </c>
      <c r="F726" s="51"/>
      <c r="G726" s="2701">
        <f>SUM(G685:G725)</f>
        <v>1505600</v>
      </c>
    </row>
    <row r="729" spans="1:8" ht="46.2" x14ac:dyDescent="0.85">
      <c r="A729" s="3673" t="s">
        <v>2501</v>
      </c>
      <c r="B729" s="3674"/>
      <c r="C729" s="3674"/>
      <c r="D729" s="3674"/>
      <c r="E729" s="3674"/>
      <c r="F729" s="3674"/>
      <c r="G729" s="3674"/>
    </row>
    <row r="731" spans="1:8" ht="15" customHeight="1" x14ac:dyDescent="0.3">
      <c r="A731" s="3669" t="s">
        <v>3839</v>
      </c>
      <c r="B731" s="3670"/>
      <c r="C731" s="3670"/>
      <c r="D731" s="3670"/>
      <c r="E731" s="3670"/>
      <c r="F731" s="3670"/>
      <c r="G731" s="3670"/>
      <c r="H731" s="3670"/>
    </row>
    <row r="732" spans="1:8" ht="15" customHeight="1" x14ac:dyDescent="0.3">
      <c r="A732" s="3671"/>
      <c r="B732" s="3672"/>
      <c r="C732" s="3672"/>
      <c r="D732" s="3672"/>
      <c r="E732" s="3672"/>
      <c r="F732" s="3672"/>
      <c r="G732" s="3672"/>
      <c r="H732" s="3672"/>
    </row>
    <row r="733" spans="1:8" x14ac:dyDescent="0.3">
      <c r="A733" s="2819" t="s">
        <v>3751</v>
      </c>
      <c r="B733" s="2719" t="s">
        <v>2976</v>
      </c>
      <c r="C733" s="3237" t="s">
        <v>3752</v>
      </c>
      <c r="D733" s="2796" t="s">
        <v>3753</v>
      </c>
      <c r="E733" s="3328" t="s">
        <v>3754</v>
      </c>
      <c r="F733" s="1595" t="s">
        <v>2979</v>
      </c>
      <c r="G733" s="2797" t="s">
        <v>2985</v>
      </c>
      <c r="H733" s="2226" t="s">
        <v>3755</v>
      </c>
    </row>
    <row r="734" spans="1:8" x14ac:dyDescent="0.3">
      <c r="A734" s="878">
        <v>13913</v>
      </c>
      <c r="B734" s="1397">
        <v>0.1</v>
      </c>
      <c r="C734" s="2965" t="s">
        <v>3431</v>
      </c>
      <c r="D734" s="11"/>
      <c r="E734" s="3139">
        <v>1350000</v>
      </c>
      <c r="F734" s="520">
        <v>0.05</v>
      </c>
      <c r="G734" s="1549">
        <f>E734*F734</f>
        <v>67500</v>
      </c>
      <c r="H734" s="2" t="s">
        <v>3776</v>
      </c>
    </row>
    <row r="735" spans="1:8" x14ac:dyDescent="0.3">
      <c r="A735" s="878">
        <v>13902</v>
      </c>
      <c r="B735" s="1397">
        <v>0.1</v>
      </c>
      <c r="C735" s="2965" t="s">
        <v>3432</v>
      </c>
      <c r="D735" s="11"/>
      <c r="E735" s="3139">
        <v>1300000</v>
      </c>
      <c r="F735" s="520">
        <v>0.05</v>
      </c>
      <c r="G735" s="1549">
        <f t="shared" ref="G735:G747" si="26">E735*F735</f>
        <v>65000</v>
      </c>
      <c r="H735" s="2" t="s">
        <v>3776</v>
      </c>
    </row>
    <row r="736" spans="1:8" x14ac:dyDescent="0.3">
      <c r="A736" s="878">
        <v>13893</v>
      </c>
      <c r="B736" s="1397">
        <v>0.1</v>
      </c>
      <c r="C736" s="2965" t="s">
        <v>3434</v>
      </c>
      <c r="D736" s="11"/>
      <c r="E736" s="3139">
        <v>1350000</v>
      </c>
      <c r="F736" s="520">
        <v>0.05</v>
      </c>
      <c r="G736" s="1549">
        <f t="shared" si="26"/>
        <v>67500</v>
      </c>
      <c r="H736" s="2" t="s">
        <v>3776</v>
      </c>
    </row>
    <row r="737" spans="1:8" x14ac:dyDescent="0.3">
      <c r="A737" s="878">
        <v>13929</v>
      </c>
      <c r="B737" s="1397">
        <v>0.1</v>
      </c>
      <c r="C737" s="1088" t="s">
        <v>3848</v>
      </c>
      <c r="D737" s="11"/>
      <c r="E737" s="3139">
        <v>1450000</v>
      </c>
      <c r="F737" s="520">
        <v>0.05</v>
      </c>
      <c r="G737" s="1549">
        <f t="shared" si="26"/>
        <v>72500</v>
      </c>
      <c r="H737" s="2" t="s">
        <v>3776</v>
      </c>
    </row>
    <row r="738" spans="1:8" x14ac:dyDescent="0.3">
      <c r="A738" s="878">
        <v>13961</v>
      </c>
      <c r="B738" s="1397">
        <v>0.1</v>
      </c>
      <c r="C738" s="2965" t="s">
        <v>3433</v>
      </c>
      <c r="D738" s="11"/>
      <c r="E738" s="3139">
        <v>900000</v>
      </c>
      <c r="F738" s="520">
        <v>0.05</v>
      </c>
      <c r="G738" s="1549">
        <f t="shared" si="26"/>
        <v>45000</v>
      </c>
      <c r="H738" s="2" t="s">
        <v>3776</v>
      </c>
    </row>
    <row r="739" spans="1:8" x14ac:dyDescent="0.3">
      <c r="A739" s="878">
        <v>13959</v>
      </c>
      <c r="B739" s="2905">
        <v>0.08</v>
      </c>
      <c r="C739" s="1088" t="s">
        <v>3849</v>
      </c>
      <c r="D739" s="11"/>
      <c r="E739" s="3139">
        <v>1500000</v>
      </c>
      <c r="F739" s="2920">
        <v>0.04</v>
      </c>
      <c r="G739" s="1549">
        <f t="shared" si="26"/>
        <v>60000</v>
      </c>
      <c r="H739" s="2" t="s">
        <v>3776</v>
      </c>
    </row>
    <row r="740" spans="1:8" x14ac:dyDescent="0.3">
      <c r="A740" s="878">
        <v>14007</v>
      </c>
      <c r="B740" s="1397">
        <v>0.1</v>
      </c>
      <c r="C740" s="1088" t="s">
        <v>3437</v>
      </c>
      <c r="D740" s="11"/>
      <c r="E740" s="3139">
        <v>1000000</v>
      </c>
      <c r="F740" s="520">
        <v>0.05</v>
      </c>
      <c r="G740" s="1549">
        <f t="shared" si="26"/>
        <v>50000</v>
      </c>
      <c r="H740" s="2" t="s">
        <v>3776</v>
      </c>
    </row>
    <row r="741" spans="1:8" x14ac:dyDescent="0.3">
      <c r="A741" s="878">
        <v>14033</v>
      </c>
      <c r="B741" s="1397">
        <v>0.1</v>
      </c>
      <c r="C741" s="1088" t="s">
        <v>3438</v>
      </c>
      <c r="D741" s="11"/>
      <c r="E741" s="3139">
        <v>1350000</v>
      </c>
      <c r="F741" s="520">
        <v>0.05</v>
      </c>
      <c r="G741" s="1549">
        <f t="shared" si="26"/>
        <v>67500</v>
      </c>
      <c r="H741" s="2" t="s">
        <v>3776</v>
      </c>
    </row>
    <row r="742" spans="1:8" x14ac:dyDescent="0.3">
      <c r="A742" s="2884">
        <v>14013</v>
      </c>
      <c r="B742" s="2905">
        <v>0.08</v>
      </c>
      <c r="C742" s="1088" t="s">
        <v>3416</v>
      </c>
      <c r="D742" s="11"/>
      <c r="E742" s="3139">
        <v>2200000</v>
      </c>
      <c r="F742" s="2920">
        <v>0.04</v>
      </c>
      <c r="G742" s="1549">
        <f t="shared" si="26"/>
        <v>88000</v>
      </c>
      <c r="H742" s="2" t="s">
        <v>3776</v>
      </c>
    </row>
    <row r="743" spans="1:8" x14ac:dyDescent="0.3">
      <c r="A743" s="878">
        <v>14040</v>
      </c>
      <c r="B743" s="1397">
        <v>0.1</v>
      </c>
      <c r="C743" s="1088" t="s">
        <v>3850</v>
      </c>
      <c r="D743" s="11"/>
      <c r="E743" s="3139">
        <v>1250000</v>
      </c>
      <c r="F743" s="520">
        <v>0.05</v>
      </c>
      <c r="G743" s="1549">
        <f t="shared" si="26"/>
        <v>62500</v>
      </c>
      <c r="H743" s="2" t="s">
        <v>3776</v>
      </c>
    </row>
    <row r="744" spans="1:8" x14ac:dyDescent="0.3">
      <c r="A744" s="878">
        <v>14052</v>
      </c>
      <c r="B744" s="1397">
        <v>0.1</v>
      </c>
      <c r="C744" s="2993" t="s">
        <v>3419</v>
      </c>
      <c r="D744" s="11"/>
      <c r="E744" s="3139">
        <v>1350000</v>
      </c>
      <c r="F744" s="520">
        <v>0.05</v>
      </c>
      <c r="G744" s="1549">
        <f t="shared" si="26"/>
        <v>67500</v>
      </c>
      <c r="H744" s="2" t="s">
        <v>3776</v>
      </c>
    </row>
    <row r="745" spans="1:8" x14ac:dyDescent="0.3">
      <c r="A745" s="878">
        <v>14073</v>
      </c>
      <c r="B745" s="1397">
        <v>0.1</v>
      </c>
      <c r="C745" s="2965" t="s">
        <v>3444</v>
      </c>
      <c r="D745" s="11"/>
      <c r="E745" s="3139">
        <v>1500000</v>
      </c>
      <c r="F745" s="520">
        <v>0.05</v>
      </c>
      <c r="G745" s="1549">
        <f t="shared" si="26"/>
        <v>75000</v>
      </c>
      <c r="H745" s="2" t="s">
        <v>36</v>
      </c>
    </row>
    <row r="746" spans="1:8" x14ac:dyDescent="0.3">
      <c r="A746" s="1065">
        <v>14060</v>
      </c>
      <c r="B746" s="2891">
        <v>0.1</v>
      </c>
      <c r="C746" s="1098" t="s">
        <v>3425</v>
      </c>
      <c r="D746" s="11"/>
      <c r="E746" s="3139">
        <v>1200000</v>
      </c>
      <c r="F746" s="520">
        <v>0.05</v>
      </c>
      <c r="G746" s="1549">
        <f t="shared" si="26"/>
        <v>60000</v>
      </c>
      <c r="H746" s="2" t="s">
        <v>3776</v>
      </c>
    </row>
    <row r="747" spans="1:8" x14ac:dyDescent="0.3">
      <c r="A747" s="1065">
        <v>14104</v>
      </c>
      <c r="B747" s="2891">
        <v>0.1</v>
      </c>
      <c r="C747" s="2972" t="s">
        <v>2298</v>
      </c>
      <c r="D747" s="11"/>
      <c r="E747" s="3139">
        <v>1100000</v>
      </c>
      <c r="F747" s="520">
        <v>0.05</v>
      </c>
      <c r="G747" s="1549">
        <f t="shared" si="26"/>
        <v>55000</v>
      </c>
      <c r="H747" s="2" t="s">
        <v>36</v>
      </c>
    </row>
    <row r="748" spans="1:8" ht="19.5" customHeight="1" x14ac:dyDescent="0.3">
      <c r="A748" s="2902" t="s">
        <v>3062</v>
      </c>
      <c r="B748" s="2903"/>
      <c r="C748" s="2964" t="s">
        <v>3429</v>
      </c>
      <c r="D748" s="2882" t="s">
        <v>3851</v>
      </c>
      <c r="E748" s="3139"/>
      <c r="F748" s="2"/>
      <c r="G748" s="11"/>
      <c r="H748" s="2"/>
    </row>
    <row r="749" spans="1:8" x14ac:dyDescent="0.3">
      <c r="A749" s="2"/>
      <c r="B749" s="2392"/>
      <c r="C749" s="160"/>
      <c r="D749" s="11"/>
      <c r="E749" s="3139"/>
      <c r="F749" s="2"/>
      <c r="G749" s="11"/>
      <c r="H749" s="2"/>
    </row>
    <row r="750" spans="1:8" x14ac:dyDescent="0.3">
      <c r="A750" s="2"/>
      <c r="B750" s="2392"/>
      <c r="C750" s="160"/>
      <c r="D750" s="1164" t="s">
        <v>3758</v>
      </c>
      <c r="E750" s="3259">
        <f>SUM(E734:E748)</f>
        <v>18800000</v>
      </c>
      <c r="F750" s="2"/>
      <c r="G750" s="1549">
        <f>SUM(G734:G747)</f>
        <v>903000</v>
      </c>
      <c r="H750" s="2"/>
    </row>
    <row r="753" spans="1:9" x14ac:dyDescent="0.3">
      <c r="A753" s="3669" t="s">
        <v>3852</v>
      </c>
      <c r="B753" s="3670"/>
      <c r="C753" s="3670"/>
      <c r="D753" s="3670"/>
      <c r="E753" s="3670"/>
      <c r="F753" s="3670"/>
      <c r="G753" s="3670"/>
      <c r="H753" s="3670"/>
    </row>
    <row r="754" spans="1:9" x14ac:dyDescent="0.3">
      <c r="A754" s="3671"/>
      <c r="B754" s="3672"/>
      <c r="C754" s="3672"/>
      <c r="D754" s="3672"/>
      <c r="E754" s="3672"/>
      <c r="F754" s="3672"/>
      <c r="G754" s="3672"/>
      <c r="H754" s="3672"/>
    </row>
    <row r="755" spans="1:9" x14ac:dyDescent="0.3">
      <c r="A755" s="2819" t="s">
        <v>3751</v>
      </c>
      <c r="B755" s="2719" t="s">
        <v>2976</v>
      </c>
      <c r="C755" s="3237" t="s">
        <v>3752</v>
      </c>
      <c r="D755" s="2796" t="s">
        <v>3753</v>
      </c>
      <c r="E755" s="3139" t="s">
        <v>3754</v>
      </c>
      <c r="F755" s="1595" t="s">
        <v>2979</v>
      </c>
      <c r="G755" s="2797" t="s">
        <v>2985</v>
      </c>
      <c r="H755" s="2226" t="s">
        <v>3755</v>
      </c>
    </row>
    <row r="756" spans="1:9" x14ac:dyDescent="0.3">
      <c r="A756" s="878">
        <v>13990</v>
      </c>
      <c r="B756" s="1397">
        <v>0.1</v>
      </c>
      <c r="C756" s="1088" t="s">
        <v>3853</v>
      </c>
      <c r="D756" s="11"/>
      <c r="E756" s="3359">
        <v>1200000</v>
      </c>
      <c r="F756" s="520">
        <v>0.02</v>
      </c>
      <c r="G756" s="2906">
        <f>E756*F756</f>
        <v>24000</v>
      </c>
      <c r="H756" s="2" t="s">
        <v>36</v>
      </c>
    </row>
    <row r="757" spans="1:9" x14ac:dyDescent="0.3">
      <c r="A757" s="878">
        <v>14048</v>
      </c>
      <c r="B757" s="1397">
        <v>0.1</v>
      </c>
      <c r="C757" s="1088" t="s">
        <v>3854</v>
      </c>
      <c r="D757" s="11"/>
      <c r="E757" s="3139">
        <v>1450000</v>
      </c>
      <c r="F757" s="717">
        <v>0.02</v>
      </c>
      <c r="G757" s="2906">
        <f t="shared" ref="G757:G762" si="27">E757*F757</f>
        <v>29000</v>
      </c>
      <c r="H757" s="2" t="s">
        <v>36</v>
      </c>
      <c r="I757" s="2535"/>
    </row>
    <row r="758" spans="1:9" x14ac:dyDescent="0.3">
      <c r="A758" s="878">
        <v>14018</v>
      </c>
      <c r="B758" s="1397">
        <v>0.1</v>
      </c>
      <c r="C758" s="1088" t="s">
        <v>3855</v>
      </c>
      <c r="E758" s="3139">
        <v>1000000</v>
      </c>
      <c r="F758" s="520">
        <v>0.02</v>
      </c>
      <c r="G758" s="2906">
        <f t="shared" si="27"/>
        <v>20000</v>
      </c>
      <c r="H758" s="2" t="s">
        <v>36</v>
      </c>
    </row>
    <row r="759" spans="1:9" x14ac:dyDescent="0.3">
      <c r="A759" s="878">
        <v>14044</v>
      </c>
      <c r="B759" s="2905">
        <v>0.08</v>
      </c>
      <c r="C759" s="1088" t="s">
        <v>3856</v>
      </c>
      <c r="D759" s="11"/>
      <c r="E759" s="3139">
        <v>1550000</v>
      </c>
      <c r="F759" s="520">
        <v>0.01</v>
      </c>
      <c r="G759" s="2906">
        <f t="shared" si="27"/>
        <v>15500</v>
      </c>
      <c r="H759" s="2" t="s">
        <v>36</v>
      </c>
    </row>
    <row r="760" spans="1:9" x14ac:dyDescent="0.3">
      <c r="A760" s="878">
        <v>14071</v>
      </c>
      <c r="B760" s="1397">
        <v>0.1</v>
      </c>
      <c r="C760" s="1088" t="s">
        <v>3857</v>
      </c>
      <c r="D760" s="11"/>
      <c r="E760" s="3139">
        <v>1050000</v>
      </c>
      <c r="F760" s="520">
        <v>0.02</v>
      </c>
      <c r="G760" s="2906">
        <f t="shared" si="27"/>
        <v>21000</v>
      </c>
      <c r="H760" s="2" t="s">
        <v>36</v>
      </c>
    </row>
    <row r="761" spans="1:9" x14ac:dyDescent="0.3">
      <c r="A761" s="878">
        <v>14085</v>
      </c>
      <c r="B761" s="1397">
        <v>0.1</v>
      </c>
      <c r="C761" s="1088" t="s">
        <v>3858</v>
      </c>
      <c r="D761" s="11"/>
      <c r="E761" s="3139">
        <v>1200000</v>
      </c>
      <c r="F761" s="520">
        <v>0.02</v>
      </c>
      <c r="G761" s="2906">
        <f t="shared" si="27"/>
        <v>24000</v>
      </c>
      <c r="H761" s="2" t="s">
        <v>36</v>
      </c>
    </row>
    <row r="762" spans="1:9" x14ac:dyDescent="0.3">
      <c r="A762" s="878">
        <v>14110</v>
      </c>
      <c r="B762" s="1397">
        <v>0.1</v>
      </c>
      <c r="C762" s="1088" t="s">
        <v>3859</v>
      </c>
      <c r="D762" s="11"/>
      <c r="E762" s="3139">
        <v>1000000</v>
      </c>
      <c r="F762" s="520">
        <v>0.02</v>
      </c>
      <c r="G762" s="2906">
        <f t="shared" si="27"/>
        <v>20000</v>
      </c>
      <c r="H762" s="2" t="s">
        <v>36</v>
      </c>
    </row>
    <row r="763" spans="1:9" x14ac:dyDescent="0.3">
      <c r="A763" s="1026" t="s">
        <v>3674</v>
      </c>
      <c r="B763" s="2887" t="s">
        <v>3620</v>
      </c>
      <c r="C763" s="1087" t="s">
        <v>3860</v>
      </c>
      <c r="D763" s="11" t="s">
        <v>3861</v>
      </c>
      <c r="E763" s="3139"/>
      <c r="F763" s="2"/>
      <c r="G763" s="11"/>
      <c r="H763" s="11"/>
    </row>
    <row r="764" spans="1:9" x14ac:dyDescent="0.3">
      <c r="A764" s="2"/>
      <c r="B764" s="2392"/>
      <c r="C764" s="160"/>
      <c r="D764" s="1582" t="s">
        <v>3862</v>
      </c>
      <c r="E764" s="3360">
        <f>SUM(E756:E763)</f>
        <v>8450000</v>
      </c>
      <c r="F764" s="2"/>
      <c r="G764" s="1549">
        <f>SUM(G756:G762)</f>
        <v>153500</v>
      </c>
      <c r="H764" s="11"/>
    </row>
    <row r="766" spans="1:9" x14ac:dyDescent="0.3">
      <c r="D766" s="2889"/>
    </row>
    <row r="767" spans="1:9" x14ac:dyDescent="0.3">
      <c r="A767" s="3661" t="s">
        <v>3826</v>
      </c>
      <c r="B767" s="3661"/>
      <c r="C767" s="3661"/>
      <c r="D767" s="3661"/>
      <c r="E767" s="3661"/>
      <c r="F767" s="3661"/>
      <c r="G767" s="3661"/>
    </row>
    <row r="768" spans="1:9" x14ac:dyDescent="0.3">
      <c r="A768" s="3661"/>
      <c r="B768" s="3661"/>
      <c r="C768" s="3661"/>
      <c r="D768" s="3661"/>
      <c r="E768" s="3661"/>
      <c r="F768" s="3661"/>
      <c r="G768" s="3661"/>
    </row>
    <row r="769" spans="1:9" x14ac:dyDescent="0.3">
      <c r="A769" s="2819" t="s">
        <v>3751</v>
      </c>
      <c r="B769" s="2719" t="s">
        <v>2976</v>
      </c>
      <c r="C769" s="3237" t="s">
        <v>3752</v>
      </c>
      <c r="D769" s="2796" t="s">
        <v>3753</v>
      </c>
      <c r="E769" s="3328" t="s">
        <v>3754</v>
      </c>
      <c r="F769" s="1595" t="s">
        <v>2979</v>
      </c>
      <c r="G769" s="2797" t="s">
        <v>2985</v>
      </c>
      <c r="H769" s="2226" t="s">
        <v>3755</v>
      </c>
    </row>
    <row r="770" spans="1:9" x14ac:dyDescent="0.3">
      <c r="A770" s="2881">
        <v>13966</v>
      </c>
      <c r="B770" s="1397">
        <v>0.1</v>
      </c>
      <c r="C770" s="2965" t="s">
        <v>3435</v>
      </c>
      <c r="D770" s="11"/>
      <c r="E770" s="3139">
        <v>1900000</v>
      </c>
      <c r="F770" s="520">
        <v>0.02</v>
      </c>
      <c r="G770" s="2907">
        <f>E770*F770</f>
        <v>38000</v>
      </c>
      <c r="H770" s="2392" t="s">
        <v>36</v>
      </c>
    </row>
    <row r="771" spans="1:9" x14ac:dyDescent="0.3">
      <c r="A771" s="878">
        <v>13963</v>
      </c>
      <c r="B771" s="1397">
        <v>0.1</v>
      </c>
      <c r="C771" s="2965" t="s">
        <v>3436</v>
      </c>
      <c r="D771" s="11"/>
      <c r="E771" s="3139">
        <v>1450000</v>
      </c>
      <c r="F771" s="520">
        <v>0.02</v>
      </c>
      <c r="G771" s="2907">
        <f t="shared" ref="G771:G773" si="28">E771*F771</f>
        <v>29000</v>
      </c>
      <c r="H771" s="2392" t="s">
        <v>36</v>
      </c>
    </row>
    <row r="772" spans="1:9" x14ac:dyDescent="0.3">
      <c r="A772" s="878">
        <v>13946</v>
      </c>
      <c r="B772" s="1397">
        <v>0.1</v>
      </c>
      <c r="C772" s="2965" t="s">
        <v>3863</v>
      </c>
      <c r="D772" s="11"/>
      <c r="E772" s="3139">
        <v>1200000</v>
      </c>
      <c r="F772" s="520">
        <v>0.02</v>
      </c>
      <c r="G772" s="2907">
        <f t="shared" si="28"/>
        <v>24000</v>
      </c>
      <c r="H772" s="2392" t="s">
        <v>36</v>
      </c>
    </row>
    <row r="773" spans="1:9" x14ac:dyDescent="0.3">
      <c r="A773" s="2881">
        <v>14028</v>
      </c>
      <c r="B773" s="1397">
        <v>0.1</v>
      </c>
      <c r="C773" s="2886" t="s">
        <v>3442</v>
      </c>
      <c r="D773" s="11"/>
      <c r="E773" s="3139">
        <v>1450000</v>
      </c>
      <c r="F773" s="520">
        <v>0.02</v>
      </c>
      <c r="G773" s="2907">
        <f t="shared" si="28"/>
        <v>29000</v>
      </c>
      <c r="H773" s="2392" t="s">
        <v>36</v>
      </c>
    </row>
    <row r="774" spans="1:9" x14ac:dyDescent="0.3">
      <c r="A774" s="1030" t="s">
        <v>3022</v>
      </c>
      <c r="B774" s="2887"/>
      <c r="C774" s="1570" t="s">
        <v>3448</v>
      </c>
      <c r="D774" s="11" t="s">
        <v>3864</v>
      </c>
      <c r="E774" s="3139"/>
      <c r="F774" s="2"/>
      <c r="G774" s="11"/>
      <c r="H774" s="2392"/>
    </row>
    <row r="775" spans="1:9" x14ac:dyDescent="0.3">
      <c r="A775" s="2"/>
      <c r="B775" s="2392"/>
      <c r="C775" s="160"/>
      <c r="D775" s="1582" t="s">
        <v>3862</v>
      </c>
      <c r="E775" s="3340">
        <f>SUM(E770:E773)</f>
        <v>6000000</v>
      </c>
      <c r="F775" s="2"/>
      <c r="G775" s="2907">
        <f>SUM(G770:G773)</f>
        <v>120000</v>
      </c>
      <c r="H775" s="11"/>
    </row>
    <row r="776" spans="1:9" x14ac:dyDescent="0.3">
      <c r="D776" s="2889"/>
      <c r="E776" s="3361"/>
    </row>
    <row r="777" spans="1:9" x14ac:dyDescent="0.3">
      <c r="D777" s="2889"/>
      <c r="E777" s="3361"/>
    </row>
    <row r="778" spans="1:9" x14ac:dyDescent="0.3">
      <c r="A778" s="3661" t="s">
        <v>3865</v>
      </c>
      <c r="B778" s="3661"/>
      <c r="C778" s="3661"/>
      <c r="D778" s="3661"/>
      <c r="E778" s="3661"/>
      <c r="F778" s="3661"/>
      <c r="G778" s="3661"/>
    </row>
    <row r="779" spans="1:9" x14ac:dyDescent="0.3">
      <c r="A779" s="3661"/>
      <c r="B779" s="3661"/>
      <c r="C779" s="3675"/>
      <c r="D779" s="3675"/>
      <c r="E779" s="3661"/>
      <c r="F779" s="3661"/>
      <c r="G779" s="3661"/>
    </row>
    <row r="780" spans="1:9" x14ac:dyDescent="0.3">
      <c r="A780" s="2819" t="s">
        <v>3751</v>
      </c>
      <c r="B780" s="2911" t="s">
        <v>2976</v>
      </c>
      <c r="C780" s="3018" t="s">
        <v>3752</v>
      </c>
      <c r="D780" s="1124" t="s">
        <v>3753</v>
      </c>
      <c r="E780" s="3329" t="s">
        <v>3754</v>
      </c>
      <c r="F780" s="1595" t="s">
        <v>2979</v>
      </c>
      <c r="G780" s="2797" t="s">
        <v>2985</v>
      </c>
    </row>
    <row r="781" spans="1:9" x14ac:dyDescent="0.3">
      <c r="A781" s="878">
        <v>13913</v>
      </c>
      <c r="B781" s="1397">
        <v>0.1</v>
      </c>
      <c r="C781" s="2965" t="s">
        <v>3431</v>
      </c>
      <c r="D781" s="171"/>
      <c r="E781" s="3139">
        <v>1350000</v>
      </c>
      <c r="F781" s="2910">
        <v>2.5000000000000001E-2</v>
      </c>
      <c r="G781" s="1549">
        <f>E781*F781</f>
        <v>33750</v>
      </c>
      <c r="I781" s="2909"/>
    </row>
    <row r="782" spans="1:9" x14ac:dyDescent="0.3">
      <c r="A782" s="878">
        <v>13902</v>
      </c>
      <c r="B782" s="1397">
        <v>0.1</v>
      </c>
      <c r="C782" s="2965" t="s">
        <v>3432</v>
      </c>
      <c r="D782" s="11"/>
      <c r="E782" s="3139">
        <v>1300000</v>
      </c>
      <c r="F782" s="2910">
        <v>2.5000000000000001E-2</v>
      </c>
      <c r="G782" s="1549">
        <f t="shared" ref="G782:G805" si="29">E782*F782</f>
        <v>32500</v>
      </c>
    </row>
    <row r="783" spans="1:9" x14ac:dyDescent="0.3">
      <c r="A783" s="878">
        <v>13893</v>
      </c>
      <c r="B783" s="1397">
        <v>0.1</v>
      </c>
      <c r="C783" s="2965" t="s">
        <v>3434</v>
      </c>
      <c r="D783" s="11"/>
      <c r="E783" s="3139">
        <v>1350000</v>
      </c>
      <c r="F783" s="2910">
        <v>2.5000000000000001E-2</v>
      </c>
      <c r="G783" s="1549">
        <f t="shared" si="29"/>
        <v>33750</v>
      </c>
    </row>
    <row r="784" spans="1:9" x14ac:dyDescent="0.3">
      <c r="A784" s="878">
        <v>13929</v>
      </c>
      <c r="B784" s="1397">
        <v>0.1</v>
      </c>
      <c r="C784" s="1088" t="s">
        <v>3848</v>
      </c>
      <c r="D784" s="11"/>
      <c r="E784" s="3139">
        <v>1450000</v>
      </c>
      <c r="F784" s="2910">
        <v>2.5000000000000001E-2</v>
      </c>
      <c r="G784" s="1549">
        <f t="shared" si="29"/>
        <v>36250</v>
      </c>
    </row>
    <row r="785" spans="1:7" x14ac:dyDescent="0.3">
      <c r="A785" s="878">
        <v>13961</v>
      </c>
      <c r="B785" s="1397">
        <v>0.1</v>
      </c>
      <c r="C785" s="2965" t="s">
        <v>3433</v>
      </c>
      <c r="D785" s="11"/>
      <c r="E785" s="3139">
        <v>900000</v>
      </c>
      <c r="F785" s="2910">
        <v>2.5000000000000001E-2</v>
      </c>
      <c r="G785" s="1549">
        <f t="shared" si="29"/>
        <v>22500</v>
      </c>
    </row>
    <row r="786" spans="1:7" x14ac:dyDescent="0.3">
      <c r="A786" s="878">
        <v>13959</v>
      </c>
      <c r="B786" s="2905">
        <v>0.08</v>
      </c>
      <c r="C786" s="1088" t="s">
        <v>3849</v>
      </c>
      <c r="D786" s="11"/>
      <c r="E786" s="3139">
        <v>1500000</v>
      </c>
      <c r="F786" s="2910">
        <v>1.4999999999999999E-2</v>
      </c>
      <c r="G786" s="1549">
        <f t="shared" si="29"/>
        <v>22500</v>
      </c>
    </row>
    <row r="787" spans="1:7" x14ac:dyDescent="0.3">
      <c r="A787" s="878">
        <v>14007</v>
      </c>
      <c r="B787" s="1397">
        <v>0.1</v>
      </c>
      <c r="C787" s="1088" t="s">
        <v>3437</v>
      </c>
      <c r="D787" s="11"/>
      <c r="E787" s="3139">
        <v>1000000</v>
      </c>
      <c r="F787" s="2910">
        <v>2.5000000000000001E-2</v>
      </c>
      <c r="G787" s="1549">
        <f t="shared" si="29"/>
        <v>25000</v>
      </c>
    </row>
    <row r="788" spans="1:7" x14ac:dyDescent="0.3">
      <c r="A788" s="878">
        <v>14033</v>
      </c>
      <c r="B788" s="1397">
        <v>0.1</v>
      </c>
      <c r="C788" s="1088" t="s">
        <v>3438</v>
      </c>
      <c r="D788" s="11"/>
      <c r="E788" s="3139">
        <v>1350000</v>
      </c>
      <c r="F788" s="2910">
        <v>2.5000000000000001E-2</v>
      </c>
      <c r="G788" s="1549">
        <f t="shared" si="29"/>
        <v>33750</v>
      </c>
    </row>
    <row r="789" spans="1:7" x14ac:dyDescent="0.3">
      <c r="A789" s="2884">
        <v>14013</v>
      </c>
      <c r="B789" s="2905">
        <v>0.08</v>
      </c>
      <c r="C789" s="1088" t="s">
        <v>3416</v>
      </c>
      <c r="D789" s="11"/>
      <c r="E789" s="3139">
        <v>2200000</v>
      </c>
      <c r="F789" s="2910">
        <v>1.4999999999999999E-2</v>
      </c>
      <c r="G789" s="1549">
        <f t="shared" si="29"/>
        <v>33000</v>
      </c>
    </row>
    <row r="790" spans="1:7" x14ac:dyDescent="0.3">
      <c r="A790" s="878">
        <v>14040</v>
      </c>
      <c r="B790" s="1397">
        <v>0.1</v>
      </c>
      <c r="C790" s="1088" t="s">
        <v>3850</v>
      </c>
      <c r="D790" s="11"/>
      <c r="E790" s="3139">
        <v>1250000</v>
      </c>
      <c r="F790" s="2910">
        <v>2.5000000000000001E-2</v>
      </c>
      <c r="G790" s="1549">
        <f t="shared" si="29"/>
        <v>31250</v>
      </c>
    </row>
    <row r="791" spans="1:7" x14ac:dyDescent="0.3">
      <c r="A791" s="878">
        <v>14052</v>
      </c>
      <c r="B791" s="1397">
        <v>0.1</v>
      </c>
      <c r="C791" s="2993" t="s">
        <v>3419</v>
      </c>
      <c r="D791" s="11"/>
      <c r="E791" s="3139">
        <v>1350000</v>
      </c>
      <c r="F791" s="2910">
        <v>2.5000000000000001E-2</v>
      </c>
      <c r="G791" s="1549">
        <f t="shared" si="29"/>
        <v>33750</v>
      </c>
    </row>
    <row r="792" spans="1:7" x14ac:dyDescent="0.3">
      <c r="A792" s="878">
        <v>14073</v>
      </c>
      <c r="B792" s="1397">
        <v>0.1</v>
      </c>
      <c r="C792" s="2965" t="s">
        <v>3444</v>
      </c>
      <c r="D792" s="11"/>
      <c r="E792" s="3139">
        <v>1500000</v>
      </c>
      <c r="F792" s="2910">
        <v>2.5000000000000001E-2</v>
      </c>
      <c r="G792" s="1549">
        <f t="shared" si="29"/>
        <v>37500</v>
      </c>
    </row>
    <row r="793" spans="1:7" x14ac:dyDescent="0.3">
      <c r="A793" s="1065">
        <v>14060</v>
      </c>
      <c r="B793" s="2891">
        <v>0.1</v>
      </c>
      <c r="C793" s="1098" t="s">
        <v>3425</v>
      </c>
      <c r="D793" s="11"/>
      <c r="E793" s="3139">
        <v>1200000</v>
      </c>
      <c r="F793" s="2910">
        <v>2.5000000000000001E-2</v>
      </c>
      <c r="G793" s="1549">
        <f t="shared" si="29"/>
        <v>30000</v>
      </c>
    </row>
    <row r="794" spans="1:7" x14ac:dyDescent="0.3">
      <c r="A794" s="1065">
        <v>14104</v>
      </c>
      <c r="B794" s="2891">
        <v>0.1</v>
      </c>
      <c r="C794" s="2972" t="s">
        <v>2298</v>
      </c>
      <c r="D794" s="11"/>
      <c r="E794" s="3139">
        <v>1100000</v>
      </c>
      <c r="F794" s="2910">
        <v>2.5000000000000001E-2</v>
      </c>
      <c r="G794" s="1549">
        <f t="shared" si="29"/>
        <v>27500</v>
      </c>
    </row>
    <row r="795" spans="1:7" x14ac:dyDescent="0.3">
      <c r="A795" s="878">
        <v>13990</v>
      </c>
      <c r="B795" s="1397">
        <v>0.1</v>
      </c>
      <c r="C795" s="1088" t="s">
        <v>3418</v>
      </c>
      <c r="D795" s="11"/>
      <c r="E795" s="3359">
        <v>1200000</v>
      </c>
      <c r="F795" s="2910">
        <v>2.5000000000000001E-2</v>
      </c>
      <c r="G795" s="1549">
        <f t="shared" si="29"/>
        <v>30000</v>
      </c>
    </row>
    <row r="796" spans="1:7" x14ac:dyDescent="0.3">
      <c r="A796" s="878">
        <v>14048</v>
      </c>
      <c r="B796" s="1397">
        <v>0.1</v>
      </c>
      <c r="C796" s="1088" t="s">
        <v>3421</v>
      </c>
      <c r="D796" s="11"/>
      <c r="E796" s="3139">
        <v>1450000</v>
      </c>
      <c r="F796" s="2910">
        <v>2.5000000000000001E-2</v>
      </c>
      <c r="G796" s="1549">
        <f t="shared" si="29"/>
        <v>36250</v>
      </c>
    </row>
    <row r="797" spans="1:7" x14ac:dyDescent="0.3">
      <c r="A797" s="878">
        <v>14018</v>
      </c>
      <c r="B797" s="1397">
        <v>0.1</v>
      </c>
      <c r="C797" s="1088" t="s">
        <v>3420</v>
      </c>
      <c r="D797" s="11"/>
      <c r="E797" s="3139">
        <v>1000000</v>
      </c>
      <c r="F797" s="2910">
        <v>2.5000000000000001E-2</v>
      </c>
      <c r="G797" s="1549">
        <f t="shared" si="29"/>
        <v>25000</v>
      </c>
    </row>
    <row r="798" spans="1:7" x14ac:dyDescent="0.3">
      <c r="A798" s="878">
        <v>14044</v>
      </c>
      <c r="B798" s="2905">
        <v>0.08</v>
      </c>
      <c r="C798" s="1088" t="s">
        <v>2578</v>
      </c>
      <c r="D798" s="11"/>
      <c r="E798" s="3139">
        <v>1550000</v>
      </c>
      <c r="F798" s="2910">
        <v>1.4999999999999999E-2</v>
      </c>
      <c r="G798" s="1549">
        <f t="shared" si="29"/>
        <v>23250</v>
      </c>
    </row>
    <row r="799" spans="1:7" x14ac:dyDescent="0.3">
      <c r="A799" s="878">
        <v>14071</v>
      </c>
      <c r="B799" s="1397">
        <v>0.1</v>
      </c>
      <c r="C799" s="1088" t="s">
        <v>3424</v>
      </c>
      <c r="D799" s="11"/>
      <c r="E799" s="3139">
        <v>1050000</v>
      </c>
      <c r="F799" s="2910">
        <v>2.5000000000000001E-2</v>
      </c>
      <c r="G799" s="1549">
        <f t="shared" si="29"/>
        <v>26250</v>
      </c>
    </row>
    <row r="800" spans="1:7" x14ac:dyDescent="0.3">
      <c r="A800" s="878">
        <v>14085</v>
      </c>
      <c r="B800" s="1397">
        <v>0.1</v>
      </c>
      <c r="C800" s="1088" t="s">
        <v>3866</v>
      </c>
      <c r="D800" s="11"/>
      <c r="E800" s="3139">
        <v>1200000</v>
      </c>
      <c r="F800" s="2910">
        <v>2.5000000000000001E-2</v>
      </c>
      <c r="G800" s="1549">
        <f t="shared" si="29"/>
        <v>30000</v>
      </c>
    </row>
    <row r="801" spans="1:8" x14ac:dyDescent="0.3">
      <c r="A801" s="878">
        <v>14110</v>
      </c>
      <c r="B801" s="1397">
        <v>0.1</v>
      </c>
      <c r="C801" s="1088" t="s">
        <v>3859</v>
      </c>
      <c r="D801" s="11"/>
      <c r="E801" s="3139">
        <v>1000000</v>
      </c>
      <c r="F801" s="2910">
        <v>2.5000000000000001E-2</v>
      </c>
      <c r="G801" s="1549">
        <f t="shared" si="29"/>
        <v>25000</v>
      </c>
    </row>
    <row r="802" spans="1:8" x14ac:dyDescent="0.3">
      <c r="A802" s="2881">
        <v>13966</v>
      </c>
      <c r="B802" s="1397">
        <v>0.1</v>
      </c>
      <c r="C802" s="2965" t="s">
        <v>3435</v>
      </c>
      <c r="D802" s="11"/>
      <c r="E802" s="3139">
        <v>1900000</v>
      </c>
      <c r="F802" s="2910">
        <v>2.5000000000000001E-2</v>
      </c>
      <c r="G802" s="1549">
        <f t="shared" si="29"/>
        <v>47500</v>
      </c>
    </row>
    <row r="803" spans="1:8" x14ac:dyDescent="0.3">
      <c r="A803" s="878">
        <v>13963</v>
      </c>
      <c r="B803" s="1397">
        <v>0.1</v>
      </c>
      <c r="C803" s="2965" t="s">
        <v>3436</v>
      </c>
      <c r="D803" s="1195"/>
      <c r="E803" s="3139">
        <v>1450000</v>
      </c>
      <c r="F803" s="2910">
        <v>2.5000000000000001E-2</v>
      </c>
      <c r="G803" s="1549">
        <f t="shared" si="29"/>
        <v>36250</v>
      </c>
    </row>
    <row r="804" spans="1:8" x14ac:dyDescent="0.3">
      <c r="A804" s="878">
        <v>13946</v>
      </c>
      <c r="B804" s="1397">
        <v>0.1</v>
      </c>
      <c r="C804" s="2965" t="s">
        <v>3863</v>
      </c>
      <c r="D804" s="1195"/>
      <c r="E804" s="3139">
        <v>1200000</v>
      </c>
      <c r="F804" s="2910">
        <v>2.5000000000000001E-2</v>
      </c>
      <c r="G804" s="1549">
        <f t="shared" si="29"/>
        <v>30000</v>
      </c>
    </row>
    <row r="805" spans="1:8" x14ac:dyDescent="0.3">
      <c r="A805" s="2881">
        <v>14028</v>
      </c>
      <c r="B805" s="1397">
        <v>0.1</v>
      </c>
      <c r="C805" s="2886" t="s">
        <v>3442</v>
      </c>
      <c r="D805" s="1195"/>
      <c r="E805" s="3139">
        <v>1450000</v>
      </c>
      <c r="F805" s="2910">
        <v>2.5000000000000001E-2</v>
      </c>
      <c r="G805" s="1549">
        <f t="shared" si="29"/>
        <v>36250</v>
      </c>
    </row>
    <row r="806" spans="1:8" x14ac:dyDescent="0.3">
      <c r="A806" s="3214"/>
      <c r="B806" s="2578"/>
      <c r="C806" s="1214"/>
      <c r="D806" s="1582" t="s">
        <v>3758</v>
      </c>
      <c r="E806" s="3362">
        <f>SUM(E781:E805)</f>
        <v>33250000</v>
      </c>
      <c r="F806" s="51"/>
      <c r="G806" s="1549">
        <f>SUM(G781:G805)</f>
        <v>778750</v>
      </c>
    </row>
    <row r="808" spans="1:8" ht="46.2" x14ac:dyDescent="0.85">
      <c r="A808" s="3673" t="s">
        <v>2581</v>
      </c>
      <c r="B808" s="3674"/>
      <c r="C808" s="3674"/>
      <c r="D808" s="3674"/>
      <c r="E808" s="3674"/>
      <c r="F808" s="3674"/>
      <c r="G808" s="3674"/>
    </row>
    <row r="810" spans="1:8" x14ac:dyDescent="0.3">
      <c r="A810" s="3669" t="s">
        <v>3839</v>
      </c>
      <c r="B810" s="3670"/>
      <c r="C810" s="3670"/>
      <c r="D810" s="3670"/>
      <c r="E810" s="3670"/>
      <c r="F810" s="3670"/>
      <c r="G810" s="3670"/>
      <c r="H810" s="3670"/>
    </row>
    <row r="811" spans="1:8" x14ac:dyDescent="0.3">
      <c r="A811" s="3671"/>
      <c r="B811" s="3672"/>
      <c r="C811" s="3670"/>
      <c r="D811" s="3672"/>
      <c r="E811" s="3672"/>
      <c r="F811" s="3672"/>
      <c r="G811" s="3672"/>
      <c r="H811" s="3672"/>
    </row>
    <row r="812" spans="1:8" x14ac:dyDescent="0.3">
      <c r="A812" s="2819" t="s">
        <v>3751</v>
      </c>
      <c r="B812" s="2911" t="s">
        <v>2976</v>
      </c>
      <c r="C812" s="3018" t="s">
        <v>3752</v>
      </c>
      <c r="D812" s="2922" t="s">
        <v>3753</v>
      </c>
      <c r="E812" s="3328" t="s">
        <v>3754</v>
      </c>
      <c r="F812" s="1595" t="s">
        <v>2979</v>
      </c>
      <c r="G812" s="2797" t="s">
        <v>2985</v>
      </c>
      <c r="H812" s="2226" t="s">
        <v>3755</v>
      </c>
    </row>
    <row r="813" spans="1:8" x14ac:dyDescent="0.3">
      <c r="A813" s="1010">
        <v>14141</v>
      </c>
      <c r="B813" s="556">
        <v>0.08</v>
      </c>
      <c r="C813" s="1098" t="s">
        <v>3867</v>
      </c>
      <c r="D813" s="117"/>
      <c r="E813" s="3139">
        <v>645000</v>
      </c>
      <c r="F813" s="2990">
        <v>0.04</v>
      </c>
      <c r="G813" s="1549">
        <f>E813*F813</f>
        <v>25800</v>
      </c>
      <c r="H813" s="2" t="s">
        <v>36</v>
      </c>
    </row>
    <row r="814" spans="1:8" x14ac:dyDescent="0.3">
      <c r="A814" s="2311">
        <v>14151</v>
      </c>
      <c r="B814" s="2944">
        <v>0.08</v>
      </c>
      <c r="C814" s="1089" t="s">
        <v>3465</v>
      </c>
      <c r="D814" s="744"/>
      <c r="E814" s="3141">
        <v>670000</v>
      </c>
      <c r="F814" s="2991">
        <v>0.04</v>
      </c>
      <c r="G814" s="1353">
        <f>E814*F814</f>
        <v>26800</v>
      </c>
      <c r="H814" s="268" t="s">
        <v>36</v>
      </c>
    </row>
    <row r="815" spans="1:8" x14ac:dyDescent="0.3">
      <c r="A815" s="1010">
        <v>14154</v>
      </c>
      <c r="B815" s="274">
        <v>0.1</v>
      </c>
      <c r="C815" s="1088" t="s">
        <v>3485</v>
      </c>
      <c r="D815" s="34"/>
      <c r="E815" s="3139">
        <v>1400000</v>
      </c>
      <c r="F815" s="520">
        <v>0.05</v>
      </c>
      <c r="G815" s="1549">
        <f t="shared" ref="G815:G830" si="30">E815*F815</f>
        <v>70000</v>
      </c>
      <c r="H815" s="2" t="s">
        <v>36</v>
      </c>
    </row>
    <row r="816" spans="1:8" x14ac:dyDescent="0.3">
      <c r="A816" s="1010">
        <v>14166</v>
      </c>
      <c r="B816" s="274">
        <v>0.1</v>
      </c>
      <c r="C816" s="2965" t="s">
        <v>3486</v>
      </c>
      <c r="D816" s="2935"/>
      <c r="E816" s="3139">
        <v>1300000</v>
      </c>
      <c r="F816" s="520">
        <v>0.05</v>
      </c>
      <c r="G816" s="1353">
        <f t="shared" si="30"/>
        <v>65000</v>
      </c>
      <c r="H816" s="2" t="s">
        <v>36</v>
      </c>
    </row>
    <row r="817" spans="1:8" x14ac:dyDescent="0.3">
      <c r="A817" s="1010">
        <v>14170</v>
      </c>
      <c r="B817" s="274">
        <v>0.1</v>
      </c>
      <c r="C817" s="2924" t="s">
        <v>3466</v>
      </c>
      <c r="D817" s="2935"/>
      <c r="E817" s="3139">
        <v>1500000</v>
      </c>
      <c r="F817" s="520">
        <v>0.05</v>
      </c>
      <c r="G817" s="1549">
        <f t="shared" si="30"/>
        <v>75000</v>
      </c>
      <c r="H817" s="2" t="s">
        <v>36</v>
      </c>
    </row>
    <row r="818" spans="1:8" x14ac:dyDescent="0.3">
      <c r="A818" s="1010">
        <v>14176</v>
      </c>
      <c r="B818" s="274">
        <v>0.1</v>
      </c>
      <c r="C818" s="1088" t="s">
        <v>3453</v>
      </c>
      <c r="D818" s="2935"/>
      <c r="E818" s="3139">
        <v>1350000</v>
      </c>
      <c r="F818" s="520">
        <v>0.05</v>
      </c>
      <c r="G818" s="1353">
        <f t="shared" si="30"/>
        <v>67500</v>
      </c>
      <c r="H818" s="2" t="s">
        <v>36</v>
      </c>
    </row>
    <row r="819" spans="1:8" x14ac:dyDescent="0.3">
      <c r="A819" s="1010">
        <v>14187</v>
      </c>
      <c r="B819" s="274">
        <v>0.1</v>
      </c>
      <c r="C819" s="2924" t="s">
        <v>3868</v>
      </c>
      <c r="D819" s="2935"/>
      <c r="E819" s="3139">
        <v>1230000</v>
      </c>
      <c r="F819" s="520">
        <v>0.05</v>
      </c>
      <c r="G819" s="1549">
        <f t="shared" si="30"/>
        <v>61500</v>
      </c>
      <c r="H819" s="2" t="s">
        <v>36</v>
      </c>
    </row>
    <row r="820" spans="1:8" x14ac:dyDescent="0.3">
      <c r="A820" s="1010">
        <v>14172</v>
      </c>
      <c r="B820" s="274">
        <v>0.1</v>
      </c>
      <c r="C820" s="2965" t="s">
        <v>3488</v>
      </c>
      <c r="D820" s="2935"/>
      <c r="E820" s="3139">
        <v>1000000</v>
      </c>
      <c r="F820" s="520">
        <v>0.05</v>
      </c>
      <c r="G820" s="1353">
        <f t="shared" si="30"/>
        <v>50000</v>
      </c>
      <c r="H820" s="2" t="s">
        <v>36</v>
      </c>
    </row>
    <row r="821" spans="1:8" x14ac:dyDescent="0.3">
      <c r="A821" s="1010">
        <v>14196</v>
      </c>
      <c r="B821" s="274">
        <v>0.1</v>
      </c>
      <c r="C821" s="1095" t="s">
        <v>3869</v>
      </c>
      <c r="D821" s="2935"/>
      <c r="E821" s="3139">
        <v>1000000</v>
      </c>
      <c r="F821" s="520">
        <v>0.05</v>
      </c>
      <c r="G821" s="1549">
        <f t="shared" si="30"/>
        <v>50000</v>
      </c>
      <c r="H821" s="2" t="s">
        <v>36</v>
      </c>
    </row>
    <row r="822" spans="1:8" x14ac:dyDescent="0.3">
      <c r="A822" s="1010">
        <v>14199</v>
      </c>
      <c r="B822" s="274">
        <v>0.1</v>
      </c>
      <c r="C822" s="1095" t="s">
        <v>3454</v>
      </c>
      <c r="D822" s="2935"/>
      <c r="E822" s="3139">
        <v>1200000</v>
      </c>
      <c r="F822" s="520">
        <v>0.05</v>
      </c>
      <c r="G822" s="1353">
        <f t="shared" si="30"/>
        <v>60000</v>
      </c>
      <c r="H822" s="2" t="s">
        <v>36</v>
      </c>
    </row>
    <row r="823" spans="1:8" x14ac:dyDescent="0.3">
      <c r="A823" s="1010">
        <v>14221</v>
      </c>
      <c r="B823" s="274">
        <v>0.1</v>
      </c>
      <c r="C823" s="2965" t="s">
        <v>3490</v>
      </c>
      <c r="D823" s="2935"/>
      <c r="E823" s="3139">
        <v>1300000</v>
      </c>
      <c r="F823" s="520">
        <v>0.05</v>
      </c>
      <c r="G823" s="1549">
        <f t="shared" si="30"/>
        <v>65000</v>
      </c>
      <c r="H823" s="2" t="s">
        <v>36</v>
      </c>
    </row>
    <row r="824" spans="1:8" x14ac:dyDescent="0.3">
      <c r="A824" s="1010">
        <v>14229</v>
      </c>
      <c r="B824" s="274">
        <v>0.1</v>
      </c>
      <c r="C824" s="2965" t="s">
        <v>3870</v>
      </c>
      <c r="D824" s="2935"/>
      <c r="E824" s="3139">
        <v>1500000</v>
      </c>
      <c r="F824" s="520">
        <v>0.05</v>
      </c>
      <c r="G824" s="1353">
        <f t="shared" si="30"/>
        <v>75000</v>
      </c>
      <c r="H824" s="2" t="s">
        <v>36</v>
      </c>
    </row>
    <row r="825" spans="1:8" x14ac:dyDescent="0.3">
      <c r="A825" s="1010">
        <v>14235</v>
      </c>
      <c r="B825" s="274">
        <v>0.1</v>
      </c>
      <c r="C825" s="2965" t="s">
        <v>3871</v>
      </c>
      <c r="D825" s="2935"/>
      <c r="E825" s="3139">
        <v>1400000</v>
      </c>
      <c r="F825" s="520">
        <v>0.05</v>
      </c>
      <c r="G825" s="1549">
        <f t="shared" si="30"/>
        <v>70000</v>
      </c>
      <c r="H825" s="2" t="s">
        <v>36</v>
      </c>
    </row>
    <row r="826" spans="1:8" x14ac:dyDescent="0.3">
      <c r="A826" s="1010">
        <v>14241</v>
      </c>
      <c r="B826" s="274">
        <v>0.1</v>
      </c>
      <c r="C826" s="2965" t="s">
        <v>3872</v>
      </c>
      <c r="D826" s="2935"/>
      <c r="E826" s="3141">
        <v>1650000</v>
      </c>
      <c r="F826" s="2963">
        <v>0.05</v>
      </c>
      <c r="G826" s="1353">
        <f t="shared" si="30"/>
        <v>82500</v>
      </c>
      <c r="H826" s="2" t="s">
        <v>36</v>
      </c>
    </row>
    <row r="827" spans="1:8" x14ac:dyDescent="0.3">
      <c r="A827" s="1010">
        <v>14252</v>
      </c>
      <c r="B827" s="274">
        <v>0.1</v>
      </c>
      <c r="C827" s="2965" t="s">
        <v>3457</v>
      </c>
      <c r="D827" s="2935"/>
      <c r="E827" s="3139">
        <v>1300000</v>
      </c>
      <c r="F827" s="520">
        <v>0.05</v>
      </c>
      <c r="G827" s="1549">
        <f t="shared" si="30"/>
        <v>65000</v>
      </c>
      <c r="H827" s="2" t="s">
        <v>36</v>
      </c>
    </row>
    <row r="828" spans="1:8" x14ac:dyDescent="0.3">
      <c r="A828" s="1010">
        <v>14263</v>
      </c>
      <c r="B828" s="553">
        <v>7.0000000000000007E-2</v>
      </c>
      <c r="C828" s="2965" t="s">
        <v>3873</v>
      </c>
      <c r="D828" s="2935"/>
      <c r="E828" s="3333">
        <v>2941177</v>
      </c>
      <c r="F828" s="2990">
        <v>0.04</v>
      </c>
      <c r="G828" s="1353">
        <f t="shared" si="30"/>
        <v>117647.08</v>
      </c>
      <c r="H828" s="2" t="s">
        <v>36</v>
      </c>
    </row>
    <row r="829" spans="1:8" x14ac:dyDescent="0.3">
      <c r="A829" s="1010">
        <v>14273</v>
      </c>
      <c r="B829" s="274">
        <v>0.1</v>
      </c>
      <c r="C829" s="2965" t="s">
        <v>3874</v>
      </c>
      <c r="D829" s="2935"/>
      <c r="E829" s="3139">
        <v>1600000</v>
      </c>
      <c r="F829" s="2963">
        <v>0.05</v>
      </c>
      <c r="G829" s="1549">
        <f t="shared" si="30"/>
        <v>80000</v>
      </c>
      <c r="H829" s="2" t="s">
        <v>36</v>
      </c>
    </row>
    <row r="830" spans="1:8" x14ac:dyDescent="0.3">
      <c r="A830" s="1010">
        <v>14300</v>
      </c>
      <c r="B830" s="2442">
        <v>0.1</v>
      </c>
      <c r="C830" s="2965" t="s">
        <v>3492</v>
      </c>
      <c r="D830" s="2962"/>
      <c r="E830" s="3357">
        <v>1150000</v>
      </c>
      <c r="F830" s="2963">
        <v>0.05</v>
      </c>
      <c r="G830" s="1549">
        <f t="shared" si="30"/>
        <v>57500</v>
      </c>
      <c r="H830" s="2" t="s">
        <v>36</v>
      </c>
    </row>
    <row r="831" spans="1:8" x14ac:dyDescent="0.3">
      <c r="A831" s="2617" t="s">
        <v>3022</v>
      </c>
      <c r="B831" s="2978"/>
      <c r="C831" s="1570" t="s">
        <v>3494</v>
      </c>
      <c r="D831" s="2962"/>
      <c r="E831" s="3357"/>
      <c r="F831" s="2963"/>
      <c r="G831" s="11"/>
      <c r="H831" s="2"/>
    </row>
    <row r="832" spans="1:8" x14ac:dyDescent="0.3">
      <c r="A832" s="2617" t="s">
        <v>3022</v>
      </c>
      <c r="B832" s="393"/>
      <c r="C832" s="1570" t="s">
        <v>3489</v>
      </c>
      <c r="D832" s="2962"/>
      <c r="E832" s="3357"/>
      <c r="F832" s="2963"/>
      <c r="G832" s="11"/>
      <c r="H832" s="2"/>
    </row>
    <row r="833" spans="1:8" x14ac:dyDescent="0.3">
      <c r="A833" s="2617" t="s">
        <v>3022</v>
      </c>
      <c r="B833" s="393"/>
      <c r="C833" s="2954" t="s">
        <v>3875</v>
      </c>
      <c r="D833" s="2935"/>
      <c r="E833" s="3357"/>
      <c r="F833" s="520"/>
      <c r="G833" s="11"/>
      <c r="H833" s="2"/>
    </row>
    <row r="834" spans="1:8" x14ac:dyDescent="0.3">
      <c r="A834" s="51"/>
      <c r="B834" s="2222"/>
      <c r="C834" s="201"/>
      <c r="D834" s="11" t="s">
        <v>3876</v>
      </c>
      <c r="E834" s="3139">
        <f>SUM(E813:E833)</f>
        <v>24136177</v>
      </c>
      <c r="F834" s="2"/>
      <c r="G834" s="1549">
        <f>SUM(G813:G830)</f>
        <v>1164247.08</v>
      </c>
      <c r="H834" s="11"/>
    </row>
    <row r="835" spans="1:8" x14ac:dyDescent="0.3">
      <c r="A835" s="3167"/>
      <c r="B835" s="2649"/>
      <c r="C835" s="3228"/>
    </row>
    <row r="836" spans="1:8" x14ac:dyDescent="0.3">
      <c r="A836" s="3167"/>
      <c r="B836" s="2649"/>
      <c r="C836" s="3228"/>
    </row>
    <row r="837" spans="1:8" ht="15" customHeight="1" x14ac:dyDescent="0.3">
      <c r="A837" s="3669" t="s">
        <v>3852</v>
      </c>
      <c r="B837" s="3670"/>
      <c r="C837" s="3670"/>
      <c r="D837" s="3670"/>
      <c r="E837" s="3670"/>
      <c r="F837" s="3670"/>
      <c r="G837" s="3670"/>
      <c r="H837" s="3670"/>
    </row>
    <row r="838" spans="1:8" ht="15" customHeight="1" x14ac:dyDescent="0.3">
      <c r="A838" s="3671"/>
      <c r="B838" s="3672"/>
      <c r="C838" s="3672"/>
      <c r="D838" s="3672"/>
      <c r="E838" s="3672"/>
      <c r="F838" s="3672"/>
      <c r="G838" s="3672"/>
      <c r="H838" s="3672"/>
    </row>
    <row r="839" spans="1:8" x14ac:dyDescent="0.3">
      <c r="A839" s="2819" t="s">
        <v>3751</v>
      </c>
      <c r="B839" s="2719" t="s">
        <v>2976</v>
      </c>
      <c r="C839" s="3237" t="s">
        <v>3752</v>
      </c>
      <c r="D839" s="2796" t="s">
        <v>3753</v>
      </c>
      <c r="E839" s="3328" t="s">
        <v>3754</v>
      </c>
      <c r="F839" s="1595" t="s">
        <v>2979</v>
      </c>
      <c r="G839" s="2797" t="s">
        <v>2985</v>
      </c>
      <c r="H839" s="2226" t="s">
        <v>3755</v>
      </c>
    </row>
    <row r="840" spans="1:8" x14ac:dyDescent="0.3">
      <c r="A840" s="878">
        <v>14132</v>
      </c>
      <c r="B840" s="1397">
        <v>0.1</v>
      </c>
      <c r="C840" s="1088" t="s">
        <v>3877</v>
      </c>
      <c r="D840" s="11"/>
      <c r="E840" s="3139">
        <v>580000</v>
      </c>
      <c r="F840" s="2"/>
      <c r="G840" s="11"/>
      <c r="H840" s="2" t="s">
        <v>36</v>
      </c>
    </row>
    <row r="841" spans="1:8" x14ac:dyDescent="0.3">
      <c r="A841" s="2617" t="s">
        <v>3022</v>
      </c>
      <c r="B841" s="2949"/>
      <c r="C841" s="1087" t="s">
        <v>3501</v>
      </c>
      <c r="D841" s="11"/>
      <c r="E841" s="3139"/>
      <c r="F841" s="2"/>
      <c r="G841" s="11"/>
      <c r="H841" s="11"/>
    </row>
    <row r="842" spans="1:8" x14ac:dyDescent="0.3">
      <c r="A842" s="2617" t="s">
        <v>3022</v>
      </c>
      <c r="B842" s="2966"/>
      <c r="C842" s="1099" t="s">
        <v>3878</v>
      </c>
      <c r="D842" s="2947"/>
      <c r="E842" s="3363"/>
      <c r="F842" s="2948"/>
      <c r="G842" s="2947"/>
      <c r="H842" s="2947"/>
    </row>
    <row r="843" spans="1:8" x14ac:dyDescent="0.3">
      <c r="A843" s="2617" t="s">
        <v>3022</v>
      </c>
      <c r="B843" s="2887"/>
      <c r="C843" s="1087" t="s">
        <v>3879</v>
      </c>
      <c r="D843" s="60"/>
      <c r="E843" s="3364"/>
      <c r="F843" s="2946"/>
      <c r="G843" s="60"/>
      <c r="H843" s="60"/>
    </row>
    <row r="844" spans="1:8" x14ac:dyDescent="0.3">
      <c r="A844" s="3216"/>
      <c r="B844" s="2945"/>
      <c r="C844" s="1100"/>
      <c r="D844" s="11" t="s">
        <v>3876</v>
      </c>
      <c r="E844" s="3139">
        <f>SUM(E840:E843)</f>
        <v>580000</v>
      </c>
      <c r="F844" s="2946"/>
      <c r="G844" s="60"/>
      <c r="H844" s="60"/>
    </row>
    <row r="845" spans="1:8" ht="15.75" customHeight="1" x14ac:dyDescent="0.3"/>
    <row r="847" spans="1:8" x14ac:dyDescent="0.3">
      <c r="A847" s="3669" t="s">
        <v>3880</v>
      </c>
      <c r="B847" s="3670"/>
      <c r="C847" s="3670"/>
      <c r="D847" s="3670"/>
      <c r="E847" s="3670"/>
      <c r="F847" s="3670"/>
      <c r="G847" s="3670"/>
      <c r="H847" s="3670"/>
    </row>
    <row r="848" spans="1:8" x14ac:dyDescent="0.3">
      <c r="A848" s="3669"/>
      <c r="B848" s="3670"/>
      <c r="C848" s="3670"/>
      <c r="D848" s="3672"/>
      <c r="E848" s="3672"/>
      <c r="F848" s="3672"/>
      <c r="G848" s="3672"/>
      <c r="H848" s="3672"/>
    </row>
    <row r="849" spans="1:8" x14ac:dyDescent="0.3">
      <c r="A849" s="3182" t="s">
        <v>3751</v>
      </c>
      <c r="B849" s="2577" t="s">
        <v>2976</v>
      </c>
      <c r="C849" s="3018" t="s">
        <v>3752</v>
      </c>
      <c r="D849" s="2922" t="s">
        <v>3753</v>
      </c>
      <c r="E849" s="3328" t="s">
        <v>3754</v>
      </c>
      <c r="F849" s="1595" t="s">
        <v>2979</v>
      </c>
      <c r="G849" s="2797" t="s">
        <v>2985</v>
      </c>
      <c r="H849" s="2226" t="s">
        <v>3755</v>
      </c>
    </row>
    <row r="850" spans="1:8" x14ac:dyDescent="0.3">
      <c r="A850" s="2973">
        <v>14268</v>
      </c>
      <c r="B850" s="3004">
        <v>0.1</v>
      </c>
      <c r="C850" s="3235" t="s">
        <v>3491</v>
      </c>
      <c r="D850" s="1553"/>
      <c r="E850" s="3343">
        <v>1200000</v>
      </c>
      <c r="F850" s="2967">
        <v>0.02</v>
      </c>
      <c r="G850" s="2599">
        <f>E850*F850</f>
        <v>24000</v>
      </c>
      <c r="H850" s="1071" t="s">
        <v>36</v>
      </c>
    </row>
    <row r="851" spans="1:8" x14ac:dyDescent="0.3">
      <c r="A851" s="1010">
        <v>14253</v>
      </c>
      <c r="B851" s="2974">
        <v>0.1</v>
      </c>
      <c r="C851" s="1089" t="s">
        <v>3881</v>
      </c>
      <c r="D851" s="521"/>
      <c r="E851" s="3363">
        <v>650000</v>
      </c>
      <c r="F851" s="2967">
        <v>0.02</v>
      </c>
      <c r="G851" s="2599">
        <f t="shared" ref="G851:G854" si="31">E851*F851</f>
        <v>13000</v>
      </c>
      <c r="H851" s="2948" t="s">
        <v>36</v>
      </c>
    </row>
    <row r="852" spans="1:8" x14ac:dyDescent="0.3">
      <c r="A852" s="2607">
        <v>14292</v>
      </c>
      <c r="B852" s="1397">
        <v>0.1</v>
      </c>
      <c r="C852" s="1088" t="s">
        <v>3471</v>
      </c>
      <c r="D852" s="521"/>
      <c r="E852" s="3363">
        <v>1250000</v>
      </c>
      <c r="F852" s="2967">
        <v>0.02</v>
      </c>
      <c r="G852" s="2599">
        <f t="shared" si="31"/>
        <v>25000</v>
      </c>
      <c r="H852" s="2948" t="s">
        <v>36</v>
      </c>
    </row>
    <row r="853" spans="1:8" x14ac:dyDescent="0.3">
      <c r="A853" s="2607">
        <v>14335</v>
      </c>
      <c r="B853" s="1397">
        <v>0.1</v>
      </c>
      <c r="C853" s="1095" t="s">
        <v>3474</v>
      </c>
      <c r="D853" s="521"/>
      <c r="E853" s="3261">
        <v>1200000</v>
      </c>
      <c r="F853" s="2967">
        <v>0.02</v>
      </c>
      <c r="G853" s="2599">
        <f t="shared" si="31"/>
        <v>24000</v>
      </c>
      <c r="H853" s="2948"/>
    </row>
    <row r="854" spans="1:8" x14ac:dyDescent="0.3">
      <c r="A854" s="2607">
        <v>14340</v>
      </c>
      <c r="B854" s="1397">
        <v>0.1</v>
      </c>
      <c r="C854" s="2924" t="s">
        <v>3478</v>
      </c>
      <c r="D854" s="521"/>
      <c r="E854" s="3343">
        <v>950000</v>
      </c>
      <c r="F854" s="2967">
        <v>0.02</v>
      </c>
      <c r="G854" s="2599">
        <f t="shared" si="31"/>
        <v>19000</v>
      </c>
      <c r="H854" s="1071"/>
    </row>
    <row r="855" spans="1:8" x14ac:dyDescent="0.3">
      <c r="A855" s="2486" t="s">
        <v>3022</v>
      </c>
      <c r="B855" s="2968"/>
      <c r="C855" s="2969" t="s">
        <v>3461</v>
      </c>
      <c r="D855" s="34"/>
      <c r="E855" s="3261"/>
      <c r="F855" s="680"/>
      <c r="G855" s="2599"/>
      <c r="H855" s="51"/>
    </row>
    <row r="856" spans="1:8" x14ac:dyDescent="0.3">
      <c r="A856" s="2486" t="s">
        <v>3022</v>
      </c>
      <c r="B856" s="2903"/>
      <c r="C856" s="2976" t="s">
        <v>3479</v>
      </c>
      <c r="D856" s="60"/>
      <c r="E856" s="3261"/>
      <c r="F856" s="51"/>
      <c r="G856" s="34"/>
      <c r="H856" s="34"/>
    </row>
    <row r="857" spans="1:8" ht="18.75" customHeight="1" x14ac:dyDescent="0.3">
      <c r="A857" s="51"/>
      <c r="B857" s="2392"/>
      <c r="C857" s="160"/>
      <c r="D857" s="11"/>
      <c r="E857" s="3139">
        <f>SUM(E850:E856)</f>
        <v>5250000</v>
      </c>
      <c r="F857" s="2"/>
      <c r="G857" s="1549">
        <f>SUM(G850:G854)</f>
        <v>105000</v>
      </c>
      <c r="H857" s="11"/>
    </row>
    <row r="860" spans="1:8" x14ac:dyDescent="0.3">
      <c r="A860" s="3661" t="s">
        <v>3865</v>
      </c>
      <c r="B860" s="3661"/>
      <c r="C860" s="3661"/>
      <c r="D860" s="3661"/>
      <c r="E860" s="3661"/>
      <c r="F860" s="3661"/>
      <c r="G860" s="3661"/>
    </row>
    <row r="861" spans="1:8" x14ac:dyDescent="0.3">
      <c r="A861" s="3661"/>
      <c r="B861" s="3661"/>
      <c r="C861" s="3675"/>
      <c r="D861" s="3675"/>
      <c r="E861" s="3661"/>
      <c r="F861" s="3661"/>
      <c r="G861" s="3661"/>
    </row>
    <row r="862" spans="1:8" x14ac:dyDescent="0.3">
      <c r="A862" s="2819" t="s">
        <v>3751</v>
      </c>
      <c r="B862" s="2911" t="s">
        <v>2976</v>
      </c>
      <c r="C862" s="3018" t="s">
        <v>3752</v>
      </c>
      <c r="D862" s="2796" t="s">
        <v>3753</v>
      </c>
      <c r="E862" s="3329" t="s">
        <v>3754</v>
      </c>
      <c r="F862" s="1595" t="s">
        <v>2979</v>
      </c>
      <c r="G862" s="2797" t="s">
        <v>2985</v>
      </c>
    </row>
    <row r="863" spans="1:8" x14ac:dyDescent="0.3">
      <c r="A863" s="1010">
        <v>14176</v>
      </c>
      <c r="B863" s="333">
        <v>0.1</v>
      </c>
      <c r="C863" s="2992" t="s">
        <v>3453</v>
      </c>
      <c r="D863" s="11"/>
      <c r="E863" s="3338">
        <v>1350000</v>
      </c>
      <c r="F863" s="3003">
        <v>2.5000000000000001E-2</v>
      </c>
      <c r="G863" s="2907">
        <f>E863*F863</f>
        <v>33750</v>
      </c>
    </row>
    <row r="864" spans="1:8" x14ac:dyDescent="0.3">
      <c r="A864" s="1010">
        <v>14199</v>
      </c>
      <c r="B864" s="333">
        <v>0.1</v>
      </c>
      <c r="C864" s="2993" t="s">
        <v>3454</v>
      </c>
      <c r="D864" s="11"/>
      <c r="E864" s="3338">
        <v>1200000</v>
      </c>
      <c r="F864" s="3003">
        <v>2.5000000000000001E-2</v>
      </c>
      <c r="G864" s="2907">
        <f t="shared" ref="G864:G886" si="32">E864*F864</f>
        <v>30000</v>
      </c>
    </row>
    <row r="865" spans="1:7" x14ac:dyDescent="0.3">
      <c r="A865" s="1010">
        <v>14196</v>
      </c>
      <c r="B865" s="333">
        <v>0.1</v>
      </c>
      <c r="C865" s="2993" t="s">
        <v>3455</v>
      </c>
      <c r="D865" s="11"/>
      <c r="E865" s="3338">
        <v>1000000</v>
      </c>
      <c r="F865" s="3003">
        <v>2.5000000000000001E-2</v>
      </c>
      <c r="G865" s="2907">
        <f t="shared" si="32"/>
        <v>25000</v>
      </c>
    </row>
    <row r="866" spans="1:7" x14ac:dyDescent="0.3">
      <c r="A866" s="1010">
        <v>14241</v>
      </c>
      <c r="B866" s="2611">
        <v>0.1</v>
      </c>
      <c r="C866" s="2994" t="s">
        <v>3456</v>
      </c>
      <c r="D866" s="11"/>
      <c r="E866" s="3338">
        <v>1650000</v>
      </c>
      <c r="F866" s="3003">
        <v>2.5000000000000001E-2</v>
      </c>
      <c r="G866" s="2907">
        <f t="shared" si="32"/>
        <v>41250</v>
      </c>
    </row>
    <row r="867" spans="1:7" x14ac:dyDescent="0.3">
      <c r="A867" s="1010">
        <v>14252</v>
      </c>
      <c r="B867" s="2611">
        <v>0.1</v>
      </c>
      <c r="C867" s="2994" t="s">
        <v>3457</v>
      </c>
      <c r="D867" s="11"/>
      <c r="E867" s="3338">
        <v>1300000</v>
      </c>
      <c r="F867" s="3003">
        <v>2.5000000000000001E-2</v>
      </c>
      <c r="G867" s="2907">
        <f t="shared" si="32"/>
        <v>32500</v>
      </c>
    </row>
    <row r="868" spans="1:7" x14ac:dyDescent="0.3">
      <c r="A868" s="1010">
        <v>14263</v>
      </c>
      <c r="B868" s="2694">
        <v>7.0000000000000007E-2</v>
      </c>
      <c r="C868" s="2994" t="s">
        <v>3458</v>
      </c>
      <c r="D868" s="11"/>
      <c r="E868" s="3334">
        <v>2941177</v>
      </c>
      <c r="F868" s="3003">
        <v>1.4999999999999999E-2</v>
      </c>
      <c r="G868" s="2907">
        <f t="shared" si="32"/>
        <v>44117.654999999999</v>
      </c>
    </row>
    <row r="869" spans="1:7" x14ac:dyDescent="0.3">
      <c r="A869" s="2607">
        <v>14151</v>
      </c>
      <c r="B869" s="2558">
        <v>0.1</v>
      </c>
      <c r="C869" s="2995" t="s">
        <v>3465</v>
      </c>
      <c r="D869" s="11"/>
      <c r="E869" s="3323">
        <v>670000</v>
      </c>
      <c r="F869" s="3003">
        <v>1.4999999999999999E-2</v>
      </c>
      <c r="G869" s="2907">
        <f t="shared" si="32"/>
        <v>10050</v>
      </c>
    </row>
    <row r="870" spans="1:7" x14ac:dyDescent="0.3">
      <c r="A870" s="2607">
        <v>14170</v>
      </c>
      <c r="B870" s="2999">
        <v>0.1</v>
      </c>
      <c r="C870" s="2995" t="s">
        <v>3466</v>
      </c>
      <c r="D870" s="11"/>
      <c r="E870" s="3323">
        <v>1500000</v>
      </c>
      <c r="F870" s="3003">
        <v>2.5000000000000001E-2</v>
      </c>
      <c r="G870" s="2907">
        <f t="shared" si="32"/>
        <v>37500</v>
      </c>
    </row>
    <row r="871" spans="1:7" x14ac:dyDescent="0.3">
      <c r="A871" s="2607">
        <v>14187</v>
      </c>
      <c r="B871" s="2999">
        <v>0.1</v>
      </c>
      <c r="C871" s="2995" t="s">
        <v>3467</v>
      </c>
      <c r="D871" s="11"/>
      <c r="E871" s="3323">
        <v>1230000</v>
      </c>
      <c r="F871" s="3003">
        <v>2.5000000000000001E-2</v>
      </c>
      <c r="G871" s="2907">
        <f t="shared" si="32"/>
        <v>30750</v>
      </c>
    </row>
    <row r="872" spans="1:7" x14ac:dyDescent="0.3">
      <c r="A872" s="2607">
        <v>14235</v>
      </c>
      <c r="B872" s="2999">
        <v>0.1</v>
      </c>
      <c r="C872" s="2995" t="s">
        <v>3882</v>
      </c>
      <c r="D872" s="11"/>
      <c r="E872" s="3323">
        <v>1400000</v>
      </c>
      <c r="F872" s="3003">
        <v>2.5000000000000001E-2</v>
      </c>
      <c r="G872" s="2907">
        <f t="shared" si="32"/>
        <v>35000</v>
      </c>
    </row>
    <row r="873" spans="1:7" x14ac:dyDescent="0.3">
      <c r="A873" s="2607">
        <v>14253</v>
      </c>
      <c r="B873" s="2999">
        <v>0.1</v>
      </c>
      <c r="C873" s="2995" t="s">
        <v>3881</v>
      </c>
      <c r="D873" s="11"/>
      <c r="E873" s="3323">
        <v>650000</v>
      </c>
      <c r="F873" s="3003">
        <v>2.5000000000000001E-2</v>
      </c>
      <c r="G873" s="2907">
        <f t="shared" si="32"/>
        <v>16250</v>
      </c>
    </row>
    <row r="874" spans="1:7" x14ac:dyDescent="0.3">
      <c r="A874" s="2444">
        <v>14335</v>
      </c>
      <c r="B874" s="3000">
        <v>0.1</v>
      </c>
      <c r="C874" s="2996" t="s">
        <v>3474</v>
      </c>
      <c r="D874" s="11"/>
      <c r="E874" s="3323">
        <v>1200000</v>
      </c>
      <c r="F874" s="3003">
        <v>2.5000000000000001E-2</v>
      </c>
      <c r="G874" s="2907">
        <f t="shared" si="32"/>
        <v>30000</v>
      </c>
    </row>
    <row r="875" spans="1:7" x14ac:dyDescent="0.3">
      <c r="A875" s="2444">
        <v>14340</v>
      </c>
      <c r="B875" s="2999">
        <v>0.1</v>
      </c>
      <c r="C875" s="2996" t="s">
        <v>3476</v>
      </c>
      <c r="D875" s="11"/>
      <c r="E875" s="3323">
        <v>950000</v>
      </c>
      <c r="F875" s="3003">
        <v>2.5000000000000001E-2</v>
      </c>
      <c r="G875" s="2907">
        <f t="shared" si="32"/>
        <v>23750</v>
      </c>
    </row>
    <row r="876" spans="1:7" x14ac:dyDescent="0.3">
      <c r="A876" s="1010">
        <v>14141</v>
      </c>
      <c r="B876" s="553">
        <v>0.08</v>
      </c>
      <c r="C876" s="2998" t="s">
        <v>3483</v>
      </c>
      <c r="D876" s="11"/>
      <c r="E876" s="3322">
        <v>645000</v>
      </c>
      <c r="F876" s="3003">
        <v>1.4999999999999999E-2</v>
      </c>
      <c r="G876" s="2907">
        <f t="shared" si="32"/>
        <v>9675</v>
      </c>
    </row>
    <row r="877" spans="1:7" x14ac:dyDescent="0.3">
      <c r="A877" s="2444">
        <v>14132</v>
      </c>
      <c r="B877" s="553">
        <v>0.08</v>
      </c>
      <c r="C877" s="2998" t="s">
        <v>3484</v>
      </c>
      <c r="D877" s="11"/>
      <c r="E877" s="3322">
        <v>580000</v>
      </c>
      <c r="F877" s="3003">
        <v>1.4999999999999999E-2</v>
      </c>
      <c r="G877" s="2907">
        <f t="shared" si="32"/>
        <v>8700</v>
      </c>
    </row>
    <row r="878" spans="1:7" x14ac:dyDescent="0.3">
      <c r="A878" s="2444">
        <v>14154</v>
      </c>
      <c r="B878" s="2596">
        <v>0.1</v>
      </c>
      <c r="C878" s="2998" t="s">
        <v>3485</v>
      </c>
      <c r="D878" s="11"/>
      <c r="E878" s="3322">
        <v>1400000</v>
      </c>
      <c r="F878" s="3003">
        <v>2.5000000000000001E-2</v>
      </c>
      <c r="G878" s="2907">
        <f t="shared" si="32"/>
        <v>35000</v>
      </c>
    </row>
    <row r="879" spans="1:7" x14ac:dyDescent="0.3">
      <c r="A879" s="2444">
        <v>14166</v>
      </c>
      <c r="B879" s="2596">
        <v>0.1</v>
      </c>
      <c r="C879" s="2998" t="s">
        <v>3486</v>
      </c>
      <c r="D879" s="11"/>
      <c r="E879" s="3322">
        <v>1300000</v>
      </c>
      <c r="F879" s="3003">
        <v>2.5000000000000001E-2</v>
      </c>
      <c r="G879" s="2907">
        <f t="shared" si="32"/>
        <v>32500</v>
      </c>
    </row>
    <row r="880" spans="1:7" x14ac:dyDescent="0.3">
      <c r="A880" s="2444">
        <v>14172</v>
      </c>
      <c r="B880" s="2596">
        <v>0.1</v>
      </c>
      <c r="C880" s="2998" t="s">
        <v>3488</v>
      </c>
      <c r="D880" s="11"/>
      <c r="E880" s="3322">
        <v>1000000</v>
      </c>
      <c r="F880" s="3003">
        <v>2.5000000000000001E-2</v>
      </c>
      <c r="G880" s="2907">
        <f t="shared" si="32"/>
        <v>25000</v>
      </c>
    </row>
    <row r="881" spans="1:8" x14ac:dyDescent="0.3">
      <c r="A881" s="2444">
        <v>14229</v>
      </c>
      <c r="B881" s="2596">
        <v>0.1</v>
      </c>
      <c r="C881" s="2998" t="s">
        <v>3489</v>
      </c>
      <c r="D881" s="11"/>
      <c r="E881" s="3322">
        <v>1500000</v>
      </c>
      <c r="F881" s="3003">
        <v>2.5000000000000001E-2</v>
      </c>
      <c r="G881" s="2907">
        <f t="shared" si="32"/>
        <v>37500</v>
      </c>
    </row>
    <row r="882" spans="1:8" x14ac:dyDescent="0.3">
      <c r="A882" s="2444">
        <v>14221</v>
      </c>
      <c r="B882" s="2596">
        <v>0.1</v>
      </c>
      <c r="C882" s="2998" t="s">
        <v>3490</v>
      </c>
      <c r="D882" s="11"/>
      <c r="E882" s="3322">
        <v>1300000</v>
      </c>
      <c r="F882" s="3003">
        <v>2.5000000000000001E-2</v>
      </c>
      <c r="G882" s="2907">
        <f t="shared" si="32"/>
        <v>32500</v>
      </c>
    </row>
    <row r="883" spans="1:8" x14ac:dyDescent="0.3">
      <c r="A883" s="2444">
        <v>14268</v>
      </c>
      <c r="B883" s="2611">
        <v>0.1</v>
      </c>
      <c r="C883" s="2997" t="s">
        <v>3491</v>
      </c>
      <c r="D883" s="11"/>
      <c r="E883" s="3322">
        <v>1200000</v>
      </c>
      <c r="F883" s="3003">
        <v>2.5000000000000001E-2</v>
      </c>
      <c r="G883" s="2907">
        <f t="shared" si="32"/>
        <v>30000</v>
      </c>
    </row>
    <row r="884" spans="1:8" x14ac:dyDescent="0.3">
      <c r="A884" s="2444">
        <v>14273</v>
      </c>
      <c r="B884" s="2596">
        <v>0.1</v>
      </c>
      <c r="C884" s="2998" t="s">
        <v>3469</v>
      </c>
      <c r="D884" s="11"/>
      <c r="E884" s="3322">
        <v>1600000</v>
      </c>
      <c r="F884" s="3003">
        <v>2.5000000000000001E-2</v>
      </c>
      <c r="G884" s="2907">
        <f t="shared" si="32"/>
        <v>40000</v>
      </c>
    </row>
    <row r="885" spans="1:8" x14ac:dyDescent="0.3">
      <c r="A885" s="2444">
        <v>14292</v>
      </c>
      <c r="B885" s="2596">
        <v>0.1</v>
      </c>
      <c r="C885" s="2998" t="s">
        <v>3471</v>
      </c>
      <c r="D885" s="11"/>
      <c r="E885" s="3322">
        <v>1250000</v>
      </c>
      <c r="F885" s="3003">
        <v>2.5000000000000001E-2</v>
      </c>
      <c r="G885" s="2907">
        <f t="shared" si="32"/>
        <v>31250</v>
      </c>
    </row>
    <row r="886" spans="1:8" x14ac:dyDescent="0.3">
      <c r="A886" s="2444">
        <v>14300</v>
      </c>
      <c r="B886" s="2596">
        <v>0.1</v>
      </c>
      <c r="C886" s="2998" t="s">
        <v>3492</v>
      </c>
      <c r="D886" s="11"/>
      <c r="E886" s="3322">
        <v>1150000</v>
      </c>
      <c r="F886" s="3003">
        <v>2.5000000000000001E-2</v>
      </c>
      <c r="G886" s="2907">
        <f t="shared" si="32"/>
        <v>28750</v>
      </c>
    </row>
    <row r="887" spans="1:8" x14ac:dyDescent="0.3">
      <c r="A887" s="3214"/>
      <c r="B887" s="2578"/>
      <c r="C887" s="1214"/>
      <c r="D887" s="1582" t="s">
        <v>3758</v>
      </c>
      <c r="E887" s="3362">
        <f>SUM(E863:E886)</f>
        <v>29966177</v>
      </c>
      <c r="F887" s="51"/>
      <c r="G887" s="1549">
        <f>SUM(G863:G886)</f>
        <v>700792.65500000003</v>
      </c>
    </row>
    <row r="890" spans="1:8" ht="46.2" x14ac:dyDescent="0.85">
      <c r="A890" s="3673" t="s">
        <v>2673</v>
      </c>
      <c r="B890" s="3674"/>
      <c r="C890" s="3674"/>
      <c r="D890" s="3674"/>
      <c r="E890" s="3674"/>
      <c r="F890" s="3674"/>
      <c r="G890" s="3674"/>
      <c r="H890" s="3674"/>
    </row>
    <row r="892" spans="1:8" x14ac:dyDescent="0.3">
      <c r="A892" s="3669" t="s">
        <v>3839</v>
      </c>
      <c r="B892" s="3670"/>
      <c r="C892" s="3670"/>
      <c r="D892" s="3670"/>
      <c r="E892" s="3670"/>
      <c r="F892" s="3670"/>
      <c r="G892" s="3670"/>
      <c r="H892" s="3670"/>
    </row>
    <row r="893" spans="1:8" x14ac:dyDescent="0.3">
      <c r="A893" s="3669"/>
      <c r="B893" s="3670"/>
      <c r="C893" s="3670"/>
      <c r="D893" s="3670"/>
      <c r="E893" s="3670"/>
      <c r="F893" s="3670"/>
      <c r="G893" s="3670"/>
      <c r="H893" s="3670"/>
    </row>
    <row r="894" spans="1:8" x14ac:dyDescent="0.3">
      <c r="A894" s="3182" t="s">
        <v>3751</v>
      </c>
      <c r="B894" s="2577" t="s">
        <v>2976</v>
      </c>
      <c r="C894" s="3018" t="s">
        <v>3752</v>
      </c>
      <c r="D894" s="1124" t="s">
        <v>3753</v>
      </c>
      <c r="E894" s="3322" t="s">
        <v>3754</v>
      </c>
      <c r="F894" s="2281" t="s">
        <v>2979</v>
      </c>
      <c r="G894" s="289" t="s">
        <v>2985</v>
      </c>
      <c r="H894" s="2225" t="s">
        <v>3755</v>
      </c>
    </row>
    <row r="895" spans="1:8" x14ac:dyDescent="0.3">
      <c r="A895" s="1010">
        <v>14361</v>
      </c>
      <c r="B895" s="3117">
        <v>0.1</v>
      </c>
      <c r="C895" s="3118" t="s">
        <v>3506</v>
      </c>
      <c r="D895" s="3079"/>
      <c r="E895" s="3139">
        <v>1200000</v>
      </c>
      <c r="F895" s="2672">
        <v>0.05</v>
      </c>
      <c r="G895" s="2800">
        <f>E895*F895</f>
        <v>60000</v>
      </c>
      <c r="H895" s="3020"/>
    </row>
    <row r="896" spans="1:8" x14ac:dyDescent="0.3">
      <c r="A896" s="3022">
        <v>14442</v>
      </c>
      <c r="B896" s="3117">
        <v>0.1</v>
      </c>
      <c r="C896" s="3227" t="s">
        <v>3509</v>
      </c>
      <c r="D896" s="3079"/>
      <c r="E896" s="3139">
        <v>1400000</v>
      </c>
      <c r="F896" s="2672">
        <v>0.05</v>
      </c>
      <c r="G896" s="2800">
        <f t="shared" ref="G896:G918" si="33">E896*F896</f>
        <v>70000</v>
      </c>
      <c r="H896" s="3020"/>
    </row>
    <row r="897" spans="1:8" x14ac:dyDescent="0.3">
      <c r="A897" s="3022">
        <v>14485</v>
      </c>
      <c r="B897" s="761">
        <v>0.1</v>
      </c>
      <c r="C897" s="3227" t="s">
        <v>3511</v>
      </c>
      <c r="D897" s="3079"/>
      <c r="E897" s="3139">
        <v>1500000</v>
      </c>
      <c r="F897" s="2672">
        <v>0.05</v>
      </c>
      <c r="G897" s="2800">
        <f t="shared" si="33"/>
        <v>75000</v>
      </c>
      <c r="H897" s="3020"/>
    </row>
    <row r="898" spans="1:8" x14ac:dyDescent="0.3">
      <c r="A898" s="3022">
        <v>14507</v>
      </c>
      <c r="B898" s="761">
        <v>0.1</v>
      </c>
      <c r="C898" s="3227" t="s">
        <v>3513</v>
      </c>
      <c r="D898" s="3079"/>
      <c r="E898" s="3139">
        <v>1950000</v>
      </c>
      <c r="F898" s="2672">
        <v>0.05</v>
      </c>
      <c r="G898" s="2800">
        <f t="shared" si="33"/>
        <v>97500</v>
      </c>
      <c r="H898" s="3020"/>
    </row>
    <row r="899" spans="1:8" x14ac:dyDescent="0.3">
      <c r="A899" s="3022">
        <v>14523</v>
      </c>
      <c r="B899" s="761">
        <v>0.1</v>
      </c>
      <c r="C899" s="3227" t="s">
        <v>3515</v>
      </c>
      <c r="D899" s="3079"/>
      <c r="E899" s="3139">
        <v>1400000</v>
      </c>
      <c r="F899" s="2672">
        <v>0.05</v>
      </c>
      <c r="G899" s="2800">
        <f t="shared" si="33"/>
        <v>70000</v>
      </c>
      <c r="H899" s="3020"/>
    </row>
    <row r="900" spans="1:8" x14ac:dyDescent="0.3">
      <c r="A900" s="3022">
        <v>14565</v>
      </c>
      <c r="B900" s="761">
        <v>0.1</v>
      </c>
      <c r="C900" s="3227" t="s">
        <v>3516</v>
      </c>
      <c r="D900" s="3079"/>
      <c r="E900" s="3139">
        <v>1600000</v>
      </c>
      <c r="F900" s="2672">
        <v>0.05</v>
      </c>
      <c r="G900" s="2800">
        <f t="shared" si="33"/>
        <v>80000</v>
      </c>
      <c r="H900" s="3020"/>
    </row>
    <row r="901" spans="1:8" x14ac:dyDescent="0.3">
      <c r="A901" s="3022">
        <v>14561</v>
      </c>
      <c r="B901" s="761">
        <v>0.1</v>
      </c>
      <c r="C901" s="3227" t="s">
        <v>3518</v>
      </c>
      <c r="D901" s="3079"/>
      <c r="E901" s="3139">
        <v>1800000</v>
      </c>
      <c r="F901" s="2672">
        <v>0.05</v>
      </c>
      <c r="G901" s="2800">
        <f t="shared" si="33"/>
        <v>90000</v>
      </c>
      <c r="H901" s="265"/>
    </row>
    <row r="902" spans="1:8" x14ac:dyDescent="0.3">
      <c r="A902" s="1010">
        <v>14362</v>
      </c>
      <c r="B902" s="2999">
        <v>0.1</v>
      </c>
      <c r="C902" s="3119" t="s">
        <v>3528</v>
      </c>
      <c r="D902" s="3120"/>
      <c r="E902" s="3330">
        <v>1300000</v>
      </c>
      <c r="F902" s="2672">
        <v>0.05</v>
      </c>
      <c r="G902" s="2800">
        <f t="shared" si="33"/>
        <v>65000</v>
      </c>
      <c r="H902" s="265"/>
    </row>
    <row r="903" spans="1:8" x14ac:dyDescent="0.3">
      <c r="A903" s="1010">
        <v>14363</v>
      </c>
      <c r="B903" s="3017">
        <v>0.08</v>
      </c>
      <c r="C903" s="3119" t="s">
        <v>3531</v>
      </c>
      <c r="D903" s="3120"/>
      <c r="E903" s="3330">
        <v>1600000</v>
      </c>
      <c r="F903" s="2563">
        <v>0.04</v>
      </c>
      <c r="G903" s="2800">
        <f t="shared" si="33"/>
        <v>64000</v>
      </c>
      <c r="H903" s="265"/>
    </row>
    <row r="904" spans="1:8" x14ac:dyDescent="0.3">
      <c r="A904" s="1010">
        <v>14415</v>
      </c>
      <c r="B904" s="2999">
        <v>0.1</v>
      </c>
      <c r="C904" s="3119" t="s">
        <v>3535</v>
      </c>
      <c r="D904" s="3120"/>
      <c r="E904" s="3330">
        <v>1100000</v>
      </c>
      <c r="F904" s="2672">
        <v>0.05</v>
      </c>
      <c r="G904" s="2800">
        <f t="shared" si="33"/>
        <v>55000</v>
      </c>
      <c r="H904" s="265"/>
    </row>
    <row r="905" spans="1:8" x14ac:dyDescent="0.3">
      <c r="A905" s="2311">
        <v>14413</v>
      </c>
      <c r="B905" s="3125">
        <v>0.1</v>
      </c>
      <c r="C905" s="3126" t="s">
        <v>3536</v>
      </c>
      <c r="D905" s="3083"/>
      <c r="E905" s="3141">
        <v>1350000</v>
      </c>
      <c r="F905" s="3127">
        <v>0.05</v>
      </c>
      <c r="G905" s="2800">
        <f t="shared" si="33"/>
        <v>67500</v>
      </c>
      <c r="H905" s="2317"/>
    </row>
    <row r="906" spans="1:8" ht="17.25" customHeight="1" x14ac:dyDescent="0.3">
      <c r="A906" s="1010">
        <v>14455</v>
      </c>
      <c r="B906" s="3017">
        <v>0.08</v>
      </c>
      <c r="C906" s="3119" t="s">
        <v>3537</v>
      </c>
      <c r="D906" s="3120"/>
      <c r="E906" s="3330">
        <v>2300000</v>
      </c>
      <c r="F906" s="2563">
        <v>0.04</v>
      </c>
      <c r="G906" s="2800">
        <f t="shared" si="33"/>
        <v>92000</v>
      </c>
      <c r="H906" s="265"/>
    </row>
    <row r="907" spans="1:8" x14ac:dyDescent="0.3">
      <c r="A907" s="1010">
        <v>14340</v>
      </c>
      <c r="B907" s="333">
        <v>0.1</v>
      </c>
      <c r="C907" s="3227" t="s">
        <v>3548</v>
      </c>
      <c r="D907" s="3101"/>
      <c r="E907" s="3322">
        <v>1200000</v>
      </c>
      <c r="F907" s="2672">
        <v>0.05</v>
      </c>
      <c r="G907" s="2800">
        <f>E907*F907</f>
        <v>60000</v>
      </c>
      <c r="H907" s="265"/>
    </row>
    <row r="908" spans="1:8" x14ac:dyDescent="0.3">
      <c r="A908" s="2444">
        <v>14378</v>
      </c>
      <c r="B908" s="2596">
        <v>0.1</v>
      </c>
      <c r="C908" s="3245" t="s">
        <v>3549</v>
      </c>
      <c r="D908" s="3128"/>
      <c r="E908" s="3326">
        <v>1250000</v>
      </c>
      <c r="F908" s="3129">
        <v>0.05</v>
      </c>
      <c r="G908" s="2800">
        <f t="shared" si="33"/>
        <v>62500</v>
      </c>
      <c r="H908" s="2329"/>
    </row>
    <row r="909" spans="1:8" x14ac:dyDescent="0.3">
      <c r="A909" s="1010">
        <v>14420</v>
      </c>
      <c r="B909" s="333">
        <v>0.1</v>
      </c>
      <c r="C909" s="3227" t="s">
        <v>3883</v>
      </c>
      <c r="D909" s="3101"/>
      <c r="E909" s="3322">
        <v>1250000</v>
      </c>
      <c r="F909" s="2672">
        <v>0.05</v>
      </c>
      <c r="G909" s="2800">
        <f t="shared" si="33"/>
        <v>62500</v>
      </c>
      <c r="H909" s="265"/>
    </row>
    <row r="910" spans="1:8" x14ac:dyDescent="0.3">
      <c r="A910" s="1010">
        <v>14422</v>
      </c>
      <c r="B910" s="333">
        <v>0.1</v>
      </c>
      <c r="C910" s="3227" t="s">
        <v>3551</v>
      </c>
      <c r="D910" s="3101"/>
      <c r="E910" s="3322">
        <v>1400000</v>
      </c>
      <c r="F910" s="2672">
        <v>0.05</v>
      </c>
      <c r="G910" s="2800">
        <f t="shared" si="33"/>
        <v>70000</v>
      </c>
      <c r="H910" s="265"/>
    </row>
    <row r="911" spans="1:8" x14ac:dyDescent="0.3">
      <c r="A911" s="1010">
        <v>14423</v>
      </c>
      <c r="B911" s="333">
        <v>0.1</v>
      </c>
      <c r="C911" s="3227" t="s">
        <v>3552</v>
      </c>
      <c r="D911" s="3101"/>
      <c r="E911" s="3322">
        <v>1200000</v>
      </c>
      <c r="F911" s="2672">
        <v>0.05</v>
      </c>
      <c r="G911" s="2800">
        <f t="shared" si="33"/>
        <v>60000</v>
      </c>
      <c r="H911" s="265"/>
    </row>
    <row r="912" spans="1:8" x14ac:dyDescent="0.3">
      <c r="A912" s="1010">
        <v>14450</v>
      </c>
      <c r="B912" s="333">
        <v>0.1</v>
      </c>
      <c r="C912" s="3227" t="s">
        <v>3554</v>
      </c>
      <c r="D912" s="3101"/>
      <c r="E912" s="3322">
        <v>1200000</v>
      </c>
      <c r="F912" s="2672">
        <v>0.05</v>
      </c>
      <c r="G912" s="2800">
        <f t="shared" si="33"/>
        <v>60000</v>
      </c>
      <c r="H912" s="265"/>
    </row>
    <row r="913" spans="1:8" x14ac:dyDescent="0.3">
      <c r="A913" s="1010">
        <v>14528</v>
      </c>
      <c r="B913" s="333">
        <v>0.1</v>
      </c>
      <c r="C913" s="3227" t="s">
        <v>3884</v>
      </c>
      <c r="D913" s="3101"/>
      <c r="E913" s="3322">
        <v>800000</v>
      </c>
      <c r="F913" s="2672">
        <v>0.05</v>
      </c>
      <c r="G913" s="2800">
        <f t="shared" si="33"/>
        <v>40000</v>
      </c>
      <c r="H913" s="265"/>
    </row>
    <row r="914" spans="1:8" x14ac:dyDescent="0.3">
      <c r="A914" s="1010">
        <v>14489</v>
      </c>
      <c r="B914" s="333">
        <v>0.1</v>
      </c>
      <c r="C914" s="3121" t="s">
        <v>3556</v>
      </c>
      <c r="D914" s="3101"/>
      <c r="E914" s="3322">
        <v>1150000</v>
      </c>
      <c r="F914" s="2672">
        <v>0.05</v>
      </c>
      <c r="G914" s="2800">
        <f t="shared" si="33"/>
        <v>57500</v>
      </c>
      <c r="H914" s="265"/>
    </row>
    <row r="915" spans="1:8" x14ac:dyDescent="0.3">
      <c r="A915" s="1010">
        <v>14500</v>
      </c>
      <c r="B915" s="333">
        <v>0.1</v>
      </c>
      <c r="C915" s="3227" t="s">
        <v>3557</v>
      </c>
      <c r="D915" s="3101"/>
      <c r="E915" s="3322">
        <v>850000</v>
      </c>
      <c r="F915" s="2672">
        <v>0.05</v>
      </c>
      <c r="G915" s="2800">
        <f t="shared" si="33"/>
        <v>42500</v>
      </c>
      <c r="H915" s="265"/>
    </row>
    <row r="916" spans="1:8" x14ac:dyDescent="0.3">
      <c r="A916" s="1010">
        <v>14531</v>
      </c>
      <c r="B916" s="333">
        <v>0.1</v>
      </c>
      <c r="C916" s="3227" t="s">
        <v>3558</v>
      </c>
      <c r="D916" s="3101"/>
      <c r="E916" s="3322">
        <v>1300000</v>
      </c>
      <c r="F916" s="2672">
        <v>0.05</v>
      </c>
      <c r="G916" s="2800">
        <f t="shared" si="33"/>
        <v>65000</v>
      </c>
      <c r="H916" s="265"/>
    </row>
    <row r="917" spans="1:8" x14ac:dyDescent="0.3">
      <c r="A917" s="1010">
        <v>14600</v>
      </c>
      <c r="B917" s="333">
        <v>0.1</v>
      </c>
      <c r="C917" s="3227" t="s">
        <v>3561</v>
      </c>
      <c r="D917" s="3101"/>
      <c r="E917" s="3322">
        <v>1150000</v>
      </c>
      <c r="F917" s="2672">
        <v>0.05</v>
      </c>
      <c r="G917" s="2800">
        <f t="shared" si="33"/>
        <v>57500</v>
      </c>
      <c r="H917" s="265"/>
    </row>
    <row r="918" spans="1:8" x14ac:dyDescent="0.3">
      <c r="A918" s="3022">
        <v>14394</v>
      </c>
      <c r="B918" s="761">
        <v>0.1</v>
      </c>
      <c r="C918" s="3227" t="s">
        <v>3565</v>
      </c>
      <c r="D918" s="3079"/>
      <c r="E918" s="3139">
        <v>1250000</v>
      </c>
      <c r="F918" s="2672">
        <v>0.05</v>
      </c>
      <c r="G918" s="2800">
        <f t="shared" si="33"/>
        <v>62500</v>
      </c>
      <c r="H918" s="265"/>
    </row>
    <row r="919" spans="1:8" x14ac:dyDescent="0.3">
      <c r="A919" s="3124"/>
      <c r="B919" s="3123"/>
      <c r="C919" s="3246"/>
      <c r="D919" s="265" t="s">
        <v>3876</v>
      </c>
      <c r="E919" s="3139">
        <f>SUM(E895:E918)</f>
        <v>32500000</v>
      </c>
      <c r="F919" s="3124"/>
      <c r="G919" s="3130">
        <f>SUM(G895:G918)</f>
        <v>1586000</v>
      </c>
      <c r="H919" s="3122"/>
    </row>
    <row r="921" spans="1:8" x14ac:dyDescent="0.3">
      <c r="A921" s="3669" t="s">
        <v>3885</v>
      </c>
      <c r="B921" s="3670"/>
      <c r="C921" s="3670"/>
      <c r="D921" s="3670"/>
      <c r="E921" s="3670"/>
      <c r="F921" s="3670"/>
      <c r="G921" s="3670"/>
      <c r="H921" s="3670"/>
    </row>
    <row r="922" spans="1:8" x14ac:dyDescent="0.3">
      <c r="A922" s="3669"/>
      <c r="B922" s="3670"/>
      <c r="C922" s="3670"/>
      <c r="D922" s="3670"/>
      <c r="E922" s="3670"/>
      <c r="F922" s="3670"/>
      <c r="G922" s="3670"/>
      <c r="H922" s="3670"/>
    </row>
    <row r="923" spans="1:8" x14ac:dyDescent="0.3">
      <c r="A923" s="3182" t="s">
        <v>3751</v>
      </c>
      <c r="B923" s="2577" t="s">
        <v>2976</v>
      </c>
      <c r="C923" s="3018" t="s">
        <v>3752</v>
      </c>
      <c r="D923" s="1124" t="s">
        <v>3753</v>
      </c>
      <c r="E923" s="3322" t="s">
        <v>3754</v>
      </c>
      <c r="F923" s="2281" t="s">
        <v>2979</v>
      </c>
      <c r="G923" s="289" t="s">
        <v>2985</v>
      </c>
      <c r="H923" s="2225" t="s">
        <v>3755</v>
      </c>
    </row>
    <row r="924" spans="1:8" x14ac:dyDescent="0.3">
      <c r="A924" s="3022">
        <v>14562</v>
      </c>
      <c r="B924" s="761">
        <v>0.1</v>
      </c>
      <c r="C924" s="3227" t="s">
        <v>3519</v>
      </c>
      <c r="D924" s="3079"/>
      <c r="E924" s="3139">
        <v>1350000</v>
      </c>
      <c r="F924" s="2672">
        <v>0.05</v>
      </c>
      <c r="G924" s="3055">
        <f>E924*F924</f>
        <v>67500</v>
      </c>
      <c r="H924" s="2225"/>
    </row>
    <row r="925" spans="1:8" x14ac:dyDescent="0.3">
      <c r="A925" s="3022">
        <v>14611</v>
      </c>
      <c r="B925" s="761">
        <v>0.1</v>
      </c>
      <c r="C925" s="3227" t="s">
        <v>3521</v>
      </c>
      <c r="D925" s="3079"/>
      <c r="E925" s="3139">
        <v>2610000</v>
      </c>
      <c r="F925" s="2672">
        <v>0.05</v>
      </c>
      <c r="G925" s="3055">
        <f t="shared" ref="G925:G930" si="34">E925*F925</f>
        <v>130500</v>
      </c>
      <c r="H925" s="2225"/>
    </row>
    <row r="926" spans="1:8" x14ac:dyDescent="0.3">
      <c r="A926" s="3022">
        <v>14584</v>
      </c>
      <c r="B926" s="761">
        <v>0.1</v>
      </c>
      <c r="C926" s="3227" t="s">
        <v>3520</v>
      </c>
      <c r="D926" s="3079"/>
      <c r="E926" s="3139">
        <v>2100000</v>
      </c>
      <c r="F926" s="2672">
        <v>0.05</v>
      </c>
      <c r="G926" s="3055">
        <f t="shared" si="34"/>
        <v>105000</v>
      </c>
      <c r="H926" s="265"/>
    </row>
    <row r="927" spans="1:8" x14ac:dyDescent="0.3">
      <c r="A927" s="1010">
        <v>14502</v>
      </c>
      <c r="B927" s="333">
        <v>0.1</v>
      </c>
      <c r="C927" s="3227" t="s">
        <v>3559</v>
      </c>
      <c r="D927" s="3101"/>
      <c r="E927" s="3322">
        <v>1100000</v>
      </c>
      <c r="F927" s="2672">
        <v>0.05</v>
      </c>
      <c r="G927" s="3055">
        <f t="shared" si="34"/>
        <v>55000</v>
      </c>
      <c r="H927" s="265"/>
    </row>
    <row r="928" spans="1:8" x14ac:dyDescent="0.3">
      <c r="A928" s="1010">
        <v>14534</v>
      </c>
      <c r="B928" s="333">
        <v>0.1</v>
      </c>
      <c r="C928" s="3227" t="s">
        <v>3522</v>
      </c>
      <c r="D928" s="3101"/>
      <c r="E928" s="3322">
        <v>1200000</v>
      </c>
      <c r="F928" s="2672">
        <v>0.05</v>
      </c>
      <c r="G928" s="3055">
        <f t="shared" si="34"/>
        <v>60000</v>
      </c>
      <c r="H928" s="265"/>
    </row>
    <row r="929" spans="1:8" x14ac:dyDescent="0.3">
      <c r="A929" s="1010">
        <v>14575</v>
      </c>
      <c r="B929" s="333">
        <v>0.1</v>
      </c>
      <c r="C929" s="3227" t="s">
        <v>3560</v>
      </c>
      <c r="D929" s="3101"/>
      <c r="E929" s="3322">
        <v>1300000</v>
      </c>
      <c r="F929" s="2672">
        <v>0.05</v>
      </c>
      <c r="G929" s="3055">
        <f t="shared" si="34"/>
        <v>65000</v>
      </c>
      <c r="H929" s="265"/>
    </row>
    <row r="930" spans="1:8" x14ac:dyDescent="0.3">
      <c r="A930" s="1010"/>
      <c r="B930" s="333">
        <v>0.1</v>
      </c>
      <c r="C930" s="3227" t="s">
        <v>3886</v>
      </c>
      <c r="D930" s="3101"/>
      <c r="E930" s="3322">
        <v>1150000</v>
      </c>
      <c r="F930" s="2672">
        <v>0.05</v>
      </c>
      <c r="G930" s="3055">
        <f t="shared" si="34"/>
        <v>57500</v>
      </c>
      <c r="H930" s="265"/>
    </row>
    <row r="931" spans="1:8" ht="21" x14ac:dyDescent="0.4">
      <c r="A931" s="3131"/>
      <c r="B931" s="3132"/>
      <c r="C931" s="3247" t="s">
        <v>434</v>
      </c>
      <c r="D931" s="3134"/>
      <c r="E931" s="3331"/>
      <c r="F931" s="3135"/>
      <c r="G931" s="3136"/>
      <c r="H931" s="3137"/>
    </row>
    <row r="932" spans="1:8" x14ac:dyDescent="0.3">
      <c r="A932" s="1010">
        <v>14396</v>
      </c>
      <c r="B932" s="333">
        <v>0.1</v>
      </c>
      <c r="C932" s="3227" t="s">
        <v>3887</v>
      </c>
      <c r="D932" s="3101"/>
      <c r="E932" s="3322">
        <v>1500000</v>
      </c>
      <c r="F932" s="2672">
        <v>0.05</v>
      </c>
      <c r="G932" s="3079">
        <f>E932*F932</f>
        <v>75000</v>
      </c>
      <c r="H932" s="265"/>
    </row>
    <row r="933" spans="1:8" x14ac:dyDescent="0.3">
      <c r="A933" s="1010">
        <v>14459</v>
      </c>
      <c r="B933" s="333">
        <v>0.1</v>
      </c>
      <c r="C933" s="3227" t="s">
        <v>3888</v>
      </c>
      <c r="D933" s="3101"/>
      <c r="E933" s="3322">
        <v>1300000</v>
      </c>
      <c r="F933" s="2672">
        <v>0.05</v>
      </c>
      <c r="G933" s="3079">
        <f t="shared" ref="G933:G938" si="35">E933*F933</f>
        <v>65000</v>
      </c>
      <c r="H933" s="265"/>
    </row>
    <row r="934" spans="1:8" x14ac:dyDescent="0.3">
      <c r="A934" s="1010">
        <v>14398</v>
      </c>
      <c r="B934" s="333">
        <v>0.1</v>
      </c>
      <c r="C934" s="3227" t="s">
        <v>3889</v>
      </c>
      <c r="D934" s="3101"/>
      <c r="E934" s="3322">
        <v>1000000</v>
      </c>
      <c r="F934" s="2672">
        <v>0.05</v>
      </c>
      <c r="G934" s="3079">
        <f t="shared" si="35"/>
        <v>50000</v>
      </c>
      <c r="H934" s="265"/>
    </row>
    <row r="935" spans="1:8" x14ac:dyDescent="0.3">
      <c r="A935" s="1010">
        <v>14428</v>
      </c>
      <c r="B935" s="333">
        <v>0.1</v>
      </c>
      <c r="C935" s="3227" t="s">
        <v>3890</v>
      </c>
      <c r="D935" s="3101"/>
      <c r="E935" s="3322">
        <v>1000000</v>
      </c>
      <c r="F935" s="2563">
        <v>0.02</v>
      </c>
      <c r="G935" s="3079">
        <f t="shared" si="35"/>
        <v>20000</v>
      </c>
      <c r="H935" s="265"/>
    </row>
    <row r="936" spans="1:8" x14ac:dyDescent="0.3">
      <c r="A936" s="1010">
        <v>14446</v>
      </c>
      <c r="B936" s="333">
        <v>0.1</v>
      </c>
      <c r="C936" s="3227" t="s">
        <v>3891</v>
      </c>
      <c r="D936" s="3101"/>
      <c r="E936" s="3322">
        <v>2000000</v>
      </c>
      <c r="F936" s="2672">
        <v>0.05</v>
      </c>
      <c r="G936" s="3079">
        <f t="shared" si="35"/>
        <v>100000</v>
      </c>
      <c r="H936" s="265"/>
    </row>
    <row r="937" spans="1:8" x14ac:dyDescent="0.3">
      <c r="A937" s="1010">
        <v>14453</v>
      </c>
      <c r="B937" s="333">
        <v>0.1</v>
      </c>
      <c r="C937" s="3227" t="s">
        <v>3892</v>
      </c>
      <c r="D937" s="3101"/>
      <c r="E937" s="3322">
        <v>1300000</v>
      </c>
      <c r="F937" s="2672">
        <v>0.05</v>
      </c>
      <c r="G937" s="3079">
        <f t="shared" si="35"/>
        <v>65000</v>
      </c>
      <c r="H937" s="265"/>
    </row>
    <row r="938" spans="1:8" x14ac:dyDescent="0.3">
      <c r="A938" s="3133">
        <v>14494</v>
      </c>
      <c r="B938" s="333">
        <v>0.1</v>
      </c>
      <c r="C938" s="3248" t="s">
        <v>3893</v>
      </c>
      <c r="D938" s="265"/>
      <c r="E938" s="3139">
        <v>1700000</v>
      </c>
      <c r="F938" s="2563">
        <v>0.02</v>
      </c>
      <c r="G938" s="3079">
        <f t="shared" si="35"/>
        <v>34000</v>
      </c>
      <c r="H938" s="3122"/>
    </row>
    <row r="939" spans="1:8" x14ac:dyDescent="0.3">
      <c r="A939" s="3124"/>
      <c r="B939" s="3123"/>
      <c r="C939" s="3246"/>
      <c r="D939" s="265" t="s">
        <v>3876</v>
      </c>
      <c r="E939" s="3139">
        <f>SUM(E924:E938)</f>
        <v>20610000</v>
      </c>
      <c r="F939" s="3124"/>
      <c r="G939" s="3138">
        <f>SUM(G924:G938)</f>
        <v>949500</v>
      </c>
      <c r="H939" s="3122"/>
    </row>
    <row r="941" spans="1:8" x14ac:dyDescent="0.3">
      <c r="A941" s="3669" t="s">
        <v>3894</v>
      </c>
      <c r="B941" s="3670"/>
      <c r="C941" s="3670"/>
      <c r="D941" s="3670"/>
      <c r="E941" s="3670"/>
      <c r="F941" s="3670"/>
      <c r="G941" s="3670"/>
      <c r="H941" s="3670"/>
    </row>
    <row r="942" spans="1:8" x14ac:dyDescent="0.3">
      <c r="A942" s="3669"/>
      <c r="B942" s="3670"/>
      <c r="C942" s="3670"/>
      <c r="D942" s="3670"/>
      <c r="E942" s="3670"/>
      <c r="F942" s="3670"/>
      <c r="G942" s="3670"/>
      <c r="H942" s="3670"/>
    </row>
    <row r="943" spans="1:8" x14ac:dyDescent="0.3">
      <c r="A943" s="3182" t="s">
        <v>3751</v>
      </c>
      <c r="B943" s="2577" t="s">
        <v>2976</v>
      </c>
      <c r="C943" s="3018" t="s">
        <v>3752</v>
      </c>
      <c r="D943" s="1124" t="s">
        <v>3753</v>
      </c>
      <c r="E943" s="3322" t="s">
        <v>3754</v>
      </c>
      <c r="F943" s="2281" t="s">
        <v>2979</v>
      </c>
      <c r="G943" s="289" t="s">
        <v>2985</v>
      </c>
      <c r="H943" s="2225" t="s">
        <v>3755</v>
      </c>
    </row>
    <row r="944" spans="1:8" x14ac:dyDescent="0.3">
      <c r="A944" s="653">
        <v>14352</v>
      </c>
      <c r="B944" s="3056">
        <v>0.09</v>
      </c>
      <c r="C944" s="3249" t="s">
        <v>3494</v>
      </c>
      <c r="D944" s="3101"/>
      <c r="E944" s="3322">
        <v>1300000</v>
      </c>
      <c r="F944" s="2672">
        <v>0.01</v>
      </c>
      <c r="G944" s="3055">
        <f>E944*F944</f>
        <v>13000</v>
      </c>
      <c r="H944" s="2225" t="s">
        <v>36</v>
      </c>
    </row>
    <row r="945" spans="1:8" x14ac:dyDescent="0.3">
      <c r="A945" s="1012">
        <v>14390</v>
      </c>
      <c r="B945" s="2806">
        <v>0.1</v>
      </c>
      <c r="C945" s="3250" t="s">
        <v>3526</v>
      </c>
      <c r="D945" s="3101"/>
      <c r="E945" s="3322">
        <v>1350000</v>
      </c>
      <c r="F945" s="3081">
        <v>0.02</v>
      </c>
      <c r="G945" s="3055">
        <f>E945*F945</f>
        <v>27000</v>
      </c>
      <c r="H945" s="2225" t="s">
        <v>36</v>
      </c>
    </row>
    <row r="946" spans="1:8" x14ac:dyDescent="0.3">
      <c r="A946" s="121">
        <v>14403</v>
      </c>
      <c r="B946" s="2806">
        <v>0.1</v>
      </c>
      <c r="C946" s="3227" t="s">
        <v>3568</v>
      </c>
      <c r="D946" s="3143"/>
      <c r="E946" s="3139">
        <v>1250000</v>
      </c>
      <c r="F946" s="3081">
        <v>0.02</v>
      </c>
      <c r="G946" s="3079">
        <f>E946*F946</f>
        <v>25000</v>
      </c>
      <c r="H946" s="265"/>
    </row>
    <row r="947" spans="1:8" x14ac:dyDescent="0.3">
      <c r="A947" s="1030" t="s">
        <v>3022</v>
      </c>
      <c r="B947" s="3023"/>
      <c r="C947" s="3144" t="s">
        <v>3539</v>
      </c>
      <c r="D947" s="3143"/>
      <c r="E947" s="3323"/>
      <c r="F947" s="2982"/>
      <c r="G947" s="265"/>
      <c r="H947" s="265"/>
    </row>
    <row r="948" spans="1:8" x14ac:dyDescent="0.3">
      <c r="A948" s="3217"/>
      <c r="B948" s="3123"/>
      <c r="C948" s="3246"/>
      <c r="D948" s="265" t="s">
        <v>3876</v>
      </c>
      <c r="E948" s="3139">
        <f>SUM(E944:E947)</f>
        <v>3900000</v>
      </c>
      <c r="F948" s="3124"/>
      <c r="G948" s="3138">
        <f>SUM(G944:G946)</f>
        <v>65000</v>
      </c>
      <c r="H948" s="3122"/>
    </row>
    <row r="949" spans="1:8" x14ac:dyDescent="0.3">
      <c r="A949" s="2"/>
      <c r="B949" s="2392"/>
      <c r="C949" s="160"/>
      <c r="D949" s="11"/>
      <c r="E949" s="3139"/>
      <c r="F949" s="2"/>
      <c r="G949" s="11"/>
      <c r="H949" s="11"/>
    </row>
    <row r="950" spans="1:8" x14ac:dyDescent="0.3">
      <c r="A950" s="3669" t="s">
        <v>3895</v>
      </c>
      <c r="B950" s="3670"/>
      <c r="C950" s="3670"/>
      <c r="D950" s="3670"/>
      <c r="E950" s="3670"/>
      <c r="F950" s="3670"/>
      <c r="G950" s="3670"/>
      <c r="H950" s="3670"/>
    </row>
    <row r="951" spans="1:8" x14ac:dyDescent="0.3">
      <c r="A951" s="3669"/>
      <c r="B951" s="3670"/>
      <c r="C951" s="3670"/>
      <c r="D951" s="3670"/>
      <c r="E951" s="3670"/>
      <c r="F951" s="3670"/>
      <c r="G951" s="3670"/>
      <c r="H951" s="3670"/>
    </row>
    <row r="952" spans="1:8" x14ac:dyDescent="0.3">
      <c r="A952" s="2819" t="s">
        <v>3751</v>
      </c>
      <c r="B952" s="2719" t="s">
        <v>2976</v>
      </c>
      <c r="C952" s="3237" t="s">
        <v>3752</v>
      </c>
      <c r="D952" s="2796" t="s">
        <v>3753</v>
      </c>
      <c r="E952" s="3328" t="s">
        <v>3754</v>
      </c>
      <c r="F952" s="1595" t="s">
        <v>2979</v>
      </c>
      <c r="G952" s="2795" t="s">
        <v>2985</v>
      </c>
      <c r="H952" s="2226" t="s">
        <v>3755</v>
      </c>
    </row>
    <row r="953" spans="1:8" x14ac:dyDescent="0.3">
      <c r="A953" s="121">
        <v>14432</v>
      </c>
      <c r="B953" s="333">
        <v>0.1</v>
      </c>
      <c r="C953" s="3227" t="s">
        <v>3896</v>
      </c>
      <c r="D953" s="3140"/>
      <c r="E953" s="3139">
        <v>1000000</v>
      </c>
      <c r="F953" s="2982"/>
      <c r="G953" s="265"/>
      <c r="H953" s="265"/>
    </row>
    <row r="954" spans="1:8" x14ac:dyDescent="0.3">
      <c r="A954" s="1010">
        <v>14433</v>
      </c>
      <c r="B954" s="333">
        <v>0.1</v>
      </c>
      <c r="C954" s="3227" t="s">
        <v>3546</v>
      </c>
      <c r="D954" s="3101"/>
      <c r="E954" s="3322">
        <v>1150000</v>
      </c>
      <c r="F954" s="2982"/>
      <c r="G954" s="265"/>
      <c r="H954" s="265"/>
    </row>
    <row r="955" spans="1:8" x14ac:dyDescent="0.3">
      <c r="A955" s="3059">
        <v>14443</v>
      </c>
      <c r="B955" s="3060">
        <v>0.1</v>
      </c>
      <c r="C955" s="3238" t="s">
        <v>3567</v>
      </c>
      <c r="D955" s="3083"/>
      <c r="E955" s="3328">
        <v>1100000</v>
      </c>
      <c r="F955" s="3099"/>
      <c r="G955" s="2317"/>
      <c r="H955" s="2317"/>
    </row>
    <row r="956" spans="1:8" x14ac:dyDescent="0.3">
      <c r="A956" s="3022">
        <v>14364</v>
      </c>
      <c r="B956" s="761" t="s">
        <v>3570</v>
      </c>
      <c r="C956" s="3227" t="s">
        <v>3571</v>
      </c>
      <c r="D956" s="265"/>
      <c r="E956" s="3328">
        <v>1400000</v>
      </c>
      <c r="F956" s="2982"/>
      <c r="G956" s="265"/>
      <c r="H956" s="265"/>
    </row>
    <row r="957" spans="1:8" x14ac:dyDescent="0.3">
      <c r="A957" s="2982"/>
      <c r="B957" s="3020"/>
      <c r="C957" s="3251"/>
      <c r="D957" s="265" t="s">
        <v>3876</v>
      </c>
      <c r="E957" s="3139">
        <f>SUM(E953:E956)</f>
        <v>4650000</v>
      </c>
      <c r="F957" s="2982"/>
      <c r="G957" s="265"/>
      <c r="H957" s="265"/>
    </row>
    <row r="959" spans="1:8" x14ac:dyDescent="0.3">
      <c r="A959" s="3661" t="s">
        <v>3865</v>
      </c>
      <c r="B959" s="3661"/>
      <c r="C959" s="3661"/>
      <c r="D959" s="3661"/>
      <c r="E959" s="3661"/>
      <c r="F959" s="3661"/>
      <c r="G959" s="3661"/>
    </row>
    <row r="960" spans="1:8" x14ac:dyDescent="0.3">
      <c r="A960" s="3661"/>
      <c r="B960" s="3661"/>
      <c r="C960" s="3675"/>
      <c r="D960" s="3675"/>
      <c r="E960" s="3661"/>
      <c r="F960" s="3661"/>
      <c r="G960" s="3661"/>
    </row>
    <row r="961" spans="1:8" x14ac:dyDescent="0.3">
      <c r="A961" s="2819" t="s">
        <v>3751</v>
      </c>
      <c r="B961" s="2719" t="s">
        <v>2976</v>
      </c>
      <c r="C961" s="3237" t="s">
        <v>3752</v>
      </c>
      <c r="D961" s="2796" t="s">
        <v>3753</v>
      </c>
      <c r="E961" s="3328" t="s">
        <v>3754</v>
      </c>
      <c r="F961" s="1595" t="s">
        <v>2979</v>
      </c>
      <c r="G961" s="2795" t="s">
        <v>2985</v>
      </c>
      <c r="H961" s="2226" t="s">
        <v>3755</v>
      </c>
    </row>
    <row r="962" spans="1:8" x14ac:dyDescent="0.3">
      <c r="A962" s="1010">
        <v>14361</v>
      </c>
      <c r="B962" s="3117">
        <v>0.1</v>
      </c>
      <c r="C962" s="3118" t="s">
        <v>3506</v>
      </c>
      <c r="D962" s="3079"/>
      <c r="E962" s="3139">
        <v>1200000</v>
      </c>
      <c r="F962" s="2672">
        <v>0.02</v>
      </c>
      <c r="G962" s="2800">
        <f>E962*F962</f>
        <v>24000</v>
      </c>
      <c r="H962" s="3020"/>
    </row>
    <row r="963" spans="1:8" x14ac:dyDescent="0.3">
      <c r="A963" s="3022">
        <v>14442</v>
      </c>
      <c r="B963" s="3117">
        <v>0.1</v>
      </c>
      <c r="C963" s="3227" t="s">
        <v>3509</v>
      </c>
      <c r="D963" s="3079"/>
      <c r="E963" s="3139">
        <v>1400000</v>
      </c>
      <c r="F963" s="2672">
        <v>0.02</v>
      </c>
      <c r="G963" s="2800">
        <f t="shared" ref="G963:G999" si="36">E963*F963</f>
        <v>28000</v>
      </c>
      <c r="H963" s="3020"/>
    </row>
    <row r="964" spans="1:8" x14ac:dyDescent="0.3">
      <c r="A964" s="3022">
        <v>14485</v>
      </c>
      <c r="B964" s="761">
        <v>0.1</v>
      </c>
      <c r="C964" s="3227" t="s">
        <v>3511</v>
      </c>
      <c r="D964" s="3079"/>
      <c r="E964" s="3139">
        <v>1500000</v>
      </c>
      <c r="F964" s="2672">
        <v>0.02</v>
      </c>
      <c r="G964" s="2800">
        <f t="shared" si="36"/>
        <v>30000</v>
      </c>
      <c r="H964" s="3020"/>
    </row>
    <row r="965" spans="1:8" x14ac:dyDescent="0.3">
      <c r="A965" s="3022">
        <v>14507</v>
      </c>
      <c r="B965" s="761">
        <v>0.1</v>
      </c>
      <c r="C965" s="3227" t="s">
        <v>3513</v>
      </c>
      <c r="D965" s="3079"/>
      <c r="E965" s="3139">
        <v>1950000</v>
      </c>
      <c r="F965" s="2672">
        <v>0.02</v>
      </c>
      <c r="G965" s="2800">
        <f t="shared" si="36"/>
        <v>39000</v>
      </c>
      <c r="H965" s="3020"/>
    </row>
    <row r="966" spans="1:8" x14ac:dyDescent="0.3">
      <c r="A966" s="3022">
        <v>14523</v>
      </c>
      <c r="B966" s="761">
        <v>0.1</v>
      </c>
      <c r="C966" s="3227" t="s">
        <v>3515</v>
      </c>
      <c r="D966" s="3079"/>
      <c r="E966" s="3139">
        <v>1400000</v>
      </c>
      <c r="F966" s="2672">
        <v>0.02</v>
      </c>
      <c r="G966" s="2800">
        <f t="shared" si="36"/>
        <v>28000</v>
      </c>
      <c r="H966" s="3020"/>
    </row>
    <row r="967" spans="1:8" x14ac:dyDescent="0.3">
      <c r="A967" s="3022">
        <v>14565</v>
      </c>
      <c r="B967" s="761">
        <v>0.1</v>
      </c>
      <c r="C967" s="3227" t="s">
        <v>3516</v>
      </c>
      <c r="D967" s="3079"/>
      <c r="E967" s="3139">
        <v>1600000</v>
      </c>
      <c r="F967" s="2672">
        <v>0.02</v>
      </c>
      <c r="G967" s="2800">
        <f t="shared" si="36"/>
        <v>32000</v>
      </c>
      <c r="H967" s="3020"/>
    </row>
    <row r="968" spans="1:8" x14ac:dyDescent="0.3">
      <c r="A968" s="3022">
        <v>14561</v>
      </c>
      <c r="B968" s="761">
        <v>0.1</v>
      </c>
      <c r="C968" s="3227" t="s">
        <v>3518</v>
      </c>
      <c r="D968" s="3079"/>
      <c r="E968" s="3139">
        <v>1800000</v>
      </c>
      <c r="F968" s="2672">
        <v>0.02</v>
      </c>
      <c r="G968" s="2800">
        <f t="shared" si="36"/>
        <v>36000</v>
      </c>
      <c r="H968" s="265"/>
    </row>
    <row r="969" spans="1:8" x14ac:dyDescent="0.3">
      <c r="A969" s="1010">
        <v>14362</v>
      </c>
      <c r="B969" s="2999">
        <v>0.1</v>
      </c>
      <c r="C969" s="3119" t="s">
        <v>3528</v>
      </c>
      <c r="D969" s="3120"/>
      <c r="E969" s="3330">
        <v>1300000</v>
      </c>
      <c r="F969" s="2672">
        <v>0.02</v>
      </c>
      <c r="G969" s="2800">
        <f t="shared" si="36"/>
        <v>26000</v>
      </c>
      <c r="H969" s="265"/>
    </row>
    <row r="970" spans="1:8" x14ac:dyDescent="0.3">
      <c r="A970" s="1010">
        <v>14363</v>
      </c>
      <c r="B970" s="3017">
        <v>0.08</v>
      </c>
      <c r="C970" s="3119" t="s">
        <v>3531</v>
      </c>
      <c r="D970" s="3120"/>
      <c r="E970" s="3330">
        <v>1600000</v>
      </c>
      <c r="F970" s="2563">
        <v>0.01</v>
      </c>
      <c r="G970" s="2800">
        <f t="shared" si="36"/>
        <v>16000</v>
      </c>
      <c r="H970" s="265"/>
    </row>
    <row r="971" spans="1:8" x14ac:dyDescent="0.3">
      <c r="A971" s="1010">
        <v>14415</v>
      </c>
      <c r="B971" s="2999">
        <v>0.1</v>
      </c>
      <c r="C971" s="3119" t="s">
        <v>3535</v>
      </c>
      <c r="D971" s="3120"/>
      <c r="E971" s="3330">
        <v>1100000</v>
      </c>
      <c r="F971" s="2672">
        <v>0.02</v>
      </c>
      <c r="G971" s="2800">
        <f t="shared" si="36"/>
        <v>22000</v>
      </c>
      <c r="H971" s="265"/>
    </row>
    <row r="972" spans="1:8" x14ac:dyDescent="0.3">
      <c r="A972" s="1010">
        <v>14413</v>
      </c>
      <c r="B972" s="2999">
        <v>0.1</v>
      </c>
      <c r="C972" s="3119" t="s">
        <v>3536</v>
      </c>
      <c r="D972" s="3079"/>
      <c r="E972" s="3139">
        <v>1350000</v>
      </c>
      <c r="F972" s="2672">
        <v>0.02</v>
      </c>
      <c r="G972" s="2800">
        <f t="shared" si="36"/>
        <v>27000</v>
      </c>
      <c r="H972" s="265"/>
    </row>
    <row r="973" spans="1:8" x14ac:dyDescent="0.3">
      <c r="A973" s="1010">
        <v>14455</v>
      </c>
      <c r="B973" s="3017">
        <v>0.08</v>
      </c>
      <c r="C973" s="3119" t="s">
        <v>3537</v>
      </c>
      <c r="D973" s="3120"/>
      <c r="E973" s="3330">
        <v>2300000</v>
      </c>
      <c r="F973" s="2563">
        <v>0.01</v>
      </c>
      <c r="G973" s="2800">
        <f t="shared" si="36"/>
        <v>23000</v>
      </c>
      <c r="H973" s="265"/>
    </row>
    <row r="974" spans="1:8" x14ac:dyDescent="0.3">
      <c r="A974" s="1010">
        <v>14340</v>
      </c>
      <c r="B974" s="333">
        <v>0.1</v>
      </c>
      <c r="C974" s="3227" t="s">
        <v>3548</v>
      </c>
      <c r="D974" s="3101"/>
      <c r="E974" s="3322">
        <v>1200000</v>
      </c>
      <c r="F974" s="2672">
        <v>0.02</v>
      </c>
      <c r="G974" s="2800">
        <f t="shared" si="36"/>
        <v>24000</v>
      </c>
      <c r="H974" s="265"/>
    </row>
    <row r="975" spans="1:8" x14ac:dyDescent="0.3">
      <c r="A975" s="1010">
        <v>14378</v>
      </c>
      <c r="B975" s="333">
        <v>0.1</v>
      </c>
      <c r="C975" s="3227" t="s">
        <v>3549</v>
      </c>
      <c r="D975" s="3101"/>
      <c r="E975" s="3322">
        <v>1250000</v>
      </c>
      <c r="F975" s="2672">
        <v>0.02</v>
      </c>
      <c r="G975" s="2800">
        <f t="shared" si="36"/>
        <v>25000</v>
      </c>
      <c r="H975" s="265"/>
    </row>
    <row r="976" spans="1:8" x14ac:dyDescent="0.3">
      <c r="A976" s="1010">
        <v>14420</v>
      </c>
      <c r="B976" s="333">
        <v>0.1</v>
      </c>
      <c r="C976" s="3227" t="s">
        <v>3883</v>
      </c>
      <c r="D976" s="3101"/>
      <c r="E976" s="3322">
        <v>1250000</v>
      </c>
      <c r="F976" s="2672">
        <v>0.02</v>
      </c>
      <c r="G976" s="2800">
        <f t="shared" si="36"/>
        <v>25000</v>
      </c>
      <c r="H976" s="265"/>
    </row>
    <row r="977" spans="1:8" x14ac:dyDescent="0.3">
      <c r="A977" s="1010">
        <v>14422</v>
      </c>
      <c r="B977" s="333">
        <v>0.1</v>
      </c>
      <c r="C977" s="3227" t="s">
        <v>3551</v>
      </c>
      <c r="D977" s="3101"/>
      <c r="E977" s="3322">
        <v>1400000</v>
      </c>
      <c r="F977" s="2672">
        <v>0.02</v>
      </c>
      <c r="G977" s="2800">
        <f t="shared" si="36"/>
        <v>28000</v>
      </c>
      <c r="H977" s="265"/>
    </row>
    <row r="978" spans="1:8" x14ac:dyDescent="0.3">
      <c r="A978" s="1010">
        <v>14423</v>
      </c>
      <c r="B978" s="333">
        <v>0.1</v>
      </c>
      <c r="C978" s="3227" t="s">
        <v>3552</v>
      </c>
      <c r="D978" s="3101"/>
      <c r="E978" s="3322">
        <v>1200000</v>
      </c>
      <c r="F978" s="2672">
        <v>0.02</v>
      </c>
      <c r="G978" s="2800">
        <f t="shared" si="36"/>
        <v>24000</v>
      </c>
      <c r="H978" s="265"/>
    </row>
    <row r="979" spans="1:8" x14ac:dyDescent="0.3">
      <c r="A979" s="1010">
        <v>14450</v>
      </c>
      <c r="B979" s="333">
        <v>0.1</v>
      </c>
      <c r="C979" s="3227" t="s">
        <v>3554</v>
      </c>
      <c r="D979" s="3101"/>
      <c r="E979" s="3322">
        <v>1200000</v>
      </c>
      <c r="F979" s="2672">
        <v>0.02</v>
      </c>
      <c r="G979" s="2800">
        <f t="shared" si="36"/>
        <v>24000</v>
      </c>
      <c r="H979" s="265"/>
    </row>
    <row r="980" spans="1:8" x14ac:dyDescent="0.3">
      <c r="A980" s="1010">
        <v>14528</v>
      </c>
      <c r="B980" s="333">
        <v>0.1</v>
      </c>
      <c r="C980" s="3227" t="s">
        <v>3884</v>
      </c>
      <c r="D980" s="3101"/>
      <c r="E980" s="3322">
        <v>800000</v>
      </c>
      <c r="F980" s="2672">
        <v>0.02</v>
      </c>
      <c r="G980" s="2800">
        <f t="shared" si="36"/>
        <v>16000</v>
      </c>
      <c r="H980" s="265"/>
    </row>
    <row r="981" spans="1:8" x14ac:dyDescent="0.3">
      <c r="A981" s="1010">
        <v>14489</v>
      </c>
      <c r="B981" s="333">
        <v>0.1</v>
      </c>
      <c r="C981" s="3121" t="s">
        <v>3556</v>
      </c>
      <c r="D981" s="3101"/>
      <c r="E981" s="3322">
        <v>1150000</v>
      </c>
      <c r="F981" s="2672">
        <v>0.02</v>
      </c>
      <c r="G981" s="2800">
        <f t="shared" si="36"/>
        <v>23000</v>
      </c>
      <c r="H981" s="265"/>
    </row>
    <row r="982" spans="1:8" x14ac:dyDescent="0.3">
      <c r="A982" s="1010">
        <v>14500</v>
      </c>
      <c r="B982" s="333">
        <v>0.1</v>
      </c>
      <c r="C982" s="3227" t="s">
        <v>3557</v>
      </c>
      <c r="D982" s="3101"/>
      <c r="E982" s="3322">
        <v>850000</v>
      </c>
      <c r="F982" s="2672">
        <v>0.02</v>
      </c>
      <c r="G982" s="2800">
        <f t="shared" si="36"/>
        <v>17000</v>
      </c>
      <c r="H982" s="265"/>
    </row>
    <row r="983" spans="1:8" x14ac:dyDescent="0.3">
      <c r="A983" s="1010">
        <v>14531</v>
      </c>
      <c r="B983" s="333">
        <v>0.1</v>
      </c>
      <c r="C983" s="3227" t="s">
        <v>3558</v>
      </c>
      <c r="D983" s="3101"/>
      <c r="E983" s="3322">
        <v>1300000</v>
      </c>
      <c r="F983" s="2672">
        <v>0.02</v>
      </c>
      <c r="G983" s="2800">
        <f t="shared" si="36"/>
        <v>26000</v>
      </c>
      <c r="H983" s="265"/>
    </row>
    <row r="984" spans="1:8" x14ac:dyDescent="0.3">
      <c r="A984" s="1010">
        <v>14600</v>
      </c>
      <c r="B984" s="333">
        <v>0.1</v>
      </c>
      <c r="C984" s="3227" t="s">
        <v>3561</v>
      </c>
      <c r="D984" s="3101"/>
      <c r="E984" s="3322">
        <v>1150000</v>
      </c>
      <c r="F984" s="2672">
        <v>0.02</v>
      </c>
      <c r="G984" s="2800">
        <f t="shared" si="36"/>
        <v>23000</v>
      </c>
      <c r="H984" s="265"/>
    </row>
    <row r="985" spans="1:8" x14ac:dyDescent="0.3">
      <c r="A985" s="3022">
        <v>14394</v>
      </c>
      <c r="B985" s="761">
        <v>0.1</v>
      </c>
      <c r="C985" s="3227" t="s">
        <v>3565</v>
      </c>
      <c r="D985" s="3079"/>
      <c r="E985" s="3139">
        <v>1250000</v>
      </c>
      <c r="F985" s="2672">
        <v>0.02</v>
      </c>
      <c r="G985" s="2800">
        <f t="shared" si="36"/>
        <v>25000</v>
      </c>
      <c r="H985" s="265"/>
    </row>
    <row r="986" spans="1:8" x14ac:dyDescent="0.3">
      <c r="A986" s="3022">
        <v>14562</v>
      </c>
      <c r="B986" s="761">
        <v>0.1</v>
      </c>
      <c r="C986" s="3227" t="s">
        <v>3519</v>
      </c>
      <c r="D986" s="3079"/>
      <c r="E986" s="3139">
        <v>1350000</v>
      </c>
      <c r="F986" s="2672">
        <v>0.02</v>
      </c>
      <c r="G986" s="2800">
        <f t="shared" si="36"/>
        <v>27000</v>
      </c>
      <c r="H986" s="2225"/>
    </row>
    <row r="987" spans="1:8" x14ac:dyDescent="0.3">
      <c r="A987" s="3022">
        <v>14611</v>
      </c>
      <c r="B987" s="761">
        <v>0.1</v>
      </c>
      <c r="C987" s="3227" t="s">
        <v>3521</v>
      </c>
      <c r="D987" s="3079"/>
      <c r="E987" s="3139">
        <v>2610000</v>
      </c>
      <c r="F987" s="2672">
        <v>0.02</v>
      </c>
      <c r="G987" s="2800">
        <f t="shared" si="36"/>
        <v>52200</v>
      </c>
      <c r="H987" s="2225"/>
    </row>
    <row r="988" spans="1:8" x14ac:dyDescent="0.3">
      <c r="A988" s="3022">
        <v>14584</v>
      </c>
      <c r="B988" s="761">
        <v>0.1</v>
      </c>
      <c r="C988" s="3227" t="s">
        <v>3520</v>
      </c>
      <c r="D988" s="3079"/>
      <c r="E988" s="3139">
        <v>2100000</v>
      </c>
      <c r="F988" s="2672">
        <v>0.02</v>
      </c>
      <c r="G988" s="2800">
        <f t="shared" si="36"/>
        <v>42000</v>
      </c>
      <c r="H988" s="265"/>
    </row>
    <row r="989" spans="1:8" x14ac:dyDescent="0.3">
      <c r="A989" s="1010">
        <v>14502</v>
      </c>
      <c r="B989" s="333">
        <v>0.1</v>
      </c>
      <c r="C989" s="3227" t="s">
        <v>3559</v>
      </c>
      <c r="D989" s="3101"/>
      <c r="E989" s="3322">
        <v>1100000</v>
      </c>
      <c r="F989" s="2672">
        <v>0.02</v>
      </c>
      <c r="G989" s="2800">
        <f t="shared" si="36"/>
        <v>22000</v>
      </c>
      <c r="H989" s="265"/>
    </row>
    <row r="990" spans="1:8" x14ac:dyDescent="0.3">
      <c r="A990" s="1010">
        <v>14534</v>
      </c>
      <c r="B990" s="333">
        <v>0.1</v>
      </c>
      <c r="C990" s="3227" t="s">
        <v>3522</v>
      </c>
      <c r="D990" s="3101"/>
      <c r="E990" s="3322">
        <v>1200000</v>
      </c>
      <c r="F990" s="2672">
        <v>0.02</v>
      </c>
      <c r="G990" s="2800">
        <f t="shared" si="36"/>
        <v>24000</v>
      </c>
      <c r="H990" s="265"/>
    </row>
    <row r="991" spans="1:8" x14ac:dyDescent="0.3">
      <c r="A991" s="1010">
        <v>14575</v>
      </c>
      <c r="B991" s="333">
        <v>0.1</v>
      </c>
      <c r="C991" s="3227" t="s">
        <v>3560</v>
      </c>
      <c r="D991" s="3101"/>
      <c r="E991" s="3322">
        <v>1300000</v>
      </c>
      <c r="F991" s="2672">
        <v>0.02</v>
      </c>
      <c r="G991" s="2800">
        <f t="shared" si="36"/>
        <v>26000</v>
      </c>
      <c r="H991" s="265"/>
    </row>
    <row r="992" spans="1:8" x14ac:dyDescent="0.3">
      <c r="A992" s="1010"/>
      <c r="B992" s="333">
        <v>0.1</v>
      </c>
      <c r="C992" s="3227" t="s">
        <v>3886</v>
      </c>
      <c r="D992" s="3101"/>
      <c r="E992" s="3322">
        <v>1150000</v>
      </c>
      <c r="F992" s="2672">
        <v>0.02</v>
      </c>
      <c r="G992" s="2800">
        <f t="shared" si="36"/>
        <v>23000</v>
      </c>
      <c r="H992" s="265"/>
    </row>
    <row r="993" spans="1:8" x14ac:dyDescent="0.3">
      <c r="A993" s="653">
        <v>14352</v>
      </c>
      <c r="B993" s="3056">
        <v>0.09</v>
      </c>
      <c r="C993" s="3248" t="s">
        <v>3494</v>
      </c>
      <c r="D993" s="3101"/>
      <c r="E993" s="3322">
        <v>1300000</v>
      </c>
      <c r="F993" s="2563">
        <v>0.01</v>
      </c>
      <c r="G993" s="2800">
        <f t="shared" si="36"/>
        <v>13000</v>
      </c>
      <c r="H993" s="2225"/>
    </row>
    <row r="994" spans="1:8" x14ac:dyDescent="0.3">
      <c r="A994" s="121">
        <v>14390</v>
      </c>
      <c r="B994" s="2806">
        <v>0.1</v>
      </c>
      <c r="C994" s="3227" t="s">
        <v>3526</v>
      </c>
      <c r="D994" s="3101"/>
      <c r="E994" s="3322">
        <v>1350000</v>
      </c>
      <c r="F994" s="2672">
        <v>0.02</v>
      </c>
      <c r="G994" s="2800">
        <f t="shared" si="36"/>
        <v>27000</v>
      </c>
      <c r="H994" s="2225"/>
    </row>
    <row r="995" spans="1:8" x14ac:dyDescent="0.3">
      <c r="A995" s="121">
        <v>14403</v>
      </c>
      <c r="B995" s="2806">
        <v>0.1</v>
      </c>
      <c r="C995" s="3227" t="s">
        <v>3568</v>
      </c>
      <c r="D995" s="3140"/>
      <c r="E995" s="3139">
        <v>1250000</v>
      </c>
      <c r="F995" s="2672">
        <v>0.02</v>
      </c>
      <c r="G995" s="2800">
        <f t="shared" si="36"/>
        <v>25000</v>
      </c>
      <c r="H995" s="265"/>
    </row>
    <row r="996" spans="1:8" x14ac:dyDescent="0.3">
      <c r="A996" s="121">
        <v>14432</v>
      </c>
      <c r="B996" s="333">
        <v>0.1</v>
      </c>
      <c r="C996" s="3227" t="s">
        <v>3896</v>
      </c>
      <c r="D996" s="3140"/>
      <c r="E996" s="3139">
        <v>1000000</v>
      </c>
      <c r="F996" s="2672">
        <v>0.02</v>
      </c>
      <c r="G996" s="2800">
        <f t="shared" si="36"/>
        <v>20000</v>
      </c>
      <c r="H996" s="265"/>
    </row>
    <row r="997" spans="1:8" x14ac:dyDescent="0.3">
      <c r="A997" s="1010">
        <v>14433</v>
      </c>
      <c r="B997" s="333">
        <v>0.1</v>
      </c>
      <c r="C997" s="3227" t="s">
        <v>3546</v>
      </c>
      <c r="D997" s="3101"/>
      <c r="E997" s="3322">
        <v>1150000</v>
      </c>
      <c r="F997" s="2672">
        <v>0.02</v>
      </c>
      <c r="G997" s="2800">
        <f t="shared" si="36"/>
        <v>23000</v>
      </c>
      <c r="H997" s="265"/>
    </row>
    <row r="998" spans="1:8" x14ac:dyDescent="0.3">
      <c r="A998" s="3022">
        <v>14443</v>
      </c>
      <c r="B998" s="761">
        <v>0.1</v>
      </c>
      <c r="C998" s="3227" t="s">
        <v>3567</v>
      </c>
      <c r="D998" s="3079"/>
      <c r="E998" s="3322">
        <v>1100000</v>
      </c>
      <c r="F998" s="2672">
        <v>0.02</v>
      </c>
      <c r="G998" s="2800">
        <f t="shared" si="36"/>
        <v>22000</v>
      </c>
      <c r="H998" s="265"/>
    </row>
    <row r="999" spans="1:8" x14ac:dyDescent="0.3">
      <c r="A999" s="3022">
        <v>14364</v>
      </c>
      <c r="B999" s="761" t="s">
        <v>3570</v>
      </c>
      <c r="C999" s="3227" t="s">
        <v>3571</v>
      </c>
      <c r="D999" s="3079"/>
      <c r="E999" s="3322">
        <v>1400000</v>
      </c>
      <c r="F999" s="2672">
        <v>0.02</v>
      </c>
      <c r="G999" s="2800">
        <f t="shared" si="36"/>
        <v>28000</v>
      </c>
      <c r="H999" s="265"/>
    </row>
    <row r="1000" spans="1:8" x14ac:dyDescent="0.3">
      <c r="A1000" s="1050"/>
      <c r="B1000" s="2807"/>
      <c r="C1000" s="2157"/>
      <c r="D1000" s="1195" t="s">
        <v>3758</v>
      </c>
      <c r="E1000" s="3259">
        <f>SUM(E962:E999)</f>
        <v>51860000</v>
      </c>
      <c r="F1000" s="51"/>
      <c r="G1000" s="3079">
        <f>SUM(G962:G999)</f>
        <v>985200</v>
      </c>
      <c r="H1000" s="11"/>
    </row>
    <row r="1003" spans="1:8" ht="46.2" x14ac:dyDescent="0.85">
      <c r="A1003" s="3673" t="s">
        <v>2751</v>
      </c>
      <c r="B1003" s="3674"/>
      <c r="C1003" s="3674"/>
      <c r="D1003" s="3674"/>
      <c r="E1003" s="3674"/>
      <c r="F1003" s="3674"/>
      <c r="G1003" s="3674"/>
      <c r="H1003" s="3674"/>
    </row>
    <row r="1005" spans="1:8" x14ac:dyDescent="0.3">
      <c r="A1005" s="3669" t="s">
        <v>3839</v>
      </c>
      <c r="B1005" s="3670"/>
      <c r="C1005" s="3670"/>
      <c r="D1005" s="3670"/>
      <c r="E1005" s="3670"/>
      <c r="F1005" s="3670"/>
      <c r="G1005" s="3670"/>
      <c r="H1005" s="3670"/>
    </row>
    <row r="1006" spans="1:8" x14ac:dyDescent="0.3">
      <c r="A1006" s="3669"/>
      <c r="B1006" s="3670"/>
      <c r="C1006" s="3670"/>
      <c r="D1006" s="3670"/>
      <c r="E1006" s="3670"/>
      <c r="F1006" s="3670"/>
      <c r="G1006" s="3670"/>
      <c r="H1006" s="3670"/>
    </row>
    <row r="1007" spans="1:8" x14ac:dyDescent="0.3">
      <c r="A1007" s="3182" t="s">
        <v>3751</v>
      </c>
      <c r="B1007" s="2577" t="s">
        <v>2976</v>
      </c>
      <c r="C1007" s="3018" t="s">
        <v>3752</v>
      </c>
      <c r="D1007" s="1124" t="s">
        <v>3753</v>
      </c>
      <c r="E1007" s="3322" t="s">
        <v>3754</v>
      </c>
      <c r="F1007" s="2281" t="s">
        <v>2979</v>
      </c>
      <c r="G1007" s="289" t="s">
        <v>2985</v>
      </c>
      <c r="H1007" s="2225" t="s">
        <v>3755</v>
      </c>
    </row>
    <row r="1008" spans="1:8" x14ac:dyDescent="0.3">
      <c r="A1008" s="3022">
        <v>14648</v>
      </c>
      <c r="B1008" s="761">
        <v>0.1</v>
      </c>
      <c r="C1008" s="3227" t="s">
        <v>3580</v>
      </c>
      <c r="D1008" s="3211"/>
      <c r="E1008" s="3139">
        <v>1200000</v>
      </c>
      <c r="F1008" s="2672">
        <v>0.05</v>
      </c>
      <c r="G1008" s="3255">
        <f>E1008*F1008</f>
        <v>60000</v>
      </c>
      <c r="H1008" s="2225"/>
    </row>
    <row r="1009" spans="1:8" x14ac:dyDescent="0.3">
      <c r="A1009" s="3022">
        <v>14674</v>
      </c>
      <c r="B1009" s="2561">
        <v>0.08</v>
      </c>
      <c r="C1009" s="3227" t="s">
        <v>3582</v>
      </c>
      <c r="D1009" s="3211"/>
      <c r="E1009" s="3139">
        <v>2000000</v>
      </c>
      <c r="F1009" s="2563">
        <v>0.04</v>
      </c>
      <c r="G1009" s="3255">
        <f t="shared" ref="G1009:G1019" si="37">E1009*F1009</f>
        <v>80000</v>
      </c>
      <c r="H1009" s="2225"/>
    </row>
    <row r="1010" spans="1:8" x14ac:dyDescent="0.3">
      <c r="A1010" s="1010">
        <v>14690</v>
      </c>
      <c r="B1010" s="2999">
        <v>0.1</v>
      </c>
      <c r="C1010" s="3119" t="s">
        <v>3608</v>
      </c>
      <c r="D1010" s="3211"/>
      <c r="E1010" s="3139">
        <v>1900000</v>
      </c>
      <c r="F1010" s="2672">
        <v>0.05</v>
      </c>
      <c r="G1010" s="3255">
        <f t="shared" si="37"/>
        <v>95000</v>
      </c>
      <c r="H1010" s="2225"/>
    </row>
    <row r="1011" spans="1:8" x14ac:dyDescent="0.3">
      <c r="A1011" s="1010">
        <v>14691</v>
      </c>
      <c r="B1011" s="2999">
        <v>0.1</v>
      </c>
      <c r="C1011" s="3119" t="s">
        <v>3611</v>
      </c>
      <c r="D1011" s="3211"/>
      <c r="E1011" s="3139">
        <v>1500000</v>
      </c>
      <c r="F1011" s="2672">
        <v>0.05</v>
      </c>
      <c r="G1011" s="3255">
        <f t="shared" si="37"/>
        <v>75000</v>
      </c>
      <c r="H1011" s="2225"/>
    </row>
    <row r="1012" spans="1:8" x14ac:dyDescent="0.3">
      <c r="A1012" s="1010">
        <v>14722</v>
      </c>
      <c r="B1012" s="2999">
        <v>0.1</v>
      </c>
      <c r="C1012" s="3119" t="s">
        <v>3612</v>
      </c>
      <c r="D1012" s="3211"/>
      <c r="E1012" s="3139">
        <v>1650000</v>
      </c>
      <c r="F1012" s="2672">
        <v>0.05</v>
      </c>
      <c r="G1012" s="3255">
        <f t="shared" si="37"/>
        <v>82500</v>
      </c>
      <c r="H1012" s="2225"/>
    </row>
    <row r="1013" spans="1:8" x14ac:dyDescent="0.3">
      <c r="A1013" s="1010">
        <v>14721</v>
      </c>
      <c r="B1013" s="2999">
        <v>0.1</v>
      </c>
      <c r="C1013" s="3119" t="s">
        <v>3613</v>
      </c>
      <c r="D1013" s="3211"/>
      <c r="E1013" s="3139">
        <v>950000</v>
      </c>
      <c r="F1013" s="2672">
        <v>0.05</v>
      </c>
      <c r="G1013" s="3255">
        <f t="shared" si="37"/>
        <v>47500</v>
      </c>
      <c r="H1013" s="2225"/>
    </row>
    <row r="1014" spans="1:8" x14ac:dyDescent="0.3">
      <c r="A1014" s="1010">
        <v>14768</v>
      </c>
      <c r="B1014" s="2999">
        <v>0.1</v>
      </c>
      <c r="C1014" s="3119" t="s">
        <v>3583</v>
      </c>
      <c r="D1014" s="3211"/>
      <c r="E1014" s="3139">
        <v>2100000</v>
      </c>
      <c r="F1014" s="2672">
        <v>0.05</v>
      </c>
      <c r="G1014" s="3255">
        <f t="shared" si="37"/>
        <v>105000</v>
      </c>
      <c r="H1014" s="2225"/>
    </row>
    <row r="1015" spans="1:8" x14ac:dyDescent="0.3">
      <c r="A1015" s="1010">
        <v>14615</v>
      </c>
      <c r="B1015" s="333">
        <v>0.1</v>
      </c>
      <c r="C1015" s="3227" t="s">
        <v>3585</v>
      </c>
      <c r="D1015" s="3211"/>
      <c r="E1015" s="3139">
        <v>1300000</v>
      </c>
      <c r="F1015" s="2672">
        <v>0.05</v>
      </c>
      <c r="G1015" s="3255">
        <f t="shared" si="37"/>
        <v>65000</v>
      </c>
      <c r="H1015" s="2225"/>
    </row>
    <row r="1016" spans="1:8" x14ac:dyDescent="0.3">
      <c r="A1016" s="1010">
        <v>14619</v>
      </c>
      <c r="B1016" s="553">
        <v>7.0000000000000007E-2</v>
      </c>
      <c r="C1016" s="3227" t="s">
        <v>3632</v>
      </c>
      <c r="D1016" s="3211"/>
      <c r="E1016" s="3139">
        <v>1300000</v>
      </c>
      <c r="F1016" s="2563">
        <v>0.04</v>
      </c>
      <c r="G1016" s="3255">
        <f t="shared" si="37"/>
        <v>52000</v>
      </c>
      <c r="H1016" s="2225"/>
    </row>
    <row r="1017" spans="1:8" x14ac:dyDescent="0.3">
      <c r="A1017" s="1010">
        <v>14702</v>
      </c>
      <c r="B1017" s="333">
        <v>0.1</v>
      </c>
      <c r="C1017" s="3227" t="s">
        <v>3638</v>
      </c>
      <c r="D1017" s="3211"/>
      <c r="E1017" s="3139">
        <v>1500000</v>
      </c>
      <c r="F1017" s="2672">
        <v>0.05</v>
      </c>
      <c r="G1017" s="3255">
        <f t="shared" si="37"/>
        <v>75000</v>
      </c>
      <c r="H1017" s="2225"/>
    </row>
    <row r="1018" spans="1:8" x14ac:dyDescent="0.3">
      <c r="A1018" s="1010">
        <v>14731</v>
      </c>
      <c r="B1018" s="333">
        <v>0.1</v>
      </c>
      <c r="C1018" s="3227" t="s">
        <v>3639</v>
      </c>
      <c r="D1018" s="3211"/>
      <c r="E1018" s="3139">
        <v>1450000</v>
      </c>
      <c r="F1018" s="2672">
        <v>0.05</v>
      </c>
      <c r="G1018" s="3255">
        <f t="shared" si="37"/>
        <v>72500</v>
      </c>
      <c r="H1018" s="2225"/>
    </row>
    <row r="1019" spans="1:8" x14ac:dyDescent="0.3">
      <c r="A1019" s="1010">
        <v>14720</v>
      </c>
      <c r="B1019" s="553">
        <v>0.08</v>
      </c>
      <c r="C1019" s="3227" t="s">
        <v>3609</v>
      </c>
      <c r="D1019" s="3211"/>
      <c r="E1019" s="3139">
        <v>1400000</v>
      </c>
      <c r="F1019" s="2563">
        <v>0.04</v>
      </c>
      <c r="G1019" s="3255">
        <f t="shared" si="37"/>
        <v>56000</v>
      </c>
      <c r="H1019" s="2225"/>
    </row>
    <row r="1020" spans="1:8" x14ac:dyDescent="0.3">
      <c r="A1020" s="1050"/>
      <c r="B1020" s="3256"/>
      <c r="C1020" s="3257"/>
      <c r="D1020" s="3258" t="s">
        <v>3758</v>
      </c>
      <c r="E1020" s="3259">
        <f>SUM(E1008:E1019)</f>
        <v>18250000</v>
      </c>
      <c r="F1020" s="50"/>
      <c r="G1020" s="3079">
        <f>SUM(G1008:G1019)</f>
        <v>865500</v>
      </c>
      <c r="H1020" s="265"/>
    </row>
    <row r="1022" spans="1:8" x14ac:dyDescent="0.3">
      <c r="A1022" s="3669" t="s">
        <v>3897</v>
      </c>
      <c r="B1022" s="3670"/>
      <c r="C1022" s="3670"/>
      <c r="D1022" s="3670"/>
      <c r="E1022" s="3670"/>
      <c r="F1022" s="3670"/>
      <c r="G1022" s="3670"/>
      <c r="H1022" s="3670"/>
    </row>
    <row r="1023" spans="1:8" x14ac:dyDescent="0.3">
      <c r="A1023" s="3669"/>
      <c r="B1023" s="3670"/>
      <c r="C1023" s="3670"/>
      <c r="D1023" s="3670"/>
      <c r="E1023" s="3670"/>
      <c r="F1023" s="3670"/>
      <c r="G1023" s="3670"/>
      <c r="H1023" s="3670"/>
    </row>
    <row r="1024" spans="1:8" x14ac:dyDescent="0.3">
      <c r="A1024" s="2819" t="s">
        <v>3751</v>
      </c>
      <c r="B1024" s="2911" t="s">
        <v>2976</v>
      </c>
      <c r="C1024" s="3237" t="s">
        <v>3752</v>
      </c>
      <c r="D1024" s="2922" t="s">
        <v>3753</v>
      </c>
      <c r="E1024" s="3328" t="s">
        <v>3754</v>
      </c>
      <c r="F1024" s="1595" t="s">
        <v>2979</v>
      </c>
      <c r="G1024" s="2795" t="s">
        <v>2985</v>
      </c>
      <c r="H1024" s="2226" t="s">
        <v>3755</v>
      </c>
    </row>
    <row r="1025" spans="1:11" s="511" customFormat="1" x14ac:dyDescent="0.3">
      <c r="A1025" s="3022">
        <v>14708</v>
      </c>
      <c r="B1025" s="2561">
        <v>0.08</v>
      </c>
      <c r="C1025" s="3227" t="s">
        <v>3584</v>
      </c>
      <c r="D1025" s="3079"/>
      <c r="E1025" s="3139">
        <v>1550000</v>
      </c>
      <c r="F1025" s="3127">
        <v>0.04</v>
      </c>
      <c r="G1025" s="3265">
        <f>E1025*F1025</f>
        <v>62000</v>
      </c>
      <c r="H1025" s="3209"/>
    </row>
    <row r="1026" spans="1:11" s="511" customFormat="1" x14ac:dyDescent="0.3">
      <c r="A1026" s="3022">
        <v>14750</v>
      </c>
      <c r="B1026" s="2558">
        <v>0.1</v>
      </c>
      <c r="C1026" s="3227" t="s">
        <v>3586</v>
      </c>
      <c r="D1026" s="3079"/>
      <c r="E1026" s="3139">
        <v>970000</v>
      </c>
      <c r="F1026" s="3127">
        <v>0.05</v>
      </c>
      <c r="G1026" s="3265">
        <f t="shared" ref="G1026:G1057" si="38">E1026*F1026</f>
        <v>48500</v>
      </c>
      <c r="H1026" s="3209"/>
      <c r="K1026" s="3210"/>
    </row>
    <row r="1027" spans="1:11" s="511" customFormat="1" x14ac:dyDescent="0.3">
      <c r="A1027" s="3022">
        <v>14692</v>
      </c>
      <c r="B1027" s="2558">
        <v>0.1</v>
      </c>
      <c r="C1027" s="3227" t="s">
        <v>3588</v>
      </c>
      <c r="D1027" s="3079"/>
      <c r="E1027" s="3139">
        <v>970000</v>
      </c>
      <c r="F1027" s="3127">
        <v>0.05</v>
      </c>
      <c r="G1027" s="3265">
        <f t="shared" si="38"/>
        <v>48500</v>
      </c>
      <c r="H1027" s="3209"/>
      <c r="K1027" s="3210"/>
    </row>
    <row r="1028" spans="1:11" s="511" customFormat="1" x14ac:dyDescent="0.3">
      <c r="A1028" s="3022">
        <v>14737</v>
      </c>
      <c r="B1028" s="2558">
        <v>0.1</v>
      </c>
      <c r="C1028" s="3227" t="s">
        <v>3590</v>
      </c>
      <c r="D1028" s="3079"/>
      <c r="E1028" s="3139">
        <v>970000</v>
      </c>
      <c r="F1028" s="3127">
        <v>0.05</v>
      </c>
      <c r="G1028" s="3265">
        <f t="shared" si="38"/>
        <v>48500</v>
      </c>
      <c r="H1028" s="3209"/>
      <c r="K1028" s="3210"/>
    </row>
    <row r="1029" spans="1:11" s="511" customFormat="1" x14ac:dyDescent="0.3">
      <c r="A1029" s="3022">
        <v>14741</v>
      </c>
      <c r="B1029" s="2558">
        <v>0.1</v>
      </c>
      <c r="C1029" s="3227" t="s">
        <v>3593</v>
      </c>
      <c r="D1029" s="3079"/>
      <c r="E1029" s="3139">
        <v>1300000</v>
      </c>
      <c r="F1029" s="3127">
        <v>0.05</v>
      </c>
      <c r="G1029" s="3265">
        <f t="shared" si="38"/>
        <v>65000</v>
      </c>
      <c r="H1029" s="3209"/>
      <c r="K1029" s="3210"/>
    </row>
    <row r="1030" spans="1:11" s="511" customFormat="1" x14ac:dyDescent="0.3">
      <c r="A1030" s="3022">
        <v>14812</v>
      </c>
      <c r="B1030" s="2558">
        <v>0.1</v>
      </c>
      <c r="C1030" s="3227" t="s">
        <v>3595</v>
      </c>
      <c r="D1030" s="3079"/>
      <c r="E1030" s="3139">
        <v>1200000</v>
      </c>
      <c r="F1030" s="3127">
        <v>0.05</v>
      </c>
      <c r="G1030" s="3265">
        <f t="shared" si="38"/>
        <v>60000</v>
      </c>
      <c r="H1030" s="3209"/>
      <c r="K1030" s="3210"/>
    </row>
    <row r="1031" spans="1:11" s="511" customFormat="1" x14ac:dyDescent="0.3">
      <c r="A1031" s="2444">
        <v>14644</v>
      </c>
      <c r="B1031" s="2999">
        <v>0.1</v>
      </c>
      <c r="C1031" s="3087" t="s">
        <v>3581</v>
      </c>
      <c r="D1031" s="3088"/>
      <c r="E1031" s="3323">
        <v>1350000</v>
      </c>
      <c r="F1031" s="3127">
        <v>0.05</v>
      </c>
      <c r="G1031" s="3265">
        <f t="shared" si="38"/>
        <v>67500</v>
      </c>
      <c r="H1031" s="3209"/>
      <c r="K1031" s="3210"/>
    </row>
    <row r="1032" spans="1:11" s="511" customFormat="1" x14ac:dyDescent="0.3">
      <c r="A1032" s="2444">
        <v>14707</v>
      </c>
      <c r="B1032" s="2999">
        <v>0.1</v>
      </c>
      <c r="C1032" s="3087" t="s">
        <v>3610</v>
      </c>
      <c r="D1032" s="2922"/>
      <c r="E1032" s="3323">
        <v>1200000</v>
      </c>
      <c r="F1032" s="3127">
        <v>0.05</v>
      </c>
      <c r="G1032" s="3265">
        <f t="shared" si="38"/>
        <v>60000</v>
      </c>
      <c r="H1032" s="3209"/>
      <c r="K1032" s="3210"/>
    </row>
    <row r="1033" spans="1:11" s="511" customFormat="1" x14ac:dyDescent="0.3">
      <c r="A1033" s="2444">
        <v>14735</v>
      </c>
      <c r="B1033" s="2999">
        <v>0.1</v>
      </c>
      <c r="C1033" s="3087" t="s">
        <v>3614</v>
      </c>
      <c r="D1033" s="3088"/>
      <c r="E1033" s="3323">
        <v>1400000</v>
      </c>
      <c r="F1033" s="3127">
        <v>0.05</v>
      </c>
      <c r="G1033" s="3265">
        <f t="shared" si="38"/>
        <v>70000</v>
      </c>
      <c r="H1033" s="3209"/>
      <c r="K1033" s="3210"/>
    </row>
    <row r="1034" spans="1:11" s="511" customFormat="1" x14ac:dyDescent="0.3">
      <c r="A1034" s="2444">
        <v>14772</v>
      </c>
      <c r="B1034" s="2999">
        <v>0.1</v>
      </c>
      <c r="C1034" s="3087" t="s">
        <v>3615</v>
      </c>
      <c r="D1034" s="3088"/>
      <c r="E1034" s="3323">
        <v>1500000</v>
      </c>
      <c r="F1034" s="3127">
        <v>0.05</v>
      </c>
      <c r="G1034" s="3265">
        <f t="shared" si="38"/>
        <v>75000</v>
      </c>
      <c r="H1034" s="3209"/>
    </row>
    <row r="1035" spans="1:11" s="511" customFormat="1" x14ac:dyDescent="0.3">
      <c r="A1035" s="2444">
        <v>14769</v>
      </c>
      <c r="B1035" s="2999">
        <v>0.1</v>
      </c>
      <c r="C1035" s="3087" t="s">
        <v>3616</v>
      </c>
      <c r="D1035" s="3088"/>
      <c r="E1035" s="3323">
        <v>1900000</v>
      </c>
      <c r="F1035" s="3127">
        <v>0.05</v>
      </c>
      <c r="G1035" s="3265">
        <f t="shared" si="38"/>
        <v>95000</v>
      </c>
      <c r="H1035" s="3209"/>
    </row>
    <row r="1036" spans="1:11" s="511" customFormat="1" x14ac:dyDescent="0.3">
      <c r="A1036" s="2444">
        <v>14793</v>
      </c>
      <c r="B1036" s="2999">
        <v>0.1</v>
      </c>
      <c r="C1036" s="3087" t="s">
        <v>3618</v>
      </c>
      <c r="D1036" s="3260"/>
      <c r="E1036" s="3261">
        <v>1650000</v>
      </c>
      <c r="F1036" s="3127">
        <v>0.05</v>
      </c>
      <c r="G1036" s="3265">
        <f t="shared" si="38"/>
        <v>82500</v>
      </c>
      <c r="H1036" s="3209"/>
    </row>
    <row r="1037" spans="1:11" s="511" customFormat="1" x14ac:dyDescent="0.3">
      <c r="A1037" s="2444" t="s">
        <v>3062</v>
      </c>
      <c r="B1037" s="2999">
        <v>0.1</v>
      </c>
      <c r="C1037" s="3087" t="s">
        <v>3619</v>
      </c>
      <c r="D1037" s="3260"/>
      <c r="E1037" s="3261">
        <v>1300000</v>
      </c>
      <c r="F1037" s="3127">
        <v>0.05</v>
      </c>
      <c r="G1037" s="3265">
        <f t="shared" si="38"/>
        <v>65000</v>
      </c>
      <c r="H1037" s="3209"/>
    </row>
    <row r="1038" spans="1:11" s="511" customFormat="1" x14ac:dyDescent="0.3">
      <c r="A1038" s="2444">
        <v>14813</v>
      </c>
      <c r="B1038" s="3017">
        <v>0.08</v>
      </c>
      <c r="C1038" s="3087" t="s">
        <v>3621</v>
      </c>
      <c r="D1038" s="3260"/>
      <c r="E1038" s="3261">
        <v>1350000</v>
      </c>
      <c r="F1038" s="3264">
        <v>0.04</v>
      </c>
      <c r="G1038" s="3265">
        <f t="shared" si="38"/>
        <v>54000</v>
      </c>
      <c r="H1038" s="3209"/>
    </row>
    <row r="1039" spans="1:11" s="511" customFormat="1" x14ac:dyDescent="0.3">
      <c r="A1039" s="2444">
        <v>14821</v>
      </c>
      <c r="B1039" s="2999">
        <v>0.1</v>
      </c>
      <c r="C1039" s="3087" t="s">
        <v>3623</v>
      </c>
      <c r="D1039" s="3260"/>
      <c r="E1039" s="3261">
        <v>1200000</v>
      </c>
      <c r="F1039" s="3127">
        <v>0.05</v>
      </c>
      <c r="G1039" s="3265">
        <f t="shared" si="38"/>
        <v>60000</v>
      </c>
      <c r="H1039" s="3209"/>
    </row>
    <row r="1040" spans="1:11" s="511" customFormat="1" x14ac:dyDescent="0.3">
      <c r="A1040" s="2444"/>
      <c r="B1040" s="2999">
        <v>0.1</v>
      </c>
      <c r="C1040" s="3087" t="s">
        <v>3625</v>
      </c>
      <c r="D1040" s="1332"/>
      <c r="E1040" s="3261">
        <v>2000000</v>
      </c>
      <c r="F1040" s="3127">
        <v>0.05</v>
      </c>
      <c r="G1040" s="3265">
        <f t="shared" si="38"/>
        <v>100000</v>
      </c>
      <c r="H1040" s="3209"/>
    </row>
    <row r="1041" spans="1:8" s="511" customFormat="1" x14ac:dyDescent="0.3">
      <c r="A1041" s="1010">
        <v>14624</v>
      </c>
      <c r="B1041" s="2824">
        <v>0.1</v>
      </c>
      <c r="C1041" s="3250" t="s">
        <v>3587</v>
      </c>
      <c r="D1041" s="3101"/>
      <c r="E1041" s="3322">
        <v>1350000</v>
      </c>
      <c r="F1041" s="3127">
        <v>0.05</v>
      </c>
      <c r="G1041" s="3265">
        <f t="shared" si="38"/>
        <v>67500</v>
      </c>
      <c r="H1041" s="3209"/>
    </row>
    <row r="1042" spans="1:8" s="511" customFormat="1" x14ac:dyDescent="0.3">
      <c r="A1042" s="2546">
        <v>14636</v>
      </c>
      <c r="B1042" s="2824">
        <v>0.1</v>
      </c>
      <c r="C1042" s="3250" t="s">
        <v>3589</v>
      </c>
      <c r="D1042" s="3101"/>
      <c r="E1042" s="3322">
        <v>1400000</v>
      </c>
      <c r="F1042" s="3127">
        <v>0.05</v>
      </c>
      <c r="G1042" s="3265">
        <f t="shared" si="38"/>
        <v>70000</v>
      </c>
      <c r="H1042" s="3209"/>
    </row>
    <row r="1043" spans="1:8" s="511" customFormat="1" x14ac:dyDescent="0.3">
      <c r="A1043" s="2544">
        <v>14667</v>
      </c>
      <c r="B1043" s="2596">
        <v>0.1</v>
      </c>
      <c r="C1043" s="3250" t="s">
        <v>3898</v>
      </c>
      <c r="D1043" s="3101"/>
      <c r="E1043" s="3322"/>
      <c r="F1043" s="3127"/>
      <c r="G1043" s="3265">
        <f t="shared" si="38"/>
        <v>0</v>
      </c>
      <c r="H1043" s="3209"/>
    </row>
    <row r="1044" spans="1:8" s="511" customFormat="1" x14ac:dyDescent="0.3">
      <c r="A1044" s="2544">
        <v>14686</v>
      </c>
      <c r="B1044" s="2596">
        <v>0.1</v>
      </c>
      <c r="C1044" s="3250" t="s">
        <v>3636</v>
      </c>
      <c r="D1044" s="3101"/>
      <c r="E1044" s="3322">
        <v>1150000</v>
      </c>
      <c r="F1044" s="3127">
        <v>0.05</v>
      </c>
      <c r="G1044" s="3265">
        <f t="shared" si="38"/>
        <v>57500</v>
      </c>
      <c r="H1044" s="3209"/>
    </row>
    <row r="1045" spans="1:8" s="511" customFormat="1" x14ac:dyDescent="0.3">
      <c r="A1045" s="2544">
        <v>14685</v>
      </c>
      <c r="B1045" s="2596">
        <v>0.1</v>
      </c>
      <c r="C1045" s="3250" t="s">
        <v>3637</v>
      </c>
      <c r="D1045" s="3101"/>
      <c r="E1045" s="3322">
        <v>1050000</v>
      </c>
      <c r="F1045" s="3127">
        <v>0.05</v>
      </c>
      <c r="G1045" s="3265">
        <f t="shared" si="38"/>
        <v>52500</v>
      </c>
      <c r="H1045" s="3209"/>
    </row>
    <row r="1046" spans="1:8" s="511" customFormat="1" x14ac:dyDescent="0.3">
      <c r="A1046" s="2544">
        <v>14795</v>
      </c>
      <c r="B1046" s="2596">
        <v>0.1</v>
      </c>
      <c r="C1046" s="3250" t="s">
        <v>3607</v>
      </c>
      <c r="D1046" s="2956"/>
      <c r="E1046" s="3322">
        <v>1650000</v>
      </c>
      <c r="F1046" s="3127">
        <v>0.05</v>
      </c>
      <c r="G1046" s="3265">
        <f t="shared" si="38"/>
        <v>82500</v>
      </c>
      <c r="H1046" s="3209"/>
    </row>
    <row r="1047" spans="1:8" s="511" customFormat="1" x14ac:dyDescent="0.3">
      <c r="A1047" s="2544">
        <v>14846</v>
      </c>
      <c r="B1047" s="2596">
        <v>0.1</v>
      </c>
      <c r="C1047" s="3250" t="s">
        <v>3640</v>
      </c>
      <c r="D1047" s="2956"/>
      <c r="E1047" s="3322">
        <v>1300000</v>
      </c>
      <c r="F1047" s="3127">
        <v>0.05</v>
      </c>
      <c r="G1047" s="3265">
        <f t="shared" si="38"/>
        <v>65000</v>
      </c>
      <c r="H1047" s="3209"/>
    </row>
    <row r="1048" spans="1:8" s="511" customFormat="1" x14ac:dyDescent="0.3">
      <c r="A1048" s="2544">
        <v>14655</v>
      </c>
      <c r="B1048" s="2694">
        <v>0.08</v>
      </c>
      <c r="C1048" s="3250" t="s">
        <v>3648</v>
      </c>
      <c r="D1048" s="3101"/>
      <c r="E1048" s="3322">
        <v>2300000</v>
      </c>
      <c r="F1048" s="3264">
        <v>0.04</v>
      </c>
      <c r="G1048" s="3265">
        <f t="shared" si="38"/>
        <v>92000</v>
      </c>
      <c r="H1048" s="3209"/>
    </row>
    <row r="1049" spans="1:8" s="511" customFormat="1" x14ac:dyDescent="0.3">
      <c r="A1049" s="2544">
        <v>14651</v>
      </c>
      <c r="B1049" s="2596">
        <v>0.1</v>
      </c>
      <c r="C1049" s="3250" t="s">
        <v>3594</v>
      </c>
      <c r="D1049" s="3101"/>
      <c r="E1049" s="3322">
        <v>1250000</v>
      </c>
      <c r="F1049" s="3127">
        <v>0.05</v>
      </c>
      <c r="G1049" s="3265">
        <f t="shared" si="38"/>
        <v>62500</v>
      </c>
      <c r="H1049" s="3209"/>
    </row>
    <row r="1050" spans="1:8" s="511" customFormat="1" x14ac:dyDescent="0.3">
      <c r="A1050" s="2544">
        <v>14859</v>
      </c>
      <c r="B1050" s="2596">
        <v>0.1</v>
      </c>
      <c r="C1050" s="3250" t="s">
        <v>3649</v>
      </c>
      <c r="D1050" s="3101"/>
      <c r="E1050" s="3322">
        <v>1400000</v>
      </c>
      <c r="F1050" s="3127">
        <v>0.05</v>
      </c>
      <c r="G1050" s="3265">
        <f t="shared" si="38"/>
        <v>70000</v>
      </c>
      <c r="H1050" s="3209"/>
    </row>
    <row r="1051" spans="1:8" s="511" customFormat="1" x14ac:dyDescent="0.3">
      <c r="A1051" s="2544">
        <v>14759</v>
      </c>
      <c r="B1051" s="2596">
        <v>0.1</v>
      </c>
      <c r="C1051" s="3250" t="s">
        <v>3596</v>
      </c>
      <c r="D1051" s="3101"/>
      <c r="E1051" s="3322">
        <v>1750000</v>
      </c>
      <c r="F1051" s="3127">
        <v>0.05</v>
      </c>
      <c r="G1051" s="3265">
        <f t="shared" si="38"/>
        <v>87500</v>
      </c>
      <c r="H1051" s="3209"/>
    </row>
    <row r="1052" spans="1:8" s="511" customFormat="1" x14ac:dyDescent="0.3">
      <c r="A1052" s="2544">
        <v>14775</v>
      </c>
      <c r="B1052" s="2596">
        <v>0.1</v>
      </c>
      <c r="C1052" s="3250" t="s">
        <v>3635</v>
      </c>
      <c r="D1052" s="3101"/>
      <c r="E1052" s="3322">
        <v>1100000</v>
      </c>
      <c r="F1052" s="3127">
        <v>0.05</v>
      </c>
      <c r="G1052" s="3265">
        <f t="shared" si="38"/>
        <v>55000</v>
      </c>
      <c r="H1052" s="3209"/>
    </row>
    <row r="1053" spans="1:8" s="511" customFormat="1" x14ac:dyDescent="0.3">
      <c r="A1053" s="2544">
        <v>14774</v>
      </c>
      <c r="B1053" s="2596">
        <v>0.1</v>
      </c>
      <c r="C1053" s="3250" t="s">
        <v>3650</v>
      </c>
      <c r="D1053" s="3101"/>
      <c r="E1053" s="3322">
        <v>1000000</v>
      </c>
      <c r="F1053" s="3127">
        <v>0.05</v>
      </c>
      <c r="G1053" s="3265">
        <f t="shared" si="38"/>
        <v>50000</v>
      </c>
      <c r="H1053" s="3209"/>
    </row>
    <row r="1054" spans="1:8" s="511" customFormat="1" x14ac:dyDescent="0.3">
      <c r="A1054" s="2544">
        <v>14806</v>
      </c>
      <c r="B1054" s="2596">
        <v>0.1</v>
      </c>
      <c r="C1054" s="3250" t="s">
        <v>3651</v>
      </c>
      <c r="D1054" s="3101"/>
      <c r="E1054" s="3322">
        <v>1200000</v>
      </c>
      <c r="F1054" s="3127">
        <v>0.05</v>
      </c>
      <c r="G1054" s="3265">
        <f t="shared" si="38"/>
        <v>60000</v>
      </c>
      <c r="H1054" s="3209"/>
    </row>
    <row r="1055" spans="1:8" s="511" customFormat="1" x14ac:dyDescent="0.3">
      <c r="A1055" s="2444">
        <v>14646</v>
      </c>
      <c r="B1055" s="2694">
        <v>0.08</v>
      </c>
      <c r="C1055" s="3250" t="s">
        <v>3654</v>
      </c>
      <c r="D1055" s="3101"/>
      <c r="E1055" s="3322">
        <v>500000</v>
      </c>
      <c r="F1055" s="3127">
        <v>0.04</v>
      </c>
      <c r="G1055" s="3265">
        <f t="shared" si="38"/>
        <v>20000</v>
      </c>
      <c r="H1055" s="3209"/>
    </row>
    <row r="1056" spans="1:8" s="511" customFormat="1" x14ac:dyDescent="0.3">
      <c r="A1056" s="2444">
        <v>14729</v>
      </c>
      <c r="B1056" s="2596">
        <v>0.1</v>
      </c>
      <c r="C1056" s="3250" t="s">
        <v>3899</v>
      </c>
      <c r="D1056" s="3055" t="s">
        <v>434</v>
      </c>
      <c r="E1056" s="3322">
        <v>1200000</v>
      </c>
      <c r="F1056" s="3127">
        <v>0.05</v>
      </c>
      <c r="G1056" s="3265">
        <f t="shared" si="38"/>
        <v>60000</v>
      </c>
      <c r="H1056" s="3209"/>
    </row>
    <row r="1057" spans="1:8" s="511" customFormat="1" x14ac:dyDescent="0.3">
      <c r="A1057" s="2444">
        <v>14699</v>
      </c>
      <c r="B1057" s="2596">
        <v>0.1</v>
      </c>
      <c r="C1057" s="3250" t="s">
        <v>3900</v>
      </c>
      <c r="D1057" s="3055" t="s">
        <v>434</v>
      </c>
      <c r="E1057" s="3322">
        <v>1100000</v>
      </c>
      <c r="F1057" s="3127">
        <v>0.05</v>
      </c>
      <c r="G1057" s="3265">
        <f t="shared" si="38"/>
        <v>55000</v>
      </c>
      <c r="H1057" s="3209"/>
    </row>
    <row r="1058" spans="1:8" x14ac:dyDescent="0.3">
      <c r="A1058" s="3214"/>
      <c r="B1058" s="3262"/>
      <c r="C1058" s="3263"/>
      <c r="D1058" s="3258" t="s">
        <v>3758</v>
      </c>
      <c r="E1058" s="3259">
        <f>SUM(E1024:E1055)</f>
        <v>40210000</v>
      </c>
      <c r="F1058" s="50"/>
      <c r="G1058" s="3079">
        <f>SUM(G1025:G1057)</f>
        <v>2068500</v>
      </c>
      <c r="H1058" s="265"/>
    </row>
    <row r="1060" spans="1:8" x14ac:dyDescent="0.3">
      <c r="A1060" s="3661" t="s">
        <v>3901</v>
      </c>
      <c r="B1060" s="3661"/>
      <c r="C1060" s="3661"/>
      <c r="D1060" s="3661"/>
      <c r="E1060" s="3661"/>
      <c r="F1060" s="3661"/>
      <c r="G1060" s="3661"/>
      <c r="H1060" s="3661"/>
    </row>
    <row r="1061" spans="1:8" x14ac:dyDescent="0.3">
      <c r="A1061" s="3661"/>
      <c r="B1061" s="3661"/>
      <c r="C1061" s="3661"/>
      <c r="D1061" s="3661"/>
      <c r="E1061" s="3661"/>
      <c r="F1061" s="3661"/>
      <c r="G1061" s="3661"/>
      <c r="H1061" s="3661"/>
    </row>
    <row r="1062" spans="1:8" x14ac:dyDescent="0.3">
      <c r="A1062" s="3266" t="s">
        <v>3751</v>
      </c>
      <c r="B1062" s="3267" t="s">
        <v>2976</v>
      </c>
      <c r="C1062" s="3221" t="s">
        <v>3752</v>
      </c>
      <c r="D1062" s="2461" t="s">
        <v>3753</v>
      </c>
      <c r="E1062" s="3332" t="s">
        <v>3754</v>
      </c>
      <c r="F1062" s="3268" t="s">
        <v>2979</v>
      </c>
      <c r="G1062" s="2511" t="s">
        <v>2985</v>
      </c>
      <c r="H1062" s="3269" t="s">
        <v>3755</v>
      </c>
    </row>
    <row r="1063" spans="1:8" x14ac:dyDescent="0.3">
      <c r="A1063" s="3022">
        <v>14648</v>
      </c>
      <c r="B1063" s="2561">
        <v>0.09</v>
      </c>
      <c r="C1063" s="3227" t="s">
        <v>3580</v>
      </c>
      <c r="D1063" s="3079"/>
      <c r="E1063" s="3139">
        <v>1200000</v>
      </c>
      <c r="F1063" s="2563">
        <v>0.02</v>
      </c>
      <c r="G1063" s="3255">
        <f>E1063*F1063</f>
        <v>24000</v>
      </c>
      <c r="H1063" s="2226"/>
    </row>
    <row r="1064" spans="1:8" x14ac:dyDescent="0.3">
      <c r="A1064" s="3022">
        <v>14674</v>
      </c>
      <c r="B1064" s="2561">
        <v>0.08</v>
      </c>
      <c r="C1064" s="3227" t="s">
        <v>3582</v>
      </c>
      <c r="D1064" s="3260"/>
      <c r="E1064" s="3261">
        <v>2000000</v>
      </c>
      <c r="F1064" s="2563">
        <v>0.02</v>
      </c>
      <c r="G1064" s="3255">
        <f t="shared" ref="G1064:G1105" si="39">E1064*F1064</f>
        <v>40000</v>
      </c>
      <c r="H1064" s="2226"/>
    </row>
    <row r="1065" spans="1:8" x14ac:dyDescent="0.3">
      <c r="A1065" s="3022">
        <v>14708</v>
      </c>
      <c r="B1065" s="2561">
        <v>0.08</v>
      </c>
      <c r="C1065" s="3227" t="s">
        <v>3584</v>
      </c>
      <c r="D1065" s="3079"/>
      <c r="E1065" s="3139">
        <v>1550000</v>
      </c>
      <c r="F1065" s="2563">
        <v>0.02</v>
      </c>
      <c r="G1065" s="3255">
        <f t="shared" si="39"/>
        <v>31000</v>
      </c>
      <c r="H1065" s="2226"/>
    </row>
    <row r="1066" spans="1:8" x14ac:dyDescent="0.3">
      <c r="A1066" s="3022">
        <v>14750</v>
      </c>
      <c r="B1066" s="2558">
        <v>0.1</v>
      </c>
      <c r="C1066" s="3227" t="s">
        <v>3586</v>
      </c>
      <c r="D1066" s="3079"/>
      <c r="E1066" s="3139">
        <v>970000</v>
      </c>
      <c r="F1066" s="2672">
        <v>0.03</v>
      </c>
      <c r="G1066" s="3255">
        <f t="shared" si="39"/>
        <v>29100</v>
      </c>
      <c r="H1066" s="2226"/>
    </row>
    <row r="1067" spans="1:8" x14ac:dyDescent="0.3">
      <c r="A1067" s="3022">
        <v>14692</v>
      </c>
      <c r="B1067" s="2558">
        <v>0.1</v>
      </c>
      <c r="C1067" s="3227" t="s">
        <v>3588</v>
      </c>
      <c r="D1067" s="3079"/>
      <c r="E1067" s="3139">
        <v>970000</v>
      </c>
      <c r="F1067" s="2672">
        <v>0.03</v>
      </c>
      <c r="G1067" s="3255">
        <f t="shared" si="39"/>
        <v>29100</v>
      </c>
      <c r="H1067" s="2226"/>
    </row>
    <row r="1068" spans="1:8" x14ac:dyDescent="0.3">
      <c r="A1068" s="3022">
        <v>14737</v>
      </c>
      <c r="B1068" s="2558">
        <v>0.1</v>
      </c>
      <c r="C1068" s="3227" t="s">
        <v>3590</v>
      </c>
      <c r="D1068" s="3079"/>
      <c r="E1068" s="3139">
        <v>970000</v>
      </c>
      <c r="F1068" s="2672">
        <v>0.03</v>
      </c>
      <c r="G1068" s="3255">
        <f t="shared" si="39"/>
        <v>29100</v>
      </c>
      <c r="H1068" s="2226"/>
    </row>
    <row r="1069" spans="1:8" x14ac:dyDescent="0.3">
      <c r="A1069" s="3022">
        <v>14741</v>
      </c>
      <c r="B1069" s="2558">
        <v>0.1</v>
      </c>
      <c r="C1069" s="3227" t="s">
        <v>3593</v>
      </c>
      <c r="D1069" s="3079"/>
      <c r="E1069" s="3139">
        <v>1300000</v>
      </c>
      <c r="F1069" s="2672">
        <v>0.03</v>
      </c>
      <c r="G1069" s="3255">
        <f t="shared" si="39"/>
        <v>39000</v>
      </c>
      <c r="H1069" s="2226"/>
    </row>
    <row r="1070" spans="1:8" x14ac:dyDescent="0.3">
      <c r="A1070" s="3022">
        <v>14812</v>
      </c>
      <c r="B1070" s="2558">
        <v>0.1</v>
      </c>
      <c r="C1070" s="3227" t="s">
        <v>3595</v>
      </c>
      <c r="D1070" s="3079"/>
      <c r="E1070" s="3139">
        <v>1200000</v>
      </c>
      <c r="F1070" s="2672">
        <v>0.03</v>
      </c>
      <c r="G1070" s="3255">
        <f t="shared" si="39"/>
        <v>36000</v>
      </c>
      <c r="H1070" s="2226"/>
    </row>
    <row r="1071" spans="1:8" x14ac:dyDescent="0.3">
      <c r="A1071" s="2444">
        <v>14644</v>
      </c>
      <c r="B1071" s="2999">
        <v>0.1</v>
      </c>
      <c r="C1071" s="3087" t="s">
        <v>3581</v>
      </c>
      <c r="D1071" s="3088"/>
      <c r="E1071" s="3323">
        <v>1350000</v>
      </c>
      <c r="F1071" s="2672">
        <v>0.03</v>
      </c>
      <c r="G1071" s="3255">
        <f t="shared" si="39"/>
        <v>40500</v>
      </c>
      <c r="H1071" s="2226"/>
    </row>
    <row r="1072" spans="1:8" x14ac:dyDescent="0.3">
      <c r="A1072" s="2444">
        <v>14690</v>
      </c>
      <c r="B1072" s="2999">
        <v>0.1</v>
      </c>
      <c r="C1072" s="3087" t="s">
        <v>3608</v>
      </c>
      <c r="D1072" s="3088"/>
      <c r="E1072" s="3323">
        <v>1900000</v>
      </c>
      <c r="F1072" s="2672">
        <v>0.03</v>
      </c>
      <c r="G1072" s="3255">
        <f t="shared" si="39"/>
        <v>57000</v>
      </c>
      <c r="H1072" s="2226"/>
    </row>
    <row r="1073" spans="1:8" x14ac:dyDescent="0.3">
      <c r="A1073" s="2444">
        <v>14707</v>
      </c>
      <c r="B1073" s="2999">
        <v>0.1</v>
      </c>
      <c r="C1073" s="3087" t="s">
        <v>3610</v>
      </c>
      <c r="D1073" s="3088"/>
      <c r="E1073" s="3323">
        <v>1200000</v>
      </c>
      <c r="F1073" s="2672">
        <v>0.03</v>
      </c>
      <c r="G1073" s="3255">
        <f t="shared" si="39"/>
        <v>36000</v>
      </c>
      <c r="H1073" s="2226"/>
    </row>
    <row r="1074" spans="1:8" x14ac:dyDescent="0.3">
      <c r="A1074" s="2444">
        <v>14691</v>
      </c>
      <c r="B1074" s="2999">
        <v>0.1</v>
      </c>
      <c r="C1074" s="3087" t="s">
        <v>3611</v>
      </c>
      <c r="D1074" s="3275"/>
      <c r="E1074" s="3324">
        <v>1500000</v>
      </c>
      <c r="F1074" s="2672">
        <v>0.03</v>
      </c>
      <c r="G1074" s="3255">
        <f t="shared" si="39"/>
        <v>45000</v>
      </c>
      <c r="H1074" s="2226"/>
    </row>
    <row r="1075" spans="1:8" x14ac:dyDescent="0.3">
      <c r="A1075" s="2444">
        <v>14722</v>
      </c>
      <c r="B1075" s="2999">
        <v>0.1</v>
      </c>
      <c r="C1075" s="3087" t="s">
        <v>3612</v>
      </c>
      <c r="D1075" s="3275"/>
      <c r="E1075" s="3324">
        <v>1650000</v>
      </c>
      <c r="F1075" s="2672">
        <v>0.03</v>
      </c>
      <c r="G1075" s="3255">
        <f t="shared" si="39"/>
        <v>49500</v>
      </c>
      <c r="H1075" s="3209"/>
    </row>
    <row r="1076" spans="1:8" x14ac:dyDescent="0.3">
      <c r="A1076" s="2444">
        <v>14721</v>
      </c>
      <c r="B1076" s="2999">
        <v>0.1</v>
      </c>
      <c r="C1076" s="3087" t="s">
        <v>3613</v>
      </c>
      <c r="D1076" s="3275"/>
      <c r="E1076" s="3324">
        <v>950000</v>
      </c>
      <c r="F1076" s="2672">
        <v>0.03</v>
      </c>
      <c r="G1076" s="3255">
        <f t="shared" si="39"/>
        <v>28500</v>
      </c>
      <c r="H1076" s="3209"/>
    </row>
    <row r="1077" spans="1:8" x14ac:dyDescent="0.3">
      <c r="A1077" s="2444">
        <v>14735</v>
      </c>
      <c r="B1077" s="2999">
        <v>0.1</v>
      </c>
      <c r="C1077" s="3087" t="s">
        <v>3614</v>
      </c>
      <c r="D1077" s="3088"/>
      <c r="E1077" s="3323">
        <v>1400000</v>
      </c>
      <c r="F1077" s="2672">
        <v>0.03</v>
      </c>
      <c r="G1077" s="3255">
        <f t="shared" si="39"/>
        <v>42000</v>
      </c>
      <c r="H1077" s="3209"/>
    </row>
    <row r="1078" spans="1:8" x14ac:dyDescent="0.3">
      <c r="A1078" s="2444">
        <v>14768</v>
      </c>
      <c r="B1078" s="2999">
        <v>0.1</v>
      </c>
      <c r="C1078" s="3087" t="s">
        <v>3583</v>
      </c>
      <c r="D1078" s="3088"/>
      <c r="E1078" s="3323">
        <v>2100000</v>
      </c>
      <c r="F1078" s="2672">
        <v>0.03</v>
      </c>
      <c r="G1078" s="3255">
        <f t="shared" si="39"/>
        <v>63000</v>
      </c>
      <c r="H1078" s="3209"/>
    </row>
    <row r="1079" spans="1:8" x14ac:dyDescent="0.3">
      <c r="A1079" s="2444">
        <v>14772</v>
      </c>
      <c r="B1079" s="2999">
        <v>0.1</v>
      </c>
      <c r="C1079" s="3087" t="s">
        <v>3615</v>
      </c>
      <c r="D1079" s="3088"/>
      <c r="E1079" s="3323">
        <v>1500000</v>
      </c>
      <c r="F1079" s="2672">
        <v>0.03</v>
      </c>
      <c r="G1079" s="3255">
        <f t="shared" si="39"/>
        <v>45000</v>
      </c>
      <c r="H1079" s="3209"/>
    </row>
    <row r="1080" spans="1:8" x14ac:dyDescent="0.3">
      <c r="A1080" s="2444">
        <v>14769</v>
      </c>
      <c r="B1080" s="2999">
        <v>0.1</v>
      </c>
      <c r="C1080" s="3087" t="s">
        <v>3616</v>
      </c>
      <c r="D1080" s="3088"/>
      <c r="E1080" s="3323">
        <v>1900000</v>
      </c>
      <c r="F1080" s="2672">
        <v>0.03</v>
      </c>
      <c r="G1080" s="3255">
        <f t="shared" si="39"/>
        <v>57000</v>
      </c>
      <c r="H1080" s="3209"/>
    </row>
    <row r="1081" spans="1:8" x14ac:dyDescent="0.3">
      <c r="A1081" s="2444">
        <v>14793</v>
      </c>
      <c r="B1081" s="2999">
        <v>0.1</v>
      </c>
      <c r="C1081" s="3087" t="s">
        <v>3618</v>
      </c>
      <c r="D1081" s="3260"/>
      <c r="E1081" s="3261">
        <v>1650000</v>
      </c>
      <c r="F1081" s="2672">
        <v>0.03</v>
      </c>
      <c r="G1081" s="3255">
        <f t="shared" si="39"/>
        <v>49500</v>
      </c>
      <c r="H1081" s="3209"/>
    </row>
    <row r="1082" spans="1:8" x14ac:dyDescent="0.3">
      <c r="A1082" s="2444">
        <v>14802</v>
      </c>
      <c r="B1082" s="2999">
        <v>0.1</v>
      </c>
      <c r="C1082" s="3087" t="s">
        <v>3619</v>
      </c>
      <c r="D1082" s="3260"/>
      <c r="E1082" s="3261">
        <v>1300000</v>
      </c>
      <c r="F1082" s="2672">
        <v>0.03</v>
      </c>
      <c r="G1082" s="3255">
        <f t="shared" si="39"/>
        <v>39000</v>
      </c>
      <c r="H1082" s="3209"/>
    </row>
    <row r="1083" spans="1:8" x14ac:dyDescent="0.3">
      <c r="A1083" s="2444">
        <v>14813</v>
      </c>
      <c r="B1083" s="3017">
        <v>0.08</v>
      </c>
      <c r="C1083" s="3087" t="s">
        <v>3621</v>
      </c>
      <c r="D1083" s="3260"/>
      <c r="E1083" s="3261">
        <v>1350000</v>
      </c>
      <c r="F1083" s="3264">
        <v>0.02</v>
      </c>
      <c r="G1083" s="3255">
        <f t="shared" si="39"/>
        <v>27000</v>
      </c>
      <c r="H1083" s="3209"/>
    </row>
    <row r="1084" spans="1:8" x14ac:dyDescent="0.3">
      <c r="A1084" s="2444">
        <v>14821</v>
      </c>
      <c r="B1084" s="2999">
        <v>0.1</v>
      </c>
      <c r="C1084" s="3087" t="s">
        <v>3623</v>
      </c>
      <c r="D1084" s="3260"/>
      <c r="E1084" s="3261">
        <v>1200000</v>
      </c>
      <c r="F1084" s="2672">
        <v>0.03</v>
      </c>
      <c r="G1084" s="3255">
        <f t="shared" si="39"/>
        <v>36000</v>
      </c>
      <c r="H1084" s="3209"/>
    </row>
    <row r="1085" spans="1:8" x14ac:dyDescent="0.3">
      <c r="A1085" s="2444" t="s">
        <v>3624</v>
      </c>
      <c r="B1085" s="2999">
        <v>0.1</v>
      </c>
      <c r="C1085" s="3087" t="s">
        <v>3625</v>
      </c>
      <c r="D1085" s="3260"/>
      <c r="E1085" s="3261">
        <v>2000000</v>
      </c>
      <c r="F1085" s="2672">
        <v>0.03</v>
      </c>
      <c r="G1085" s="3255">
        <f t="shared" si="39"/>
        <v>60000</v>
      </c>
      <c r="H1085" s="3209"/>
    </row>
    <row r="1086" spans="1:8" x14ac:dyDescent="0.3">
      <c r="A1086" s="1010">
        <v>14615</v>
      </c>
      <c r="B1086" s="2824">
        <v>0.1</v>
      </c>
      <c r="C1086" s="3250" t="s">
        <v>3585</v>
      </c>
      <c r="D1086" s="3101"/>
      <c r="E1086" s="3322">
        <v>1300000</v>
      </c>
      <c r="F1086" s="2672">
        <v>0.03</v>
      </c>
      <c r="G1086" s="3255">
        <f t="shared" si="39"/>
        <v>39000</v>
      </c>
      <c r="H1086" s="3209"/>
    </row>
    <row r="1087" spans="1:8" x14ac:dyDescent="0.3">
      <c r="A1087" s="1010">
        <v>14619</v>
      </c>
      <c r="B1087" s="3170">
        <v>7.0000000000000007E-2</v>
      </c>
      <c r="C1087" s="3250" t="s">
        <v>3632</v>
      </c>
      <c r="D1087" s="3101"/>
      <c r="E1087" s="3322">
        <v>1300000</v>
      </c>
      <c r="F1087" s="3264">
        <v>0.02</v>
      </c>
      <c r="G1087" s="3255">
        <f t="shared" si="39"/>
        <v>26000</v>
      </c>
      <c r="H1087" s="3209"/>
    </row>
    <row r="1088" spans="1:8" x14ac:dyDescent="0.3">
      <c r="A1088" s="1010">
        <v>14624</v>
      </c>
      <c r="B1088" s="2824">
        <v>0.1</v>
      </c>
      <c r="C1088" s="3250" t="s">
        <v>3587</v>
      </c>
      <c r="D1088" s="3101"/>
      <c r="E1088" s="3322">
        <v>1350000</v>
      </c>
      <c r="F1088" s="2672">
        <v>0.03</v>
      </c>
      <c r="G1088" s="3255">
        <f t="shared" si="39"/>
        <v>40500</v>
      </c>
      <c r="H1088" s="3209"/>
    </row>
    <row r="1089" spans="1:8" x14ac:dyDescent="0.3">
      <c r="A1089" s="2546">
        <v>14636</v>
      </c>
      <c r="B1089" s="2824">
        <v>0.1</v>
      </c>
      <c r="C1089" s="3250" t="s">
        <v>3589</v>
      </c>
      <c r="D1089" s="3101"/>
      <c r="E1089" s="3322">
        <v>1400000</v>
      </c>
      <c r="F1089" s="2672">
        <v>0.03</v>
      </c>
      <c r="G1089" s="3255">
        <f t="shared" si="39"/>
        <v>42000</v>
      </c>
      <c r="H1089" s="3209"/>
    </row>
    <row r="1090" spans="1:8" x14ac:dyDescent="0.3">
      <c r="A1090" s="2544">
        <v>14667</v>
      </c>
      <c r="B1090" s="2596">
        <v>0.1</v>
      </c>
      <c r="C1090" s="3250" t="s">
        <v>3634</v>
      </c>
      <c r="D1090" s="3101"/>
      <c r="E1090" s="3322"/>
      <c r="F1090" s="2672">
        <v>0.03</v>
      </c>
      <c r="G1090" s="3255">
        <f t="shared" si="39"/>
        <v>0</v>
      </c>
      <c r="H1090" s="3209"/>
    </row>
    <row r="1091" spans="1:8" x14ac:dyDescent="0.3">
      <c r="A1091" s="2544">
        <v>14686</v>
      </c>
      <c r="B1091" s="2596">
        <v>0.1</v>
      </c>
      <c r="C1091" s="3250" t="s">
        <v>3636</v>
      </c>
      <c r="D1091" s="3101"/>
      <c r="E1091" s="3325">
        <v>1150000</v>
      </c>
      <c r="F1091" s="2672">
        <v>0.03</v>
      </c>
      <c r="G1091" s="3255">
        <f t="shared" si="39"/>
        <v>34500</v>
      </c>
      <c r="H1091" s="3209"/>
    </row>
    <row r="1092" spans="1:8" x14ac:dyDescent="0.3">
      <c r="A1092" s="2544">
        <v>14685</v>
      </c>
      <c r="B1092" s="2596">
        <v>0.1</v>
      </c>
      <c r="C1092" s="3250" t="s">
        <v>3637</v>
      </c>
      <c r="D1092" s="3101"/>
      <c r="E1092" s="3325">
        <v>1050000</v>
      </c>
      <c r="F1092" s="2672">
        <v>0.03</v>
      </c>
      <c r="G1092" s="3255">
        <f t="shared" si="39"/>
        <v>31500</v>
      </c>
      <c r="H1092" s="3209"/>
    </row>
    <row r="1093" spans="1:8" x14ac:dyDescent="0.3">
      <c r="A1093" s="2544">
        <v>14702</v>
      </c>
      <c r="B1093" s="2596">
        <v>0.1</v>
      </c>
      <c r="C1093" s="3250" t="s">
        <v>3638</v>
      </c>
      <c r="D1093" s="3101"/>
      <c r="E1093" s="3325">
        <v>1500000</v>
      </c>
      <c r="F1093" s="2672">
        <v>0.03</v>
      </c>
      <c r="G1093" s="3255">
        <f t="shared" si="39"/>
        <v>45000</v>
      </c>
      <c r="H1093" s="3209"/>
    </row>
    <row r="1094" spans="1:8" x14ac:dyDescent="0.3">
      <c r="A1094" s="2544">
        <v>14731</v>
      </c>
      <c r="B1094" s="2596">
        <v>0.1</v>
      </c>
      <c r="C1094" s="3250" t="s">
        <v>3639</v>
      </c>
      <c r="D1094" s="3101"/>
      <c r="E1094" s="3325">
        <v>1450000</v>
      </c>
      <c r="F1094" s="2672">
        <v>0.03</v>
      </c>
      <c r="G1094" s="3255">
        <f t="shared" si="39"/>
        <v>43500</v>
      </c>
      <c r="H1094" s="3209"/>
    </row>
    <row r="1095" spans="1:8" x14ac:dyDescent="0.3">
      <c r="A1095" s="2544">
        <v>14795</v>
      </c>
      <c r="B1095" s="2596">
        <v>0.1</v>
      </c>
      <c r="C1095" s="3250" t="s">
        <v>3607</v>
      </c>
      <c r="D1095" s="3101"/>
      <c r="E1095" s="3325">
        <v>1650000</v>
      </c>
      <c r="F1095" s="2672">
        <v>0.03</v>
      </c>
      <c r="G1095" s="3255">
        <f t="shared" si="39"/>
        <v>49500</v>
      </c>
      <c r="H1095" s="3209"/>
    </row>
    <row r="1096" spans="1:8" x14ac:dyDescent="0.3">
      <c r="A1096" s="2544">
        <v>14846</v>
      </c>
      <c r="B1096" s="2596">
        <v>0.1</v>
      </c>
      <c r="C1096" s="3250" t="s">
        <v>3640</v>
      </c>
      <c r="D1096" s="3101"/>
      <c r="E1096" s="3325">
        <v>1300000</v>
      </c>
      <c r="F1096" s="2672">
        <v>0.03</v>
      </c>
      <c r="G1096" s="3255">
        <f t="shared" si="39"/>
        <v>39000</v>
      </c>
      <c r="H1096" s="3209"/>
    </row>
    <row r="1097" spans="1:8" x14ac:dyDescent="0.3">
      <c r="A1097" s="2544">
        <v>14857</v>
      </c>
      <c r="B1097" s="2596">
        <v>0.1</v>
      </c>
      <c r="C1097" s="3250" t="s">
        <v>3592</v>
      </c>
      <c r="D1097" s="3101"/>
      <c r="E1097" s="3325">
        <v>1400000</v>
      </c>
      <c r="F1097" s="2672">
        <v>0.03</v>
      </c>
      <c r="G1097" s="3255">
        <f t="shared" si="39"/>
        <v>42000</v>
      </c>
      <c r="H1097" s="3209"/>
    </row>
    <row r="1098" spans="1:8" x14ac:dyDescent="0.3">
      <c r="A1098" s="1010">
        <v>14655</v>
      </c>
      <c r="B1098" s="553">
        <v>0.08</v>
      </c>
      <c r="C1098" s="3227" t="s">
        <v>3648</v>
      </c>
      <c r="D1098" s="3101"/>
      <c r="E1098" s="3325">
        <v>2300000</v>
      </c>
      <c r="F1098" s="3264">
        <v>0.02</v>
      </c>
      <c r="G1098" s="3255">
        <f t="shared" si="39"/>
        <v>46000</v>
      </c>
      <c r="H1098" s="3271"/>
    </row>
    <row r="1099" spans="1:8" x14ac:dyDescent="0.3">
      <c r="A1099" s="1010">
        <v>14651</v>
      </c>
      <c r="B1099" s="333">
        <v>0.1</v>
      </c>
      <c r="C1099" s="3227" t="s">
        <v>3594</v>
      </c>
      <c r="D1099" s="3101"/>
      <c r="E1099" s="3325">
        <v>1250000</v>
      </c>
      <c r="F1099" s="2672">
        <v>0.03</v>
      </c>
      <c r="G1099" s="3255">
        <f t="shared" si="39"/>
        <v>37500</v>
      </c>
      <c r="H1099" s="3209"/>
    </row>
    <row r="1100" spans="1:8" x14ac:dyDescent="0.3">
      <c r="A1100" s="1010">
        <v>14859</v>
      </c>
      <c r="B1100" s="333">
        <v>0.1</v>
      </c>
      <c r="C1100" s="3227" t="s">
        <v>3649</v>
      </c>
      <c r="D1100" s="3101"/>
      <c r="E1100" s="3325">
        <v>1400000</v>
      </c>
      <c r="F1100" s="2672">
        <v>0.03</v>
      </c>
      <c r="G1100" s="3255">
        <f t="shared" si="39"/>
        <v>42000</v>
      </c>
      <c r="H1100" s="3209"/>
    </row>
    <row r="1101" spans="1:8" x14ac:dyDescent="0.3">
      <c r="A1101" s="1010">
        <v>14720</v>
      </c>
      <c r="B1101" s="553">
        <v>0.08</v>
      </c>
      <c r="C1101" s="3227" t="s">
        <v>3609</v>
      </c>
      <c r="D1101" s="3101"/>
      <c r="E1101" s="3325">
        <v>1400000</v>
      </c>
      <c r="F1101" s="3264">
        <v>0.02</v>
      </c>
      <c r="G1101" s="3255">
        <f t="shared" si="39"/>
        <v>28000</v>
      </c>
      <c r="H1101" s="3209"/>
    </row>
    <row r="1102" spans="1:8" x14ac:dyDescent="0.3">
      <c r="A1102" s="1010">
        <v>14759</v>
      </c>
      <c r="B1102" s="333">
        <v>0.1</v>
      </c>
      <c r="C1102" s="3227" t="s">
        <v>3596</v>
      </c>
      <c r="D1102" s="3101"/>
      <c r="E1102" s="3325">
        <v>1750000</v>
      </c>
      <c r="F1102" s="2672">
        <v>0.03</v>
      </c>
      <c r="G1102" s="3255">
        <f t="shared" si="39"/>
        <v>52500</v>
      </c>
      <c r="H1102" s="3209"/>
    </row>
    <row r="1103" spans="1:8" x14ac:dyDescent="0.3">
      <c r="A1103" s="1010">
        <v>14775</v>
      </c>
      <c r="B1103" s="333">
        <v>0.1</v>
      </c>
      <c r="C1103" s="3227" t="s">
        <v>3635</v>
      </c>
      <c r="D1103" s="3101"/>
      <c r="E1103" s="3325">
        <v>1100000</v>
      </c>
      <c r="F1103" s="2672">
        <v>0.03</v>
      </c>
      <c r="G1103" s="3255">
        <f t="shared" si="39"/>
        <v>33000</v>
      </c>
      <c r="H1103" s="2620"/>
    </row>
    <row r="1104" spans="1:8" x14ac:dyDescent="0.3">
      <c r="A1104" s="1010">
        <v>14774</v>
      </c>
      <c r="B1104" s="333">
        <v>0.1</v>
      </c>
      <c r="C1104" s="3227" t="s">
        <v>3650</v>
      </c>
      <c r="D1104" s="3101"/>
      <c r="E1104" s="3325">
        <v>1000000</v>
      </c>
      <c r="F1104" s="2672">
        <v>0.03</v>
      </c>
      <c r="G1104" s="3255">
        <f t="shared" si="39"/>
        <v>30000</v>
      </c>
      <c r="H1104" s="265"/>
    </row>
    <row r="1105" spans="1:8" x14ac:dyDescent="0.3">
      <c r="A1105" s="1010">
        <v>14806</v>
      </c>
      <c r="B1105" s="333">
        <v>0.1</v>
      </c>
      <c r="C1105" s="3227" t="s">
        <v>3651</v>
      </c>
      <c r="D1105" s="3101"/>
      <c r="E1105" s="3325">
        <v>1200000</v>
      </c>
      <c r="F1105" s="2672">
        <v>0.03</v>
      </c>
      <c r="G1105" s="3255">
        <f t="shared" si="39"/>
        <v>36000</v>
      </c>
      <c r="H1105" s="11"/>
    </row>
    <row r="1106" spans="1:8" x14ac:dyDescent="0.3">
      <c r="A1106" s="1010">
        <v>14646</v>
      </c>
      <c r="B1106" s="553">
        <v>0.08</v>
      </c>
      <c r="C1106" s="3250" t="s">
        <v>3654</v>
      </c>
      <c r="D1106" s="3101"/>
      <c r="E1106" s="3322">
        <v>500000</v>
      </c>
      <c r="F1106" s="3264">
        <v>0.02</v>
      </c>
      <c r="G1106" s="3265">
        <f>E1106*F1106</f>
        <v>10000</v>
      </c>
      <c r="H1106" s="11"/>
    </row>
    <row r="1107" spans="1:8" x14ac:dyDescent="0.3">
      <c r="A1107" s="3214"/>
      <c r="B1107" s="3262"/>
      <c r="C1107" s="3263"/>
      <c r="D1107" s="3258" t="s">
        <v>3758</v>
      </c>
      <c r="E1107" s="3259">
        <f>SUM(E1063:E1106)</f>
        <v>59860000</v>
      </c>
      <c r="F1107" s="50"/>
      <c r="G1107" s="3079">
        <f>SUM(G1063:G1105)</f>
        <v>1669800</v>
      </c>
      <c r="H1107" s="265"/>
    </row>
    <row r="1110" spans="1:8" ht="46.2" x14ac:dyDescent="0.85">
      <c r="A1110" s="3673" t="s">
        <v>2857</v>
      </c>
      <c r="B1110" s="3674"/>
      <c r="C1110" s="3674"/>
      <c r="D1110" s="3674"/>
      <c r="E1110" s="3674"/>
      <c r="F1110" s="3674"/>
      <c r="G1110" s="3674"/>
      <c r="H1110" s="3674"/>
    </row>
    <row r="1112" spans="1:8" x14ac:dyDescent="0.3">
      <c r="A1112" s="3669" t="s">
        <v>3839</v>
      </c>
      <c r="B1112" s="3670"/>
      <c r="C1112" s="3670"/>
      <c r="D1112" s="3670"/>
      <c r="E1112" s="3670"/>
      <c r="F1112" s="3670"/>
      <c r="G1112" s="3670"/>
      <c r="H1112" s="3670"/>
    </row>
    <row r="1113" spans="1:8" x14ac:dyDescent="0.3">
      <c r="A1113" s="3669"/>
      <c r="B1113" s="3670"/>
      <c r="C1113" s="3670"/>
      <c r="D1113" s="3670"/>
      <c r="E1113" s="3670"/>
      <c r="F1113" s="3670"/>
      <c r="G1113" s="3670"/>
      <c r="H1113" s="3670"/>
    </row>
    <row r="1114" spans="1:8" x14ac:dyDescent="0.3">
      <c r="A1114" s="3182" t="s">
        <v>3751</v>
      </c>
      <c r="B1114" s="2577" t="s">
        <v>2976</v>
      </c>
      <c r="C1114" s="3018" t="s">
        <v>3752</v>
      </c>
      <c r="D1114" s="1124" t="s">
        <v>3753</v>
      </c>
      <c r="E1114" s="3322" t="s">
        <v>3754</v>
      </c>
      <c r="F1114" s="2281" t="s">
        <v>2979</v>
      </c>
      <c r="G1114" s="289" t="s">
        <v>2985</v>
      </c>
      <c r="H1114" s="2225" t="s">
        <v>3755</v>
      </c>
    </row>
    <row r="1115" spans="1:8" s="511" customFormat="1" x14ac:dyDescent="0.3">
      <c r="A1115" s="3426">
        <v>14920</v>
      </c>
      <c r="B1115" s="2558">
        <v>0.1</v>
      </c>
      <c r="C1115" s="2233" t="s">
        <v>3656</v>
      </c>
      <c r="D1115" s="3079">
        <v>1100000</v>
      </c>
      <c r="E1115" s="3261"/>
      <c r="F1115" s="51"/>
      <c r="G1115" s="34"/>
      <c r="H1115" s="34"/>
    </row>
    <row r="1116" spans="1:8" s="511" customFormat="1" x14ac:dyDescent="0.3">
      <c r="A1116" s="3426">
        <v>14966</v>
      </c>
      <c r="B1116" s="2558">
        <v>0.1</v>
      </c>
      <c r="C1116" s="2233" t="s">
        <v>3658</v>
      </c>
      <c r="D1116" s="3079">
        <v>1200000</v>
      </c>
      <c r="E1116" s="3261"/>
      <c r="F1116" s="51"/>
      <c r="G1116" s="34"/>
      <c r="H1116" s="34"/>
    </row>
    <row r="1117" spans="1:8" s="511" customFormat="1" x14ac:dyDescent="0.3">
      <c r="A1117" s="3426">
        <v>15044</v>
      </c>
      <c r="B1117" s="2558">
        <v>0.1</v>
      </c>
      <c r="C1117" s="2233" t="s">
        <v>3659</v>
      </c>
      <c r="D1117" s="3079">
        <v>1500000</v>
      </c>
      <c r="E1117" s="2982"/>
      <c r="F1117" s="265"/>
      <c r="G1117" s="3020"/>
      <c r="H1117" s="2982"/>
    </row>
    <row r="1118" spans="1:8" s="511" customFormat="1" x14ac:dyDescent="0.3">
      <c r="A1118" s="3426" t="s">
        <v>3624</v>
      </c>
      <c r="B1118" s="2558">
        <v>0.1</v>
      </c>
      <c r="C1118" s="2233" t="s">
        <v>3660</v>
      </c>
      <c r="D1118" s="3079">
        <v>1400000</v>
      </c>
      <c r="E1118" s="2982"/>
      <c r="F1118" s="265"/>
      <c r="G1118" s="3020"/>
      <c r="H1118" s="2982"/>
    </row>
    <row r="1119" spans="1:8" s="511" customFormat="1" x14ac:dyDescent="0.3">
      <c r="A1119" s="3426" t="s">
        <v>3624</v>
      </c>
      <c r="B1119" s="2558">
        <v>0.1</v>
      </c>
      <c r="C1119" s="2233" t="s">
        <v>3902</v>
      </c>
      <c r="D1119" s="3079">
        <v>1800000</v>
      </c>
      <c r="E1119" s="2982"/>
      <c r="F1119" s="265"/>
      <c r="G1119" s="3020"/>
      <c r="H1119" s="2982"/>
    </row>
    <row r="1120" spans="1:8" s="511" customFormat="1" x14ac:dyDescent="0.3">
      <c r="A1120" s="121">
        <v>14956</v>
      </c>
      <c r="B1120" s="3000">
        <v>0.1</v>
      </c>
      <c r="C1120" s="3382" t="s">
        <v>3903</v>
      </c>
      <c r="D1120" s="3330">
        <v>1500000</v>
      </c>
      <c r="E1120" s="3261"/>
      <c r="F1120" s="51"/>
      <c r="G1120" s="34"/>
      <c r="H1120" s="34"/>
    </row>
    <row r="1121" spans="1:8" s="511" customFormat="1" x14ac:dyDescent="0.3">
      <c r="A1121" s="121">
        <v>14985</v>
      </c>
      <c r="B1121" s="3000">
        <v>0.1</v>
      </c>
      <c r="C1121" s="3382" t="s">
        <v>3680</v>
      </c>
      <c r="D1121" s="3139">
        <v>1700000</v>
      </c>
      <c r="E1121" s="3261"/>
      <c r="F1121" s="51"/>
      <c r="G1121" s="34"/>
      <c r="H1121" s="34"/>
    </row>
    <row r="1122" spans="1:8" s="511" customFormat="1" x14ac:dyDescent="0.3">
      <c r="A1122" s="121">
        <v>15048</v>
      </c>
      <c r="B1122" s="3000">
        <v>0.1</v>
      </c>
      <c r="C1122" s="3382" t="s">
        <v>3904</v>
      </c>
      <c r="D1122" s="3139">
        <v>1500000</v>
      </c>
      <c r="E1122" s="3261"/>
      <c r="F1122" s="51"/>
      <c r="G1122" s="34"/>
      <c r="H1122" s="34"/>
    </row>
    <row r="1123" spans="1:8" s="511" customFormat="1" x14ac:dyDescent="0.3">
      <c r="A1123" s="2544">
        <v>14936</v>
      </c>
      <c r="B1123" s="2596">
        <v>0.1</v>
      </c>
      <c r="C1123" s="3107" t="s">
        <v>3905</v>
      </c>
      <c r="D1123" s="3322">
        <v>1450000</v>
      </c>
      <c r="E1123" s="3261"/>
      <c r="F1123" s="51"/>
      <c r="G1123" s="34"/>
      <c r="H1123" s="34"/>
    </row>
    <row r="1124" spans="1:8" s="511" customFormat="1" x14ac:dyDescent="0.3">
      <c r="A1124" s="2544">
        <v>14963</v>
      </c>
      <c r="B1124" s="2596">
        <v>0.1</v>
      </c>
      <c r="C1124" s="3432" t="s">
        <v>3700</v>
      </c>
      <c r="D1124" s="3322">
        <v>1150000</v>
      </c>
      <c r="E1124" s="3261"/>
      <c r="F1124" s="51"/>
      <c r="G1124" s="34"/>
      <c r="H1124" s="34"/>
    </row>
    <row r="1125" spans="1:8" s="511" customFormat="1" x14ac:dyDescent="0.3">
      <c r="A1125" s="2544">
        <v>14977</v>
      </c>
      <c r="B1125" s="2596">
        <v>0.1</v>
      </c>
      <c r="C1125" s="3107" t="s">
        <v>3701</v>
      </c>
      <c r="D1125" s="3322">
        <v>1200000</v>
      </c>
      <c r="E1125" s="3261"/>
      <c r="F1125" s="51"/>
      <c r="G1125" s="34"/>
      <c r="H1125" s="34"/>
    </row>
    <row r="1126" spans="1:8" s="511" customFormat="1" x14ac:dyDescent="0.3">
      <c r="A1126" s="2544">
        <v>14970</v>
      </c>
      <c r="B1126" s="2596">
        <v>0.1</v>
      </c>
      <c r="C1126" s="3107" t="s">
        <v>3906</v>
      </c>
      <c r="D1126" s="3322">
        <v>2400000</v>
      </c>
      <c r="E1126" s="3261"/>
      <c r="F1126" s="51"/>
      <c r="G1126" s="34"/>
      <c r="H1126" s="34"/>
    </row>
    <row r="1127" spans="1:8" s="511" customFormat="1" x14ac:dyDescent="0.3">
      <c r="A1127" s="2544">
        <v>15045</v>
      </c>
      <c r="B1127" s="2596">
        <v>0.1</v>
      </c>
      <c r="C1127" s="3107" t="s">
        <v>3704</v>
      </c>
      <c r="D1127" s="3322">
        <v>1550000</v>
      </c>
      <c r="E1127" s="3261"/>
      <c r="F1127" s="51"/>
      <c r="G1127" s="34"/>
      <c r="H1127" s="34"/>
    </row>
    <row r="1128" spans="1:8" s="511" customFormat="1" x14ac:dyDescent="0.3">
      <c r="A1128" s="2544" t="s">
        <v>3671</v>
      </c>
      <c r="B1128" s="2596">
        <v>0.1</v>
      </c>
      <c r="C1128" s="3432" t="s">
        <v>3706</v>
      </c>
      <c r="D1128" s="3322">
        <v>1650000</v>
      </c>
      <c r="E1128" s="3261"/>
      <c r="F1128" s="51"/>
      <c r="G1128" s="34"/>
      <c r="H1128" s="34"/>
    </row>
    <row r="1129" spans="1:8" s="511" customFormat="1" x14ac:dyDescent="0.3">
      <c r="A1129" s="2544" t="s">
        <v>3671</v>
      </c>
      <c r="B1129" s="2596">
        <v>0.1</v>
      </c>
      <c r="C1129" s="3107" t="s">
        <v>3907</v>
      </c>
      <c r="D1129" s="3322">
        <v>1300000</v>
      </c>
      <c r="E1129" s="3261"/>
      <c r="F1129" s="51"/>
      <c r="G1129" s="34"/>
      <c r="H1129" s="34"/>
    </row>
    <row r="1130" spans="1:8" s="511" customFormat="1" x14ac:dyDescent="0.3">
      <c r="A1130" s="2544" t="s">
        <v>3671</v>
      </c>
      <c r="B1130" s="2596">
        <v>0.1</v>
      </c>
      <c r="C1130" s="3107" t="s">
        <v>3709</v>
      </c>
      <c r="D1130" s="3322">
        <v>1300000</v>
      </c>
      <c r="E1130" s="3261"/>
      <c r="F1130" s="51"/>
      <c r="G1130" s="34"/>
      <c r="H1130" s="34"/>
    </row>
    <row r="1131" spans="1:8" s="511" customFormat="1" x14ac:dyDescent="0.3">
      <c r="A1131" s="3426">
        <v>14982</v>
      </c>
      <c r="B1131" s="2558">
        <v>0.1</v>
      </c>
      <c r="C1131" s="2233" t="s">
        <v>3724</v>
      </c>
      <c r="D1131" s="3437">
        <v>1250000</v>
      </c>
      <c r="E1131" s="3261"/>
      <c r="F1131" s="51"/>
      <c r="G1131" s="34"/>
      <c r="H1131" s="34"/>
    </row>
    <row r="1132" spans="1:8" x14ac:dyDescent="0.3">
      <c r="A1132" s="121">
        <v>15014</v>
      </c>
      <c r="B1132" s="274">
        <v>0.1</v>
      </c>
      <c r="C1132" s="2233" t="s">
        <v>3725</v>
      </c>
      <c r="D1132" s="3437">
        <v>1300000</v>
      </c>
      <c r="E1132" s="3261"/>
      <c r="F1132" s="51"/>
      <c r="G1132" s="34"/>
      <c r="H1132" s="11"/>
    </row>
    <row r="1133" spans="1:8" x14ac:dyDescent="0.3">
      <c r="A1133" s="3427" t="s">
        <v>3062</v>
      </c>
      <c r="B1133" s="3373">
        <v>0.1</v>
      </c>
      <c r="C1133" s="3151" t="s">
        <v>3665</v>
      </c>
      <c r="D1133" s="3079">
        <v>1300000</v>
      </c>
      <c r="E1133" s="3261"/>
      <c r="F1133" s="51"/>
      <c r="G1133" s="34"/>
      <c r="H1133" s="11"/>
    </row>
    <row r="1134" spans="1:8" x14ac:dyDescent="0.3">
      <c r="A1134" s="3386" t="s">
        <v>3062</v>
      </c>
      <c r="B1134" s="3434">
        <v>0.1</v>
      </c>
      <c r="C1134" s="3420" t="s">
        <v>3686</v>
      </c>
      <c r="D1134" s="3139">
        <v>1250000</v>
      </c>
      <c r="E1134" s="3261"/>
      <c r="F1134" s="51"/>
      <c r="G1134" s="34"/>
      <c r="H1134" s="11"/>
    </row>
    <row r="1135" spans="1:8" x14ac:dyDescent="0.3">
      <c r="A1135" s="3374" t="s">
        <v>3062</v>
      </c>
      <c r="B1135" s="3375">
        <v>0.1</v>
      </c>
      <c r="C1135" s="3378" t="s">
        <v>3710</v>
      </c>
      <c r="D1135" s="3322">
        <v>1300000</v>
      </c>
      <c r="E1135" s="3261"/>
      <c r="F1135" s="51"/>
      <c r="G1135" s="34"/>
      <c r="H1135" s="11"/>
    </row>
    <row r="1136" spans="1:8" x14ac:dyDescent="0.3">
      <c r="A1136" s="3374" t="s">
        <v>3062</v>
      </c>
      <c r="B1136" s="3375">
        <v>0.1</v>
      </c>
      <c r="C1136" s="3444" t="s">
        <v>3747</v>
      </c>
      <c r="D1136" s="3322">
        <v>1250000</v>
      </c>
      <c r="E1136" s="3261"/>
      <c r="F1136" s="51"/>
      <c r="G1136" s="34"/>
      <c r="H1136" s="11"/>
    </row>
    <row r="1137" spans="1:8" x14ac:dyDescent="0.3">
      <c r="A1137" s="2580"/>
      <c r="B1137" s="2674"/>
      <c r="C1137" s="3320"/>
      <c r="D1137" s="3322"/>
      <c r="E1137" s="3261"/>
      <c r="F1137" s="51"/>
      <c r="G1137" s="34"/>
      <c r="H1137" s="11"/>
    </row>
    <row r="1138" spans="1:8" x14ac:dyDescent="0.3">
      <c r="A1138" s="2"/>
      <c r="B1138" s="2392"/>
      <c r="C1138" s="160"/>
      <c r="D1138" s="1549">
        <f>SUM(D1115:D1137)</f>
        <v>31350000</v>
      </c>
      <c r="E1138" s="3139"/>
      <c r="F1138" s="2"/>
      <c r="G1138" s="11"/>
      <c r="H1138" s="11"/>
    </row>
    <row r="1141" spans="1:8" x14ac:dyDescent="0.3">
      <c r="A1141" s="3669" t="s">
        <v>3908</v>
      </c>
      <c r="B1141" s="3670"/>
      <c r="C1141" s="3670"/>
      <c r="D1141" s="3670"/>
      <c r="E1141" s="3670"/>
      <c r="F1141" s="3670"/>
      <c r="G1141" s="3670"/>
      <c r="H1141" s="3670"/>
    </row>
    <row r="1142" spans="1:8" x14ac:dyDescent="0.3">
      <c r="A1142" s="3669"/>
      <c r="B1142" s="3670"/>
      <c r="C1142" s="3670"/>
      <c r="D1142" s="3670"/>
      <c r="E1142" s="3670"/>
      <c r="F1142" s="3670"/>
      <c r="G1142" s="3670"/>
      <c r="H1142" s="3670"/>
    </row>
    <row r="1143" spans="1:8" x14ac:dyDescent="0.3">
      <c r="A1143" s="3182" t="s">
        <v>3751</v>
      </c>
      <c r="B1143" s="2577" t="s">
        <v>2976</v>
      </c>
      <c r="C1143" s="3018" t="s">
        <v>3752</v>
      </c>
      <c r="D1143" s="1124" t="s">
        <v>3753</v>
      </c>
      <c r="E1143" s="3322" t="s">
        <v>3754</v>
      </c>
      <c r="F1143" s="2281" t="s">
        <v>2979</v>
      </c>
      <c r="G1143" s="289" t="s">
        <v>2985</v>
      </c>
      <c r="H1143" s="2225" t="s">
        <v>3755</v>
      </c>
    </row>
    <row r="1144" spans="1:8" x14ac:dyDescent="0.3">
      <c r="A1144" s="3426">
        <v>14961</v>
      </c>
      <c r="B1144" s="2558">
        <v>0.1</v>
      </c>
      <c r="C1144" s="2233" t="s">
        <v>3657</v>
      </c>
      <c r="D1144" s="3079">
        <v>800000</v>
      </c>
      <c r="E1144" s="3322"/>
      <c r="F1144" s="2281"/>
      <c r="G1144" s="289"/>
      <c r="H1144" s="2225"/>
    </row>
    <row r="1145" spans="1:8" x14ac:dyDescent="0.3">
      <c r="A1145" s="3376">
        <v>14893</v>
      </c>
      <c r="B1145" s="3000">
        <v>0.1</v>
      </c>
      <c r="C1145" s="3087" t="s">
        <v>3909</v>
      </c>
      <c r="D1145" s="3384">
        <v>1300000</v>
      </c>
      <c r="E1145" s="3322"/>
      <c r="F1145" s="2281"/>
      <c r="G1145" s="289"/>
      <c r="H1145" s="2225"/>
    </row>
    <row r="1146" spans="1:8" x14ac:dyDescent="0.3">
      <c r="A1146" s="121">
        <v>14896</v>
      </c>
      <c r="B1146" s="3000">
        <v>0.1</v>
      </c>
      <c r="C1146" s="3382" t="s">
        <v>3678</v>
      </c>
      <c r="D1146" s="3330">
        <v>1200000</v>
      </c>
      <c r="E1146" s="3322"/>
      <c r="F1146" s="2281"/>
      <c r="G1146" s="289"/>
      <c r="H1146" s="2225"/>
    </row>
    <row r="1147" spans="1:8" x14ac:dyDescent="0.3">
      <c r="A1147" s="121">
        <v>15027</v>
      </c>
      <c r="B1147" s="3000">
        <v>0.1</v>
      </c>
      <c r="C1147" s="3382" t="s">
        <v>3910</v>
      </c>
      <c r="D1147" s="3139">
        <v>1400000</v>
      </c>
      <c r="E1147" s="3322"/>
      <c r="F1147" s="2281"/>
      <c r="G1147" s="289"/>
      <c r="H1147" s="2225"/>
    </row>
    <row r="1148" spans="1:8" x14ac:dyDescent="0.3">
      <c r="A1148" s="3376">
        <v>14891</v>
      </c>
      <c r="B1148" s="3000">
        <v>0.1</v>
      </c>
      <c r="C1148" s="3087" t="s">
        <v>3911</v>
      </c>
      <c r="D1148" s="3330">
        <v>1150000</v>
      </c>
      <c r="E1148" s="3322"/>
      <c r="F1148" s="2281"/>
      <c r="G1148" s="289"/>
      <c r="H1148" s="2225"/>
    </row>
    <row r="1149" spans="1:8" x14ac:dyDescent="0.3">
      <c r="A1149" s="2544">
        <v>14894</v>
      </c>
      <c r="B1149" s="2596">
        <v>0.1</v>
      </c>
      <c r="C1149" s="3107" t="s">
        <v>3912</v>
      </c>
      <c r="D1149" s="3322">
        <v>950000</v>
      </c>
      <c r="E1149" s="3322"/>
      <c r="F1149" s="2281"/>
      <c r="G1149" s="289"/>
      <c r="H1149" s="2225"/>
    </row>
    <row r="1150" spans="1:8" x14ac:dyDescent="0.3">
      <c r="A1150" s="2544">
        <v>14895</v>
      </c>
      <c r="B1150" s="2596">
        <v>0.1</v>
      </c>
      <c r="C1150" s="3107" t="s">
        <v>3913</v>
      </c>
      <c r="D1150" s="3322">
        <v>900000</v>
      </c>
      <c r="E1150" s="3322"/>
      <c r="F1150" s="2281"/>
      <c r="G1150" s="289"/>
      <c r="H1150" s="2225"/>
    </row>
    <row r="1151" spans="1:8" x14ac:dyDescent="0.3">
      <c r="A1151" s="2544">
        <v>14929</v>
      </c>
      <c r="B1151" s="2596">
        <v>0.1</v>
      </c>
      <c r="C1151" s="3107" t="s">
        <v>3914</v>
      </c>
      <c r="D1151" s="3322">
        <v>1550000</v>
      </c>
      <c r="E1151" s="3322"/>
      <c r="F1151" s="2281"/>
      <c r="G1151" s="289"/>
      <c r="H1151" s="2225"/>
    </row>
    <row r="1152" spans="1:8" x14ac:dyDescent="0.3">
      <c r="A1152" s="2544">
        <v>14916</v>
      </c>
      <c r="B1152" s="2596">
        <v>0.1</v>
      </c>
      <c r="C1152" s="3107" t="s">
        <v>3915</v>
      </c>
      <c r="D1152" s="3322">
        <v>1250000</v>
      </c>
      <c r="E1152" s="3322"/>
      <c r="F1152" s="2281"/>
      <c r="G1152" s="289"/>
      <c r="H1152" s="2225"/>
    </row>
    <row r="1153" spans="1:8" x14ac:dyDescent="0.3">
      <c r="A1153" s="2544">
        <v>14987</v>
      </c>
      <c r="B1153" s="2596">
        <v>0.1</v>
      </c>
      <c r="C1153" s="3107" t="s">
        <v>3645</v>
      </c>
      <c r="D1153" s="3322">
        <v>1400000</v>
      </c>
      <c r="E1153" s="3322"/>
      <c r="F1153" s="2281"/>
      <c r="G1153" s="289"/>
      <c r="H1153" s="2225"/>
    </row>
    <row r="1154" spans="1:8" x14ac:dyDescent="0.3">
      <c r="A1154" s="2544">
        <v>14986</v>
      </c>
      <c r="B1154" s="2596">
        <v>0.1</v>
      </c>
      <c r="C1154" s="3107" t="s">
        <v>3916</v>
      </c>
      <c r="D1154" s="3322">
        <v>1650000</v>
      </c>
      <c r="E1154" s="3322"/>
      <c r="F1154" s="2281"/>
      <c r="G1154" s="289"/>
      <c r="H1154" s="2225"/>
    </row>
    <row r="1155" spans="1:8" x14ac:dyDescent="0.3">
      <c r="A1155" s="1010">
        <v>14901</v>
      </c>
      <c r="B1155" s="274">
        <v>0.1</v>
      </c>
      <c r="C1155" s="3436" t="s">
        <v>3721</v>
      </c>
      <c r="D1155" s="3437">
        <v>1450000</v>
      </c>
      <c r="E1155" s="3322"/>
      <c r="F1155" s="2281"/>
      <c r="G1155" s="289"/>
      <c r="H1155" s="2225"/>
    </row>
    <row r="1156" spans="1:8" x14ac:dyDescent="0.3">
      <c r="A1156" s="121">
        <v>14933</v>
      </c>
      <c r="B1156" s="274">
        <v>0.1</v>
      </c>
      <c r="C1156" s="2233" t="s">
        <v>3722</v>
      </c>
      <c r="D1156" s="3437">
        <v>800000</v>
      </c>
      <c r="E1156" s="3322"/>
      <c r="F1156" s="2281"/>
      <c r="G1156" s="289"/>
      <c r="H1156" s="2225"/>
    </row>
    <row r="1157" spans="1:8" x14ac:dyDescent="0.3">
      <c r="A1157" s="121">
        <v>14965</v>
      </c>
      <c r="B1157" s="274">
        <v>0.1</v>
      </c>
      <c r="C1157" s="2233" t="s">
        <v>3723</v>
      </c>
      <c r="D1157" s="3437">
        <v>1350000</v>
      </c>
      <c r="E1157" s="3322"/>
      <c r="F1157" s="2281"/>
      <c r="G1157" s="289"/>
      <c r="H1157" s="2225"/>
    </row>
    <row r="1158" spans="1:8" x14ac:dyDescent="0.3">
      <c r="A1158" s="121">
        <v>15018</v>
      </c>
      <c r="B1158" s="274">
        <v>0.1</v>
      </c>
      <c r="C1158" s="3227" t="s">
        <v>3726</v>
      </c>
      <c r="D1158" s="3437">
        <v>1100000</v>
      </c>
      <c r="E1158" s="3322"/>
      <c r="F1158" s="2281"/>
      <c r="G1158" s="289"/>
      <c r="H1158" s="2225"/>
    </row>
    <row r="1159" spans="1:8" x14ac:dyDescent="0.3">
      <c r="A1159" s="121">
        <v>15051</v>
      </c>
      <c r="B1159" s="274">
        <v>0.1</v>
      </c>
      <c r="C1159" s="2233" t="s">
        <v>3727</v>
      </c>
      <c r="D1159" s="3437">
        <v>1300000</v>
      </c>
      <c r="E1159" s="3261"/>
      <c r="F1159" s="2"/>
      <c r="G1159" s="11"/>
      <c r="H1159" s="11"/>
    </row>
    <row r="1160" spans="1:8" x14ac:dyDescent="0.3">
      <c r="A1160" s="121">
        <v>15042</v>
      </c>
      <c r="B1160" s="274">
        <v>0.1</v>
      </c>
      <c r="C1160" s="3439" t="s">
        <v>3693</v>
      </c>
      <c r="D1160" s="3437">
        <v>2800000</v>
      </c>
      <c r="E1160" s="3261"/>
      <c r="F1160" s="2"/>
      <c r="G1160" s="11"/>
      <c r="H1160" s="11"/>
    </row>
    <row r="1161" spans="1:8" x14ac:dyDescent="0.3">
      <c r="A1161" s="3426" t="s">
        <v>3062</v>
      </c>
      <c r="B1161" s="2558">
        <v>0.1</v>
      </c>
      <c r="C1161" s="2233" t="s">
        <v>3663</v>
      </c>
      <c r="D1161" s="3079">
        <v>1760000</v>
      </c>
      <c r="E1161" s="3261"/>
      <c r="F1161" s="2"/>
      <c r="G1161" s="11"/>
      <c r="H1161" s="11"/>
    </row>
    <row r="1162" spans="1:8" x14ac:dyDescent="0.3">
      <c r="A1162" s="3427" t="s">
        <v>3062</v>
      </c>
      <c r="B1162" s="3373">
        <v>0.1</v>
      </c>
      <c r="C1162" s="3151" t="s">
        <v>3664</v>
      </c>
      <c r="D1162" s="3079">
        <v>1300000</v>
      </c>
      <c r="E1162" s="3080"/>
      <c r="F1162" s="3102"/>
      <c r="G1162" s="2633"/>
      <c r="H1162" s="2633"/>
    </row>
    <row r="1163" spans="1:8" x14ac:dyDescent="0.3">
      <c r="A1163" s="3386">
        <v>15048</v>
      </c>
      <c r="B1163" s="3434">
        <v>0.1</v>
      </c>
      <c r="C1163" s="3420" t="s">
        <v>3684</v>
      </c>
      <c r="D1163" s="3139">
        <v>1450000</v>
      </c>
      <c r="E1163" s="3080"/>
      <c r="F1163" s="3102"/>
      <c r="G1163" s="2633"/>
      <c r="H1163" s="2633"/>
    </row>
    <row r="1164" spans="1:8" x14ac:dyDescent="0.3">
      <c r="A1164" s="3386" t="s">
        <v>3062</v>
      </c>
      <c r="B1164" s="3434">
        <v>0.1</v>
      </c>
      <c r="C1164" s="3151" t="s">
        <v>3917</v>
      </c>
      <c r="D1164" s="3437">
        <v>1500000</v>
      </c>
      <c r="E1164" s="3080"/>
      <c r="F1164" s="3102"/>
      <c r="G1164" s="2633"/>
      <c r="H1164" s="2633"/>
    </row>
    <row r="1165" spans="1:8" x14ac:dyDescent="0.3">
      <c r="A1165" s="121" t="s">
        <v>3062</v>
      </c>
      <c r="B1165" s="3000">
        <v>0.1</v>
      </c>
      <c r="C1165" s="2233" t="s">
        <v>3728</v>
      </c>
      <c r="D1165" s="3437">
        <v>1400000</v>
      </c>
      <c r="E1165" s="3261"/>
      <c r="F1165" s="2"/>
      <c r="G1165" s="11"/>
      <c r="H1165" s="11"/>
    </row>
    <row r="1166" spans="1:8" x14ac:dyDescent="0.3">
      <c r="A1166" s="51"/>
      <c r="B1166" s="2222"/>
      <c r="C1166" s="201"/>
      <c r="D1166" s="34"/>
      <c r="E1166" s="3261"/>
      <c r="F1166" s="2"/>
      <c r="G1166" s="11"/>
      <c r="H1166" s="11"/>
    </row>
    <row r="1167" spans="1:8" x14ac:dyDescent="0.3">
      <c r="A1167" s="2"/>
      <c r="B1167" s="2392"/>
      <c r="C1167" s="160"/>
      <c r="D1167" s="1549">
        <f>SUM(D1144:D1166)</f>
        <v>29760000</v>
      </c>
      <c r="E1167" s="3139"/>
      <c r="F1167" s="2"/>
      <c r="G1167" s="11"/>
      <c r="H1167" s="11"/>
    </row>
    <row r="1170" spans="1:8" x14ac:dyDescent="0.3">
      <c r="A1170" s="3669" t="s">
        <v>3839</v>
      </c>
      <c r="B1170" s="3670"/>
      <c r="C1170" s="3670"/>
      <c r="D1170" s="3670"/>
      <c r="E1170" s="3670"/>
      <c r="F1170" s="3670"/>
      <c r="G1170" s="3670"/>
      <c r="H1170" s="3670"/>
    </row>
    <row r="1171" spans="1:8" x14ac:dyDescent="0.3">
      <c r="A1171" s="3669"/>
      <c r="B1171" s="3670"/>
      <c r="C1171" s="3670"/>
      <c r="D1171" s="3670"/>
      <c r="E1171" s="3670"/>
      <c r="F1171" s="3670"/>
      <c r="G1171" s="3670"/>
      <c r="H1171" s="3670"/>
    </row>
    <row r="1172" spans="1:8" x14ac:dyDescent="0.3">
      <c r="A1172" s="3182" t="s">
        <v>3751</v>
      </c>
      <c r="B1172" s="2577" t="s">
        <v>2976</v>
      </c>
      <c r="C1172" s="3018" t="s">
        <v>3752</v>
      </c>
      <c r="D1172" s="1124" t="s">
        <v>3753</v>
      </c>
      <c r="E1172" s="3322" t="s">
        <v>3754</v>
      </c>
      <c r="F1172" s="2281" t="s">
        <v>2979</v>
      </c>
      <c r="G1172" s="289" t="s">
        <v>2985</v>
      </c>
      <c r="H1172" s="2225" t="s">
        <v>3755</v>
      </c>
    </row>
    <row r="1173" spans="1:8" x14ac:dyDescent="0.3">
      <c r="A1173" s="2"/>
      <c r="B1173" s="2392"/>
      <c r="C1173" s="160"/>
      <c r="D1173" s="11"/>
      <c r="E1173" s="3139"/>
      <c r="F1173" s="2"/>
      <c r="G1173" s="11"/>
      <c r="H1173" s="11"/>
    </row>
    <row r="1174" spans="1:8" x14ac:dyDescent="0.3">
      <c r="A1174" s="2"/>
      <c r="B1174" s="2392"/>
      <c r="C1174" s="160"/>
      <c r="D1174" s="11"/>
      <c r="E1174" s="3139"/>
      <c r="F1174" s="2"/>
      <c r="G1174" s="11"/>
      <c r="H1174" s="11"/>
    </row>
    <row r="1175" spans="1:8" x14ac:dyDescent="0.3">
      <c r="A1175" s="2"/>
      <c r="B1175" s="2392"/>
      <c r="C1175" s="160"/>
      <c r="D1175" s="11"/>
      <c r="E1175" s="3139"/>
      <c r="F1175" s="2"/>
      <c r="G1175" s="11"/>
      <c r="H1175" s="11"/>
    </row>
    <row r="1176" spans="1:8" x14ac:dyDescent="0.3">
      <c r="A1176" s="2"/>
      <c r="B1176" s="2392"/>
      <c r="C1176" s="160"/>
      <c r="D1176" s="11"/>
      <c r="E1176" s="3139"/>
      <c r="F1176" s="2"/>
      <c r="G1176" s="11"/>
      <c r="H1176" s="11"/>
    </row>
    <row r="1177" spans="1:8" x14ac:dyDescent="0.3">
      <c r="A1177" s="2"/>
      <c r="B1177" s="2392"/>
      <c r="C1177" s="160"/>
      <c r="D1177" s="11"/>
      <c r="E1177" s="3139"/>
      <c r="F1177" s="2"/>
      <c r="G1177" s="11"/>
      <c r="H1177" s="11"/>
    </row>
    <row r="1178" spans="1:8" x14ac:dyDescent="0.3">
      <c r="A1178" s="2"/>
      <c r="B1178" s="2392"/>
      <c r="C1178" s="160"/>
      <c r="D1178" s="11"/>
      <c r="E1178" s="3139"/>
      <c r="F1178" s="2"/>
      <c r="G1178" s="11"/>
      <c r="H1178" s="11"/>
    </row>
    <row r="1179" spans="1:8" x14ac:dyDescent="0.3">
      <c r="A1179" s="2"/>
      <c r="B1179" s="2392"/>
      <c r="C1179" s="160"/>
      <c r="D1179" s="11"/>
      <c r="E1179" s="3139"/>
      <c r="F1179" s="2"/>
      <c r="G1179" s="11"/>
      <c r="H1179" s="11"/>
    </row>
    <row r="1180" spans="1:8" x14ac:dyDescent="0.3">
      <c r="A1180" s="2"/>
      <c r="B1180" s="2392"/>
      <c r="C1180" s="160"/>
      <c r="D1180" s="11"/>
      <c r="E1180" s="3139"/>
      <c r="F1180" s="2"/>
      <c r="G1180" s="11"/>
      <c r="H1180" s="11"/>
    </row>
    <row r="1181" spans="1:8" x14ac:dyDescent="0.3">
      <c r="A1181" s="2"/>
      <c r="B1181" s="2392"/>
      <c r="C1181" s="160"/>
      <c r="D1181" s="11"/>
      <c r="E1181" s="3139"/>
      <c r="F1181" s="2"/>
      <c r="G1181" s="11"/>
      <c r="H1181" s="11"/>
    </row>
  </sheetData>
  <mergeCells count="60">
    <mergeCell ref="A1110:H1110"/>
    <mergeCell ref="A1112:H1113"/>
    <mergeCell ref="A1141:H1142"/>
    <mergeCell ref="A1170:H1171"/>
    <mergeCell ref="A435:H435"/>
    <mergeCell ref="A448:G449"/>
    <mergeCell ref="A455:G456"/>
    <mergeCell ref="D446:F446"/>
    <mergeCell ref="A731:H732"/>
    <mergeCell ref="A495:G495"/>
    <mergeCell ref="A497:G498"/>
    <mergeCell ref="A524:G525"/>
    <mergeCell ref="A541:G542"/>
    <mergeCell ref="A609:G609"/>
    <mergeCell ref="A611:G612"/>
    <mergeCell ref="A633:G634"/>
    <mergeCell ref="A648:G649"/>
    <mergeCell ref="A562:G563"/>
    <mergeCell ref="A941:H942"/>
    <mergeCell ref="A1060:H1061"/>
    <mergeCell ref="A1003:H1003"/>
    <mergeCell ref="A1005:H1006"/>
    <mergeCell ref="A1022:H1023"/>
    <mergeCell ref="A959:G960"/>
    <mergeCell ref="A950:H951"/>
    <mergeCell ref="A921:H922"/>
    <mergeCell ref="A778:G779"/>
    <mergeCell ref="A808:G808"/>
    <mergeCell ref="A810:H811"/>
    <mergeCell ref="A837:H838"/>
    <mergeCell ref="A860:G861"/>
    <mergeCell ref="A890:H890"/>
    <mergeCell ref="A892:H893"/>
    <mergeCell ref="A753:H754"/>
    <mergeCell ref="A682:G683"/>
    <mergeCell ref="A767:G768"/>
    <mergeCell ref="A729:G729"/>
    <mergeCell ref="A847:H848"/>
    <mergeCell ref="A414:G415"/>
    <mergeCell ref="A194:G195"/>
    <mergeCell ref="A238:G238"/>
    <mergeCell ref="A240:G240"/>
    <mergeCell ref="A401:G402"/>
    <mergeCell ref="A2:G2"/>
    <mergeCell ref="A73:G74"/>
    <mergeCell ref="A124:G124"/>
    <mergeCell ref="A126:G127"/>
    <mergeCell ref="A150:G151"/>
    <mergeCell ref="A120:B121"/>
    <mergeCell ref="A4:G5"/>
    <mergeCell ref="A32:G33"/>
    <mergeCell ref="A56:G57"/>
    <mergeCell ref="A176:G177"/>
    <mergeCell ref="A371:G371"/>
    <mergeCell ref="A373:G374"/>
    <mergeCell ref="A242:G243"/>
    <mergeCell ref="A258:G259"/>
    <mergeCell ref="A325:G326"/>
    <mergeCell ref="A312:G313"/>
    <mergeCell ref="A285:G28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4804-9086-4F67-B810-5037FFDE60EC}">
  <sheetPr>
    <pageSetUpPr fitToPage="1"/>
  </sheetPr>
  <dimension ref="A1:E179"/>
  <sheetViews>
    <sheetView workbookViewId="0">
      <selection activeCell="D179" sqref="D179"/>
    </sheetView>
  </sheetViews>
  <sheetFormatPr baseColWidth="10" defaultColWidth="8.88671875" defaultRowHeight="14.4" x14ac:dyDescent="0.3"/>
  <cols>
    <col min="1" max="1" width="71.6640625" customWidth="1"/>
    <col min="2" max="2" width="35.88671875" customWidth="1"/>
    <col min="3" max="3" width="22.5546875" customWidth="1"/>
  </cols>
  <sheetData>
    <row r="1" spans="1:3" ht="15.6" x14ac:dyDescent="0.3">
      <c r="A1" s="581" t="s">
        <v>3918</v>
      </c>
      <c r="B1" s="581" t="s">
        <v>3919</v>
      </c>
      <c r="C1" s="581" t="s">
        <v>3920</v>
      </c>
    </row>
    <row r="2" spans="1:3" ht="15.6" x14ac:dyDescent="0.3">
      <c r="A2" s="582" t="s">
        <v>3921</v>
      </c>
      <c r="B2" s="583" t="s">
        <v>3922</v>
      </c>
      <c r="C2" s="584">
        <v>43300</v>
      </c>
    </row>
    <row r="3" spans="1:3" ht="15.6" x14ac:dyDescent="0.3">
      <c r="A3" s="582" t="s">
        <v>3923</v>
      </c>
      <c r="B3" s="583" t="s">
        <v>3924</v>
      </c>
      <c r="C3" s="584">
        <v>44100</v>
      </c>
    </row>
    <row r="4" spans="1:3" ht="15.6" x14ac:dyDescent="0.3">
      <c r="A4" s="582" t="s">
        <v>3921</v>
      </c>
      <c r="B4" s="580" t="s">
        <v>3925</v>
      </c>
      <c r="C4" s="584">
        <v>43300</v>
      </c>
    </row>
    <row r="5" spans="1:3" ht="15.6" x14ac:dyDescent="0.3">
      <c r="A5" s="582" t="s">
        <v>3921</v>
      </c>
      <c r="B5" s="580" t="s">
        <v>3926</v>
      </c>
      <c r="C5" s="584">
        <v>43300</v>
      </c>
    </row>
    <row r="6" spans="1:3" ht="15.6" x14ac:dyDescent="0.3">
      <c r="A6" s="582" t="s">
        <v>3921</v>
      </c>
      <c r="B6" s="580" t="s">
        <v>3927</v>
      </c>
      <c r="C6" s="584">
        <v>43300</v>
      </c>
    </row>
    <row r="7" spans="1:3" ht="15.6" x14ac:dyDescent="0.3">
      <c r="A7" s="3682" t="s">
        <v>3070</v>
      </c>
      <c r="B7" s="3682"/>
      <c r="C7" s="585">
        <f>SUM(C2:C6)</f>
        <v>217300</v>
      </c>
    </row>
    <row r="9" spans="1:3" ht="15.6" x14ac:dyDescent="0.3">
      <c r="A9" s="581" t="s">
        <v>3918</v>
      </c>
      <c r="B9" s="581" t="s">
        <v>3919</v>
      </c>
      <c r="C9" s="581" t="s">
        <v>3920</v>
      </c>
    </row>
    <row r="10" spans="1:3" ht="15.6" x14ac:dyDescent="0.3">
      <c r="A10" s="582" t="s">
        <v>3921</v>
      </c>
      <c r="B10" s="583" t="s">
        <v>3922</v>
      </c>
      <c r="C10" s="584">
        <v>43300</v>
      </c>
    </row>
    <row r="11" spans="1:3" ht="15.6" x14ac:dyDescent="0.3">
      <c r="A11" s="582" t="s">
        <v>3923</v>
      </c>
      <c r="B11" s="583" t="s">
        <v>3924</v>
      </c>
      <c r="C11" s="584">
        <v>44100</v>
      </c>
    </row>
    <row r="12" spans="1:3" ht="15.6" x14ac:dyDescent="0.3">
      <c r="A12" s="582" t="s">
        <v>3921</v>
      </c>
      <c r="B12" s="580" t="s">
        <v>3925</v>
      </c>
      <c r="C12" s="584">
        <v>43300</v>
      </c>
    </row>
    <row r="13" spans="1:3" ht="15.6" x14ac:dyDescent="0.3">
      <c r="A13" s="582" t="s">
        <v>3921</v>
      </c>
      <c r="B13" s="580" t="s">
        <v>3926</v>
      </c>
      <c r="C13" s="584">
        <v>43300</v>
      </c>
    </row>
    <row r="14" spans="1:3" ht="15.6" x14ac:dyDescent="0.3">
      <c r="A14" s="582" t="s">
        <v>3921</v>
      </c>
      <c r="B14" s="580" t="s">
        <v>3927</v>
      </c>
      <c r="C14" s="584">
        <v>43300</v>
      </c>
    </row>
    <row r="15" spans="1:3" ht="15.6" x14ac:dyDescent="0.3">
      <c r="A15" s="3682" t="s">
        <v>3070</v>
      </c>
      <c r="B15" s="3682"/>
      <c r="C15" s="585">
        <f>SUM(C10:C14)</f>
        <v>217300</v>
      </c>
    </row>
    <row r="17" spans="1:3" ht="15.6" x14ac:dyDescent="0.3">
      <c r="A17" s="581" t="s">
        <v>3918</v>
      </c>
      <c r="B17" s="581" t="s">
        <v>3919</v>
      </c>
      <c r="C17" s="581" t="s">
        <v>3920</v>
      </c>
    </row>
    <row r="18" spans="1:3" ht="15.6" x14ac:dyDescent="0.3">
      <c r="A18" s="582" t="s">
        <v>3921</v>
      </c>
      <c r="B18" s="583" t="s">
        <v>3922</v>
      </c>
      <c r="C18" s="584">
        <v>43300</v>
      </c>
    </row>
    <row r="19" spans="1:3" ht="15.6" x14ac:dyDescent="0.3">
      <c r="A19" s="582" t="s">
        <v>3923</v>
      </c>
      <c r="B19" s="583" t="s">
        <v>3924</v>
      </c>
      <c r="C19" s="584">
        <v>44100</v>
      </c>
    </row>
    <row r="20" spans="1:3" ht="15.6" x14ac:dyDescent="0.3">
      <c r="A20" s="582" t="s">
        <v>3921</v>
      </c>
      <c r="B20" s="580" t="s">
        <v>3925</v>
      </c>
      <c r="C20" s="584">
        <v>43300</v>
      </c>
    </row>
    <row r="21" spans="1:3" ht="15.6" x14ac:dyDescent="0.3">
      <c r="A21" s="582" t="s">
        <v>3921</v>
      </c>
      <c r="B21" s="580" t="s">
        <v>3926</v>
      </c>
      <c r="C21" s="584">
        <v>43300</v>
      </c>
    </row>
    <row r="22" spans="1:3" ht="15.6" x14ac:dyDescent="0.3">
      <c r="A22" s="582" t="s">
        <v>3921</v>
      </c>
      <c r="B22" s="580" t="s">
        <v>3927</v>
      </c>
      <c r="C22" s="584">
        <v>43300</v>
      </c>
    </row>
    <row r="23" spans="1:3" ht="15.6" x14ac:dyDescent="0.3">
      <c r="A23" s="3682" t="s">
        <v>3070</v>
      </c>
      <c r="B23" s="3682"/>
      <c r="C23" s="585">
        <f>SUM(C18:C22)</f>
        <v>217300</v>
      </c>
    </row>
    <row r="25" spans="1:3" ht="15.6" x14ac:dyDescent="0.3">
      <c r="A25" s="581" t="s">
        <v>3918</v>
      </c>
      <c r="B25" s="581" t="s">
        <v>3919</v>
      </c>
      <c r="C25" s="581" t="s">
        <v>3920</v>
      </c>
    </row>
    <row r="26" spans="1:3" ht="15.6" x14ac:dyDescent="0.3">
      <c r="A26" s="582" t="s">
        <v>3921</v>
      </c>
      <c r="B26" s="583" t="s">
        <v>3922</v>
      </c>
      <c r="C26" s="584">
        <v>43300</v>
      </c>
    </row>
    <row r="27" spans="1:3" ht="15.6" x14ac:dyDescent="0.3">
      <c r="A27" s="582" t="s">
        <v>3923</v>
      </c>
      <c r="B27" s="583" t="s">
        <v>3924</v>
      </c>
      <c r="C27" s="584">
        <v>44100</v>
      </c>
    </row>
    <row r="28" spans="1:3" ht="15.6" x14ac:dyDescent="0.3">
      <c r="A28" s="582" t="s">
        <v>3921</v>
      </c>
      <c r="B28" s="580" t="s">
        <v>3925</v>
      </c>
      <c r="C28" s="584">
        <v>43300</v>
      </c>
    </row>
    <row r="29" spans="1:3" ht="15.6" x14ac:dyDescent="0.3">
      <c r="A29" s="582" t="s">
        <v>3921</v>
      </c>
      <c r="B29" s="580" t="s">
        <v>3926</v>
      </c>
      <c r="C29" s="584">
        <v>43300</v>
      </c>
    </row>
    <row r="30" spans="1:3" ht="15.6" x14ac:dyDescent="0.3">
      <c r="A30" s="582" t="s">
        <v>3921</v>
      </c>
      <c r="B30" s="580" t="s">
        <v>3927</v>
      </c>
      <c r="C30" s="584">
        <v>43300</v>
      </c>
    </row>
    <row r="31" spans="1:3" ht="15.6" x14ac:dyDescent="0.3">
      <c r="A31" s="3682" t="s">
        <v>3070</v>
      </c>
      <c r="B31" s="3682"/>
      <c r="C31" s="585">
        <f>SUM(C26:C30)</f>
        <v>217300</v>
      </c>
    </row>
    <row r="33" spans="1:3" ht="15.6" x14ac:dyDescent="0.3">
      <c r="A33" s="581" t="s">
        <v>3918</v>
      </c>
      <c r="B33" s="581" t="s">
        <v>3919</v>
      </c>
      <c r="C33" s="581" t="s">
        <v>3920</v>
      </c>
    </row>
    <row r="34" spans="1:3" ht="15.6" x14ac:dyDescent="0.3">
      <c r="A34" s="582" t="s">
        <v>3921</v>
      </c>
      <c r="B34" s="583" t="s">
        <v>3922</v>
      </c>
      <c r="C34" s="584">
        <v>43300</v>
      </c>
    </row>
    <row r="35" spans="1:3" ht="15.6" x14ac:dyDescent="0.3">
      <c r="A35" s="582" t="s">
        <v>3923</v>
      </c>
      <c r="B35" s="583" t="s">
        <v>3924</v>
      </c>
      <c r="C35" s="584">
        <v>44100</v>
      </c>
    </row>
    <row r="36" spans="1:3" ht="15.6" x14ac:dyDescent="0.3">
      <c r="A36" s="582" t="s">
        <v>3921</v>
      </c>
      <c r="B36" s="580" t="s">
        <v>3925</v>
      </c>
      <c r="C36" s="584">
        <v>43300</v>
      </c>
    </row>
    <row r="37" spans="1:3" ht="15.6" x14ac:dyDescent="0.3">
      <c r="A37" s="582" t="s">
        <v>3921</v>
      </c>
      <c r="B37" s="580" t="s">
        <v>3926</v>
      </c>
      <c r="C37" s="584">
        <v>43300</v>
      </c>
    </row>
    <row r="38" spans="1:3" ht="15.6" x14ac:dyDescent="0.3">
      <c r="A38" s="582" t="s">
        <v>3921</v>
      </c>
      <c r="B38" s="580" t="s">
        <v>3927</v>
      </c>
      <c r="C38" s="584">
        <v>43300</v>
      </c>
    </row>
    <row r="39" spans="1:3" ht="15.6" x14ac:dyDescent="0.3">
      <c r="A39" s="3682" t="s">
        <v>3070</v>
      </c>
      <c r="B39" s="3682"/>
      <c r="C39" s="585">
        <f>SUM(C34:C38)</f>
        <v>217300</v>
      </c>
    </row>
    <row r="41" spans="1:3" ht="15.6" x14ac:dyDescent="0.3">
      <c r="A41" s="581" t="s">
        <v>3918</v>
      </c>
      <c r="B41" s="581" t="s">
        <v>3919</v>
      </c>
      <c r="C41" s="581" t="s">
        <v>3920</v>
      </c>
    </row>
    <row r="42" spans="1:3" ht="15.6" x14ac:dyDescent="0.3">
      <c r="A42" s="582" t="s">
        <v>3921</v>
      </c>
      <c r="B42" s="583" t="s">
        <v>3922</v>
      </c>
      <c r="C42" s="584">
        <v>43300</v>
      </c>
    </row>
    <row r="43" spans="1:3" ht="15.6" x14ac:dyDescent="0.3">
      <c r="A43" s="582" t="s">
        <v>3921</v>
      </c>
      <c r="B43" s="580" t="s">
        <v>3928</v>
      </c>
      <c r="C43" s="584">
        <v>43300</v>
      </c>
    </row>
    <row r="44" spans="1:3" ht="15.6" x14ac:dyDescent="0.3">
      <c r="A44" s="582" t="s">
        <v>3923</v>
      </c>
      <c r="B44" s="583" t="s">
        <v>523</v>
      </c>
      <c r="C44" s="584">
        <v>44100</v>
      </c>
    </row>
    <row r="45" spans="1:3" ht="15.6" x14ac:dyDescent="0.3">
      <c r="A45" s="582" t="s">
        <v>3929</v>
      </c>
      <c r="B45" s="580" t="s">
        <v>3925</v>
      </c>
      <c r="C45" s="584">
        <v>43300</v>
      </c>
    </row>
    <row r="46" spans="1:3" ht="15.6" x14ac:dyDescent="0.3">
      <c r="A46" s="582" t="s">
        <v>3929</v>
      </c>
      <c r="B46" s="580" t="s">
        <v>527</v>
      </c>
      <c r="C46" s="584">
        <v>43300</v>
      </c>
    </row>
    <row r="47" spans="1:3" ht="15.6" x14ac:dyDescent="0.3">
      <c r="A47" s="582" t="s">
        <v>3929</v>
      </c>
      <c r="B47" s="580" t="s">
        <v>748</v>
      </c>
      <c r="C47" s="584">
        <v>43300</v>
      </c>
    </row>
    <row r="48" spans="1:3" ht="15.6" x14ac:dyDescent="0.3">
      <c r="A48" s="582" t="s">
        <v>3929</v>
      </c>
      <c r="B48" s="580" t="s">
        <v>582</v>
      </c>
      <c r="C48" s="584">
        <v>43300</v>
      </c>
    </row>
    <row r="49" spans="1:3" ht="15.6" x14ac:dyDescent="0.3">
      <c r="A49" s="582" t="s">
        <v>3929</v>
      </c>
      <c r="B49" s="580" t="s">
        <v>2037</v>
      </c>
      <c r="C49" s="584">
        <v>43300</v>
      </c>
    </row>
    <row r="50" spans="1:3" ht="15.6" x14ac:dyDescent="0.3">
      <c r="A50" s="582" t="s">
        <v>3929</v>
      </c>
      <c r="B50" s="580" t="s">
        <v>3930</v>
      </c>
      <c r="C50" s="584">
        <v>43300</v>
      </c>
    </row>
    <row r="51" spans="1:3" ht="15.6" x14ac:dyDescent="0.3">
      <c r="A51" s="3682" t="s">
        <v>3070</v>
      </c>
      <c r="B51" s="3682"/>
      <c r="C51" s="585">
        <f>SUM(C42:C50)</f>
        <v>390500</v>
      </c>
    </row>
    <row r="53" spans="1:3" x14ac:dyDescent="0.3">
      <c r="A53" s="3683" t="s">
        <v>1802</v>
      </c>
      <c r="B53" s="3683"/>
      <c r="C53" s="3683"/>
    </row>
    <row r="54" spans="1:3" x14ac:dyDescent="0.3">
      <c r="A54" s="3683"/>
      <c r="B54" s="3683"/>
      <c r="C54" s="3683"/>
    </row>
    <row r="56" spans="1:3" ht="15.6" x14ac:dyDescent="0.3">
      <c r="A56" s="581" t="s">
        <v>3918</v>
      </c>
      <c r="B56" s="581" t="s">
        <v>3931</v>
      </c>
      <c r="C56" s="581" t="s">
        <v>3932</v>
      </c>
    </row>
    <row r="57" spans="1:3" ht="15.6" x14ac:dyDescent="0.3">
      <c r="A57" s="582" t="s">
        <v>3921</v>
      </c>
      <c r="B57" s="583" t="s">
        <v>3933</v>
      </c>
      <c r="C57" s="584">
        <v>40500</v>
      </c>
    </row>
    <row r="58" spans="1:3" ht="15.6" x14ac:dyDescent="0.3">
      <c r="A58" s="2487" t="s">
        <v>3921</v>
      </c>
      <c r="B58" s="2488" t="s">
        <v>3928</v>
      </c>
      <c r="C58" s="2489">
        <v>43300</v>
      </c>
    </row>
    <row r="59" spans="1:3" ht="15.6" x14ac:dyDescent="0.3">
      <c r="A59" s="2487" t="s">
        <v>3923</v>
      </c>
      <c r="B59" s="2490" t="s">
        <v>523</v>
      </c>
      <c r="C59" s="2489">
        <v>44100</v>
      </c>
    </row>
    <row r="60" spans="1:3" ht="15.6" x14ac:dyDescent="0.3">
      <c r="A60" s="2487" t="s">
        <v>3929</v>
      </c>
      <c r="B60" s="2488" t="s">
        <v>3925</v>
      </c>
      <c r="C60" s="2489">
        <v>43300</v>
      </c>
    </row>
    <row r="61" spans="1:3" ht="15.6" x14ac:dyDescent="0.3">
      <c r="A61" s="2487" t="s">
        <v>3929</v>
      </c>
      <c r="B61" s="2488" t="s">
        <v>527</v>
      </c>
      <c r="C61" s="2489">
        <v>43300</v>
      </c>
    </row>
    <row r="62" spans="1:3" ht="15.6" x14ac:dyDescent="0.3">
      <c r="A62" s="2487" t="s">
        <v>3929</v>
      </c>
      <c r="B62" s="2488" t="s">
        <v>748</v>
      </c>
      <c r="C62" s="2489">
        <v>43300</v>
      </c>
    </row>
    <row r="63" spans="1:3" ht="15.6" x14ac:dyDescent="0.3">
      <c r="A63" s="2487" t="s">
        <v>3929</v>
      </c>
      <c r="B63" s="2488" t="s">
        <v>582</v>
      </c>
      <c r="C63" s="2489">
        <v>43300</v>
      </c>
    </row>
    <row r="64" spans="1:3" ht="15.6" x14ac:dyDescent="0.3">
      <c r="A64" s="2487" t="s">
        <v>3929</v>
      </c>
      <c r="B64" s="2488" t="s">
        <v>2037</v>
      </c>
      <c r="C64" s="2489">
        <v>43300</v>
      </c>
    </row>
    <row r="65" spans="1:4" ht="15.6" x14ac:dyDescent="0.3">
      <c r="A65" s="2487" t="s">
        <v>3929</v>
      </c>
      <c r="B65" s="2488" t="s">
        <v>3930</v>
      </c>
      <c r="C65" s="2489">
        <v>43300</v>
      </c>
    </row>
    <row r="66" spans="1:4" ht="15.6" x14ac:dyDescent="0.3">
      <c r="A66" s="3682" t="s">
        <v>3070</v>
      </c>
      <c r="B66" s="3682"/>
      <c r="C66" s="585">
        <f>SUM(C57:C65)</f>
        <v>387700</v>
      </c>
    </row>
    <row r="68" spans="1:4" x14ac:dyDescent="0.3">
      <c r="A68" s="3683" t="s">
        <v>2103</v>
      </c>
      <c r="B68" s="3683"/>
      <c r="C68" s="3683"/>
    </row>
    <row r="69" spans="1:4" x14ac:dyDescent="0.3">
      <c r="A69" s="3683"/>
      <c r="B69" s="3683"/>
      <c r="C69" s="3683"/>
    </row>
    <row r="70" spans="1:4" ht="15.6" x14ac:dyDescent="0.3">
      <c r="A70" s="2487" t="s">
        <v>3921</v>
      </c>
      <c r="B70" s="2490" t="s">
        <v>3933</v>
      </c>
      <c r="C70" s="2489">
        <v>40500</v>
      </c>
    </row>
    <row r="71" spans="1:4" ht="15.6" x14ac:dyDescent="0.3">
      <c r="A71" s="582" t="s">
        <v>3921</v>
      </c>
      <c r="B71" s="580" t="s">
        <v>3934</v>
      </c>
      <c r="C71" s="584"/>
    </row>
    <row r="72" spans="1:4" ht="15.6" x14ac:dyDescent="0.3">
      <c r="A72" s="2487" t="s">
        <v>3923</v>
      </c>
      <c r="B72" s="2490" t="s">
        <v>523</v>
      </c>
      <c r="C72" s="2489">
        <v>44100</v>
      </c>
    </row>
    <row r="73" spans="1:4" ht="15.6" x14ac:dyDescent="0.3">
      <c r="A73" s="2487" t="s">
        <v>3929</v>
      </c>
      <c r="B73" s="2488" t="s">
        <v>3925</v>
      </c>
      <c r="C73" s="2489">
        <v>43300</v>
      </c>
    </row>
    <row r="74" spans="1:4" ht="15.6" x14ac:dyDescent="0.3">
      <c r="A74" s="2487" t="s">
        <v>3929</v>
      </c>
      <c r="B74" s="2488" t="s">
        <v>527</v>
      </c>
      <c r="C74" s="2489">
        <v>43300</v>
      </c>
    </row>
    <row r="75" spans="1:4" ht="15.6" x14ac:dyDescent="0.3">
      <c r="A75" s="2487" t="s">
        <v>3929</v>
      </c>
      <c r="B75" s="2488" t="s">
        <v>748</v>
      </c>
      <c r="C75" s="2489">
        <v>43300</v>
      </c>
      <c r="D75" t="s">
        <v>3935</v>
      </c>
    </row>
    <row r="76" spans="1:4" ht="15.6" x14ac:dyDescent="0.3">
      <c r="A76" s="2487" t="s">
        <v>3929</v>
      </c>
      <c r="B76" s="2488" t="s">
        <v>582</v>
      </c>
      <c r="C76" s="2489">
        <v>43300</v>
      </c>
    </row>
    <row r="77" spans="1:4" ht="15.6" x14ac:dyDescent="0.3">
      <c r="A77" s="582" t="s">
        <v>3929</v>
      </c>
      <c r="B77" s="580" t="s">
        <v>3936</v>
      </c>
      <c r="C77" s="584"/>
    </row>
    <row r="78" spans="1:4" ht="15.6" x14ac:dyDescent="0.3">
      <c r="A78" s="2487" t="s">
        <v>3929</v>
      </c>
      <c r="B78" s="2488" t="s">
        <v>3930</v>
      </c>
      <c r="C78" s="2489">
        <v>43300</v>
      </c>
    </row>
    <row r="79" spans="1:4" ht="15.6" x14ac:dyDescent="0.3">
      <c r="A79" s="3682" t="s">
        <v>3070</v>
      </c>
      <c r="B79" s="3682"/>
      <c r="C79" s="585">
        <f>SUM(C70:C78)</f>
        <v>301100</v>
      </c>
    </row>
    <row r="81" spans="1:3" x14ac:dyDescent="0.3">
      <c r="A81" s="3683" t="s">
        <v>3838</v>
      </c>
      <c r="B81" s="3683"/>
      <c r="C81" s="3683"/>
    </row>
    <row r="82" spans="1:3" x14ac:dyDescent="0.3">
      <c r="A82" s="3683"/>
      <c r="B82" s="3683"/>
      <c r="C82" s="3683"/>
    </row>
    <row r="83" spans="1:3" ht="15.6" x14ac:dyDescent="0.3">
      <c r="A83" s="2487" t="s">
        <v>3921</v>
      </c>
      <c r="B83" s="2490" t="s">
        <v>3937</v>
      </c>
      <c r="C83" s="2489">
        <v>40500</v>
      </c>
    </row>
    <row r="84" spans="1:3" ht="15.6" x14ac:dyDescent="0.3">
      <c r="A84" s="2487" t="s">
        <v>3921</v>
      </c>
      <c r="B84" s="2488" t="s">
        <v>3934</v>
      </c>
      <c r="C84" s="2489">
        <v>43300</v>
      </c>
    </row>
    <row r="85" spans="1:3" ht="15.6" x14ac:dyDescent="0.3">
      <c r="A85" s="2487" t="s">
        <v>3923</v>
      </c>
      <c r="B85" s="2490" t="s">
        <v>523</v>
      </c>
      <c r="C85" s="2489">
        <v>44100</v>
      </c>
    </row>
    <row r="86" spans="1:3" ht="15.6" x14ac:dyDescent="0.3">
      <c r="A86" s="2487" t="s">
        <v>3929</v>
      </c>
      <c r="B86" s="2488" t="s">
        <v>3925</v>
      </c>
      <c r="C86" s="2489">
        <v>43300</v>
      </c>
    </row>
    <row r="87" spans="1:3" ht="15.6" x14ac:dyDescent="0.3">
      <c r="A87" s="2487" t="s">
        <v>3929</v>
      </c>
      <c r="B87" s="2488" t="s">
        <v>527</v>
      </c>
      <c r="C87" s="2489">
        <v>43300</v>
      </c>
    </row>
    <row r="88" spans="1:3" ht="15.6" x14ac:dyDescent="0.3">
      <c r="A88" s="2487" t="s">
        <v>3929</v>
      </c>
      <c r="B88" s="2488" t="s">
        <v>748</v>
      </c>
      <c r="C88" s="2489">
        <v>43300</v>
      </c>
    </row>
    <row r="89" spans="1:3" ht="15.6" x14ac:dyDescent="0.3">
      <c r="A89" s="2487" t="s">
        <v>3929</v>
      </c>
      <c r="B89" s="2488" t="s">
        <v>582</v>
      </c>
      <c r="C89" s="2489">
        <v>43300</v>
      </c>
    </row>
    <row r="90" spans="1:3" ht="15.6" x14ac:dyDescent="0.3">
      <c r="A90" s="2487" t="s">
        <v>3929</v>
      </c>
      <c r="B90" s="2488" t="s">
        <v>3938</v>
      </c>
      <c r="C90" s="2489">
        <v>43300</v>
      </c>
    </row>
    <row r="91" spans="1:3" ht="15.6" x14ac:dyDescent="0.3">
      <c r="A91" s="2487" t="s">
        <v>3929</v>
      </c>
      <c r="B91" s="2488" t="s">
        <v>3939</v>
      </c>
      <c r="C91" s="2489">
        <v>43300</v>
      </c>
    </row>
    <row r="92" spans="1:3" ht="15.6" x14ac:dyDescent="0.3">
      <c r="A92" s="3682" t="s">
        <v>3070</v>
      </c>
      <c r="B92" s="3682"/>
      <c r="C92" s="585">
        <f>SUM(C83:C91)</f>
        <v>387700</v>
      </c>
    </row>
    <row r="94" spans="1:3" x14ac:dyDescent="0.3">
      <c r="A94" s="3683" t="s">
        <v>2405</v>
      </c>
      <c r="B94" s="3683"/>
      <c r="C94" s="3683"/>
    </row>
    <row r="95" spans="1:3" x14ac:dyDescent="0.3">
      <c r="A95" s="3683"/>
      <c r="B95" s="3683"/>
      <c r="C95" s="3683"/>
    </row>
    <row r="96" spans="1:3" ht="15.6" x14ac:dyDescent="0.3">
      <c r="A96" s="2487" t="s">
        <v>3921</v>
      </c>
      <c r="B96" s="2490" t="s">
        <v>3937</v>
      </c>
      <c r="C96" s="2489">
        <v>40500</v>
      </c>
    </row>
    <row r="97" spans="1:4" ht="15.6" x14ac:dyDescent="0.3">
      <c r="A97" s="2487" t="s">
        <v>3921</v>
      </c>
      <c r="B97" s="2488" t="s">
        <v>3934</v>
      </c>
      <c r="C97" s="2489">
        <v>43300</v>
      </c>
    </row>
    <row r="98" spans="1:4" ht="15.6" x14ac:dyDescent="0.3">
      <c r="A98" s="2487" t="s">
        <v>3923</v>
      </c>
      <c r="B98" s="2490" t="s">
        <v>523</v>
      </c>
      <c r="C98" s="2489">
        <v>44100</v>
      </c>
    </row>
    <row r="99" spans="1:4" ht="15.6" x14ac:dyDescent="0.3">
      <c r="A99" s="2487" t="s">
        <v>3929</v>
      </c>
      <c r="B99" s="2488" t="s">
        <v>3925</v>
      </c>
      <c r="C99" s="2489">
        <v>43300</v>
      </c>
    </row>
    <row r="100" spans="1:4" ht="15.6" x14ac:dyDescent="0.3">
      <c r="A100" s="2487" t="s">
        <v>3929</v>
      </c>
      <c r="B100" s="2488" t="s">
        <v>527</v>
      </c>
      <c r="C100" s="2489">
        <v>43300</v>
      </c>
    </row>
    <row r="101" spans="1:4" ht="15.6" x14ac:dyDescent="0.3">
      <c r="A101" s="2487" t="s">
        <v>3929</v>
      </c>
      <c r="B101" s="2488" t="s">
        <v>748</v>
      </c>
      <c r="C101" s="2489">
        <v>43300</v>
      </c>
    </row>
    <row r="102" spans="1:4" ht="15.6" x14ac:dyDescent="0.3">
      <c r="A102" s="2487" t="s">
        <v>3929</v>
      </c>
      <c r="B102" s="2488" t="s">
        <v>582</v>
      </c>
      <c r="C102" s="2489">
        <v>43300</v>
      </c>
    </row>
    <row r="103" spans="1:4" ht="15.6" x14ac:dyDescent="0.3">
      <c r="A103" s="2847" t="s">
        <v>3929</v>
      </c>
      <c r="B103" s="2848" t="s">
        <v>3938</v>
      </c>
      <c r="C103" s="2849"/>
    </row>
    <row r="104" spans="1:4" ht="15.6" x14ac:dyDescent="0.3">
      <c r="A104" s="2487" t="s">
        <v>3929</v>
      </c>
      <c r="B104" s="2488" t="s">
        <v>3939</v>
      </c>
      <c r="C104" s="2489">
        <v>43300</v>
      </c>
      <c r="D104" s="1727">
        <v>3000</v>
      </c>
    </row>
    <row r="105" spans="1:4" ht="15.6" x14ac:dyDescent="0.3">
      <c r="A105" s="3682" t="s">
        <v>3070</v>
      </c>
      <c r="B105" s="3682"/>
      <c r="C105" s="585">
        <f>SUM(C96:C104)</f>
        <v>344400</v>
      </c>
    </row>
    <row r="108" spans="1:4" x14ac:dyDescent="0.3">
      <c r="A108" s="3683" t="s">
        <v>2501</v>
      </c>
      <c r="B108" s="3683"/>
      <c r="C108" s="3683"/>
    </row>
    <row r="109" spans="1:4" x14ac:dyDescent="0.3">
      <c r="A109" s="3683"/>
      <c r="B109" s="3683"/>
      <c r="C109" s="3683"/>
    </row>
    <row r="110" spans="1:4" ht="15.6" x14ac:dyDescent="0.3">
      <c r="A110" s="2847" t="s">
        <v>3921</v>
      </c>
      <c r="B110" s="2880" t="s">
        <v>3937</v>
      </c>
      <c r="C110" s="2849"/>
      <c r="D110" s="1"/>
    </row>
    <row r="111" spans="1:4" ht="15.6" x14ac:dyDescent="0.3">
      <c r="A111" s="2487" t="s">
        <v>3921</v>
      </c>
      <c r="B111" s="2488" t="s">
        <v>3934</v>
      </c>
      <c r="C111" s="2489">
        <v>43300</v>
      </c>
      <c r="D111" s="1" t="s">
        <v>3507</v>
      </c>
    </row>
    <row r="112" spans="1:4" ht="15.6" x14ac:dyDescent="0.3">
      <c r="A112" s="2487" t="s">
        <v>3923</v>
      </c>
      <c r="B112" s="2490" t="s">
        <v>523</v>
      </c>
      <c r="C112" s="2489">
        <v>44100</v>
      </c>
      <c r="D112" s="1" t="s">
        <v>3507</v>
      </c>
    </row>
    <row r="113" spans="1:4" ht="15.6" x14ac:dyDescent="0.3">
      <c r="A113" s="2487" t="s">
        <v>3929</v>
      </c>
      <c r="B113" s="2488" t="s">
        <v>3925</v>
      </c>
      <c r="C113" s="2489">
        <v>43300</v>
      </c>
      <c r="D113" s="1" t="s">
        <v>3507</v>
      </c>
    </row>
    <row r="114" spans="1:4" ht="15.6" x14ac:dyDescent="0.3">
      <c r="A114" s="2487" t="s">
        <v>3929</v>
      </c>
      <c r="B114" s="2488" t="s">
        <v>527</v>
      </c>
      <c r="C114" s="2489">
        <v>43300</v>
      </c>
      <c r="D114" s="1" t="s">
        <v>3507</v>
      </c>
    </row>
    <row r="115" spans="1:4" ht="15.6" x14ac:dyDescent="0.3">
      <c r="A115" s="2487" t="s">
        <v>3929</v>
      </c>
      <c r="B115" s="2488" t="s">
        <v>748</v>
      </c>
      <c r="C115" s="2489">
        <v>43300</v>
      </c>
      <c r="D115" s="1" t="s">
        <v>3507</v>
      </c>
    </row>
    <row r="116" spans="1:4" ht="15.6" x14ac:dyDescent="0.3">
      <c r="A116" s="2487" t="s">
        <v>3929</v>
      </c>
      <c r="B116" s="2488" t="s">
        <v>582</v>
      </c>
      <c r="C116" s="2489">
        <v>43300</v>
      </c>
      <c r="D116" s="1" t="s">
        <v>3507</v>
      </c>
    </row>
    <row r="117" spans="1:4" ht="15.6" x14ac:dyDescent="0.3">
      <c r="A117" s="2847" t="s">
        <v>3929</v>
      </c>
      <c r="B117" s="2848" t="s">
        <v>3938</v>
      </c>
      <c r="C117" s="2849"/>
      <c r="D117" s="1"/>
    </row>
    <row r="118" spans="1:4" ht="15.6" x14ac:dyDescent="0.3">
      <c r="A118" s="2847" t="s">
        <v>3929</v>
      </c>
      <c r="B118" s="2848" t="s">
        <v>3939</v>
      </c>
      <c r="C118" s="2849"/>
      <c r="D118" s="1"/>
    </row>
    <row r="119" spans="1:4" ht="15.6" x14ac:dyDescent="0.3">
      <c r="A119" s="3682" t="s">
        <v>3070</v>
      </c>
      <c r="B119" s="3682"/>
      <c r="C119" s="585">
        <f>SUM(C110:C118)</f>
        <v>260600</v>
      </c>
    </row>
    <row r="122" spans="1:4" x14ac:dyDescent="0.3">
      <c r="A122" s="3683" t="s">
        <v>2581</v>
      </c>
      <c r="B122" s="3683"/>
      <c r="C122" s="3683"/>
    </row>
    <row r="123" spans="1:4" x14ac:dyDescent="0.3">
      <c r="A123" s="3683"/>
      <c r="B123" s="3683"/>
      <c r="C123" s="3683"/>
    </row>
    <row r="124" spans="1:4" ht="15.6" x14ac:dyDescent="0.3">
      <c r="A124" s="2847" t="s">
        <v>3921</v>
      </c>
      <c r="B124" s="2880" t="s">
        <v>3937</v>
      </c>
      <c r="C124" s="2849"/>
    </row>
    <row r="125" spans="1:4" ht="15.6" x14ac:dyDescent="0.3">
      <c r="A125" s="2487" t="s">
        <v>3921</v>
      </c>
      <c r="B125" s="2488" t="s">
        <v>3934</v>
      </c>
      <c r="C125" s="2489">
        <v>43300</v>
      </c>
      <c r="D125" s="1" t="s">
        <v>3507</v>
      </c>
    </row>
    <row r="126" spans="1:4" ht="15.6" x14ac:dyDescent="0.3">
      <c r="A126" s="2487" t="s">
        <v>3923</v>
      </c>
      <c r="B126" s="2490" t="s">
        <v>523</v>
      </c>
      <c r="C126" s="2489">
        <v>44100</v>
      </c>
      <c r="D126" s="1" t="s">
        <v>3507</v>
      </c>
    </row>
    <row r="127" spans="1:4" ht="15.6" x14ac:dyDescent="0.3">
      <c r="A127" s="2487" t="s">
        <v>3929</v>
      </c>
      <c r="B127" s="2488" t="s">
        <v>3925</v>
      </c>
      <c r="C127" s="2489">
        <v>43300</v>
      </c>
      <c r="D127" s="1" t="s">
        <v>3507</v>
      </c>
    </row>
    <row r="128" spans="1:4" ht="15.6" x14ac:dyDescent="0.3">
      <c r="A128" s="2487" t="s">
        <v>3929</v>
      </c>
      <c r="B128" s="2488" t="s">
        <v>527</v>
      </c>
      <c r="C128" s="2489">
        <v>43300</v>
      </c>
      <c r="D128" s="1" t="s">
        <v>3507</v>
      </c>
    </row>
    <row r="129" spans="1:5" ht="15.6" x14ac:dyDescent="0.3">
      <c r="A129" s="2487" t="s">
        <v>3929</v>
      </c>
      <c r="B129" s="2488" t="s">
        <v>748</v>
      </c>
      <c r="C129" s="2489">
        <v>43300</v>
      </c>
      <c r="D129" s="1" t="s">
        <v>3507</v>
      </c>
    </row>
    <row r="130" spans="1:5" ht="15.6" x14ac:dyDescent="0.3">
      <c r="A130" s="2487" t="s">
        <v>3929</v>
      </c>
      <c r="B130" s="2488" t="s">
        <v>2653</v>
      </c>
      <c r="C130" s="2489"/>
      <c r="D130" s="1"/>
      <c r="E130" t="s">
        <v>3940</v>
      </c>
    </row>
    <row r="131" spans="1:5" ht="15.6" x14ac:dyDescent="0.3">
      <c r="A131" s="2487" t="s">
        <v>3929</v>
      </c>
      <c r="B131" s="2488" t="s">
        <v>2656</v>
      </c>
      <c r="C131" s="2489"/>
      <c r="D131" s="1"/>
    </row>
    <row r="132" spans="1:5" ht="15.6" x14ac:dyDescent="0.3">
      <c r="A132" s="2487" t="s">
        <v>3929</v>
      </c>
      <c r="B132" s="2488" t="s">
        <v>3941</v>
      </c>
      <c r="C132" s="2489">
        <v>43300</v>
      </c>
      <c r="D132" s="1" t="s">
        <v>3507</v>
      </c>
    </row>
    <row r="133" spans="1:5" ht="15.6" x14ac:dyDescent="0.3">
      <c r="A133" s="2487" t="s">
        <v>3929</v>
      </c>
      <c r="B133" s="2488" t="s">
        <v>3942</v>
      </c>
      <c r="C133" s="2489"/>
      <c r="D133" s="1"/>
    </row>
    <row r="134" spans="1:5" ht="15.6" x14ac:dyDescent="0.3">
      <c r="A134" s="3682" t="s">
        <v>3070</v>
      </c>
      <c r="B134" s="3682"/>
      <c r="C134" s="585">
        <f>SUM(C124:C133)</f>
        <v>260600</v>
      </c>
    </row>
    <row r="135" spans="1:5" ht="15.6" x14ac:dyDescent="0.3">
      <c r="A135" s="3013"/>
      <c r="B135" s="3013"/>
      <c r="C135" s="3014"/>
    </row>
    <row r="137" spans="1:5" x14ac:dyDescent="0.3">
      <c r="A137" s="3683" t="s">
        <v>2673</v>
      </c>
      <c r="B137" s="3683"/>
      <c r="C137" s="3683"/>
    </row>
    <row r="138" spans="1:5" x14ac:dyDescent="0.3">
      <c r="A138" s="3683"/>
      <c r="B138" s="3683"/>
      <c r="C138" s="3683"/>
    </row>
    <row r="139" spans="1:5" ht="15.6" x14ac:dyDescent="0.3">
      <c r="A139" s="2847" t="s">
        <v>3921</v>
      </c>
      <c r="B139" s="2880" t="s">
        <v>3937</v>
      </c>
      <c r="C139" s="2849"/>
    </row>
    <row r="140" spans="1:5" ht="15.6" x14ac:dyDescent="0.3">
      <c r="A140" s="2487" t="s">
        <v>3921</v>
      </c>
      <c r="B140" s="2488" t="s">
        <v>3934</v>
      </c>
      <c r="C140" s="2489">
        <v>43300</v>
      </c>
    </row>
    <row r="141" spans="1:5" ht="15.6" x14ac:dyDescent="0.3">
      <c r="A141" s="2487" t="s">
        <v>3923</v>
      </c>
      <c r="B141" s="2490" t="s">
        <v>3943</v>
      </c>
      <c r="C141" s="2489">
        <v>44100</v>
      </c>
    </row>
    <row r="142" spans="1:5" ht="15.6" x14ac:dyDescent="0.3">
      <c r="A142" s="2487" t="s">
        <v>3929</v>
      </c>
      <c r="B142" s="2488" t="s">
        <v>3925</v>
      </c>
      <c r="C142" s="2489">
        <v>43300</v>
      </c>
    </row>
    <row r="143" spans="1:5" ht="15.6" x14ac:dyDescent="0.3">
      <c r="A143" s="2487" t="s">
        <v>3929</v>
      </c>
      <c r="B143" s="2488" t="s">
        <v>527</v>
      </c>
      <c r="C143" s="2489">
        <v>43300</v>
      </c>
    </row>
    <row r="144" spans="1:5" ht="15.6" x14ac:dyDescent="0.3">
      <c r="A144" s="2487" t="s">
        <v>3929</v>
      </c>
      <c r="B144" s="2488" t="s">
        <v>748</v>
      </c>
      <c r="C144" s="2489">
        <v>43300</v>
      </c>
    </row>
    <row r="145" spans="1:4" ht="15.6" x14ac:dyDescent="0.3">
      <c r="A145" s="2847" t="s">
        <v>3929</v>
      </c>
      <c r="B145" s="2848" t="s">
        <v>2653</v>
      </c>
      <c r="C145" s="2849"/>
    </row>
    <row r="146" spans="1:4" ht="15.6" x14ac:dyDescent="0.3">
      <c r="A146" s="2487" t="s">
        <v>3929</v>
      </c>
      <c r="B146" s="2488" t="s">
        <v>2656</v>
      </c>
      <c r="C146" s="2489">
        <v>43300</v>
      </c>
    </row>
    <row r="147" spans="1:4" ht="15.6" x14ac:dyDescent="0.3">
      <c r="A147" s="2847" t="s">
        <v>3929</v>
      </c>
      <c r="B147" s="2848" t="s">
        <v>3941</v>
      </c>
      <c r="C147" s="2849"/>
    </row>
    <row r="148" spans="1:4" ht="15.6" x14ac:dyDescent="0.3">
      <c r="A148" s="2487" t="s">
        <v>3929</v>
      </c>
      <c r="B148" s="2488" t="s">
        <v>3942</v>
      </c>
      <c r="C148" s="2489">
        <v>43300</v>
      </c>
    </row>
    <row r="149" spans="1:4" ht="15.6" x14ac:dyDescent="0.3">
      <c r="A149" s="3682" t="s">
        <v>3070</v>
      </c>
      <c r="B149" s="3682"/>
      <c r="C149" s="585">
        <f>SUM(C139:C148)</f>
        <v>303900</v>
      </c>
    </row>
    <row r="151" spans="1:4" x14ac:dyDescent="0.3">
      <c r="A151" s="3683" t="s">
        <v>2751</v>
      </c>
      <c r="B151" s="3683"/>
      <c r="C151" s="3683"/>
    </row>
    <row r="152" spans="1:4" x14ac:dyDescent="0.3">
      <c r="A152" s="3683"/>
      <c r="B152" s="3683"/>
      <c r="C152" s="3683"/>
    </row>
    <row r="153" spans="1:4" ht="15.6" x14ac:dyDescent="0.3">
      <c r="A153" s="2847" t="s">
        <v>3921</v>
      </c>
      <c r="B153" s="2880" t="s">
        <v>3937</v>
      </c>
      <c r="C153" s="2849"/>
    </row>
    <row r="154" spans="1:4" ht="15.6" x14ac:dyDescent="0.3">
      <c r="A154" s="2487" t="s">
        <v>3921</v>
      </c>
      <c r="B154" s="2488" t="s">
        <v>3934</v>
      </c>
      <c r="C154" s="2489">
        <v>43300</v>
      </c>
    </row>
    <row r="155" spans="1:4" ht="15.6" x14ac:dyDescent="0.3">
      <c r="A155" s="2487" t="s">
        <v>3923</v>
      </c>
      <c r="B155" s="2490" t="s">
        <v>3943</v>
      </c>
      <c r="C155" s="2489">
        <v>44100</v>
      </c>
    </row>
    <row r="156" spans="1:4" ht="15.6" x14ac:dyDescent="0.3">
      <c r="A156" s="2487" t="s">
        <v>3929</v>
      </c>
      <c r="B156" s="2488" t="s">
        <v>3925</v>
      </c>
      <c r="C156" s="2489">
        <v>43300</v>
      </c>
    </row>
    <row r="157" spans="1:4" ht="15.6" x14ac:dyDescent="0.3">
      <c r="A157" s="2487" t="s">
        <v>3929</v>
      </c>
      <c r="B157" s="2488" t="s">
        <v>527</v>
      </c>
      <c r="C157" s="2489">
        <v>43300</v>
      </c>
    </row>
    <row r="158" spans="1:4" ht="15.6" x14ac:dyDescent="0.3">
      <c r="A158" s="2487" t="s">
        <v>3929</v>
      </c>
      <c r="B158" s="2488" t="s">
        <v>748</v>
      </c>
      <c r="C158" s="2489">
        <v>43300</v>
      </c>
    </row>
    <row r="159" spans="1:4" ht="15.6" x14ac:dyDescent="0.3">
      <c r="A159" s="2847" t="s">
        <v>3929</v>
      </c>
      <c r="B159" s="2848" t="s">
        <v>2653</v>
      </c>
      <c r="C159" s="2849"/>
    </row>
    <row r="160" spans="1:4" ht="15.6" x14ac:dyDescent="0.3">
      <c r="A160" s="2487" t="s">
        <v>3929</v>
      </c>
      <c r="B160" s="2488" t="s">
        <v>2828</v>
      </c>
      <c r="C160" s="2489"/>
      <c r="D160" t="s">
        <v>3944</v>
      </c>
    </row>
    <row r="161" spans="1:4" ht="15.6" x14ac:dyDescent="0.3">
      <c r="A161" s="2847" t="s">
        <v>3929</v>
      </c>
      <c r="B161" s="2848" t="s">
        <v>3941</v>
      </c>
      <c r="C161" s="2849"/>
    </row>
    <row r="162" spans="1:4" ht="15.6" x14ac:dyDescent="0.3">
      <c r="A162" s="2487" t="s">
        <v>3929</v>
      </c>
      <c r="B162" s="2488" t="s">
        <v>3945</v>
      </c>
      <c r="C162" s="2489">
        <v>43300</v>
      </c>
    </row>
    <row r="163" spans="1:4" ht="15.6" x14ac:dyDescent="0.3">
      <c r="A163" s="2487" t="s">
        <v>3929</v>
      </c>
      <c r="B163" s="2488" t="s">
        <v>3946</v>
      </c>
      <c r="C163" s="2489">
        <v>40500</v>
      </c>
    </row>
    <row r="164" spans="1:4" ht="15.6" x14ac:dyDescent="0.3">
      <c r="A164" s="2487" t="s">
        <v>3947</v>
      </c>
      <c r="B164" s="2488" t="s">
        <v>489</v>
      </c>
      <c r="C164" s="2489">
        <v>44100</v>
      </c>
    </row>
    <row r="165" spans="1:4" ht="15.6" x14ac:dyDescent="0.3">
      <c r="A165" s="3682" t="s">
        <v>3070</v>
      </c>
      <c r="B165" s="3682"/>
      <c r="C165" s="585">
        <f>SUM(C153:C164)</f>
        <v>345200</v>
      </c>
    </row>
    <row r="167" spans="1:4" x14ac:dyDescent="0.3">
      <c r="A167" s="3683" t="s">
        <v>2857</v>
      </c>
      <c r="B167" s="3683"/>
      <c r="C167" s="3683"/>
    </row>
    <row r="168" spans="1:4" x14ac:dyDescent="0.3">
      <c r="A168" s="3683"/>
      <c r="B168" s="3683"/>
      <c r="C168" s="3683"/>
    </row>
    <row r="169" spans="1:4" ht="15.6" x14ac:dyDescent="0.3">
      <c r="A169" s="2847" t="s">
        <v>3921</v>
      </c>
      <c r="B169" s="2880" t="s">
        <v>3937</v>
      </c>
      <c r="C169" s="2849"/>
    </row>
    <row r="170" spans="1:4" ht="15.6" x14ac:dyDescent="0.3">
      <c r="A170" s="2487" t="s">
        <v>3921</v>
      </c>
      <c r="B170" s="2488" t="s">
        <v>3934</v>
      </c>
      <c r="C170" s="2489">
        <v>43300</v>
      </c>
      <c r="D170">
        <v>5000</v>
      </c>
    </row>
    <row r="171" spans="1:4" ht="15.6" x14ac:dyDescent="0.3">
      <c r="A171" s="2487" t="s">
        <v>3923</v>
      </c>
      <c r="B171" s="2490" t="s">
        <v>3943</v>
      </c>
      <c r="C171" s="2489">
        <v>44100</v>
      </c>
      <c r="D171">
        <v>5000</v>
      </c>
    </row>
    <row r="172" spans="1:4" ht="15.6" x14ac:dyDescent="0.3">
      <c r="A172" s="2487" t="s">
        <v>3929</v>
      </c>
      <c r="B172" s="2488" t="s">
        <v>3925</v>
      </c>
      <c r="C172" s="2489">
        <v>43300</v>
      </c>
    </row>
    <row r="173" spans="1:4" ht="15.6" x14ac:dyDescent="0.3">
      <c r="A173" s="2487" t="s">
        <v>3929</v>
      </c>
      <c r="B173" s="2488" t="s">
        <v>527</v>
      </c>
      <c r="C173" s="2489">
        <v>43300</v>
      </c>
      <c r="D173">
        <v>2000</v>
      </c>
    </row>
    <row r="174" spans="1:4" ht="15.6" x14ac:dyDescent="0.3">
      <c r="A174" s="2487" t="s">
        <v>3929</v>
      </c>
      <c r="B174" s="2488" t="s">
        <v>748</v>
      </c>
      <c r="C174" s="2489">
        <v>43300</v>
      </c>
      <c r="D174">
        <v>5000</v>
      </c>
    </row>
    <row r="175" spans="1:4" ht="15.6" x14ac:dyDescent="0.3">
      <c r="A175" s="2847" t="s">
        <v>3929</v>
      </c>
      <c r="B175" s="2848" t="s">
        <v>2653</v>
      </c>
      <c r="C175" s="2849"/>
    </row>
    <row r="176" spans="1:4" ht="15.6" x14ac:dyDescent="0.3">
      <c r="A176" s="2487" t="s">
        <v>3929</v>
      </c>
      <c r="B176" s="2488" t="s">
        <v>2828</v>
      </c>
      <c r="C176" s="2489">
        <v>43300</v>
      </c>
      <c r="D176">
        <v>5000</v>
      </c>
    </row>
    <row r="177" spans="1:4" ht="15.6" x14ac:dyDescent="0.3">
      <c r="A177" s="2847" t="s">
        <v>3929</v>
      </c>
      <c r="B177" s="2848" t="s">
        <v>3941</v>
      </c>
      <c r="C177" s="2849"/>
    </row>
    <row r="178" spans="1:4" ht="15.6" x14ac:dyDescent="0.3">
      <c r="A178" s="2487" t="s">
        <v>3929</v>
      </c>
      <c r="B178" s="2488" t="s">
        <v>3945</v>
      </c>
      <c r="C178" s="2489">
        <v>43300</v>
      </c>
      <c r="D178">
        <v>5000</v>
      </c>
    </row>
    <row r="179" spans="1:4" ht="15.6" x14ac:dyDescent="0.3">
      <c r="A179" s="3682" t="s">
        <v>3070</v>
      </c>
      <c r="B179" s="3682"/>
      <c r="C179" s="585">
        <f>SUM(C169:C178)</f>
        <v>303900</v>
      </c>
      <c r="D179">
        <f>SUM(D170:D178)</f>
        <v>27000</v>
      </c>
    </row>
  </sheetData>
  <mergeCells count="24">
    <mergeCell ref="A167:C168"/>
    <mergeCell ref="A179:B179"/>
    <mergeCell ref="A7:B7"/>
    <mergeCell ref="A15:B15"/>
    <mergeCell ref="A23:B23"/>
    <mergeCell ref="A31:B31"/>
    <mergeCell ref="A39:B39"/>
    <mergeCell ref="A94:C95"/>
    <mergeCell ref="A149:B149"/>
    <mergeCell ref="A137:C138"/>
    <mergeCell ref="A122:C123"/>
    <mergeCell ref="A51:B51"/>
    <mergeCell ref="A68:C69"/>
    <mergeCell ref="A79:B79"/>
    <mergeCell ref="A53:C54"/>
    <mergeCell ref="A66:B66"/>
    <mergeCell ref="A105:B105"/>
    <mergeCell ref="A81:C82"/>
    <mergeCell ref="A92:B92"/>
    <mergeCell ref="A151:C152"/>
    <mergeCell ref="A165:B165"/>
    <mergeCell ref="A134:B134"/>
    <mergeCell ref="A108:C109"/>
    <mergeCell ref="A119:B119"/>
  </mergeCells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3AED-3BE4-4FE5-9F7C-075D14A2B95F}">
  <dimension ref="B2:G28"/>
  <sheetViews>
    <sheetView topLeftCell="A23" workbookViewId="0">
      <selection activeCell="B4" sqref="B4"/>
    </sheetView>
  </sheetViews>
  <sheetFormatPr baseColWidth="10" defaultColWidth="8.88671875" defaultRowHeight="14.4" x14ac:dyDescent="0.3"/>
  <cols>
    <col min="3" max="3" width="9.5546875" customWidth="1"/>
    <col min="4" max="4" width="66" customWidth="1"/>
    <col min="5" max="5" width="14.88671875" customWidth="1"/>
    <col min="7" max="7" width="11.6640625" customWidth="1"/>
  </cols>
  <sheetData>
    <row r="2" spans="2:7" x14ac:dyDescent="0.3">
      <c r="B2" s="3684" t="s">
        <v>3948</v>
      </c>
      <c r="C2" s="3684"/>
      <c r="D2" s="3684"/>
      <c r="E2" s="3684"/>
      <c r="F2" s="3684"/>
      <c r="G2" s="3684"/>
    </row>
    <row r="3" spans="2:7" x14ac:dyDescent="0.3">
      <c r="B3" s="3684"/>
      <c r="C3" s="3684"/>
      <c r="D3" s="3684"/>
      <c r="E3" s="3684"/>
      <c r="F3" s="3684"/>
      <c r="G3" s="3684"/>
    </row>
    <row r="5" spans="2:7" ht="17.25" customHeight="1" x14ac:dyDescent="0.3">
      <c r="B5" s="3687" t="s">
        <v>3922</v>
      </c>
      <c r="C5" s="3687"/>
      <c r="D5" s="3687"/>
      <c r="E5" s="2197" t="s">
        <v>2978</v>
      </c>
      <c r="F5" s="2198" t="s">
        <v>2979</v>
      </c>
      <c r="G5" s="2198" t="s">
        <v>2985</v>
      </c>
    </row>
    <row r="6" spans="2:7" ht="21.75" customHeight="1" x14ac:dyDescent="0.3">
      <c r="B6" s="2199">
        <v>12474</v>
      </c>
      <c r="C6" s="2200">
        <v>0.1</v>
      </c>
      <c r="D6" s="2180" t="s">
        <v>3949</v>
      </c>
      <c r="E6" s="2181">
        <v>1250000</v>
      </c>
      <c r="F6" s="11"/>
      <c r="G6" s="11"/>
    </row>
    <row r="7" spans="2:7" x14ac:dyDescent="0.3">
      <c r="B7" s="2201">
        <v>12433</v>
      </c>
      <c r="C7" s="2202">
        <v>0.1</v>
      </c>
      <c r="D7" s="2182" t="s">
        <v>3950</v>
      </c>
      <c r="E7" s="2181">
        <v>1200000</v>
      </c>
      <c r="F7" s="11"/>
      <c r="G7" s="11"/>
    </row>
    <row r="8" spans="2:7" x14ac:dyDescent="0.3">
      <c r="B8" s="2201">
        <v>12446</v>
      </c>
      <c r="C8" s="2202">
        <v>0.1</v>
      </c>
      <c r="D8" s="2183" t="s">
        <v>3951</v>
      </c>
      <c r="E8" s="2184">
        <v>1200000</v>
      </c>
      <c r="F8" s="11"/>
      <c r="G8" s="11"/>
    </row>
    <row r="9" spans="2:7" x14ac:dyDescent="0.3">
      <c r="B9" s="2201">
        <v>12469</v>
      </c>
      <c r="C9" s="2203">
        <v>0.1</v>
      </c>
      <c r="D9" s="2185" t="s">
        <v>3952</v>
      </c>
      <c r="E9" s="2186">
        <v>850000</v>
      </c>
      <c r="F9" s="11"/>
      <c r="G9" s="11"/>
    </row>
    <row r="10" spans="2:7" x14ac:dyDescent="0.3">
      <c r="B10" s="2204">
        <v>12480</v>
      </c>
      <c r="C10" s="2202">
        <v>0.1</v>
      </c>
      <c r="D10" s="2187" t="s">
        <v>3953</v>
      </c>
      <c r="E10" s="2188">
        <v>1100000</v>
      </c>
      <c r="F10" s="11"/>
      <c r="G10" s="11"/>
    </row>
    <row r="11" spans="2:7" x14ac:dyDescent="0.3">
      <c r="B11" s="1568">
        <v>12439</v>
      </c>
      <c r="C11" s="2202">
        <v>0.1</v>
      </c>
      <c r="D11" s="2189" t="s">
        <v>3954</v>
      </c>
      <c r="E11" s="2190">
        <v>1350000</v>
      </c>
      <c r="F11" s="11"/>
      <c r="G11" s="11"/>
    </row>
    <row r="12" spans="2:7" x14ac:dyDescent="0.3">
      <c r="B12" s="2205">
        <v>12462</v>
      </c>
      <c r="C12" s="2206">
        <v>0.1</v>
      </c>
      <c r="D12" s="2189" t="s">
        <v>3955</v>
      </c>
      <c r="E12" s="2190">
        <v>1200000</v>
      </c>
      <c r="F12" s="11"/>
      <c r="G12" s="11"/>
    </row>
    <row r="13" spans="2:7" x14ac:dyDescent="0.3">
      <c r="B13" s="2191">
        <v>12495</v>
      </c>
      <c r="C13" s="2192">
        <v>0.1</v>
      </c>
      <c r="D13" s="2193" t="s">
        <v>3956</v>
      </c>
      <c r="E13" s="2194">
        <v>1100000</v>
      </c>
      <c r="F13" s="11"/>
      <c r="G13" s="11"/>
    </row>
    <row r="14" spans="2:7" x14ac:dyDescent="0.3">
      <c r="B14" s="2207">
        <v>12484</v>
      </c>
      <c r="C14" s="2202">
        <v>0.1</v>
      </c>
      <c r="D14" s="2195" t="s">
        <v>3957</v>
      </c>
      <c r="E14" s="2196">
        <v>850000</v>
      </c>
      <c r="F14" s="11"/>
      <c r="G14" s="11"/>
    </row>
    <row r="15" spans="2:7" x14ac:dyDescent="0.3">
      <c r="B15" s="3685" t="s">
        <v>3524</v>
      </c>
      <c r="C15" s="3557"/>
      <c r="D15" s="3686"/>
      <c r="E15" s="2196">
        <f>SUM(E6:E14)</f>
        <v>10100000</v>
      </c>
      <c r="F15" s="11"/>
      <c r="G15" s="11"/>
    </row>
    <row r="17" spans="2:7" x14ac:dyDescent="0.3">
      <c r="B17" s="3684" t="s">
        <v>3062</v>
      </c>
      <c r="C17" s="3684"/>
      <c r="D17" s="3684"/>
      <c r="E17" s="3684"/>
      <c r="F17" s="3684"/>
      <c r="G17" s="3684"/>
    </row>
    <row r="18" spans="2:7" x14ac:dyDescent="0.3">
      <c r="B18" s="3684"/>
      <c r="C18" s="3684"/>
      <c r="D18" s="3684"/>
      <c r="E18" s="3684"/>
      <c r="F18" s="3684"/>
      <c r="G18" s="3684"/>
    </row>
    <row r="21" spans="2:7" ht="15.6" x14ac:dyDescent="0.3">
      <c r="B21" s="3687" t="s">
        <v>3922</v>
      </c>
      <c r="C21" s="3687"/>
      <c r="D21" s="3687"/>
      <c r="E21" s="2197" t="s">
        <v>2978</v>
      </c>
      <c r="F21" s="2198" t="s">
        <v>2979</v>
      </c>
      <c r="G21" s="2198" t="s">
        <v>2985</v>
      </c>
    </row>
    <row r="22" spans="2:7" x14ac:dyDescent="0.3">
      <c r="B22" s="2208"/>
      <c r="C22" s="333"/>
      <c r="D22" s="2209" t="s">
        <v>3958</v>
      </c>
      <c r="E22" s="2130">
        <v>800000</v>
      </c>
      <c r="F22" s="11"/>
      <c r="G22" s="11"/>
    </row>
    <row r="23" spans="2:7" x14ac:dyDescent="0.3">
      <c r="B23" s="2208"/>
      <c r="C23" s="333"/>
      <c r="D23" s="2210" t="s">
        <v>3959</v>
      </c>
      <c r="E23" s="2130">
        <v>1200000</v>
      </c>
      <c r="F23" s="11"/>
      <c r="G23" s="11"/>
    </row>
    <row r="24" spans="2:7" x14ac:dyDescent="0.3">
      <c r="B24" s="2211"/>
      <c r="C24" s="2212"/>
      <c r="D24" s="2213" t="s">
        <v>3960</v>
      </c>
      <c r="E24" s="1628">
        <v>1000000</v>
      </c>
      <c r="F24" s="11"/>
      <c r="G24" s="11"/>
    </row>
    <row r="25" spans="2:7" x14ac:dyDescent="0.3">
      <c r="B25" s="2211"/>
      <c r="C25" s="2212"/>
      <c r="D25" s="2214" t="s">
        <v>3961</v>
      </c>
      <c r="E25" s="1628">
        <v>1100000</v>
      </c>
      <c r="F25" s="11"/>
      <c r="G25" s="11"/>
    </row>
    <row r="26" spans="2:7" x14ac:dyDescent="0.3">
      <c r="B26" s="2215"/>
      <c r="C26" s="2192"/>
      <c r="D26" s="2216" t="s">
        <v>3962</v>
      </c>
      <c r="E26" s="1901">
        <v>1050000</v>
      </c>
      <c r="F26" s="11"/>
      <c r="G26" s="11"/>
    </row>
    <row r="27" spans="2:7" x14ac:dyDescent="0.3">
      <c r="B27" s="2217"/>
      <c r="C27" s="2218"/>
      <c r="D27" s="2219" t="s">
        <v>3963</v>
      </c>
      <c r="E27" s="1945">
        <v>1100000</v>
      </c>
      <c r="F27" s="11"/>
      <c r="G27" s="11"/>
    </row>
    <row r="28" spans="2:7" x14ac:dyDescent="0.3">
      <c r="B28" s="3685" t="s">
        <v>3524</v>
      </c>
      <c r="C28" s="3557"/>
      <c r="D28" s="3686"/>
      <c r="E28" s="1945">
        <f>SUM(E22:E27)</f>
        <v>6250000</v>
      </c>
      <c r="F28" s="11"/>
      <c r="G28" s="11"/>
    </row>
  </sheetData>
  <mergeCells count="6">
    <mergeCell ref="B2:G3"/>
    <mergeCell ref="B15:D15"/>
    <mergeCell ref="B5:D5"/>
    <mergeCell ref="B21:D21"/>
    <mergeCell ref="B28:D28"/>
    <mergeCell ref="B17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36AC-93EC-4BF1-AFDC-1756117E9D13}">
  <dimension ref="A1:B22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53.88671875" customWidth="1"/>
    <col min="2" max="2" width="58.33203125" customWidth="1"/>
  </cols>
  <sheetData>
    <row r="1" spans="1:2" ht="18" x14ac:dyDescent="0.35">
      <c r="A1" s="2108" t="s">
        <v>3964</v>
      </c>
    </row>
    <row r="3" spans="1:2" x14ac:dyDescent="0.3">
      <c r="A3" t="s">
        <v>3965</v>
      </c>
    </row>
    <row r="4" spans="1:2" x14ac:dyDescent="0.3">
      <c r="A4" t="s">
        <v>3966</v>
      </c>
    </row>
    <row r="5" spans="1:2" x14ac:dyDescent="0.3">
      <c r="A5" t="s">
        <v>3967</v>
      </c>
    </row>
    <row r="6" spans="1:2" x14ac:dyDescent="0.3">
      <c r="A6" t="s">
        <v>3968</v>
      </c>
    </row>
    <row r="7" spans="1:2" x14ac:dyDescent="0.3">
      <c r="A7" s="2162" t="s">
        <v>3969</v>
      </c>
    </row>
    <row r="8" spans="1:2" x14ac:dyDescent="0.3">
      <c r="A8" t="s">
        <v>3970</v>
      </c>
    </row>
    <row r="9" spans="1:2" x14ac:dyDescent="0.3">
      <c r="A9" t="s">
        <v>3971</v>
      </c>
    </row>
    <row r="10" spans="1:2" x14ac:dyDescent="0.3">
      <c r="A10" t="s">
        <v>3972</v>
      </c>
    </row>
    <row r="11" spans="1:2" x14ac:dyDescent="0.3">
      <c r="A11" t="s">
        <v>3973</v>
      </c>
    </row>
    <row r="12" spans="1:2" x14ac:dyDescent="0.3">
      <c r="A12" t="s">
        <v>3974</v>
      </c>
    </row>
    <row r="13" spans="1:2" ht="137.25" customHeight="1" x14ac:dyDescent="0.3">
      <c r="A13" t="s">
        <v>3975</v>
      </c>
      <c r="B13" s="2220" t="s">
        <v>3976</v>
      </c>
    </row>
    <row r="14" spans="1:2" x14ac:dyDescent="0.3">
      <c r="A14" t="s">
        <v>3977</v>
      </c>
    </row>
    <row r="15" spans="1:2" x14ac:dyDescent="0.3">
      <c r="A15" t="s">
        <v>3978</v>
      </c>
    </row>
    <row r="16" spans="1:2" x14ac:dyDescent="0.3">
      <c r="A16" t="s">
        <v>3979</v>
      </c>
    </row>
    <row r="17" spans="1:1" x14ac:dyDescent="0.3">
      <c r="A17" t="s">
        <v>3980</v>
      </c>
    </row>
    <row r="18" spans="1:1" x14ac:dyDescent="0.3">
      <c r="A18" t="s">
        <v>3981</v>
      </c>
    </row>
    <row r="19" spans="1:1" x14ac:dyDescent="0.3">
      <c r="A19" t="s">
        <v>3982</v>
      </c>
    </row>
    <row r="20" spans="1:1" x14ac:dyDescent="0.3">
      <c r="A20" t="s">
        <v>3983</v>
      </c>
    </row>
    <row r="21" spans="1:1" x14ac:dyDescent="0.3">
      <c r="A21" t="s">
        <v>3984</v>
      </c>
    </row>
    <row r="22" spans="1:1" x14ac:dyDescent="0.3">
      <c r="A22" t="s">
        <v>3985</v>
      </c>
    </row>
  </sheetData>
  <hyperlinks>
    <hyperlink ref="A7" r:id="rId1" display="maderasilvestreph@gmail.com" xr:uid="{E3E585B7-B947-4345-A2A9-79AEE6E659A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1A5A-2A4B-4CB4-91D8-3272A0004890}">
  <sheetPr>
    <pageSetUpPr fitToPage="1"/>
  </sheetPr>
  <dimension ref="A1:F200"/>
  <sheetViews>
    <sheetView topLeftCell="A24" workbookViewId="0">
      <selection activeCell="G177" sqref="G177"/>
    </sheetView>
  </sheetViews>
  <sheetFormatPr baseColWidth="10" defaultColWidth="8.88671875" defaultRowHeight="14.4" x14ac:dyDescent="0.3"/>
  <cols>
    <col min="1" max="1" width="17.5546875" customWidth="1"/>
    <col min="2" max="2" width="19.88671875" customWidth="1"/>
    <col min="3" max="3" width="33.33203125" customWidth="1"/>
    <col min="4" max="4" width="21.109375" customWidth="1"/>
    <col min="6" max="6" width="32.109375" customWidth="1"/>
  </cols>
  <sheetData>
    <row r="1" spans="1:6" x14ac:dyDescent="0.3">
      <c r="A1" s="3701" t="s">
        <v>3986</v>
      </c>
      <c r="B1" s="3702"/>
      <c r="C1" s="3702"/>
      <c r="D1" s="3702"/>
      <c r="E1" s="3702"/>
      <c r="F1" s="3703"/>
    </row>
    <row r="2" spans="1:6" x14ac:dyDescent="0.3">
      <c r="A2" s="3704"/>
      <c r="B2" s="3705"/>
      <c r="C2" s="3705"/>
      <c r="D2" s="3705"/>
      <c r="E2" s="3705"/>
      <c r="F2" s="3706"/>
    </row>
    <row r="3" spans="1:6" ht="15.6" x14ac:dyDescent="0.3">
      <c r="A3" s="3707" t="s">
        <v>3987</v>
      </c>
      <c r="B3" s="3708"/>
      <c r="C3" s="3708"/>
      <c r="D3" s="3708"/>
      <c r="E3" s="3708"/>
      <c r="F3" s="3709"/>
    </row>
    <row r="4" spans="1:6" x14ac:dyDescent="0.3">
      <c r="A4" s="220" t="s">
        <v>3988</v>
      </c>
      <c r="B4" s="1783" t="s">
        <v>3988</v>
      </c>
      <c r="C4" s="1783" t="s">
        <v>3988</v>
      </c>
      <c r="D4" s="1783" t="s">
        <v>3988</v>
      </c>
      <c r="E4" s="1783" t="s">
        <v>3988</v>
      </c>
      <c r="F4" s="1785" t="s">
        <v>3988</v>
      </c>
    </row>
    <row r="5" spans="1:6" x14ac:dyDescent="0.3">
      <c r="A5" s="3690" t="s">
        <v>3989</v>
      </c>
      <c r="B5" s="3691"/>
      <c r="C5" s="3692"/>
      <c r="D5" s="3693" t="s">
        <v>3990</v>
      </c>
      <c r="E5" s="3693"/>
      <c r="F5" s="3710"/>
    </row>
    <row r="6" spans="1:6" x14ac:dyDescent="0.3">
      <c r="A6" s="3690" t="s">
        <v>3991</v>
      </c>
      <c r="B6" s="3691"/>
      <c r="C6" s="3692"/>
      <c r="D6" s="3693" t="s">
        <v>3992</v>
      </c>
      <c r="E6" s="3693"/>
      <c r="F6" s="3710"/>
    </row>
    <row r="7" spans="1:6" x14ac:dyDescent="0.3">
      <c r="A7" s="3690" t="s">
        <v>3993</v>
      </c>
      <c r="B7" s="3691"/>
      <c r="C7" s="3692"/>
      <c r="D7" s="3693" t="s">
        <v>3994</v>
      </c>
      <c r="E7" s="3694"/>
      <c r="F7" s="221">
        <v>50000</v>
      </c>
    </row>
    <row r="8" spans="1:6" x14ac:dyDescent="0.3">
      <c r="A8" s="222" t="s">
        <v>3988</v>
      </c>
      <c r="B8" s="223"/>
      <c r="C8" s="223"/>
      <c r="D8" s="1783" t="s">
        <v>3988</v>
      </c>
      <c r="E8" s="223"/>
      <c r="F8" s="224" t="s">
        <v>3988</v>
      </c>
    </row>
    <row r="9" spans="1:6" x14ac:dyDescent="0.3">
      <c r="A9" s="225" t="s">
        <v>3995</v>
      </c>
      <c r="B9" s="226" t="s">
        <v>3996</v>
      </c>
      <c r="C9" s="226" t="s">
        <v>3997</v>
      </c>
      <c r="D9" s="226" t="s">
        <v>3998</v>
      </c>
      <c r="E9" s="226" t="s">
        <v>3932</v>
      </c>
      <c r="F9" s="227" t="s">
        <v>2983</v>
      </c>
    </row>
    <row r="10" spans="1:6" x14ac:dyDescent="0.3">
      <c r="A10" s="212" t="s">
        <v>3999</v>
      </c>
      <c r="B10" s="213" t="s">
        <v>4000</v>
      </c>
      <c r="C10" s="213" t="s">
        <v>4001</v>
      </c>
      <c r="D10" s="214" t="s">
        <v>4002</v>
      </c>
      <c r="E10" s="215">
        <v>4000</v>
      </c>
      <c r="F10" s="213"/>
    </row>
    <row r="11" spans="1:6" x14ac:dyDescent="0.3">
      <c r="A11" s="216" t="s">
        <v>4003</v>
      </c>
      <c r="B11" s="217" t="s">
        <v>4004</v>
      </c>
      <c r="C11" s="217" t="s">
        <v>4005</v>
      </c>
      <c r="D11" s="218" t="s">
        <v>4002</v>
      </c>
      <c r="E11" s="219">
        <v>3000</v>
      </c>
      <c r="F11" s="217"/>
    </row>
    <row r="12" spans="1:6" x14ac:dyDescent="0.3">
      <c r="A12" s="216" t="s">
        <v>4006</v>
      </c>
      <c r="B12" s="219" t="s">
        <v>4007</v>
      </c>
      <c r="C12" s="219" t="s">
        <v>4008</v>
      </c>
      <c r="D12" s="218" t="s">
        <v>4009</v>
      </c>
      <c r="E12" s="219">
        <v>4500</v>
      </c>
      <c r="F12" s="217" t="s">
        <v>3988</v>
      </c>
    </row>
    <row r="13" spans="1:6" ht="28.2" x14ac:dyDescent="0.3">
      <c r="A13" s="216" t="s">
        <v>4010</v>
      </c>
      <c r="B13" s="219" t="s">
        <v>4011</v>
      </c>
      <c r="C13" s="219" t="s">
        <v>4012</v>
      </c>
      <c r="D13" s="218" t="s">
        <v>4002</v>
      </c>
      <c r="E13" s="219">
        <v>4000</v>
      </c>
      <c r="F13" s="217" t="s">
        <v>3988</v>
      </c>
    </row>
    <row r="14" spans="1:6" ht="28.2" x14ac:dyDescent="0.3">
      <c r="A14" s="216" t="s">
        <v>4013</v>
      </c>
      <c r="B14" s="219">
        <v>32226637</v>
      </c>
      <c r="C14" s="219" t="s">
        <v>4014</v>
      </c>
      <c r="D14" s="218" t="s">
        <v>4015</v>
      </c>
      <c r="E14" s="219">
        <v>4500</v>
      </c>
      <c r="F14" s="217"/>
    </row>
    <row r="15" spans="1:6" ht="28.2" x14ac:dyDescent="0.3">
      <c r="A15" s="216" t="s">
        <v>4016</v>
      </c>
      <c r="B15" s="219">
        <v>32226637</v>
      </c>
      <c r="C15" s="219" t="s">
        <v>4017</v>
      </c>
      <c r="D15" s="218" t="s">
        <v>4018</v>
      </c>
      <c r="E15" s="219">
        <v>4200</v>
      </c>
      <c r="F15" s="217"/>
    </row>
    <row r="16" spans="1:6" ht="28.2" x14ac:dyDescent="0.3">
      <c r="A16" s="216" t="s">
        <v>4019</v>
      </c>
      <c r="B16" s="219">
        <v>1017271064</v>
      </c>
      <c r="C16" s="219" t="s">
        <v>4020</v>
      </c>
      <c r="D16" s="218" t="s">
        <v>4021</v>
      </c>
      <c r="E16" s="219">
        <v>25000</v>
      </c>
      <c r="F16" s="217"/>
    </row>
    <row r="17" spans="1:6" x14ac:dyDescent="0.3">
      <c r="A17" s="216" t="s">
        <v>3988</v>
      </c>
      <c r="B17" s="217" t="s">
        <v>3988</v>
      </c>
      <c r="C17" s="217" t="s">
        <v>3988</v>
      </c>
      <c r="D17" s="217" t="s">
        <v>3988</v>
      </c>
      <c r="E17" s="219" t="s">
        <v>3988</v>
      </c>
      <c r="F17" s="217" t="s">
        <v>3988</v>
      </c>
    </row>
    <row r="18" spans="1:6" x14ac:dyDescent="0.3">
      <c r="A18" s="3695" t="s">
        <v>4022</v>
      </c>
      <c r="B18" s="3696"/>
      <c r="C18" s="3696"/>
      <c r="D18" s="3697"/>
      <c r="E18" s="1784">
        <f>SUM(E10:E17)</f>
        <v>49200</v>
      </c>
      <c r="F18" s="1785" t="s">
        <v>3988</v>
      </c>
    </row>
    <row r="19" spans="1:6" x14ac:dyDescent="0.3">
      <c r="A19" s="3695" t="s">
        <v>4023</v>
      </c>
      <c r="B19" s="3696"/>
      <c r="C19" s="3696"/>
      <c r="D19" s="3697"/>
      <c r="E19" s="1782">
        <f>F7-E18</f>
        <v>800</v>
      </c>
      <c r="F19" s="1785" t="s">
        <v>3988</v>
      </c>
    </row>
    <row r="20" spans="1:6" x14ac:dyDescent="0.3">
      <c r="A20" s="222" t="s">
        <v>3988</v>
      </c>
      <c r="B20" s="223"/>
      <c r="C20" s="223"/>
      <c r="D20" s="223"/>
      <c r="E20" s="223"/>
      <c r="F20" s="224" t="s">
        <v>3988</v>
      </c>
    </row>
    <row r="21" spans="1:6" x14ac:dyDescent="0.3">
      <c r="A21" s="222" t="s">
        <v>3988</v>
      </c>
      <c r="B21" s="223"/>
      <c r="C21" s="223"/>
      <c r="D21" s="838" t="s">
        <v>4024</v>
      </c>
      <c r="E21" s="223"/>
      <c r="F21" s="224" t="s">
        <v>3988</v>
      </c>
    </row>
    <row r="22" spans="1:6" x14ac:dyDescent="0.3">
      <c r="A22" s="222" t="s">
        <v>3988</v>
      </c>
      <c r="B22" s="223"/>
      <c r="C22" s="223"/>
      <c r="D22" s="223"/>
      <c r="E22" s="223"/>
      <c r="F22" s="224" t="s">
        <v>3988</v>
      </c>
    </row>
    <row r="23" spans="1:6" x14ac:dyDescent="0.3">
      <c r="A23" s="222" t="s">
        <v>3988</v>
      </c>
      <c r="B23" s="223"/>
      <c r="C23" s="223"/>
      <c r="D23" s="1783" t="s">
        <v>3988</v>
      </c>
      <c r="E23" s="223"/>
      <c r="F23" s="224" t="s">
        <v>3988</v>
      </c>
    </row>
    <row r="24" spans="1:6" x14ac:dyDescent="0.3">
      <c r="A24" s="3698" t="s">
        <v>4025</v>
      </c>
      <c r="B24" s="3688"/>
      <c r="C24" s="3688"/>
      <c r="D24" s="223"/>
      <c r="E24" s="3699" t="s">
        <v>3988</v>
      </c>
      <c r="F24" s="3700"/>
    </row>
    <row r="25" spans="1:6" x14ac:dyDescent="0.3">
      <c r="A25" s="222" t="s">
        <v>3988</v>
      </c>
      <c r="B25" s="223"/>
      <c r="C25" s="223"/>
      <c r="D25" s="223"/>
      <c r="E25" s="223"/>
      <c r="F25" s="224" t="s">
        <v>3988</v>
      </c>
    </row>
    <row r="26" spans="1:6" x14ac:dyDescent="0.3">
      <c r="A26" s="220" t="s">
        <v>3988</v>
      </c>
      <c r="B26" s="1783" t="s">
        <v>3988</v>
      </c>
      <c r="C26" s="1783" t="s">
        <v>3988</v>
      </c>
      <c r="D26" s="223"/>
      <c r="E26" s="3688" t="s">
        <v>3988</v>
      </c>
      <c r="F26" s="3689"/>
    </row>
    <row r="27" spans="1:6" x14ac:dyDescent="0.3">
      <c r="A27" s="228" t="s">
        <v>3988</v>
      </c>
      <c r="B27" s="229" t="s">
        <v>3988</v>
      </c>
      <c r="C27" s="229" t="s">
        <v>3988</v>
      </c>
      <c r="D27" s="229" t="s">
        <v>3988</v>
      </c>
      <c r="E27" s="229" t="s">
        <v>3988</v>
      </c>
      <c r="F27" s="230" t="s">
        <v>3988</v>
      </c>
    </row>
    <row r="30" spans="1:6" x14ac:dyDescent="0.3">
      <c r="A30" s="3701" t="s">
        <v>3986</v>
      </c>
      <c r="B30" s="3702"/>
      <c r="C30" s="3702"/>
      <c r="D30" s="3702"/>
      <c r="E30" s="3702"/>
      <c r="F30" s="3703"/>
    </row>
    <row r="31" spans="1:6" x14ac:dyDescent="0.3">
      <c r="A31" s="3704"/>
      <c r="B31" s="3705"/>
      <c r="C31" s="3705"/>
      <c r="D31" s="3705"/>
      <c r="E31" s="3705"/>
      <c r="F31" s="3706"/>
    </row>
    <row r="32" spans="1:6" ht="15.6" x14ac:dyDescent="0.3">
      <c r="A32" s="3707" t="s">
        <v>3987</v>
      </c>
      <c r="B32" s="3708"/>
      <c r="C32" s="3708"/>
      <c r="D32" s="3708"/>
      <c r="E32" s="3708"/>
      <c r="F32" s="3709"/>
    </row>
    <row r="33" spans="1:6" x14ac:dyDescent="0.3">
      <c r="A33" s="220" t="s">
        <v>3988</v>
      </c>
      <c r="B33" s="1783" t="s">
        <v>3988</v>
      </c>
      <c r="C33" s="1783" t="s">
        <v>3988</v>
      </c>
      <c r="D33" s="1783" t="s">
        <v>3988</v>
      </c>
      <c r="E33" s="1783" t="s">
        <v>3988</v>
      </c>
      <c r="F33" s="1785" t="s">
        <v>3988</v>
      </c>
    </row>
    <row r="34" spans="1:6" x14ac:dyDescent="0.3">
      <c r="A34" s="3690" t="s">
        <v>3989</v>
      </c>
      <c r="B34" s="3691"/>
      <c r="C34" s="3692"/>
      <c r="D34" s="3693" t="s">
        <v>3990</v>
      </c>
      <c r="E34" s="3693"/>
      <c r="F34" s="3710"/>
    </row>
    <row r="35" spans="1:6" x14ac:dyDescent="0.3">
      <c r="A35" s="3690" t="s">
        <v>3991</v>
      </c>
      <c r="B35" s="3691"/>
      <c r="C35" s="3692"/>
      <c r="D35" s="3693" t="s">
        <v>3992</v>
      </c>
      <c r="E35" s="3693"/>
      <c r="F35" s="3710"/>
    </row>
    <row r="36" spans="1:6" x14ac:dyDescent="0.3">
      <c r="A36" s="3690" t="s">
        <v>4026</v>
      </c>
      <c r="B36" s="3691"/>
      <c r="C36" s="3692"/>
      <c r="D36" s="3693" t="s">
        <v>3994</v>
      </c>
      <c r="E36" s="3694"/>
      <c r="F36" s="221">
        <v>50000</v>
      </c>
    </row>
    <row r="37" spans="1:6" x14ac:dyDescent="0.3">
      <c r="A37" s="222" t="s">
        <v>3988</v>
      </c>
      <c r="B37" s="223"/>
      <c r="C37" s="223"/>
      <c r="D37" s="1783" t="s">
        <v>3988</v>
      </c>
      <c r="E37" s="223"/>
      <c r="F37" s="224" t="s">
        <v>3988</v>
      </c>
    </row>
    <row r="38" spans="1:6" x14ac:dyDescent="0.3">
      <c r="A38" s="225" t="s">
        <v>3995</v>
      </c>
      <c r="B38" s="226" t="s">
        <v>3996</v>
      </c>
      <c r="C38" s="226" t="s">
        <v>3997</v>
      </c>
      <c r="D38" s="226" t="s">
        <v>3998</v>
      </c>
      <c r="E38" s="226" t="s">
        <v>3932</v>
      </c>
      <c r="F38" s="227" t="s">
        <v>2983</v>
      </c>
    </row>
    <row r="39" spans="1:6" x14ac:dyDescent="0.3">
      <c r="A39" s="212" t="s">
        <v>4027</v>
      </c>
      <c r="B39" s="213" t="s">
        <v>4028</v>
      </c>
      <c r="C39" s="213" t="s">
        <v>4029</v>
      </c>
      <c r="D39" s="214" t="s">
        <v>4030</v>
      </c>
      <c r="E39" s="215">
        <v>6000</v>
      </c>
      <c r="F39" s="213" t="s">
        <v>4031</v>
      </c>
    </row>
    <row r="40" spans="1:6" x14ac:dyDescent="0.3">
      <c r="A40" s="216" t="s">
        <v>264</v>
      </c>
      <c r="B40" s="217" t="s">
        <v>4032</v>
      </c>
      <c r="C40" s="217" t="s">
        <v>4033</v>
      </c>
      <c r="D40" s="218" t="s">
        <v>4034</v>
      </c>
      <c r="E40" s="219">
        <v>12000</v>
      </c>
      <c r="F40" s="217" t="s">
        <v>4035</v>
      </c>
    </row>
    <row r="41" spans="1:6" x14ac:dyDescent="0.3">
      <c r="A41" s="216" t="s">
        <v>264</v>
      </c>
      <c r="B41" s="219" t="s">
        <v>4036</v>
      </c>
      <c r="C41" s="219" t="s">
        <v>4037</v>
      </c>
      <c r="D41" s="218" t="s">
        <v>4030</v>
      </c>
      <c r="E41" s="219">
        <v>4500</v>
      </c>
      <c r="F41" s="217" t="s">
        <v>4031</v>
      </c>
    </row>
    <row r="42" spans="1:6" x14ac:dyDescent="0.3">
      <c r="A42" s="216" t="s">
        <v>4038</v>
      </c>
      <c r="B42" s="219" t="s">
        <v>4039</v>
      </c>
      <c r="C42" s="219" t="s">
        <v>4040</v>
      </c>
      <c r="D42" s="218" t="s">
        <v>4041</v>
      </c>
      <c r="E42" s="219">
        <v>1600</v>
      </c>
      <c r="F42" s="217" t="s">
        <v>4041</v>
      </c>
    </row>
    <row r="43" spans="1:6" ht="28.2" x14ac:dyDescent="0.3">
      <c r="A43" s="216" t="s">
        <v>267</v>
      </c>
      <c r="B43" s="700">
        <v>32226637</v>
      </c>
      <c r="C43" s="219" t="s">
        <v>4017</v>
      </c>
      <c r="D43" s="218" t="s">
        <v>4042</v>
      </c>
      <c r="E43" s="219">
        <v>2200</v>
      </c>
      <c r="F43" s="217"/>
    </row>
    <row r="44" spans="1:6" x14ac:dyDescent="0.3">
      <c r="A44" s="216" t="s">
        <v>4043</v>
      </c>
      <c r="B44" s="219" t="s">
        <v>4044</v>
      </c>
      <c r="C44" s="219" t="s">
        <v>4045</v>
      </c>
      <c r="D44" s="218" t="s">
        <v>4030</v>
      </c>
      <c r="E44" s="219">
        <v>4000</v>
      </c>
      <c r="F44" s="217" t="s">
        <v>4046</v>
      </c>
    </row>
    <row r="45" spans="1:6" ht="28.2" x14ac:dyDescent="0.3">
      <c r="A45" s="216" t="s">
        <v>376</v>
      </c>
      <c r="B45" s="738" t="s">
        <v>4047</v>
      </c>
      <c r="C45" s="738" t="s">
        <v>4048</v>
      </c>
      <c r="D45" s="739" t="s">
        <v>4049</v>
      </c>
      <c r="E45" s="738">
        <v>2000</v>
      </c>
      <c r="F45" s="217" t="s">
        <v>4049</v>
      </c>
    </row>
    <row r="46" spans="1:6" ht="28.2" x14ac:dyDescent="0.3">
      <c r="A46" s="737" t="s">
        <v>376</v>
      </c>
      <c r="B46" s="734" t="s">
        <v>4047</v>
      </c>
      <c r="C46" s="735" t="s">
        <v>4050</v>
      </c>
      <c r="D46" s="735" t="s">
        <v>4041</v>
      </c>
      <c r="E46" s="734">
        <v>1000</v>
      </c>
      <c r="F46" s="217" t="s">
        <v>4051</v>
      </c>
    </row>
    <row r="47" spans="1:6" ht="28.2" x14ac:dyDescent="0.3">
      <c r="A47" s="801" t="s">
        <v>456</v>
      </c>
      <c r="B47" s="802" t="s">
        <v>4028</v>
      </c>
      <c r="C47" s="802" t="s">
        <v>4029</v>
      </c>
      <c r="D47" s="803" t="s">
        <v>4052</v>
      </c>
      <c r="E47" s="802">
        <v>4000</v>
      </c>
      <c r="F47" s="804" t="s">
        <v>4053</v>
      </c>
    </row>
    <row r="48" spans="1:6" ht="28.2" x14ac:dyDescent="0.3">
      <c r="A48" s="734" t="s">
        <v>4054</v>
      </c>
      <c r="B48" s="734" t="s">
        <v>4055</v>
      </c>
      <c r="C48" s="734" t="s">
        <v>4056</v>
      </c>
      <c r="D48" s="736" t="s">
        <v>4057</v>
      </c>
      <c r="E48" s="734">
        <v>3651</v>
      </c>
      <c r="F48" s="800"/>
    </row>
    <row r="49" spans="1:6" ht="28.2" x14ac:dyDescent="0.3">
      <c r="A49" s="734" t="s">
        <v>528</v>
      </c>
      <c r="B49" s="837">
        <v>32226637</v>
      </c>
      <c r="C49" s="837" t="s">
        <v>4017</v>
      </c>
      <c r="D49" s="736" t="s">
        <v>4058</v>
      </c>
      <c r="E49" s="734">
        <v>5900</v>
      </c>
      <c r="F49" s="800"/>
    </row>
    <row r="50" spans="1:6" x14ac:dyDescent="0.3">
      <c r="A50" s="734"/>
      <c r="B50" s="800"/>
      <c r="C50" s="800"/>
      <c r="D50" s="800"/>
      <c r="E50" s="734"/>
      <c r="F50" s="800" t="s">
        <v>3988</v>
      </c>
    </row>
    <row r="51" spans="1:6" x14ac:dyDescent="0.3">
      <c r="A51" s="3695" t="s">
        <v>4022</v>
      </c>
      <c r="B51" s="3696"/>
      <c r="C51" s="3696"/>
      <c r="D51" s="3697"/>
      <c r="E51" s="1784">
        <f>SUM(E39:E50)</f>
        <v>46851</v>
      </c>
      <c r="F51" s="1785" t="s">
        <v>3988</v>
      </c>
    </row>
    <row r="52" spans="1:6" x14ac:dyDescent="0.3">
      <c r="A52" s="3695" t="s">
        <v>4023</v>
      </c>
      <c r="B52" s="3696"/>
      <c r="C52" s="3696"/>
      <c r="D52" s="3697"/>
      <c r="E52" s="1782">
        <f>F36-E51</f>
        <v>3149</v>
      </c>
      <c r="F52" s="1785" t="s">
        <v>3988</v>
      </c>
    </row>
    <row r="53" spans="1:6" x14ac:dyDescent="0.3">
      <c r="A53" s="222" t="s">
        <v>3988</v>
      </c>
      <c r="B53" s="223"/>
      <c r="C53" s="223"/>
      <c r="D53" s="223"/>
      <c r="E53" s="223"/>
      <c r="F53" s="224" t="s">
        <v>3988</v>
      </c>
    </row>
    <row r="54" spans="1:6" x14ac:dyDescent="0.3">
      <c r="A54" s="222" t="s">
        <v>3988</v>
      </c>
      <c r="B54" s="223"/>
      <c r="C54" s="223"/>
      <c r="D54" s="838" t="s">
        <v>4024</v>
      </c>
      <c r="E54" s="223"/>
      <c r="F54" s="224" t="s">
        <v>3988</v>
      </c>
    </row>
    <row r="55" spans="1:6" x14ac:dyDescent="0.3">
      <c r="A55" s="222" t="s">
        <v>3988</v>
      </c>
      <c r="B55" s="223"/>
      <c r="C55" s="223"/>
      <c r="D55" s="223"/>
      <c r="E55" s="223"/>
      <c r="F55" s="224" t="s">
        <v>3988</v>
      </c>
    </row>
    <row r="56" spans="1:6" x14ac:dyDescent="0.3">
      <c r="A56" s="222" t="s">
        <v>3988</v>
      </c>
      <c r="B56" s="223"/>
      <c r="C56" s="223"/>
      <c r="D56" s="1783" t="s">
        <v>3988</v>
      </c>
      <c r="E56" s="223"/>
      <c r="F56" s="224" t="s">
        <v>3988</v>
      </c>
    </row>
    <row r="57" spans="1:6" x14ac:dyDescent="0.3">
      <c r="A57" s="3698" t="s">
        <v>4025</v>
      </c>
      <c r="B57" s="3688"/>
      <c r="C57" s="3688"/>
      <c r="D57" s="223"/>
      <c r="E57" s="3699" t="s">
        <v>3988</v>
      </c>
      <c r="F57" s="3700"/>
    </row>
    <row r="58" spans="1:6" x14ac:dyDescent="0.3">
      <c r="A58" s="222" t="s">
        <v>3988</v>
      </c>
      <c r="B58" s="223"/>
      <c r="C58" s="223"/>
      <c r="D58" s="223"/>
      <c r="E58" s="223"/>
      <c r="F58" s="224" t="s">
        <v>3988</v>
      </c>
    </row>
    <row r="59" spans="1:6" x14ac:dyDescent="0.3">
      <c r="A59" s="220" t="s">
        <v>3988</v>
      </c>
      <c r="B59" s="1783" t="s">
        <v>3988</v>
      </c>
      <c r="C59" s="1783" t="s">
        <v>3988</v>
      </c>
      <c r="D59" s="223"/>
      <c r="E59" s="3688" t="s">
        <v>3988</v>
      </c>
      <c r="F59" s="3689"/>
    </row>
    <row r="60" spans="1:6" x14ac:dyDescent="0.3">
      <c r="A60" s="228" t="s">
        <v>3988</v>
      </c>
      <c r="B60" s="229" t="s">
        <v>3988</v>
      </c>
      <c r="C60" s="229" t="s">
        <v>3988</v>
      </c>
      <c r="D60" s="229" t="s">
        <v>3988</v>
      </c>
      <c r="E60" s="229" t="s">
        <v>3988</v>
      </c>
      <c r="F60" s="230" t="s">
        <v>3988</v>
      </c>
    </row>
    <row r="63" spans="1:6" x14ac:dyDescent="0.3">
      <c r="A63" s="3701" t="s">
        <v>3986</v>
      </c>
      <c r="B63" s="3702"/>
      <c r="C63" s="3702"/>
      <c r="D63" s="3702"/>
      <c r="E63" s="3702"/>
      <c r="F63" s="3703"/>
    </row>
    <row r="64" spans="1:6" x14ac:dyDescent="0.3">
      <c r="A64" s="3704"/>
      <c r="B64" s="3705"/>
      <c r="C64" s="3705"/>
      <c r="D64" s="3705"/>
      <c r="E64" s="3705"/>
      <c r="F64" s="3706"/>
    </row>
    <row r="65" spans="1:6" ht="15.6" x14ac:dyDescent="0.3">
      <c r="A65" s="3707" t="s">
        <v>3987</v>
      </c>
      <c r="B65" s="3708"/>
      <c r="C65" s="3708"/>
      <c r="D65" s="3708"/>
      <c r="E65" s="3708"/>
      <c r="F65" s="3709"/>
    </row>
    <row r="66" spans="1:6" x14ac:dyDescent="0.3">
      <c r="A66" s="220" t="s">
        <v>3988</v>
      </c>
      <c r="B66" s="1783" t="s">
        <v>3988</v>
      </c>
      <c r="C66" s="1783" t="s">
        <v>3988</v>
      </c>
      <c r="D66" s="1783" t="s">
        <v>3988</v>
      </c>
      <c r="E66" s="1783" t="s">
        <v>3988</v>
      </c>
      <c r="F66" s="1785" t="s">
        <v>3988</v>
      </c>
    </row>
    <row r="67" spans="1:6" x14ac:dyDescent="0.3">
      <c r="A67" s="3690" t="s">
        <v>3989</v>
      </c>
      <c r="B67" s="3691"/>
      <c r="C67" s="3692"/>
      <c r="D67" s="3693" t="s">
        <v>3990</v>
      </c>
      <c r="E67" s="3693"/>
      <c r="F67" s="3710"/>
    </row>
    <row r="68" spans="1:6" x14ac:dyDescent="0.3">
      <c r="A68" s="3690" t="s">
        <v>3991</v>
      </c>
      <c r="B68" s="3691"/>
      <c r="C68" s="3692"/>
      <c r="D68" s="3693" t="s">
        <v>3992</v>
      </c>
      <c r="E68" s="3693"/>
      <c r="F68" s="3710"/>
    </row>
    <row r="69" spans="1:6" x14ac:dyDescent="0.3">
      <c r="A69" s="3690" t="s">
        <v>4059</v>
      </c>
      <c r="B69" s="3691"/>
      <c r="C69" s="3692"/>
      <c r="D69" s="3693" t="s">
        <v>3994</v>
      </c>
      <c r="E69" s="3694"/>
      <c r="F69" s="221">
        <v>50000</v>
      </c>
    </row>
    <row r="70" spans="1:6" x14ac:dyDescent="0.3">
      <c r="A70" s="222" t="s">
        <v>3988</v>
      </c>
      <c r="B70" s="223"/>
      <c r="C70" s="223"/>
      <c r="D70" s="1783" t="s">
        <v>3988</v>
      </c>
      <c r="E70" s="223"/>
      <c r="F70" s="224" t="s">
        <v>3988</v>
      </c>
    </row>
    <row r="71" spans="1:6" x14ac:dyDescent="0.3">
      <c r="A71" s="225" t="s">
        <v>3995</v>
      </c>
      <c r="B71" s="226" t="s">
        <v>3996</v>
      </c>
      <c r="C71" s="226" t="s">
        <v>3997</v>
      </c>
      <c r="D71" s="226" t="s">
        <v>3998</v>
      </c>
      <c r="E71" s="226" t="s">
        <v>3932</v>
      </c>
      <c r="F71" s="227" t="s">
        <v>2983</v>
      </c>
    </row>
    <row r="72" spans="1:6" x14ac:dyDescent="0.3">
      <c r="A72" s="212" t="s">
        <v>661</v>
      </c>
      <c r="B72" s="1421" t="s">
        <v>4028</v>
      </c>
      <c r="C72" s="213" t="s">
        <v>4029</v>
      </c>
      <c r="D72" s="214" t="s">
        <v>4030</v>
      </c>
      <c r="E72" s="215">
        <v>2500</v>
      </c>
      <c r="F72" s="213" t="s">
        <v>4060</v>
      </c>
    </row>
    <row r="73" spans="1:6" ht="28.2" x14ac:dyDescent="0.3">
      <c r="A73" s="216" t="s">
        <v>4061</v>
      </c>
      <c r="B73" s="1422" t="s">
        <v>4007</v>
      </c>
      <c r="C73" s="217" t="s">
        <v>4062</v>
      </c>
      <c r="D73" s="739" t="s">
        <v>4052</v>
      </c>
      <c r="E73" s="219">
        <v>6000</v>
      </c>
      <c r="F73" s="217" t="s">
        <v>4063</v>
      </c>
    </row>
    <row r="74" spans="1:6" ht="28.2" x14ac:dyDescent="0.3">
      <c r="A74" s="216" t="s">
        <v>4064</v>
      </c>
      <c r="B74" s="1422" t="s">
        <v>4065</v>
      </c>
      <c r="C74" s="1419" t="s">
        <v>4049</v>
      </c>
      <c r="D74" s="735" t="s">
        <v>4066</v>
      </c>
      <c r="E74" s="219">
        <v>2800</v>
      </c>
      <c r="F74" s="217"/>
    </row>
    <row r="75" spans="1:6" ht="28.2" x14ac:dyDescent="0.3">
      <c r="A75" s="216" t="s">
        <v>574</v>
      </c>
      <c r="B75" s="700">
        <v>32226637</v>
      </c>
      <c r="C75" s="1420" t="s">
        <v>4017</v>
      </c>
      <c r="D75" s="736" t="s">
        <v>4067</v>
      </c>
      <c r="E75" s="219">
        <v>2400</v>
      </c>
      <c r="F75" s="217"/>
    </row>
    <row r="76" spans="1:6" x14ac:dyDescent="0.3">
      <c r="A76" s="216" t="s">
        <v>4068</v>
      </c>
      <c r="B76" s="1421" t="s">
        <v>4028</v>
      </c>
      <c r="C76" s="213" t="s">
        <v>4029</v>
      </c>
      <c r="D76" s="218" t="s">
        <v>4030</v>
      </c>
      <c r="E76" s="215">
        <v>4000</v>
      </c>
      <c r="F76" s="213" t="s">
        <v>4046</v>
      </c>
    </row>
    <row r="77" spans="1:6" ht="28.2" x14ac:dyDescent="0.3">
      <c r="A77" s="216" t="s">
        <v>4069</v>
      </c>
      <c r="B77" s="1422">
        <v>1035422600</v>
      </c>
      <c r="C77" s="217" t="s">
        <v>4070</v>
      </c>
      <c r="D77" s="218" t="s">
        <v>4052</v>
      </c>
      <c r="E77" s="219">
        <v>4000</v>
      </c>
      <c r="F77" s="217" t="s">
        <v>4046</v>
      </c>
    </row>
    <row r="78" spans="1:6" ht="28.2" x14ac:dyDescent="0.3">
      <c r="A78" s="216" t="s">
        <v>964</v>
      </c>
      <c r="B78" s="1422" t="s">
        <v>4071</v>
      </c>
      <c r="C78" s="217" t="s">
        <v>4072</v>
      </c>
      <c r="D78" s="218" t="s">
        <v>4073</v>
      </c>
      <c r="E78" s="219">
        <v>2000</v>
      </c>
      <c r="F78" s="217" t="s">
        <v>4060</v>
      </c>
    </row>
    <row r="79" spans="1:6" ht="28.2" x14ac:dyDescent="0.3">
      <c r="A79" s="216" t="s">
        <v>810</v>
      </c>
      <c r="B79" s="1422" t="s">
        <v>4074</v>
      </c>
      <c r="C79" s="217" t="s">
        <v>4075</v>
      </c>
      <c r="D79" s="218" t="s">
        <v>4052</v>
      </c>
      <c r="E79" s="219">
        <v>8000</v>
      </c>
      <c r="F79" s="217" t="s">
        <v>4076</v>
      </c>
    </row>
    <row r="80" spans="1:6" ht="28.2" x14ac:dyDescent="0.3">
      <c r="A80" s="216" t="s">
        <v>949</v>
      </c>
      <c r="B80" s="700" t="s">
        <v>4077</v>
      </c>
      <c r="C80" s="219" t="s">
        <v>4078</v>
      </c>
      <c r="D80" s="218" t="s">
        <v>4073</v>
      </c>
      <c r="E80" s="219">
        <v>2500</v>
      </c>
      <c r="F80" s="217" t="s">
        <v>4060</v>
      </c>
    </row>
    <row r="81" spans="1:6" ht="28.2" x14ac:dyDescent="0.3">
      <c r="A81" s="216" t="s">
        <v>4079</v>
      </c>
      <c r="B81" s="700" t="s">
        <v>4077</v>
      </c>
      <c r="C81" s="219" t="s">
        <v>4078</v>
      </c>
      <c r="D81" s="218" t="s">
        <v>4073</v>
      </c>
      <c r="E81" s="219">
        <v>2500</v>
      </c>
      <c r="F81" s="217" t="s">
        <v>4060</v>
      </c>
    </row>
    <row r="82" spans="1:6" ht="28.2" x14ac:dyDescent="0.3">
      <c r="A82" s="216" t="s">
        <v>1015</v>
      </c>
      <c r="B82" s="700" t="s">
        <v>4080</v>
      </c>
      <c r="C82" s="219" t="s">
        <v>4081</v>
      </c>
      <c r="D82" s="218" t="s">
        <v>4073</v>
      </c>
      <c r="E82" s="219">
        <v>1800</v>
      </c>
      <c r="F82" s="217" t="s">
        <v>4060</v>
      </c>
    </row>
    <row r="83" spans="1:6" ht="28.2" x14ac:dyDescent="0.3">
      <c r="A83" s="216" t="s">
        <v>4082</v>
      </c>
      <c r="B83" s="700" t="s">
        <v>4077</v>
      </c>
      <c r="C83" s="219" t="s">
        <v>4078</v>
      </c>
      <c r="D83" s="218" t="s">
        <v>4073</v>
      </c>
      <c r="E83" s="219">
        <v>4500</v>
      </c>
      <c r="F83" s="217" t="s">
        <v>4046</v>
      </c>
    </row>
    <row r="84" spans="1:6" ht="28.2" x14ac:dyDescent="0.3">
      <c r="A84" s="216" t="s">
        <v>1019</v>
      </c>
      <c r="B84" s="700" t="s">
        <v>4077</v>
      </c>
      <c r="C84" s="219" t="s">
        <v>4078</v>
      </c>
      <c r="D84" s="218" t="s">
        <v>4073</v>
      </c>
      <c r="E84" s="219">
        <v>5000</v>
      </c>
      <c r="F84" s="217" t="s">
        <v>4046</v>
      </c>
    </row>
    <row r="85" spans="1:6" x14ac:dyDescent="0.3">
      <c r="A85" s="212" t="s">
        <v>1021</v>
      </c>
      <c r="B85" s="1421" t="s">
        <v>4028</v>
      </c>
      <c r="C85" s="213" t="s">
        <v>4029</v>
      </c>
      <c r="D85" s="214" t="s">
        <v>4030</v>
      </c>
      <c r="E85" s="215">
        <v>5000</v>
      </c>
      <c r="F85" s="213" t="s">
        <v>4083</v>
      </c>
    </row>
    <row r="86" spans="1:6" x14ac:dyDescent="0.3">
      <c r="A86" s="734"/>
      <c r="B86" s="800"/>
      <c r="C86" s="800"/>
      <c r="D86" s="800"/>
      <c r="E86" s="734"/>
      <c r="F86" s="800" t="s">
        <v>3988</v>
      </c>
    </row>
    <row r="87" spans="1:6" x14ac:dyDescent="0.3">
      <c r="A87" s="3695" t="s">
        <v>4022</v>
      </c>
      <c r="B87" s="3696"/>
      <c r="C87" s="3696"/>
      <c r="D87" s="3697"/>
      <c r="E87" s="1784">
        <v>50000</v>
      </c>
      <c r="F87" s="1785" t="s">
        <v>3988</v>
      </c>
    </row>
    <row r="88" spans="1:6" x14ac:dyDescent="0.3">
      <c r="A88" s="3695" t="s">
        <v>4023</v>
      </c>
      <c r="B88" s="3696"/>
      <c r="C88" s="3696"/>
      <c r="D88" s="3697"/>
      <c r="E88" s="1782">
        <f>F69-E87</f>
        <v>0</v>
      </c>
      <c r="F88" s="1785" t="s">
        <v>3988</v>
      </c>
    </row>
    <row r="89" spans="1:6" x14ac:dyDescent="0.3">
      <c r="A89" s="222" t="s">
        <v>3988</v>
      </c>
      <c r="B89" s="223"/>
      <c r="C89" s="223"/>
      <c r="D89" s="223"/>
      <c r="E89" s="223"/>
      <c r="F89" s="224" t="s">
        <v>3988</v>
      </c>
    </row>
    <row r="90" spans="1:6" x14ac:dyDescent="0.3">
      <c r="A90" s="222" t="s">
        <v>3988</v>
      </c>
      <c r="B90" s="223"/>
      <c r="C90" s="223"/>
      <c r="D90" s="838" t="s">
        <v>4024</v>
      </c>
      <c r="E90" s="223"/>
      <c r="F90" s="224" t="s">
        <v>3988</v>
      </c>
    </row>
    <row r="91" spans="1:6" x14ac:dyDescent="0.3">
      <c r="A91" s="222" t="s">
        <v>3988</v>
      </c>
      <c r="B91" s="223"/>
      <c r="C91" s="223"/>
      <c r="D91" s="223"/>
      <c r="E91" s="223"/>
      <c r="F91" s="224" t="s">
        <v>3988</v>
      </c>
    </row>
    <row r="92" spans="1:6" ht="15.6" x14ac:dyDescent="0.35">
      <c r="A92" s="222" t="s">
        <v>3988</v>
      </c>
      <c r="B92" s="223"/>
      <c r="C92" s="223"/>
      <c r="D92" s="1431"/>
      <c r="E92" s="223"/>
      <c r="F92" s="224" t="s">
        <v>3988</v>
      </c>
    </row>
    <row r="93" spans="1:6" x14ac:dyDescent="0.3">
      <c r="A93" s="3698" t="s">
        <v>4025</v>
      </c>
      <c r="B93" s="3688"/>
      <c r="C93" s="3688"/>
      <c r="D93" s="223"/>
      <c r="E93" s="3699" t="s">
        <v>3988</v>
      </c>
      <c r="F93" s="3700"/>
    </row>
    <row r="94" spans="1:6" x14ac:dyDescent="0.3">
      <c r="A94" s="222" t="s">
        <v>3988</v>
      </c>
      <c r="B94" s="223"/>
      <c r="C94" s="223"/>
      <c r="D94" s="223"/>
      <c r="E94" s="223"/>
      <c r="F94" s="224" t="s">
        <v>3988</v>
      </c>
    </row>
    <row r="95" spans="1:6" x14ac:dyDescent="0.3">
      <c r="A95" s="220" t="s">
        <v>3988</v>
      </c>
      <c r="B95" s="1783" t="s">
        <v>3988</v>
      </c>
      <c r="C95" s="1783" t="s">
        <v>3988</v>
      </c>
      <c r="D95" s="223"/>
      <c r="E95" s="3688" t="s">
        <v>3988</v>
      </c>
      <c r="F95" s="3689"/>
    </row>
    <row r="96" spans="1:6" x14ac:dyDescent="0.3">
      <c r="A96" s="228" t="s">
        <v>3988</v>
      </c>
      <c r="B96" s="229" t="s">
        <v>3988</v>
      </c>
      <c r="C96" s="229" t="s">
        <v>3988</v>
      </c>
      <c r="D96" s="229" t="s">
        <v>3988</v>
      </c>
      <c r="E96" s="229" t="s">
        <v>3988</v>
      </c>
      <c r="F96" s="230" t="s">
        <v>3988</v>
      </c>
    </row>
    <row r="99" spans="1:6" x14ac:dyDescent="0.3">
      <c r="A99" s="3701" t="s">
        <v>3986</v>
      </c>
      <c r="B99" s="3702"/>
      <c r="C99" s="3702"/>
      <c r="D99" s="3702"/>
      <c r="E99" s="3702"/>
      <c r="F99" s="3703"/>
    </row>
    <row r="100" spans="1:6" x14ac:dyDescent="0.3">
      <c r="A100" s="3704"/>
      <c r="B100" s="3705"/>
      <c r="C100" s="3705"/>
      <c r="D100" s="3705"/>
      <c r="E100" s="3705"/>
      <c r="F100" s="3706"/>
    </row>
    <row r="101" spans="1:6" ht="15.6" x14ac:dyDescent="0.3">
      <c r="A101" s="3707" t="s">
        <v>3987</v>
      </c>
      <c r="B101" s="3708"/>
      <c r="C101" s="3708"/>
      <c r="D101" s="3708"/>
      <c r="E101" s="3708"/>
      <c r="F101" s="3709"/>
    </row>
    <row r="102" spans="1:6" x14ac:dyDescent="0.3">
      <c r="A102" s="220" t="s">
        <v>3988</v>
      </c>
      <c r="B102" s="1783" t="s">
        <v>3988</v>
      </c>
      <c r="C102" s="1783" t="s">
        <v>3988</v>
      </c>
      <c r="D102" s="1783" t="s">
        <v>3988</v>
      </c>
      <c r="E102" s="1783" t="s">
        <v>3988</v>
      </c>
      <c r="F102" s="1785" t="s">
        <v>3988</v>
      </c>
    </row>
    <row r="103" spans="1:6" x14ac:dyDescent="0.3">
      <c r="A103" s="3690" t="s">
        <v>3989</v>
      </c>
      <c r="B103" s="3691"/>
      <c r="C103" s="3692"/>
      <c r="D103" s="3693" t="s">
        <v>3990</v>
      </c>
      <c r="E103" s="3693"/>
      <c r="F103" s="3710"/>
    </row>
    <row r="104" spans="1:6" x14ac:dyDescent="0.3">
      <c r="A104" s="3690" t="s">
        <v>3991</v>
      </c>
      <c r="B104" s="3691"/>
      <c r="C104" s="3692"/>
      <c r="D104" s="3693" t="s">
        <v>3933</v>
      </c>
      <c r="E104" s="3693"/>
      <c r="F104" s="3710"/>
    </row>
    <row r="105" spans="1:6" x14ac:dyDescent="0.3">
      <c r="A105" s="3690" t="s">
        <v>4084</v>
      </c>
      <c r="B105" s="3691"/>
      <c r="C105" s="3692"/>
      <c r="D105" s="3693" t="s">
        <v>3994</v>
      </c>
      <c r="E105" s="3694"/>
      <c r="F105" s="221">
        <v>50000</v>
      </c>
    </row>
    <row r="106" spans="1:6" x14ac:dyDescent="0.3">
      <c r="A106" s="222" t="s">
        <v>3988</v>
      </c>
      <c r="B106" s="223"/>
      <c r="C106" s="223"/>
      <c r="D106" s="1783" t="s">
        <v>3988</v>
      </c>
      <c r="E106" s="223"/>
      <c r="F106" s="224" t="s">
        <v>3988</v>
      </c>
    </row>
    <row r="107" spans="1:6" x14ac:dyDescent="0.3">
      <c r="A107" s="225" t="s">
        <v>3995</v>
      </c>
      <c r="B107" s="226" t="s">
        <v>3996</v>
      </c>
      <c r="C107" s="226" t="s">
        <v>3997</v>
      </c>
      <c r="D107" s="226" t="s">
        <v>3998</v>
      </c>
      <c r="E107" s="226" t="s">
        <v>3932</v>
      </c>
      <c r="F107" s="227" t="s">
        <v>2983</v>
      </c>
    </row>
    <row r="108" spans="1:6" ht="28.2" x14ac:dyDescent="0.3">
      <c r="A108" s="2476" t="s">
        <v>4085</v>
      </c>
      <c r="B108" s="1421">
        <v>98496872</v>
      </c>
      <c r="C108" s="213" t="s">
        <v>4086</v>
      </c>
      <c r="D108" s="2478" t="s">
        <v>4087</v>
      </c>
      <c r="E108" s="215">
        <v>6000</v>
      </c>
      <c r="F108" s="213"/>
    </row>
    <row r="109" spans="1:6" ht="28.2" x14ac:dyDescent="0.3">
      <c r="A109" s="2475">
        <v>44509</v>
      </c>
      <c r="B109" s="1422">
        <v>98529299</v>
      </c>
      <c r="C109" s="1419" t="s">
        <v>4088</v>
      </c>
      <c r="D109" s="736" t="s">
        <v>4089</v>
      </c>
      <c r="E109" s="219">
        <v>4500</v>
      </c>
      <c r="F109" s="217"/>
    </row>
    <row r="110" spans="1:6" ht="28.2" x14ac:dyDescent="0.3">
      <c r="A110" s="2477" t="s">
        <v>4090</v>
      </c>
      <c r="B110" s="1422">
        <v>98529299</v>
      </c>
      <c r="C110" s="1419" t="s">
        <v>4088</v>
      </c>
      <c r="D110" s="736" t="s">
        <v>4089</v>
      </c>
      <c r="E110" s="219">
        <v>4000</v>
      </c>
      <c r="F110" s="217"/>
    </row>
    <row r="111" spans="1:6" ht="28.2" x14ac:dyDescent="0.3">
      <c r="A111" s="2477" t="s">
        <v>1806</v>
      </c>
      <c r="B111" s="1422">
        <v>98529299</v>
      </c>
      <c r="C111" s="1419" t="s">
        <v>4088</v>
      </c>
      <c r="D111" s="736" t="s">
        <v>4087</v>
      </c>
      <c r="E111" s="219">
        <v>4000</v>
      </c>
      <c r="F111" s="217"/>
    </row>
    <row r="112" spans="1:6" ht="28.2" x14ac:dyDescent="0.3">
      <c r="A112" s="2477" t="s">
        <v>1630</v>
      </c>
      <c r="B112" s="700">
        <v>71672110</v>
      </c>
      <c r="C112" s="1420" t="s">
        <v>4091</v>
      </c>
      <c r="D112" s="736" t="s">
        <v>4089</v>
      </c>
      <c r="E112" s="219">
        <v>3800</v>
      </c>
      <c r="F112" s="217"/>
    </row>
    <row r="113" spans="1:6" ht="28.2" x14ac:dyDescent="0.3">
      <c r="A113" s="2477" t="s">
        <v>1633</v>
      </c>
      <c r="B113" s="700">
        <v>71672110</v>
      </c>
      <c r="C113" s="1420" t="s">
        <v>4091</v>
      </c>
      <c r="D113" s="736" t="s">
        <v>4089</v>
      </c>
      <c r="E113" s="215">
        <v>3800</v>
      </c>
      <c r="F113" s="213"/>
    </row>
    <row r="114" spans="1:6" ht="28.2" x14ac:dyDescent="0.3">
      <c r="A114" s="2477" t="s">
        <v>1806</v>
      </c>
      <c r="B114" s="700">
        <v>71672110</v>
      </c>
      <c r="C114" s="1420" t="s">
        <v>4091</v>
      </c>
      <c r="D114" s="736" t="s">
        <v>4089</v>
      </c>
      <c r="E114" s="219">
        <v>4000</v>
      </c>
      <c r="F114" s="217"/>
    </row>
    <row r="115" spans="1:6" ht="28.2" x14ac:dyDescent="0.3">
      <c r="A115" s="2477" t="s">
        <v>4092</v>
      </c>
      <c r="B115" s="1422">
        <v>70720539</v>
      </c>
      <c r="C115" s="217" t="s">
        <v>4093</v>
      </c>
      <c r="D115" s="736" t="s">
        <v>4089</v>
      </c>
      <c r="E115" s="219">
        <v>5000</v>
      </c>
      <c r="F115" s="217"/>
    </row>
    <row r="116" spans="1:6" ht="28.2" x14ac:dyDescent="0.3">
      <c r="A116" s="2475">
        <v>44327</v>
      </c>
      <c r="B116" s="1422">
        <v>70720539</v>
      </c>
      <c r="C116" s="217" t="s">
        <v>4093</v>
      </c>
      <c r="D116" s="736" t="s">
        <v>4089</v>
      </c>
      <c r="E116" s="219">
        <v>5000</v>
      </c>
      <c r="F116" s="217"/>
    </row>
    <row r="117" spans="1:6" ht="28.2" x14ac:dyDescent="0.3">
      <c r="A117" s="2475">
        <v>44358</v>
      </c>
      <c r="B117" s="1422">
        <v>70720539</v>
      </c>
      <c r="C117" s="217" t="s">
        <v>4093</v>
      </c>
      <c r="D117" s="218" t="s">
        <v>4094</v>
      </c>
      <c r="E117" s="219">
        <v>2500</v>
      </c>
      <c r="F117" s="217"/>
    </row>
    <row r="118" spans="1:6" ht="28.2" x14ac:dyDescent="0.3">
      <c r="A118" s="2477" t="s">
        <v>4095</v>
      </c>
      <c r="B118" s="700">
        <v>71270077</v>
      </c>
      <c r="C118" s="219" t="s">
        <v>4096</v>
      </c>
      <c r="D118" s="218" t="s">
        <v>4094</v>
      </c>
      <c r="E118" s="219">
        <v>1500</v>
      </c>
      <c r="F118" s="217"/>
    </row>
    <row r="119" spans="1:6" ht="28.2" x14ac:dyDescent="0.3">
      <c r="A119" s="2477" t="s">
        <v>4092</v>
      </c>
      <c r="B119" s="700">
        <v>71270077</v>
      </c>
      <c r="C119" s="219" t="s">
        <v>4096</v>
      </c>
      <c r="D119" s="218" t="s">
        <v>4089</v>
      </c>
      <c r="E119" s="219">
        <v>3000</v>
      </c>
      <c r="F119" s="217"/>
    </row>
    <row r="120" spans="1:6" x14ac:dyDescent="0.3">
      <c r="A120" s="216"/>
      <c r="B120" s="700"/>
      <c r="C120" s="219"/>
      <c r="D120" s="218"/>
      <c r="E120" s="219"/>
      <c r="F120" s="217"/>
    </row>
    <row r="121" spans="1:6" x14ac:dyDescent="0.3">
      <c r="A121" s="216"/>
      <c r="B121" s="700"/>
      <c r="C121" s="219"/>
      <c r="D121" s="218"/>
      <c r="E121" s="219"/>
      <c r="F121" s="217"/>
    </row>
    <row r="122" spans="1:6" x14ac:dyDescent="0.3">
      <c r="A122" s="734"/>
      <c r="B122" s="800"/>
      <c r="C122" s="800"/>
      <c r="D122" s="800"/>
      <c r="E122" s="734"/>
      <c r="F122" s="800" t="s">
        <v>3988</v>
      </c>
    </row>
    <row r="123" spans="1:6" x14ac:dyDescent="0.3">
      <c r="A123" s="3695" t="s">
        <v>4022</v>
      </c>
      <c r="B123" s="3696"/>
      <c r="C123" s="3696"/>
      <c r="D123" s="3697"/>
      <c r="E123" s="1784">
        <f>SUM(E108:E122)</f>
        <v>47100</v>
      </c>
      <c r="F123" s="1785" t="s">
        <v>3988</v>
      </c>
    </row>
    <row r="124" spans="1:6" x14ac:dyDescent="0.3">
      <c r="A124" s="3695" t="s">
        <v>4023</v>
      </c>
      <c r="B124" s="3696"/>
      <c r="C124" s="3696"/>
      <c r="D124" s="3697"/>
      <c r="E124" s="1782">
        <f>F105-E123</f>
        <v>2900</v>
      </c>
      <c r="F124" s="1785" t="s">
        <v>3988</v>
      </c>
    </row>
    <row r="125" spans="1:6" x14ac:dyDescent="0.3">
      <c r="A125" s="222" t="s">
        <v>3988</v>
      </c>
      <c r="B125" s="223"/>
      <c r="C125" s="223"/>
      <c r="D125" s="223"/>
      <c r="E125" s="223"/>
      <c r="F125" s="224" t="s">
        <v>3988</v>
      </c>
    </row>
    <row r="126" spans="1:6" x14ac:dyDescent="0.3">
      <c r="A126" s="222" t="s">
        <v>3988</v>
      </c>
      <c r="B126" s="223"/>
      <c r="C126" s="223"/>
      <c r="D126" s="838" t="s">
        <v>4024</v>
      </c>
      <c r="E126" s="223"/>
      <c r="F126" s="224" t="s">
        <v>3988</v>
      </c>
    </row>
    <row r="127" spans="1:6" x14ac:dyDescent="0.3">
      <c r="A127" s="222" t="s">
        <v>3988</v>
      </c>
      <c r="B127" s="223"/>
      <c r="C127" s="223"/>
      <c r="D127" s="223"/>
      <c r="E127" s="223"/>
      <c r="F127" s="224" t="s">
        <v>3988</v>
      </c>
    </row>
    <row r="128" spans="1:6" ht="15.6" x14ac:dyDescent="0.35">
      <c r="A128" s="222" t="s">
        <v>3988</v>
      </c>
      <c r="B128" s="223"/>
      <c r="C128" s="223"/>
      <c r="D128" s="1431"/>
      <c r="E128" s="223"/>
      <c r="F128" s="224" t="s">
        <v>3988</v>
      </c>
    </row>
    <row r="129" spans="1:6" x14ac:dyDescent="0.3">
      <c r="A129" s="3698" t="s">
        <v>4025</v>
      </c>
      <c r="B129" s="3688"/>
      <c r="C129" s="3688"/>
      <c r="D129" s="223"/>
      <c r="E129" s="3699" t="s">
        <v>3988</v>
      </c>
      <c r="F129" s="3700"/>
    </row>
    <row r="130" spans="1:6" x14ac:dyDescent="0.3">
      <c r="A130" s="222" t="s">
        <v>3988</v>
      </c>
      <c r="B130" s="223"/>
      <c r="C130" s="223"/>
      <c r="D130" s="223"/>
      <c r="E130" s="223"/>
      <c r="F130" s="224" t="s">
        <v>3988</v>
      </c>
    </row>
    <row r="131" spans="1:6" x14ac:dyDescent="0.3">
      <c r="A131" s="220" t="s">
        <v>3988</v>
      </c>
      <c r="B131" s="1783" t="s">
        <v>3988</v>
      </c>
      <c r="C131" s="1783" t="s">
        <v>3988</v>
      </c>
      <c r="D131" s="223"/>
      <c r="E131" s="3688" t="s">
        <v>3988</v>
      </c>
      <c r="F131" s="3689"/>
    </row>
    <row r="132" spans="1:6" x14ac:dyDescent="0.3">
      <c r="A132" s="228" t="s">
        <v>3988</v>
      </c>
      <c r="B132" s="229" t="s">
        <v>3988</v>
      </c>
      <c r="C132" s="229" t="s">
        <v>3988</v>
      </c>
      <c r="D132" s="229" t="s">
        <v>3988</v>
      </c>
      <c r="E132" s="229" t="s">
        <v>3988</v>
      </c>
      <c r="F132" s="230" t="s">
        <v>3988</v>
      </c>
    </row>
    <row r="135" spans="1:6" x14ac:dyDescent="0.3">
      <c r="A135" s="3701" t="s">
        <v>3986</v>
      </c>
      <c r="B135" s="3702"/>
      <c r="C135" s="3702"/>
      <c r="D135" s="3702"/>
      <c r="E135" s="3702"/>
      <c r="F135" s="3703"/>
    </row>
    <row r="136" spans="1:6" x14ac:dyDescent="0.3">
      <c r="A136" s="3704"/>
      <c r="B136" s="3705"/>
      <c r="C136" s="3705"/>
      <c r="D136" s="3705"/>
      <c r="E136" s="3705"/>
      <c r="F136" s="3706"/>
    </row>
    <row r="137" spans="1:6" ht="15.6" x14ac:dyDescent="0.3">
      <c r="A137" s="3707" t="s">
        <v>3987</v>
      </c>
      <c r="B137" s="3708"/>
      <c r="C137" s="3708"/>
      <c r="D137" s="3708"/>
      <c r="E137" s="3708"/>
      <c r="F137" s="3709"/>
    </row>
    <row r="138" spans="1:6" x14ac:dyDescent="0.3">
      <c r="A138" s="220" t="s">
        <v>3988</v>
      </c>
      <c r="B138" s="1783" t="s">
        <v>3988</v>
      </c>
      <c r="C138" s="1783" t="s">
        <v>3988</v>
      </c>
      <c r="D138" s="1783" t="s">
        <v>3988</v>
      </c>
      <c r="E138" s="1783" t="s">
        <v>3988</v>
      </c>
      <c r="F138" s="1785" t="s">
        <v>3988</v>
      </c>
    </row>
    <row r="139" spans="1:6" x14ac:dyDescent="0.3">
      <c r="A139" s="3690" t="s">
        <v>3989</v>
      </c>
      <c r="B139" s="3691"/>
      <c r="C139" s="3692"/>
      <c r="D139" s="3693" t="s">
        <v>3990</v>
      </c>
      <c r="E139" s="3693"/>
      <c r="F139" s="3710"/>
    </row>
    <row r="140" spans="1:6" x14ac:dyDescent="0.3">
      <c r="A140" s="3690" t="s">
        <v>3991</v>
      </c>
      <c r="B140" s="3691"/>
      <c r="C140" s="3692"/>
      <c r="D140" s="3693" t="s">
        <v>4097</v>
      </c>
      <c r="E140" s="3693"/>
      <c r="F140" s="3710"/>
    </row>
    <row r="141" spans="1:6" x14ac:dyDescent="0.3">
      <c r="A141" s="3690" t="s">
        <v>4084</v>
      </c>
      <c r="B141" s="3691"/>
      <c r="C141" s="3692"/>
      <c r="D141" s="3693" t="s">
        <v>3994</v>
      </c>
      <c r="E141" s="3694"/>
      <c r="F141" s="221">
        <v>50000</v>
      </c>
    </row>
    <row r="142" spans="1:6" x14ac:dyDescent="0.3">
      <c r="A142" s="222" t="s">
        <v>3988</v>
      </c>
      <c r="B142" s="223"/>
      <c r="C142" s="223"/>
      <c r="D142" s="1783" t="s">
        <v>3988</v>
      </c>
      <c r="E142" s="223"/>
      <c r="F142" s="224" t="s">
        <v>3988</v>
      </c>
    </row>
    <row r="143" spans="1:6" x14ac:dyDescent="0.3">
      <c r="A143" s="225" t="s">
        <v>3995</v>
      </c>
      <c r="B143" s="226" t="s">
        <v>3996</v>
      </c>
      <c r="C143" s="226" t="s">
        <v>3997</v>
      </c>
      <c r="D143" s="226" t="s">
        <v>3998</v>
      </c>
      <c r="E143" s="226" t="s">
        <v>3932</v>
      </c>
      <c r="F143" s="227" t="s">
        <v>2983</v>
      </c>
    </row>
    <row r="144" spans="1:6" ht="28.2" x14ac:dyDescent="0.3">
      <c r="A144" s="2574" t="s">
        <v>1825</v>
      </c>
      <c r="B144" s="2575">
        <v>98529299</v>
      </c>
      <c r="C144" s="800" t="s">
        <v>4088</v>
      </c>
      <c r="D144" s="736" t="s">
        <v>4089</v>
      </c>
      <c r="E144" s="734">
        <v>4500</v>
      </c>
      <c r="F144" s="213"/>
    </row>
    <row r="145" spans="1:6" ht="28.2" x14ac:dyDescent="0.3">
      <c r="A145" s="2576" t="s">
        <v>1898</v>
      </c>
      <c r="B145" s="1422">
        <v>70720539</v>
      </c>
      <c r="C145" s="217" t="s">
        <v>4093</v>
      </c>
      <c r="D145" s="218" t="s">
        <v>4094</v>
      </c>
      <c r="E145" s="219">
        <v>2500</v>
      </c>
      <c r="F145" s="217"/>
    </row>
    <row r="146" spans="1:6" x14ac:dyDescent="0.3">
      <c r="A146" s="2477"/>
      <c r="B146" s="1422"/>
      <c r="C146" s="1419"/>
      <c r="D146" s="736"/>
      <c r="E146" s="219"/>
      <c r="F146" s="217"/>
    </row>
    <row r="147" spans="1:6" x14ac:dyDescent="0.3">
      <c r="A147" s="2477"/>
      <c r="B147" s="1422"/>
      <c r="C147" s="1419"/>
      <c r="D147" s="736"/>
      <c r="E147" s="219"/>
      <c r="F147" s="217"/>
    </row>
    <row r="148" spans="1:6" x14ac:dyDescent="0.3">
      <c r="A148" s="2477"/>
      <c r="B148" s="700"/>
      <c r="C148" s="1420"/>
      <c r="D148" s="736"/>
      <c r="E148" s="219"/>
      <c r="F148" s="217"/>
    </row>
    <row r="149" spans="1:6" x14ac:dyDescent="0.3">
      <c r="A149" s="2477"/>
      <c r="B149" s="700"/>
      <c r="C149" s="1420"/>
      <c r="D149" s="736"/>
      <c r="E149" s="215"/>
      <c r="F149" s="213"/>
    </row>
    <row r="150" spans="1:6" x14ac:dyDescent="0.3">
      <c r="A150" s="2477"/>
      <c r="B150" s="700"/>
      <c r="C150" s="1420"/>
      <c r="D150" s="736"/>
      <c r="E150" s="219"/>
      <c r="F150" s="217"/>
    </row>
    <row r="151" spans="1:6" x14ac:dyDescent="0.3">
      <c r="A151" s="2477"/>
      <c r="B151" s="1422"/>
      <c r="C151" s="217"/>
      <c r="D151" s="736"/>
      <c r="E151" s="219"/>
      <c r="F151" s="217"/>
    </row>
    <row r="152" spans="1:6" x14ac:dyDescent="0.3">
      <c r="A152" s="2475"/>
      <c r="B152" s="1422"/>
      <c r="C152" s="217"/>
      <c r="D152" s="736"/>
      <c r="E152" s="219"/>
      <c r="F152" s="217"/>
    </row>
    <row r="153" spans="1:6" x14ac:dyDescent="0.3">
      <c r="A153" s="2475"/>
      <c r="B153" s="1422"/>
      <c r="C153" s="217"/>
      <c r="D153" s="218"/>
      <c r="E153" s="219"/>
      <c r="F153" s="217"/>
    </row>
    <row r="154" spans="1:6" x14ac:dyDescent="0.3">
      <c r="A154" s="2477"/>
      <c r="B154" s="700"/>
      <c r="C154" s="219"/>
      <c r="D154" s="218"/>
      <c r="E154" s="219"/>
      <c r="F154" s="217"/>
    </row>
    <row r="155" spans="1:6" x14ac:dyDescent="0.3">
      <c r="A155" s="2477"/>
      <c r="B155" s="700"/>
      <c r="C155" s="219"/>
      <c r="D155" s="218"/>
      <c r="E155" s="219"/>
      <c r="F155" s="217"/>
    </row>
    <row r="156" spans="1:6" x14ac:dyDescent="0.3">
      <c r="A156" s="216"/>
      <c r="B156" s="700"/>
      <c r="C156" s="219"/>
      <c r="D156" s="218"/>
      <c r="E156" s="219"/>
      <c r="F156" s="217"/>
    </row>
    <row r="157" spans="1:6" x14ac:dyDescent="0.3">
      <c r="A157" s="216"/>
      <c r="B157" s="700"/>
      <c r="C157" s="219"/>
      <c r="D157" s="218"/>
      <c r="E157" s="219"/>
      <c r="F157" s="217"/>
    </row>
    <row r="158" spans="1:6" x14ac:dyDescent="0.3">
      <c r="A158" s="734"/>
      <c r="B158" s="800"/>
      <c r="C158" s="800"/>
      <c r="D158" s="800"/>
      <c r="E158" s="734"/>
      <c r="F158" s="800" t="s">
        <v>3988</v>
      </c>
    </row>
    <row r="159" spans="1:6" x14ac:dyDescent="0.3">
      <c r="A159" s="3695" t="s">
        <v>4022</v>
      </c>
      <c r="B159" s="3696"/>
      <c r="C159" s="3696"/>
      <c r="D159" s="3697"/>
      <c r="E159" s="1784">
        <f>SUM(E144:E158)</f>
        <v>7000</v>
      </c>
      <c r="F159" s="1785" t="s">
        <v>3988</v>
      </c>
    </row>
    <row r="160" spans="1:6" x14ac:dyDescent="0.3">
      <c r="A160" s="3695" t="s">
        <v>4023</v>
      </c>
      <c r="B160" s="3696"/>
      <c r="C160" s="3696"/>
      <c r="D160" s="3697"/>
      <c r="E160" s="1782">
        <f>F141-E159</f>
        <v>43000</v>
      </c>
      <c r="F160" s="1785" t="s">
        <v>3988</v>
      </c>
    </row>
    <row r="161" spans="1:6" x14ac:dyDescent="0.3">
      <c r="A161" s="222" t="s">
        <v>3988</v>
      </c>
      <c r="B161" s="223"/>
      <c r="C161" s="223"/>
      <c r="D161" s="223"/>
      <c r="E161" s="223"/>
      <c r="F161" s="224" t="s">
        <v>3988</v>
      </c>
    </row>
    <row r="162" spans="1:6" x14ac:dyDescent="0.3">
      <c r="A162" s="222" t="s">
        <v>3988</v>
      </c>
      <c r="B162" s="223"/>
      <c r="C162" s="223"/>
      <c r="D162" s="838" t="s">
        <v>4024</v>
      </c>
      <c r="E162" s="223"/>
      <c r="F162" s="224" t="s">
        <v>3988</v>
      </c>
    </row>
    <row r="163" spans="1:6" x14ac:dyDescent="0.3">
      <c r="A163" s="222" t="s">
        <v>3988</v>
      </c>
      <c r="B163" s="223"/>
      <c r="C163" s="223"/>
      <c r="D163" s="223"/>
      <c r="E163" s="223"/>
      <c r="F163" s="224" t="s">
        <v>3988</v>
      </c>
    </row>
    <row r="164" spans="1:6" ht="15.6" x14ac:dyDescent="0.35">
      <c r="A164" s="222" t="s">
        <v>3988</v>
      </c>
      <c r="B164" s="223"/>
      <c r="C164" s="223"/>
      <c r="D164" s="1431"/>
      <c r="E164" s="223"/>
      <c r="F164" s="224" t="s">
        <v>3988</v>
      </c>
    </row>
    <row r="165" spans="1:6" x14ac:dyDescent="0.3">
      <c r="A165" s="3698" t="s">
        <v>4025</v>
      </c>
      <c r="B165" s="3688"/>
      <c r="C165" s="3688"/>
      <c r="D165" s="223"/>
      <c r="E165" s="3699" t="s">
        <v>3988</v>
      </c>
      <c r="F165" s="3700"/>
    </row>
    <row r="166" spans="1:6" x14ac:dyDescent="0.3">
      <c r="A166" s="222" t="s">
        <v>3988</v>
      </c>
      <c r="B166" s="223"/>
      <c r="C166" s="223"/>
      <c r="D166" s="223"/>
      <c r="E166" s="223"/>
      <c r="F166" s="224" t="s">
        <v>3988</v>
      </c>
    </row>
    <row r="167" spans="1:6" x14ac:dyDescent="0.3">
      <c r="A167" s="220" t="s">
        <v>3988</v>
      </c>
      <c r="B167" s="1783" t="s">
        <v>3988</v>
      </c>
      <c r="C167" s="1783" t="s">
        <v>3988</v>
      </c>
      <c r="D167" s="223"/>
      <c r="E167" s="3688" t="s">
        <v>3988</v>
      </c>
      <c r="F167" s="3689"/>
    </row>
    <row r="168" spans="1:6" x14ac:dyDescent="0.3">
      <c r="A168" s="228" t="s">
        <v>3988</v>
      </c>
      <c r="B168" s="229" t="s">
        <v>3988</v>
      </c>
      <c r="C168" s="229" t="s">
        <v>3988</v>
      </c>
      <c r="D168" s="229" t="s">
        <v>3988</v>
      </c>
      <c r="E168" s="229" t="s">
        <v>3988</v>
      </c>
      <c r="F168" s="230" t="s">
        <v>3988</v>
      </c>
    </row>
    <row r="171" spans="1:6" ht="15" customHeight="1" x14ac:dyDescent="0.3">
      <c r="A171" s="3701" t="s">
        <v>3986</v>
      </c>
      <c r="B171" s="3702"/>
      <c r="C171" s="3702"/>
      <c r="D171" s="3702"/>
      <c r="E171" s="3702"/>
      <c r="F171" s="3703"/>
    </row>
    <row r="172" spans="1:6" ht="15" customHeight="1" x14ac:dyDescent="0.3">
      <c r="A172" s="3704"/>
      <c r="B172" s="3705"/>
      <c r="C172" s="3705"/>
      <c r="D172" s="3705"/>
      <c r="E172" s="3705"/>
      <c r="F172" s="3706"/>
    </row>
    <row r="173" spans="1:6" ht="15.75" customHeight="1" x14ac:dyDescent="0.3">
      <c r="A173" s="3707" t="s">
        <v>3987</v>
      </c>
      <c r="B173" s="3708"/>
      <c r="C173" s="3708"/>
      <c r="D173" s="3708"/>
      <c r="E173" s="3708"/>
      <c r="F173" s="3709"/>
    </row>
    <row r="174" spans="1:6" x14ac:dyDescent="0.3">
      <c r="A174" s="220" t="s">
        <v>3988</v>
      </c>
      <c r="B174" s="1783" t="s">
        <v>3988</v>
      </c>
      <c r="C174" s="1783" t="s">
        <v>3988</v>
      </c>
      <c r="D174" s="1783" t="s">
        <v>3988</v>
      </c>
      <c r="E174" s="1783" t="s">
        <v>3988</v>
      </c>
      <c r="F174" s="1785" t="s">
        <v>3988</v>
      </c>
    </row>
    <row r="175" spans="1:6" ht="15" customHeight="1" x14ac:dyDescent="0.3">
      <c r="A175" s="3690" t="s">
        <v>3989</v>
      </c>
      <c r="B175" s="3691"/>
      <c r="C175" s="3692"/>
      <c r="D175" s="3693" t="s">
        <v>3990</v>
      </c>
      <c r="E175" s="3693"/>
      <c r="F175" s="3710"/>
    </row>
    <row r="176" spans="1:6" x14ac:dyDescent="0.3">
      <c r="A176" s="3690" t="s">
        <v>3991</v>
      </c>
      <c r="B176" s="3691"/>
      <c r="C176" s="3692"/>
      <c r="D176" s="3693" t="s">
        <v>3933</v>
      </c>
      <c r="E176" s="3693"/>
      <c r="F176" s="3710"/>
    </row>
    <row r="177" spans="1:6" x14ac:dyDescent="0.3">
      <c r="A177" s="3690" t="s">
        <v>4098</v>
      </c>
      <c r="B177" s="3691"/>
      <c r="C177" s="3692"/>
      <c r="D177" s="3693" t="s">
        <v>3994</v>
      </c>
      <c r="E177" s="3694"/>
      <c r="F177" s="221">
        <v>50000</v>
      </c>
    </row>
    <row r="178" spans="1:6" x14ac:dyDescent="0.3">
      <c r="A178" s="222" t="s">
        <v>3988</v>
      </c>
      <c r="B178" s="223"/>
      <c r="C178" s="223"/>
      <c r="D178" s="1783" t="s">
        <v>3988</v>
      </c>
      <c r="E178" s="223"/>
      <c r="F178" s="224" t="s">
        <v>3988</v>
      </c>
    </row>
    <row r="179" spans="1:6" x14ac:dyDescent="0.3">
      <c r="A179" s="225" t="s">
        <v>3995</v>
      </c>
      <c r="B179" s="226" t="s">
        <v>3996</v>
      </c>
      <c r="C179" s="226" t="s">
        <v>3997</v>
      </c>
      <c r="D179" s="226" t="s">
        <v>3998</v>
      </c>
      <c r="E179" s="226" t="s">
        <v>3932</v>
      </c>
      <c r="F179" s="227" t="s">
        <v>2983</v>
      </c>
    </row>
    <row r="180" spans="1:6" ht="28.2" x14ac:dyDescent="0.3">
      <c r="A180" s="2861" t="s">
        <v>2264</v>
      </c>
      <c r="B180" s="2862">
        <v>71672110</v>
      </c>
      <c r="C180" s="2863" t="s">
        <v>4091</v>
      </c>
      <c r="D180" s="2864" t="s">
        <v>4089</v>
      </c>
      <c r="E180" s="215">
        <v>4000</v>
      </c>
      <c r="F180" s="213"/>
    </row>
    <row r="181" spans="1:6" ht="28.2" x14ac:dyDescent="0.3">
      <c r="A181" s="2866">
        <v>44621</v>
      </c>
      <c r="B181" s="2865">
        <v>98529299</v>
      </c>
      <c r="C181" s="1783" t="s">
        <v>4088</v>
      </c>
      <c r="D181" s="2864" t="s">
        <v>4089</v>
      </c>
      <c r="E181" s="219">
        <v>4000</v>
      </c>
      <c r="F181" s="217"/>
    </row>
    <row r="182" spans="1:6" ht="28.5" customHeight="1" x14ac:dyDescent="0.3">
      <c r="A182" s="2576" t="s">
        <v>2413</v>
      </c>
      <c r="B182" s="1422">
        <v>70720539</v>
      </c>
      <c r="C182" s="2860" t="s">
        <v>4093</v>
      </c>
      <c r="D182" s="736" t="s">
        <v>4089</v>
      </c>
      <c r="E182" s="219">
        <v>5000</v>
      </c>
      <c r="F182" s="217"/>
    </row>
    <row r="183" spans="1:6" ht="28.2" x14ac:dyDescent="0.3">
      <c r="A183" s="2576">
        <v>44837</v>
      </c>
      <c r="B183" s="1422">
        <v>70720539</v>
      </c>
      <c r="C183" s="2860" t="s">
        <v>4093</v>
      </c>
      <c r="D183" s="2867" t="s">
        <v>4094</v>
      </c>
      <c r="E183" s="219">
        <v>2500</v>
      </c>
      <c r="F183" s="217"/>
    </row>
    <row r="184" spans="1:6" ht="28.2" x14ac:dyDescent="0.3">
      <c r="A184" s="2477" t="s">
        <v>2151</v>
      </c>
      <c r="B184" s="1422">
        <v>70720539</v>
      </c>
      <c r="C184" s="2860" t="s">
        <v>4093</v>
      </c>
      <c r="D184" s="2867" t="s">
        <v>4094</v>
      </c>
      <c r="E184" s="219">
        <v>2500</v>
      </c>
      <c r="F184" s="217"/>
    </row>
    <row r="185" spans="1:6" ht="28.2" x14ac:dyDescent="0.3">
      <c r="A185" s="2477" t="s">
        <v>2052</v>
      </c>
      <c r="B185" s="2865">
        <v>70720539</v>
      </c>
      <c r="C185" s="2860" t="s">
        <v>4093</v>
      </c>
      <c r="D185" s="2867" t="s">
        <v>4094</v>
      </c>
      <c r="E185" s="219">
        <v>2500</v>
      </c>
      <c r="F185" s="217"/>
    </row>
    <row r="186" spans="1:6" ht="28.2" x14ac:dyDescent="0.3">
      <c r="A186" s="2576">
        <v>44896</v>
      </c>
      <c r="B186" s="2865">
        <v>70720539</v>
      </c>
      <c r="C186" s="2860" t="s">
        <v>4093</v>
      </c>
      <c r="D186" s="2867" t="s">
        <v>4094</v>
      </c>
      <c r="E186" s="2868">
        <v>2500</v>
      </c>
      <c r="F186" s="213"/>
    </row>
    <row r="187" spans="1:6" ht="28.2" x14ac:dyDescent="0.3">
      <c r="A187" s="2477" t="s">
        <v>2123</v>
      </c>
      <c r="B187" s="700">
        <v>71270077</v>
      </c>
      <c r="C187" s="2868" t="s">
        <v>4096</v>
      </c>
      <c r="D187" s="2867" t="s">
        <v>4094</v>
      </c>
      <c r="E187" s="219">
        <v>1800</v>
      </c>
      <c r="F187" s="217"/>
    </row>
    <row r="188" spans="1:6" ht="28.2" x14ac:dyDescent="0.3">
      <c r="A188" s="2576">
        <v>44867</v>
      </c>
      <c r="B188" s="2862">
        <v>71270077</v>
      </c>
      <c r="C188" s="2868" t="s">
        <v>4096</v>
      </c>
      <c r="D188" s="2867" t="s">
        <v>4089</v>
      </c>
      <c r="E188" s="219">
        <v>3600</v>
      </c>
      <c r="F188" s="217"/>
    </row>
    <row r="189" spans="1:6" ht="28.2" x14ac:dyDescent="0.3">
      <c r="A189" s="2866" t="s">
        <v>2209</v>
      </c>
      <c r="B189" s="2862">
        <v>71270077</v>
      </c>
      <c r="C189" s="2868" t="s">
        <v>4096</v>
      </c>
      <c r="D189" s="2867" t="s">
        <v>4089</v>
      </c>
      <c r="E189" s="219">
        <v>3600</v>
      </c>
      <c r="F189" s="217"/>
    </row>
    <row r="190" spans="1:6" ht="28.2" x14ac:dyDescent="0.3">
      <c r="A190" s="2576" t="s">
        <v>2137</v>
      </c>
      <c r="B190" s="2862">
        <v>71270077</v>
      </c>
      <c r="C190" s="2868" t="s">
        <v>4096</v>
      </c>
      <c r="D190" s="218" t="s">
        <v>4087</v>
      </c>
      <c r="E190" s="219">
        <v>5400</v>
      </c>
      <c r="F190" s="217"/>
    </row>
    <row r="191" spans="1:6" x14ac:dyDescent="0.3">
      <c r="A191" s="3695" t="s">
        <v>4022</v>
      </c>
      <c r="B191" s="3696"/>
      <c r="C191" s="3696"/>
      <c r="D191" s="3697"/>
      <c r="E191" s="1784">
        <f>SUM(E180:E190)</f>
        <v>37400</v>
      </c>
      <c r="F191" s="1785" t="s">
        <v>3988</v>
      </c>
    </row>
    <row r="192" spans="1:6" x14ac:dyDescent="0.3">
      <c r="A192" s="3695" t="s">
        <v>4023</v>
      </c>
      <c r="B192" s="3696"/>
      <c r="C192" s="3696"/>
      <c r="D192" s="3697"/>
      <c r="E192" s="1782">
        <f>F177-E191</f>
        <v>12600</v>
      </c>
      <c r="F192" s="1785" t="s">
        <v>3988</v>
      </c>
    </row>
    <row r="193" spans="1:6" x14ac:dyDescent="0.3">
      <c r="A193" s="222" t="s">
        <v>3988</v>
      </c>
      <c r="B193" s="223"/>
      <c r="C193" s="223"/>
      <c r="D193" s="223"/>
      <c r="E193" s="223"/>
      <c r="F193" s="224" t="s">
        <v>3988</v>
      </c>
    </row>
    <row r="194" spans="1:6" x14ac:dyDescent="0.3">
      <c r="A194" s="222" t="s">
        <v>3988</v>
      </c>
      <c r="B194" s="223"/>
      <c r="C194" s="223"/>
      <c r="D194" s="838" t="s">
        <v>4024</v>
      </c>
      <c r="E194" s="223"/>
      <c r="F194" s="224" t="s">
        <v>3988</v>
      </c>
    </row>
    <row r="195" spans="1:6" x14ac:dyDescent="0.3">
      <c r="A195" s="222" t="s">
        <v>3988</v>
      </c>
      <c r="B195" s="223"/>
      <c r="C195" s="223"/>
      <c r="D195" s="223"/>
      <c r="E195" s="223"/>
      <c r="F195" s="224" t="s">
        <v>3988</v>
      </c>
    </row>
    <row r="196" spans="1:6" ht="15.6" x14ac:dyDescent="0.35">
      <c r="A196" s="222" t="s">
        <v>3988</v>
      </c>
      <c r="B196" s="223"/>
      <c r="C196" s="223"/>
      <c r="D196" s="1431"/>
      <c r="E196" s="223"/>
      <c r="F196" s="224" t="s">
        <v>3988</v>
      </c>
    </row>
    <row r="197" spans="1:6" x14ac:dyDescent="0.3">
      <c r="A197" s="3698" t="s">
        <v>4025</v>
      </c>
      <c r="B197" s="3688"/>
      <c r="C197" s="3688"/>
      <c r="D197" s="223"/>
      <c r="E197" s="3699" t="s">
        <v>3988</v>
      </c>
      <c r="F197" s="3700"/>
    </row>
    <row r="198" spans="1:6" x14ac:dyDescent="0.3">
      <c r="A198" s="222" t="s">
        <v>3988</v>
      </c>
      <c r="B198" s="223"/>
      <c r="C198" s="223"/>
      <c r="D198" s="223"/>
      <c r="E198" s="223"/>
      <c r="F198" s="224" t="s">
        <v>3988</v>
      </c>
    </row>
    <row r="199" spans="1:6" x14ac:dyDescent="0.3">
      <c r="A199" s="220" t="s">
        <v>3988</v>
      </c>
      <c r="B199" s="1783" t="s">
        <v>3988</v>
      </c>
      <c r="C199" s="1783" t="s">
        <v>3988</v>
      </c>
      <c r="D199" s="223"/>
      <c r="E199" s="3688" t="s">
        <v>3988</v>
      </c>
      <c r="F199" s="3689"/>
    </row>
    <row r="200" spans="1:6" x14ac:dyDescent="0.3">
      <c r="A200" s="228" t="s">
        <v>3988</v>
      </c>
      <c r="B200" s="229" t="s">
        <v>3988</v>
      </c>
      <c r="C200" s="229" t="s">
        <v>3988</v>
      </c>
      <c r="D200" s="229" t="s">
        <v>3988</v>
      </c>
      <c r="E200" s="229" t="s">
        <v>3988</v>
      </c>
      <c r="F200" s="230" t="s">
        <v>3988</v>
      </c>
    </row>
  </sheetData>
  <mergeCells count="78">
    <mergeCell ref="E199:F199"/>
    <mergeCell ref="A177:C177"/>
    <mergeCell ref="D177:E177"/>
    <mergeCell ref="A191:D191"/>
    <mergeCell ref="A192:D192"/>
    <mergeCell ref="A197:C197"/>
    <mergeCell ref="E197:F197"/>
    <mergeCell ref="A171:F172"/>
    <mergeCell ref="A173:F173"/>
    <mergeCell ref="A175:C175"/>
    <mergeCell ref="D175:F175"/>
    <mergeCell ref="A176:C176"/>
    <mergeCell ref="D176:F176"/>
    <mergeCell ref="E167:F167"/>
    <mergeCell ref="A141:C141"/>
    <mergeCell ref="D141:E141"/>
    <mergeCell ref="A159:D159"/>
    <mergeCell ref="A160:D160"/>
    <mergeCell ref="A165:C165"/>
    <mergeCell ref="E165:F165"/>
    <mergeCell ref="A135:F136"/>
    <mergeCell ref="A137:F137"/>
    <mergeCell ref="A139:C139"/>
    <mergeCell ref="D139:F139"/>
    <mergeCell ref="A140:C140"/>
    <mergeCell ref="D140:F140"/>
    <mergeCell ref="E95:F95"/>
    <mergeCell ref="A69:C69"/>
    <mergeCell ref="D69:E69"/>
    <mergeCell ref="A87:D87"/>
    <mergeCell ref="A88:D88"/>
    <mergeCell ref="A93:C93"/>
    <mergeCell ref="E93:F93"/>
    <mergeCell ref="A63:F64"/>
    <mergeCell ref="A65:F65"/>
    <mergeCell ref="A67:C67"/>
    <mergeCell ref="D67:F67"/>
    <mergeCell ref="A68:C68"/>
    <mergeCell ref="D68:F68"/>
    <mergeCell ref="E59:F59"/>
    <mergeCell ref="A36:C36"/>
    <mergeCell ref="D36:E36"/>
    <mergeCell ref="A51:D51"/>
    <mergeCell ref="A52:D52"/>
    <mergeCell ref="A57:C57"/>
    <mergeCell ref="E57:F57"/>
    <mergeCell ref="A30:F31"/>
    <mergeCell ref="A32:F32"/>
    <mergeCell ref="A34:C34"/>
    <mergeCell ref="D34:F34"/>
    <mergeCell ref="A35:C35"/>
    <mergeCell ref="D35:F35"/>
    <mergeCell ref="E26:F26"/>
    <mergeCell ref="A7:C7"/>
    <mergeCell ref="D7:E7"/>
    <mergeCell ref="A18:D18"/>
    <mergeCell ref="A19:D19"/>
    <mergeCell ref="A24:C24"/>
    <mergeCell ref="E24:F24"/>
    <mergeCell ref="A1:F2"/>
    <mergeCell ref="A3:F3"/>
    <mergeCell ref="A5:C5"/>
    <mergeCell ref="D5:F5"/>
    <mergeCell ref="A6:C6"/>
    <mergeCell ref="D6:F6"/>
    <mergeCell ref="A99:F100"/>
    <mergeCell ref="A101:F101"/>
    <mergeCell ref="A103:C103"/>
    <mergeCell ref="D103:F103"/>
    <mergeCell ref="A104:C104"/>
    <mergeCell ref="D104:F104"/>
    <mergeCell ref="E131:F131"/>
    <mergeCell ref="A105:C105"/>
    <mergeCell ref="D105:E105"/>
    <mergeCell ref="A123:D123"/>
    <mergeCell ref="A124:D124"/>
    <mergeCell ref="A129:C129"/>
    <mergeCell ref="E129:F129"/>
  </mergeCells>
  <pageMargins left="0.7" right="0.7" top="0.75" bottom="0.75" header="0.3" footer="0.3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D1865"/>
  <sheetViews>
    <sheetView topLeftCell="A136" workbookViewId="0">
      <selection activeCell="D150" sqref="D150"/>
    </sheetView>
  </sheetViews>
  <sheetFormatPr baseColWidth="10" defaultColWidth="9.109375" defaultRowHeight="14.4" x14ac:dyDescent="0.3"/>
  <cols>
    <col min="1" max="1" width="17.44140625" style="2228" customWidth="1"/>
    <col min="2" max="2" width="13.44140625" customWidth="1"/>
    <col min="3" max="3" width="69.44140625" customWidth="1"/>
    <col min="4" max="4" width="79.109375" style="1082" customWidth="1"/>
    <col min="5" max="5" width="26.33203125" customWidth="1"/>
    <col min="6" max="6" width="10.5546875" customWidth="1"/>
    <col min="7" max="7" width="12.5546875" customWidth="1"/>
    <col min="8" max="8" width="24.44140625" style="1" customWidth="1"/>
    <col min="9" max="9" width="18" style="1" customWidth="1"/>
    <col min="10" max="10" width="18.5546875" customWidth="1"/>
    <col min="11" max="11" width="10.33203125" customWidth="1"/>
    <col min="12" max="12" width="54.33203125" customWidth="1"/>
    <col min="13" max="13" width="14" customWidth="1"/>
    <col min="14" max="14" width="9.5546875" customWidth="1"/>
    <col min="15" max="15" width="19" customWidth="1"/>
  </cols>
  <sheetData>
    <row r="2" spans="1:16" ht="46.2" x14ac:dyDescent="0.85">
      <c r="A2" s="3726" t="s">
        <v>4099</v>
      </c>
      <c r="B2" s="3726"/>
      <c r="C2" s="3726"/>
      <c r="D2" s="3726"/>
      <c r="E2" s="3726"/>
      <c r="F2" s="3726"/>
      <c r="G2" s="3726"/>
      <c r="H2" s="3726"/>
      <c r="I2" s="3726"/>
      <c r="J2" s="3726"/>
      <c r="O2" s="1"/>
    </row>
    <row r="3" spans="1:16" x14ac:dyDescent="0.3">
      <c r="O3" s="1"/>
    </row>
    <row r="4" spans="1:16" x14ac:dyDescent="0.3">
      <c r="A4" s="3727" t="s">
        <v>4100</v>
      </c>
      <c r="B4" s="3727"/>
      <c r="C4" s="3727"/>
      <c r="D4" s="3727"/>
      <c r="E4" s="3727"/>
      <c r="F4" s="3727"/>
      <c r="G4" s="3727"/>
      <c r="H4" s="3727"/>
      <c r="I4" s="3727"/>
      <c r="J4" s="3727"/>
      <c r="K4" s="3642" t="s">
        <v>2973</v>
      </c>
      <c r="L4" s="3642"/>
      <c r="M4" s="3642"/>
      <c r="N4" s="3642"/>
      <c r="O4" s="2"/>
    </row>
    <row r="5" spans="1:16" x14ac:dyDescent="0.3">
      <c r="A5" s="2229" t="s">
        <v>2974</v>
      </c>
      <c r="B5" s="3" t="s">
        <v>2975</v>
      </c>
      <c r="C5" s="1666" t="s">
        <v>3004</v>
      </c>
      <c r="D5" s="1083" t="s">
        <v>2977</v>
      </c>
      <c r="E5" s="32" t="s">
        <v>2978</v>
      </c>
      <c r="F5" s="1666" t="s">
        <v>2979</v>
      </c>
      <c r="G5" s="167" t="s">
        <v>2980</v>
      </c>
      <c r="H5" s="1666" t="s">
        <v>2981</v>
      </c>
      <c r="I5" s="3" t="s">
        <v>2982</v>
      </c>
      <c r="J5" s="3" t="s">
        <v>2983</v>
      </c>
      <c r="K5" s="6" t="s">
        <v>2975</v>
      </c>
      <c r="L5" s="6" t="s">
        <v>2977</v>
      </c>
      <c r="M5" s="6" t="s">
        <v>2984</v>
      </c>
      <c r="N5" s="7" t="s">
        <v>2979</v>
      </c>
      <c r="O5" s="2" t="s">
        <v>2985</v>
      </c>
    </row>
    <row r="6" spans="1:16" x14ac:dyDescent="0.3">
      <c r="A6" s="3626" t="s">
        <v>4101</v>
      </c>
      <c r="B6" s="164"/>
      <c r="C6" s="11"/>
      <c r="D6" s="160"/>
      <c r="E6" s="11"/>
      <c r="F6" s="11"/>
      <c r="G6" s="11"/>
      <c r="H6" s="2"/>
      <c r="I6" s="165"/>
      <c r="J6" s="8"/>
      <c r="K6" s="208">
        <v>10524</v>
      </c>
      <c r="L6" s="85" t="s">
        <v>4102</v>
      </c>
      <c r="M6" s="87">
        <v>1250000</v>
      </c>
      <c r="N6" s="194">
        <v>0.04</v>
      </c>
      <c r="O6" s="195">
        <f>M6*N6</f>
        <v>50000</v>
      </c>
    </row>
    <row r="7" spans="1:16" x14ac:dyDescent="0.3">
      <c r="A7" s="3626"/>
      <c r="B7" s="59"/>
      <c r="C7" s="11"/>
      <c r="D7" s="160"/>
      <c r="E7" s="11"/>
      <c r="F7" s="11"/>
      <c r="G7" s="11"/>
      <c r="H7" s="2"/>
      <c r="I7" s="166"/>
      <c r="J7" s="205"/>
      <c r="K7" s="121">
        <v>10468</v>
      </c>
      <c r="L7" s="210" t="s">
        <v>4103</v>
      </c>
      <c r="M7" s="211">
        <v>1200000</v>
      </c>
      <c r="N7" s="194">
        <v>0.04</v>
      </c>
      <c r="O7" s="195">
        <f>M7*N7</f>
        <v>48000</v>
      </c>
    </row>
    <row r="8" spans="1:16" ht="15.6" x14ac:dyDescent="0.3">
      <c r="A8" s="3626"/>
      <c r="B8" s="59"/>
      <c r="C8" s="11"/>
      <c r="D8" s="160"/>
      <c r="E8" s="11"/>
      <c r="F8" s="11"/>
      <c r="G8" s="11"/>
      <c r="H8" s="2"/>
      <c r="I8" s="166"/>
      <c r="J8" s="205"/>
      <c r="K8" s="50"/>
      <c r="L8" s="207"/>
      <c r="M8" s="209">
        <f>SUM(M6:M7)</f>
        <v>2450000</v>
      </c>
      <c r="N8" s="202"/>
      <c r="O8" s="203"/>
    </row>
    <row r="9" spans="1:16" ht="21" x14ac:dyDescent="0.4">
      <c r="A9" s="3626"/>
      <c r="B9" s="12"/>
      <c r="C9" s="12"/>
      <c r="D9" s="1084" t="s">
        <v>3524</v>
      </c>
      <c r="E9" s="13">
        <f>SUM(E6:E7)</f>
        <v>0</v>
      </c>
      <c r="F9" s="14"/>
      <c r="G9" s="15">
        <f>SUM(G6:G7)</f>
        <v>0</v>
      </c>
      <c r="H9" s="14"/>
      <c r="I9" s="12"/>
      <c r="J9" s="206"/>
      <c r="K9" s="204"/>
      <c r="L9" s="3735" t="s">
        <v>3026</v>
      </c>
      <c r="M9" s="3735"/>
      <c r="N9" s="3735"/>
      <c r="O9" s="16">
        <f>SUM(O6:O7)</f>
        <v>98000</v>
      </c>
      <c r="P9" s="191"/>
    </row>
    <row r="10" spans="1:16" x14ac:dyDescent="0.3">
      <c r="A10" s="2230"/>
      <c r="B10" s="17"/>
      <c r="C10" s="17"/>
      <c r="D10" s="1085"/>
      <c r="E10" s="19"/>
      <c r="F10" s="17"/>
      <c r="G10" s="20"/>
      <c r="H10" s="17"/>
      <c r="I10" s="17"/>
      <c r="J10" s="18"/>
      <c r="O10" s="1"/>
    </row>
    <row r="11" spans="1:16" x14ac:dyDescent="0.3">
      <c r="A11" s="3736" t="s">
        <v>4104</v>
      </c>
      <c r="B11" s="3736"/>
      <c r="C11" s="3736"/>
      <c r="D11" s="3736"/>
      <c r="E11" s="3736"/>
      <c r="F11" s="3736"/>
      <c r="G11" s="3736"/>
      <c r="H11" s="3736"/>
      <c r="I11" s="3736"/>
      <c r="J11" s="3736"/>
      <c r="K11" s="3642" t="s">
        <v>2973</v>
      </c>
      <c r="L11" s="3642"/>
      <c r="M11" s="3642"/>
      <c r="N11" s="3642"/>
      <c r="O11" s="2"/>
    </row>
    <row r="12" spans="1:16" ht="18.75" customHeight="1" x14ac:dyDescent="0.3">
      <c r="A12" s="2231" t="s">
        <v>2974</v>
      </c>
      <c r="B12" s="23" t="s">
        <v>2975</v>
      </c>
      <c r="C12" s="3" t="s">
        <v>3004</v>
      </c>
      <c r="D12" s="1086" t="s">
        <v>2977</v>
      </c>
      <c r="E12" s="24" t="s">
        <v>2978</v>
      </c>
      <c r="F12" s="3" t="s">
        <v>2979</v>
      </c>
      <c r="G12" s="25" t="s">
        <v>2980</v>
      </c>
      <c r="H12" s="26" t="s">
        <v>2981</v>
      </c>
      <c r="I12" s="3" t="s">
        <v>2982</v>
      </c>
      <c r="J12" s="6" t="s">
        <v>2983</v>
      </c>
      <c r="K12" s="6" t="s">
        <v>2975</v>
      </c>
      <c r="L12" s="6" t="s">
        <v>2977</v>
      </c>
      <c r="M12" s="6" t="s">
        <v>2984</v>
      </c>
      <c r="N12" s="7" t="s">
        <v>2979</v>
      </c>
      <c r="O12" s="2" t="s">
        <v>2985</v>
      </c>
    </row>
    <row r="13" spans="1:16" ht="18.75" customHeight="1" x14ac:dyDescent="0.3">
      <c r="A13" s="2231"/>
      <c r="B13" s="102"/>
      <c r="C13" s="103"/>
      <c r="D13" s="1087" t="s">
        <v>4105</v>
      </c>
      <c r="E13" s="104"/>
      <c r="F13" s="97"/>
      <c r="G13" s="105"/>
      <c r="H13" s="106" t="s">
        <v>4106</v>
      </c>
      <c r="I13" s="107" t="s">
        <v>27</v>
      </c>
      <c r="J13" s="108" t="s">
        <v>4107</v>
      </c>
      <c r="K13" s="109"/>
      <c r="L13" s="110"/>
      <c r="M13" s="111"/>
      <c r="N13" s="112"/>
      <c r="O13" s="113"/>
    </row>
    <row r="14" spans="1:16" x14ac:dyDescent="0.3">
      <c r="A14" s="3728" t="s">
        <v>4108</v>
      </c>
      <c r="B14" s="121">
        <v>10524</v>
      </c>
      <c r="C14" s="122">
        <v>0.1</v>
      </c>
      <c r="D14" s="1088" t="s">
        <v>4102</v>
      </c>
      <c r="E14" s="68">
        <v>1250000</v>
      </c>
      <c r="F14" s="123">
        <v>0.04</v>
      </c>
      <c r="G14" s="124">
        <f>E14*F14</f>
        <v>50000</v>
      </c>
      <c r="H14" s="125" t="s">
        <v>582</v>
      </c>
      <c r="I14" s="126" t="s">
        <v>27</v>
      </c>
      <c r="J14" s="81" t="s">
        <v>4109</v>
      </c>
      <c r="K14" s="55"/>
      <c r="L14" s="9"/>
      <c r="M14" s="54"/>
      <c r="N14" s="57"/>
      <c r="O14" s="48"/>
    </row>
    <row r="15" spans="1:16" x14ac:dyDescent="0.3">
      <c r="A15" s="3728"/>
      <c r="B15" s="121">
        <v>10543</v>
      </c>
      <c r="C15" s="122">
        <v>0.1</v>
      </c>
      <c r="D15" s="1089" t="s">
        <v>4110</v>
      </c>
      <c r="E15" s="178">
        <v>750000</v>
      </c>
      <c r="F15" s="123">
        <v>0.05</v>
      </c>
      <c r="G15" s="124">
        <f>E15*F15</f>
        <v>37500</v>
      </c>
      <c r="H15" s="125" t="s">
        <v>732</v>
      </c>
      <c r="I15" s="126" t="s">
        <v>27</v>
      </c>
      <c r="J15" s="81" t="s">
        <v>4109</v>
      </c>
      <c r="K15" s="44"/>
      <c r="L15" s="34"/>
      <c r="M15" s="34"/>
      <c r="N15" s="34"/>
      <c r="O15" s="51"/>
    </row>
    <row r="16" spans="1:16" x14ac:dyDescent="0.3">
      <c r="A16" s="3728"/>
      <c r="B16" s="196">
        <v>10570</v>
      </c>
      <c r="C16" s="197">
        <v>0.1</v>
      </c>
      <c r="D16" s="1088" t="s">
        <v>4111</v>
      </c>
      <c r="E16" s="198">
        <v>1300000</v>
      </c>
      <c r="F16" s="199">
        <v>0.08</v>
      </c>
      <c r="G16" s="124">
        <f>E16*F16</f>
        <v>104000</v>
      </c>
      <c r="H16" s="125" t="s">
        <v>4112</v>
      </c>
      <c r="I16" s="126" t="s">
        <v>27</v>
      </c>
      <c r="J16" s="81" t="s">
        <v>4109</v>
      </c>
      <c r="K16" s="44"/>
      <c r="L16" s="34"/>
      <c r="M16" s="34"/>
      <c r="N16" s="34"/>
      <c r="O16" s="51"/>
    </row>
    <row r="17" spans="1:15" x14ac:dyDescent="0.3">
      <c r="A17" s="3728"/>
      <c r="B17" s="58"/>
      <c r="C17" s="177"/>
      <c r="D17" s="201"/>
      <c r="E17" s="168"/>
      <c r="F17" s="169"/>
      <c r="G17" s="53"/>
      <c r="H17" s="56"/>
      <c r="I17" s="42"/>
      <c r="J17" s="21"/>
      <c r="K17" s="44"/>
      <c r="L17" s="34"/>
      <c r="M17" s="34"/>
      <c r="N17" s="34"/>
      <c r="O17" s="51"/>
    </row>
    <row r="18" spans="1:15" ht="24.6" x14ac:dyDescent="0.4">
      <c r="A18" s="3728"/>
      <c r="B18" s="28"/>
      <c r="C18" s="29"/>
      <c r="D18" s="1090"/>
      <c r="E18" s="179">
        <f>SUM(E14:E17)</f>
        <v>3300000</v>
      </c>
      <c r="F18" s="29"/>
      <c r="G18" s="190">
        <f>SUM(G14:G17)</f>
        <v>191500</v>
      </c>
      <c r="H18" s="1024" t="s">
        <v>3070</v>
      </c>
      <c r="I18" s="43"/>
      <c r="J18" s="31"/>
      <c r="K18" s="11"/>
      <c r="L18" s="3737" t="s">
        <v>3026</v>
      </c>
      <c r="M18" s="3737"/>
      <c r="N18" s="3737"/>
      <c r="O18" s="22"/>
    </row>
    <row r="19" spans="1:15" x14ac:dyDescent="0.3">
      <c r="A19" s="2232"/>
      <c r="B19" s="17"/>
      <c r="C19" s="17"/>
      <c r="D19" s="1085"/>
      <c r="E19" s="19"/>
      <c r="F19" s="17"/>
      <c r="G19" s="20"/>
      <c r="H19" s="17"/>
      <c r="I19" s="17"/>
      <c r="J19" s="18"/>
      <c r="O19" s="1"/>
    </row>
    <row r="20" spans="1:15" x14ac:dyDescent="0.3">
      <c r="A20" s="3727" t="s">
        <v>4113</v>
      </c>
      <c r="B20" s="3727"/>
      <c r="C20" s="3727"/>
      <c r="D20" s="3727"/>
      <c r="E20" s="3727"/>
      <c r="F20" s="3727"/>
      <c r="G20" s="3727"/>
      <c r="H20" s="3727"/>
      <c r="I20" s="3727"/>
      <c r="J20" s="3727"/>
      <c r="K20" s="3642" t="s">
        <v>2973</v>
      </c>
      <c r="L20" s="3642"/>
      <c r="M20" s="3642"/>
      <c r="N20" s="3642"/>
      <c r="O20" s="2"/>
    </row>
    <row r="21" spans="1:15" x14ac:dyDescent="0.3">
      <c r="A21" s="3738" t="s">
        <v>4114</v>
      </c>
      <c r="B21" s="3" t="s">
        <v>2975</v>
      </c>
      <c r="C21" s="3" t="s">
        <v>3004</v>
      </c>
      <c r="D21" s="1083" t="s">
        <v>2977</v>
      </c>
      <c r="E21" s="32" t="s">
        <v>2978</v>
      </c>
      <c r="F21" s="3" t="s">
        <v>2979</v>
      </c>
      <c r="G21" s="5" t="s">
        <v>2980</v>
      </c>
      <c r="H21" s="3" t="s">
        <v>2981</v>
      </c>
      <c r="I21" s="3" t="s">
        <v>4115</v>
      </c>
      <c r="J21" s="3" t="s">
        <v>2983</v>
      </c>
      <c r="K21" s="6" t="s">
        <v>2975</v>
      </c>
      <c r="L21" s="6" t="s">
        <v>2977</v>
      </c>
      <c r="M21" s="6" t="s">
        <v>2984</v>
      </c>
      <c r="N21" s="7" t="s">
        <v>2979</v>
      </c>
      <c r="O21" s="2" t="s">
        <v>2985</v>
      </c>
    </row>
    <row r="22" spans="1:15" ht="15" customHeight="1" x14ac:dyDescent="0.3">
      <c r="A22" s="3738"/>
      <c r="B22" s="65">
        <v>10478</v>
      </c>
      <c r="C22" s="66">
        <v>0.1</v>
      </c>
      <c r="D22" s="1088" t="s">
        <v>4116</v>
      </c>
      <c r="E22" s="68">
        <v>850000</v>
      </c>
      <c r="F22" s="69">
        <v>0.04</v>
      </c>
      <c r="G22" s="70">
        <f>E22*F22</f>
        <v>34000</v>
      </c>
      <c r="H22" s="71" t="s">
        <v>4117</v>
      </c>
      <c r="I22" s="72" t="s">
        <v>115</v>
      </c>
      <c r="J22" s="73" t="s">
        <v>4109</v>
      </c>
      <c r="K22" s="33"/>
      <c r="L22" s="34"/>
      <c r="M22" s="35"/>
      <c r="N22" s="36"/>
      <c r="O22" s="51"/>
    </row>
    <row r="23" spans="1:15" ht="15" customHeight="1" x14ac:dyDescent="0.3">
      <c r="A23" s="3738"/>
      <c r="B23" s="170">
        <v>10494</v>
      </c>
      <c r="C23" s="78">
        <v>0.1</v>
      </c>
      <c r="D23" s="1089" t="s">
        <v>4118</v>
      </c>
      <c r="E23" s="68">
        <v>1000000</v>
      </c>
      <c r="F23" s="76">
        <v>0.05</v>
      </c>
      <c r="G23" s="70">
        <f>E23*F23</f>
        <v>50000</v>
      </c>
      <c r="H23" s="74" t="s">
        <v>118</v>
      </c>
      <c r="I23" s="77" t="s">
        <v>115</v>
      </c>
      <c r="J23" s="73" t="s">
        <v>4109</v>
      </c>
      <c r="K23" s="33"/>
      <c r="L23" s="34"/>
      <c r="M23" s="35"/>
      <c r="N23" s="36"/>
      <c r="O23" s="51"/>
    </row>
    <row r="24" spans="1:15" ht="15" customHeight="1" x14ac:dyDescent="0.3">
      <c r="A24" s="3738"/>
      <c r="B24" s="39"/>
      <c r="C24" s="52"/>
      <c r="D24" s="1091"/>
      <c r="E24" s="62"/>
      <c r="F24" s="49"/>
      <c r="G24" s="61"/>
      <c r="H24" s="33"/>
      <c r="I24" s="33"/>
      <c r="J24" s="37"/>
      <c r="K24" s="33"/>
      <c r="L24" s="34"/>
      <c r="M24" s="35"/>
      <c r="N24" s="36"/>
      <c r="O24" s="51"/>
    </row>
    <row r="25" spans="1:15" ht="23.25" customHeight="1" x14ac:dyDescent="0.4">
      <c r="A25" s="3738"/>
      <c r="B25" s="29"/>
      <c r="C25" s="29"/>
      <c r="D25" s="1092"/>
      <c r="E25" s="30">
        <f>SUM(E22:E24)</f>
        <v>1850000</v>
      </c>
      <c r="F25" s="38"/>
      <c r="G25" s="189">
        <f>SUM(G22:G24)</f>
        <v>84000</v>
      </c>
      <c r="H25" s="1025" t="s">
        <v>3070</v>
      </c>
      <c r="I25" s="29"/>
      <c r="J25" s="27"/>
      <c r="K25" s="11"/>
      <c r="L25" s="3739" t="s">
        <v>4119</v>
      </c>
      <c r="M25" s="3739"/>
      <c r="N25" s="3739"/>
      <c r="O25" s="22">
        <f>G25</f>
        <v>84000</v>
      </c>
    </row>
    <row r="26" spans="1:15" x14ac:dyDescent="0.3">
      <c r="A26" s="2230"/>
      <c r="B26" s="17"/>
      <c r="C26" s="17"/>
      <c r="F26" s="17"/>
      <c r="O26" s="1"/>
    </row>
    <row r="28" spans="1:15" ht="15" customHeight="1" x14ac:dyDescent="0.3">
      <c r="A28" s="3729" t="s">
        <v>4120</v>
      </c>
      <c r="B28" s="3729"/>
      <c r="C28" s="3729"/>
      <c r="D28" s="3729"/>
      <c r="E28" s="3729"/>
      <c r="F28" s="3729"/>
      <c r="G28" s="3729"/>
      <c r="H28" s="3729"/>
    </row>
    <row r="29" spans="1:15" ht="15" customHeight="1" x14ac:dyDescent="0.3">
      <c r="A29" s="3729"/>
      <c r="B29" s="3729"/>
      <c r="C29" s="3729"/>
      <c r="D29" s="3729"/>
      <c r="E29" s="3729"/>
      <c r="F29" s="3729"/>
      <c r="G29" s="3729"/>
      <c r="H29" s="3729"/>
    </row>
    <row r="30" spans="1:15" x14ac:dyDescent="0.3">
      <c r="A30" s="33" t="s">
        <v>2975</v>
      </c>
      <c r="B30" s="33" t="s">
        <v>2976</v>
      </c>
      <c r="C30" s="33" t="s">
        <v>3752</v>
      </c>
      <c r="D30" s="1093" t="s">
        <v>4121</v>
      </c>
      <c r="E30" s="63" t="s">
        <v>3754</v>
      </c>
      <c r="F30" s="64" t="s">
        <v>2979</v>
      </c>
      <c r="G30" s="88" t="s">
        <v>2985</v>
      </c>
      <c r="H30" s="2" t="s">
        <v>4122</v>
      </c>
      <c r="I30" s="1" t="s">
        <v>4123</v>
      </c>
    </row>
    <row r="31" spans="1:15" x14ac:dyDescent="0.3">
      <c r="A31" s="109"/>
      <c r="B31" s="97"/>
      <c r="C31" s="98" t="s">
        <v>4124</v>
      </c>
      <c r="D31" s="1094" t="s">
        <v>4125</v>
      </c>
      <c r="E31" s="99"/>
      <c r="F31" s="100"/>
      <c r="G31" s="101">
        <f t="shared" ref="G31:G37" si="0">E31*F31</f>
        <v>0</v>
      </c>
      <c r="H31" s="1026"/>
      <c r="I31" s="1" t="s">
        <v>4126</v>
      </c>
    </row>
    <row r="32" spans="1:15" x14ac:dyDescent="0.3">
      <c r="A32" s="75">
        <v>10479</v>
      </c>
      <c r="B32" s="80">
        <v>0.1</v>
      </c>
      <c r="C32" s="81" t="s">
        <v>4127</v>
      </c>
      <c r="D32" s="1088" t="s">
        <v>3787</v>
      </c>
      <c r="E32" s="68">
        <v>1050000</v>
      </c>
      <c r="F32" s="82">
        <v>0.02</v>
      </c>
      <c r="G32" s="89">
        <f t="shared" si="0"/>
        <v>21000</v>
      </c>
      <c r="H32" s="878" t="s">
        <v>4122</v>
      </c>
      <c r="I32" s="1" t="s">
        <v>4128</v>
      </c>
    </row>
    <row r="33" spans="1:9" x14ac:dyDescent="0.3">
      <c r="A33" s="83">
        <v>10478</v>
      </c>
      <c r="B33" s="84">
        <v>0.1</v>
      </c>
      <c r="C33" s="85" t="s">
        <v>4116</v>
      </c>
      <c r="D33" s="1095" t="s">
        <v>4109</v>
      </c>
      <c r="E33" s="87">
        <v>850000</v>
      </c>
      <c r="F33" s="82">
        <v>0.02</v>
      </c>
      <c r="G33" s="89">
        <f t="shared" si="0"/>
        <v>17000</v>
      </c>
      <c r="H33" s="878" t="s">
        <v>4122</v>
      </c>
      <c r="I33" s="1" t="s">
        <v>1685</v>
      </c>
    </row>
    <row r="34" spans="1:9" x14ac:dyDescent="0.3">
      <c r="A34" s="65">
        <v>10494</v>
      </c>
      <c r="B34" s="84">
        <v>0.1</v>
      </c>
      <c r="C34" s="86" t="s">
        <v>4118</v>
      </c>
      <c r="D34" s="1095" t="s">
        <v>4109</v>
      </c>
      <c r="E34" s="87">
        <v>1000000</v>
      </c>
      <c r="F34" s="82">
        <v>0.02</v>
      </c>
      <c r="G34" s="89">
        <f t="shared" si="0"/>
        <v>20000</v>
      </c>
      <c r="H34" s="878" t="s">
        <v>4122</v>
      </c>
      <c r="I34" s="1" t="s">
        <v>1685</v>
      </c>
    </row>
    <row r="35" spans="1:9" x14ac:dyDescent="0.3">
      <c r="A35" s="75">
        <v>10524</v>
      </c>
      <c r="B35" s="114">
        <v>0.1</v>
      </c>
      <c r="C35" s="67" t="s">
        <v>4129</v>
      </c>
      <c r="D35" s="1095" t="s">
        <v>4109</v>
      </c>
      <c r="E35" s="115">
        <v>1250000</v>
      </c>
      <c r="F35" s="82">
        <v>0.02</v>
      </c>
      <c r="G35" s="89">
        <f t="shared" si="0"/>
        <v>25000</v>
      </c>
      <c r="H35" s="878" t="s">
        <v>4122</v>
      </c>
      <c r="I35" s="1" t="s">
        <v>4126</v>
      </c>
    </row>
    <row r="36" spans="1:9" x14ac:dyDescent="0.3">
      <c r="A36" s="131">
        <v>10543</v>
      </c>
      <c r="B36" s="80">
        <v>0.1</v>
      </c>
      <c r="C36" s="132" t="s">
        <v>4110</v>
      </c>
      <c r="D36" s="1096" t="s">
        <v>4130</v>
      </c>
      <c r="E36" s="134">
        <v>750000</v>
      </c>
      <c r="F36" s="82">
        <v>0.02</v>
      </c>
      <c r="G36" s="89">
        <f t="shared" si="0"/>
        <v>15000</v>
      </c>
      <c r="H36" s="878" t="s">
        <v>4122</v>
      </c>
      <c r="I36" s="1" t="s">
        <v>4126</v>
      </c>
    </row>
    <row r="37" spans="1:9" x14ac:dyDescent="0.3">
      <c r="A37" s="131">
        <v>10570</v>
      </c>
      <c r="B37" s="80">
        <v>0.1</v>
      </c>
      <c r="C37" s="132" t="s">
        <v>4131</v>
      </c>
      <c r="D37" s="1096" t="s">
        <v>4132</v>
      </c>
      <c r="E37" s="134">
        <v>1300000</v>
      </c>
      <c r="F37" s="82">
        <v>0.02</v>
      </c>
      <c r="G37" s="89">
        <f t="shared" si="0"/>
        <v>26000</v>
      </c>
      <c r="H37" s="878" t="s">
        <v>4122</v>
      </c>
      <c r="I37" s="1" t="s">
        <v>4133</v>
      </c>
    </row>
    <row r="38" spans="1:9" x14ac:dyDescent="0.3">
      <c r="A38" s="59"/>
      <c r="B38" s="36"/>
      <c r="C38" s="11"/>
      <c r="D38" s="160"/>
      <c r="E38" s="11"/>
      <c r="F38" s="11"/>
      <c r="G38" s="11"/>
      <c r="H38" s="2"/>
    </row>
    <row r="39" spans="1:9" x14ac:dyDescent="0.3">
      <c r="A39" s="59"/>
      <c r="B39" s="36"/>
      <c r="C39" s="11"/>
      <c r="D39" s="160"/>
      <c r="E39" s="11"/>
      <c r="F39" s="11"/>
      <c r="G39" s="11"/>
      <c r="H39" s="2"/>
    </row>
    <row r="40" spans="1:9" x14ac:dyDescent="0.3">
      <c r="A40" s="59"/>
      <c r="B40" s="36"/>
      <c r="C40" s="11"/>
      <c r="D40" s="160"/>
      <c r="E40" s="11"/>
      <c r="F40" s="11"/>
      <c r="G40" s="11"/>
      <c r="H40" s="2"/>
    </row>
    <row r="41" spans="1:9" x14ac:dyDescent="0.3">
      <c r="A41" s="59"/>
      <c r="B41" s="36"/>
      <c r="C41" s="11"/>
      <c r="D41" s="160"/>
      <c r="E41" s="11"/>
      <c r="F41" s="11"/>
      <c r="G41" s="11"/>
      <c r="H41" s="2"/>
    </row>
    <row r="42" spans="1:9" ht="17.399999999999999" x14ac:dyDescent="0.3">
      <c r="A42" s="46" t="s">
        <v>3070</v>
      </c>
      <c r="B42" s="11"/>
      <c r="C42" s="171"/>
      <c r="D42" s="1097"/>
      <c r="E42" s="172">
        <f>SUM(E32:E41)</f>
        <v>6200000</v>
      </c>
      <c r="F42" s="173"/>
      <c r="G42" s="188">
        <f>SUM(G32:G41)</f>
        <v>124000</v>
      </c>
      <c r="H42" s="1027" t="s">
        <v>3070</v>
      </c>
    </row>
    <row r="43" spans="1:9" x14ac:dyDescent="0.3">
      <c r="A43" s="90"/>
      <c r="E43" s="91"/>
      <c r="G43" s="92"/>
      <c r="H43" s="1028"/>
    </row>
    <row r="44" spans="1:9" x14ac:dyDescent="0.3">
      <c r="A44" s="90"/>
      <c r="E44" s="91"/>
      <c r="G44" s="92"/>
      <c r="H44" s="1028"/>
    </row>
    <row r="45" spans="1:9" ht="15" customHeight="1" x14ac:dyDescent="0.3">
      <c r="A45" s="3731" t="s">
        <v>4134</v>
      </c>
      <c r="B45" s="3731"/>
      <c r="C45" s="3731"/>
      <c r="D45" s="3731"/>
      <c r="E45" s="3731"/>
      <c r="F45" s="3731"/>
      <c r="G45" s="3731"/>
      <c r="H45" s="3731"/>
    </row>
    <row r="46" spans="1:9" ht="15" customHeight="1" x14ac:dyDescent="0.3">
      <c r="A46" s="3731"/>
      <c r="B46" s="3731"/>
      <c r="C46" s="3731"/>
      <c r="D46" s="3731"/>
      <c r="E46" s="3731"/>
      <c r="F46" s="3731"/>
      <c r="G46" s="3731"/>
      <c r="H46" s="3731"/>
    </row>
    <row r="47" spans="1:9" ht="20.399999999999999" x14ac:dyDescent="0.3">
      <c r="A47" s="46" t="s">
        <v>3751</v>
      </c>
      <c r="B47" s="116" t="s">
        <v>2976</v>
      </c>
      <c r="C47" s="33" t="s">
        <v>3752</v>
      </c>
      <c r="D47" s="1093" t="s">
        <v>4121</v>
      </c>
      <c r="E47" s="63" t="s">
        <v>3754</v>
      </c>
      <c r="F47" s="64" t="s">
        <v>2979</v>
      </c>
      <c r="G47" s="88" t="s">
        <v>2985</v>
      </c>
      <c r="H47" s="94"/>
    </row>
    <row r="48" spans="1:9" x14ac:dyDescent="0.3">
      <c r="A48" s="75" t="s">
        <v>4135</v>
      </c>
      <c r="B48" s="76">
        <v>0.1</v>
      </c>
      <c r="C48" s="180" t="s">
        <v>4127</v>
      </c>
      <c r="D48" s="1098" t="s">
        <v>3787</v>
      </c>
      <c r="E48" s="181">
        <v>1050000</v>
      </c>
      <c r="F48" s="185">
        <v>0.02</v>
      </c>
      <c r="G48" s="186">
        <f>E48*F48</f>
        <v>21000</v>
      </c>
      <c r="H48" s="50"/>
    </row>
    <row r="49" spans="1:8" x14ac:dyDescent="0.3">
      <c r="A49" s="83">
        <v>10478</v>
      </c>
      <c r="B49" s="69">
        <v>0.1</v>
      </c>
      <c r="C49" s="182" t="s">
        <v>4116</v>
      </c>
      <c r="D49" s="1096" t="s">
        <v>4109</v>
      </c>
      <c r="E49" s="183">
        <v>850000</v>
      </c>
      <c r="F49" s="185">
        <v>0.02</v>
      </c>
      <c r="G49" s="186">
        <f>E49*F49</f>
        <v>17000</v>
      </c>
      <c r="H49" s="50"/>
    </row>
    <row r="50" spans="1:8" x14ac:dyDescent="0.3">
      <c r="A50" s="184">
        <v>10494</v>
      </c>
      <c r="B50" s="69">
        <v>0.1</v>
      </c>
      <c r="C50" s="133" t="s">
        <v>4118</v>
      </c>
      <c r="D50" s="1096" t="s">
        <v>4109</v>
      </c>
      <c r="E50" s="183">
        <v>1000000</v>
      </c>
      <c r="F50" s="185">
        <v>0.02</v>
      </c>
      <c r="G50" s="186">
        <f>E50*F50</f>
        <v>20000</v>
      </c>
      <c r="H50" s="50"/>
    </row>
    <row r="51" spans="1:8" ht="24.75" customHeight="1" x14ac:dyDescent="0.3">
      <c r="A51" s="46"/>
      <c r="B51" s="117"/>
      <c r="C51" s="11"/>
      <c r="D51" s="160"/>
      <c r="E51" s="47"/>
      <c r="F51" s="11"/>
      <c r="G51" s="187">
        <f>SUM(G48:G50)</f>
        <v>58000</v>
      </c>
      <c r="H51" s="1029" t="s">
        <v>3070</v>
      </c>
    </row>
    <row r="52" spans="1:8" x14ac:dyDescent="0.3">
      <c r="A52" s="90"/>
      <c r="E52" s="91"/>
      <c r="G52" s="92"/>
      <c r="H52" s="1028"/>
    </row>
    <row r="53" spans="1:8" ht="15" customHeight="1" x14ac:dyDescent="0.3">
      <c r="A53" s="3731" t="s">
        <v>4136</v>
      </c>
      <c r="B53" s="3731"/>
      <c r="C53" s="3731"/>
      <c r="D53" s="3731"/>
      <c r="E53" s="3731"/>
      <c r="F53" s="3731"/>
      <c r="G53" s="3731"/>
      <c r="H53" s="3731"/>
    </row>
    <row r="54" spans="1:8" ht="15" customHeight="1" x14ac:dyDescent="0.3">
      <c r="A54" s="3731"/>
      <c r="B54" s="3731"/>
      <c r="C54" s="3731"/>
      <c r="D54" s="3731"/>
      <c r="E54" s="3731"/>
      <c r="F54" s="3731"/>
      <c r="G54" s="3731"/>
      <c r="H54" s="3731"/>
    </row>
    <row r="55" spans="1:8" ht="20.399999999999999" x14ac:dyDescent="0.3">
      <c r="A55" s="46" t="s">
        <v>3751</v>
      </c>
      <c r="B55" s="116" t="s">
        <v>2976</v>
      </c>
      <c r="C55" s="33" t="s">
        <v>3752</v>
      </c>
      <c r="D55" s="1093" t="s">
        <v>4121</v>
      </c>
      <c r="E55" s="63" t="s">
        <v>3754</v>
      </c>
      <c r="F55" s="64" t="s">
        <v>2979</v>
      </c>
      <c r="G55" s="88" t="s">
        <v>2985</v>
      </c>
      <c r="H55" s="94"/>
    </row>
    <row r="56" spans="1:8" x14ac:dyDescent="0.3">
      <c r="A56" s="127"/>
      <c r="B56" s="128"/>
      <c r="C56" s="175" t="s">
        <v>4137</v>
      </c>
      <c r="D56" s="1099" t="s">
        <v>4138</v>
      </c>
      <c r="E56" s="104"/>
      <c r="F56" s="129"/>
      <c r="G56" s="130"/>
      <c r="H56" s="1030"/>
    </row>
    <row r="57" spans="1:8" x14ac:dyDescent="0.3">
      <c r="A57" s="46"/>
      <c r="B57" s="174"/>
      <c r="C57" s="11"/>
      <c r="D57" s="160"/>
      <c r="E57" s="40"/>
      <c r="F57" s="95"/>
      <c r="G57" s="93"/>
      <c r="H57" s="50"/>
    </row>
    <row r="58" spans="1:8" x14ac:dyDescent="0.3">
      <c r="A58" s="46"/>
      <c r="B58" s="174"/>
      <c r="C58" s="34"/>
      <c r="D58" s="201"/>
      <c r="E58" s="40"/>
      <c r="F58" s="95"/>
      <c r="G58" s="93"/>
      <c r="H58" s="50"/>
    </row>
    <row r="59" spans="1:8" ht="17.399999999999999" x14ac:dyDescent="0.3">
      <c r="A59" s="46"/>
      <c r="B59" s="117"/>
      <c r="C59" s="171"/>
      <c r="D59" s="1097"/>
      <c r="E59" s="47"/>
      <c r="F59" s="11"/>
      <c r="G59" s="96"/>
      <c r="H59" s="1031" t="s">
        <v>3070</v>
      </c>
    </row>
    <row r="60" spans="1:8" x14ac:dyDescent="0.3">
      <c r="A60" s="90"/>
      <c r="E60" s="91"/>
      <c r="G60" s="92"/>
      <c r="H60" s="1028"/>
    </row>
    <row r="62" spans="1:8" ht="15" customHeight="1" x14ac:dyDescent="0.3">
      <c r="A62" s="3719" t="s">
        <v>4139</v>
      </c>
      <c r="B62" s="3719"/>
      <c r="C62" s="3719"/>
      <c r="D62" s="3719"/>
      <c r="E62" s="3719"/>
      <c r="F62" s="3719"/>
      <c r="G62" s="3719"/>
      <c r="H62" s="3719"/>
    </row>
    <row r="63" spans="1:8" ht="15" customHeight="1" x14ac:dyDescent="0.3">
      <c r="A63" s="3719"/>
      <c r="B63" s="3719"/>
      <c r="C63" s="3719"/>
      <c r="D63" s="3719"/>
      <c r="E63" s="3719"/>
      <c r="F63" s="3719"/>
      <c r="G63" s="3719"/>
      <c r="H63" s="3719"/>
    </row>
    <row r="64" spans="1:8" ht="15" customHeight="1" x14ac:dyDescent="0.3">
      <c r="A64" s="265"/>
      <c r="B64" s="33" t="s">
        <v>2976</v>
      </c>
      <c r="C64" s="33" t="s">
        <v>3752</v>
      </c>
      <c r="D64" s="1093" t="s">
        <v>4121</v>
      </c>
      <c r="E64" s="63" t="s">
        <v>3754</v>
      </c>
      <c r="F64" s="118" t="s">
        <v>2979</v>
      </c>
      <c r="G64" s="88" t="s">
        <v>2985</v>
      </c>
      <c r="H64" s="94"/>
    </row>
    <row r="65" spans="1:8" x14ac:dyDescent="0.3">
      <c r="A65" s="2233">
        <v>10524</v>
      </c>
      <c r="B65" s="119">
        <v>0.1</v>
      </c>
      <c r="C65" s="67" t="s">
        <v>4129</v>
      </c>
      <c r="D65" s="1088" t="s">
        <v>4109</v>
      </c>
      <c r="E65" s="67">
        <v>1250000</v>
      </c>
      <c r="F65" s="192">
        <v>0.02</v>
      </c>
      <c r="G65" s="120">
        <f>E65*F65</f>
        <v>25000</v>
      </c>
      <c r="H65" s="51"/>
    </row>
    <row r="66" spans="1:8" x14ac:dyDescent="0.3">
      <c r="A66" s="135">
        <v>10543</v>
      </c>
      <c r="B66" s="119">
        <v>0.1</v>
      </c>
      <c r="C66" s="132" t="s">
        <v>4110</v>
      </c>
      <c r="D66" s="1098" t="s">
        <v>4109</v>
      </c>
      <c r="E66" s="67">
        <v>750000</v>
      </c>
      <c r="F66" s="192">
        <v>0.02</v>
      </c>
      <c r="G66" s="120">
        <f>E66*F66</f>
        <v>15000</v>
      </c>
      <c r="H66" s="51"/>
    </row>
    <row r="67" spans="1:8" x14ac:dyDescent="0.3">
      <c r="A67" s="2233">
        <v>10570</v>
      </c>
      <c r="B67" s="119">
        <v>0.1</v>
      </c>
      <c r="C67" s="132" t="s">
        <v>4131</v>
      </c>
      <c r="D67" s="1098" t="s">
        <v>4109</v>
      </c>
      <c r="E67" s="67">
        <v>1300000</v>
      </c>
      <c r="F67" s="192">
        <v>0.02</v>
      </c>
      <c r="G67" s="120">
        <f>E67*F67</f>
        <v>26000</v>
      </c>
      <c r="H67" s="51"/>
    </row>
    <row r="68" spans="1:8" x14ac:dyDescent="0.3">
      <c r="A68" s="265"/>
      <c r="B68" s="11"/>
      <c r="C68" s="60"/>
      <c r="D68" s="1100"/>
      <c r="E68" s="11"/>
      <c r="F68" s="10"/>
      <c r="G68" s="10"/>
      <c r="H68" s="2"/>
    </row>
    <row r="69" spans="1:8" ht="17.399999999999999" x14ac:dyDescent="0.3">
      <c r="A69" s="265"/>
      <c r="B69" s="11"/>
      <c r="C69" s="11"/>
      <c r="D69" s="160"/>
      <c r="E69" s="11">
        <f>SUM(E65:E68)</f>
        <v>3300000</v>
      </c>
      <c r="F69" s="10"/>
      <c r="G69" s="193">
        <f>SUM(G65:G68)</f>
        <v>66000</v>
      </c>
      <c r="H69" s="1032" t="s">
        <v>3070</v>
      </c>
    </row>
    <row r="72" spans="1:8" x14ac:dyDescent="0.3">
      <c r="A72" s="3720" t="s">
        <v>3064</v>
      </c>
      <c r="B72" s="3720"/>
      <c r="C72" s="79"/>
      <c r="D72" s="1101">
        <v>6200000</v>
      </c>
    </row>
    <row r="73" spans="1:8" x14ac:dyDescent="0.3">
      <c r="A73" s="3721" t="s">
        <v>3065</v>
      </c>
      <c r="B73" s="3721"/>
      <c r="C73" s="41"/>
      <c r="D73" s="1102"/>
    </row>
    <row r="74" spans="1:8" x14ac:dyDescent="0.3">
      <c r="A74" s="3722" t="s">
        <v>3066</v>
      </c>
      <c r="B74" s="3722"/>
      <c r="C74" s="45"/>
      <c r="D74" s="1103"/>
    </row>
    <row r="75" spans="1:8" x14ac:dyDescent="0.3">
      <c r="A75" s="3725" t="s">
        <v>3068</v>
      </c>
      <c r="B75" s="3725"/>
      <c r="C75" s="45"/>
      <c r="D75" s="1104">
        <v>1800000</v>
      </c>
    </row>
    <row r="76" spans="1:8" x14ac:dyDescent="0.3">
      <c r="A76" s="2234"/>
      <c r="B76" s="43" t="s">
        <v>3070</v>
      </c>
      <c r="C76" s="43"/>
      <c r="D76" s="1105"/>
    </row>
    <row r="83" spans="1:15" ht="46.2" x14ac:dyDescent="0.85">
      <c r="A83" s="3732" t="s">
        <v>4140</v>
      </c>
      <c r="B83" s="3732"/>
      <c r="C83" s="3732"/>
      <c r="D83" s="3732"/>
      <c r="E83" s="3732"/>
      <c r="F83" s="3732"/>
      <c r="G83" s="3732"/>
      <c r="H83" s="3732"/>
      <c r="I83" s="3732"/>
      <c r="J83" s="3732"/>
      <c r="O83" s="1"/>
    </row>
    <row r="84" spans="1:15" x14ac:dyDescent="0.3">
      <c r="O84" s="1"/>
    </row>
    <row r="85" spans="1:15" ht="21" x14ac:dyDescent="0.4">
      <c r="A85" s="3733" t="s">
        <v>2972</v>
      </c>
      <c r="B85" s="3733"/>
      <c r="C85" s="3733"/>
      <c r="D85" s="3733"/>
      <c r="E85" s="3733"/>
      <c r="F85" s="3733"/>
      <c r="G85" s="3733"/>
      <c r="H85" s="3733"/>
      <c r="I85" s="3733"/>
      <c r="J85" s="3733"/>
      <c r="K85" s="3642" t="s">
        <v>2973</v>
      </c>
      <c r="L85" s="3642"/>
      <c r="M85" s="3642"/>
      <c r="N85" s="3642"/>
      <c r="O85" s="2"/>
    </row>
    <row r="86" spans="1:15" x14ac:dyDescent="0.3">
      <c r="A86" s="2229" t="s">
        <v>2974</v>
      </c>
      <c r="B86" s="3" t="s">
        <v>2975</v>
      </c>
      <c r="C86" s="3" t="s">
        <v>3004</v>
      </c>
      <c r="D86" s="1086" t="s">
        <v>2977</v>
      </c>
      <c r="E86" s="4" t="s">
        <v>2978</v>
      </c>
      <c r="F86" s="3" t="s">
        <v>2979</v>
      </c>
      <c r="G86" s="5" t="s">
        <v>2980</v>
      </c>
      <c r="H86" s="3" t="s">
        <v>2981</v>
      </c>
      <c r="I86" s="3" t="s">
        <v>2982</v>
      </c>
      <c r="J86" s="3" t="s">
        <v>2983</v>
      </c>
      <c r="K86" s="6" t="s">
        <v>2975</v>
      </c>
      <c r="L86" s="6" t="s">
        <v>2977</v>
      </c>
      <c r="M86" s="6" t="s">
        <v>2984</v>
      </c>
      <c r="N86" s="7" t="s">
        <v>2979</v>
      </c>
      <c r="O86" s="2" t="s">
        <v>2985</v>
      </c>
    </row>
    <row r="87" spans="1:15" x14ac:dyDescent="0.3">
      <c r="A87" s="2235"/>
      <c r="B87" s="299"/>
      <c r="C87" s="300"/>
      <c r="D87" s="1106" t="s">
        <v>4141</v>
      </c>
      <c r="E87" s="301"/>
      <c r="F87" s="300"/>
      <c r="G87" s="302"/>
      <c r="H87" s="299"/>
      <c r="I87" s="303"/>
      <c r="J87" s="291"/>
      <c r="K87" s="292"/>
      <c r="L87" s="293"/>
      <c r="M87" s="292"/>
      <c r="N87" s="293"/>
      <c r="O87" s="294"/>
    </row>
    <row r="88" spans="1:15" ht="15" customHeight="1" x14ac:dyDescent="0.3">
      <c r="A88" s="3626" t="s">
        <v>2986</v>
      </c>
      <c r="B88" s="561">
        <v>10618</v>
      </c>
      <c r="C88" s="304">
        <v>0.1</v>
      </c>
      <c r="D88" s="1107" t="s">
        <v>4142</v>
      </c>
      <c r="E88" s="305">
        <v>1500000</v>
      </c>
      <c r="F88" s="281">
        <v>0.1</v>
      </c>
      <c r="G88" s="276">
        <f t="shared" ref="G88:G94" si="1">E88*F88</f>
        <v>150000</v>
      </c>
      <c r="H88" s="306" t="s">
        <v>582</v>
      </c>
      <c r="I88" s="307" t="s">
        <v>4143</v>
      </c>
      <c r="J88" s="288"/>
      <c r="K88" s="308"/>
      <c r="L88" s="295"/>
      <c r="M88" s="309"/>
      <c r="N88" s="296"/>
      <c r="O88" s="297"/>
    </row>
    <row r="89" spans="1:15" ht="15" customHeight="1" x14ac:dyDescent="0.3">
      <c r="A89" s="3626"/>
      <c r="B89" s="562">
        <v>10626</v>
      </c>
      <c r="C89" s="310">
        <v>0.1</v>
      </c>
      <c r="D89" s="1108" t="s">
        <v>4144</v>
      </c>
      <c r="E89" s="312">
        <v>1100000</v>
      </c>
      <c r="F89" s="313">
        <v>0.1</v>
      </c>
      <c r="G89" s="276">
        <f t="shared" si="1"/>
        <v>110000</v>
      </c>
      <c r="H89" s="314" t="s">
        <v>582</v>
      </c>
      <c r="I89" s="315" t="s">
        <v>133</v>
      </c>
      <c r="J89" s="288"/>
      <c r="K89" s="316"/>
      <c r="L89" s="298"/>
      <c r="M89" s="317"/>
      <c r="N89" s="296"/>
      <c r="O89" s="297"/>
    </row>
    <row r="90" spans="1:15" ht="15" customHeight="1" x14ac:dyDescent="0.3">
      <c r="A90" s="3626"/>
      <c r="B90" s="563">
        <v>10776</v>
      </c>
      <c r="C90" s="443">
        <v>0.1</v>
      </c>
      <c r="D90" s="1109" t="s">
        <v>4145</v>
      </c>
      <c r="E90" s="305">
        <v>1100000</v>
      </c>
      <c r="F90" s="281">
        <v>0.1</v>
      </c>
      <c r="G90" s="276">
        <f t="shared" si="1"/>
        <v>110000</v>
      </c>
      <c r="H90" s="306" t="s">
        <v>582</v>
      </c>
      <c r="I90" s="307" t="s">
        <v>133</v>
      </c>
      <c r="J90" s="288"/>
      <c r="K90" s="316"/>
      <c r="L90" s="298"/>
      <c r="M90" s="317"/>
      <c r="N90" s="296"/>
      <c r="O90" s="297"/>
    </row>
    <row r="91" spans="1:15" ht="15" customHeight="1" x14ac:dyDescent="0.3">
      <c r="A91" s="3626"/>
      <c r="B91" s="563">
        <v>10664</v>
      </c>
      <c r="C91" s="322">
        <v>0.1</v>
      </c>
      <c r="D91" s="1110" t="s">
        <v>4146</v>
      </c>
      <c r="E91" s="305">
        <v>950000</v>
      </c>
      <c r="F91" s="281">
        <v>0.06</v>
      </c>
      <c r="G91" s="276">
        <f t="shared" si="1"/>
        <v>57000</v>
      </c>
      <c r="H91" s="306" t="s">
        <v>732</v>
      </c>
      <c r="I91" s="307" t="s">
        <v>32</v>
      </c>
      <c r="J91" s="288"/>
      <c r="K91" s="316"/>
      <c r="L91" s="298"/>
      <c r="M91" s="323"/>
      <c r="N91" s="296"/>
      <c r="O91" s="297"/>
    </row>
    <row r="92" spans="1:15" ht="15" customHeight="1" x14ac:dyDescent="0.3">
      <c r="A92" s="3626"/>
      <c r="B92" s="563">
        <v>10720</v>
      </c>
      <c r="C92" s="322">
        <v>0.1</v>
      </c>
      <c r="D92" s="1110" t="s">
        <v>4147</v>
      </c>
      <c r="E92" s="305">
        <v>1350000</v>
      </c>
      <c r="F92" s="281">
        <v>0.1</v>
      </c>
      <c r="G92" s="276">
        <f t="shared" si="1"/>
        <v>135000</v>
      </c>
      <c r="H92" s="306" t="s">
        <v>582</v>
      </c>
      <c r="I92" s="307" t="s">
        <v>133</v>
      </c>
      <c r="J92" s="288"/>
      <c r="K92" s="316"/>
      <c r="L92" s="298"/>
      <c r="M92" s="323"/>
      <c r="N92" s="296"/>
      <c r="O92" s="297"/>
    </row>
    <row r="93" spans="1:15" ht="15" customHeight="1" x14ac:dyDescent="0.3">
      <c r="A93" s="3626"/>
      <c r="B93" s="563">
        <v>10781</v>
      </c>
      <c r="C93" s="322">
        <v>0.1</v>
      </c>
      <c r="D93" s="1110" t="s">
        <v>4148</v>
      </c>
      <c r="E93" s="305">
        <v>1150000</v>
      </c>
      <c r="F93" s="281">
        <v>0.1</v>
      </c>
      <c r="G93" s="276">
        <f t="shared" si="1"/>
        <v>115000</v>
      </c>
      <c r="H93" s="306" t="s">
        <v>582</v>
      </c>
      <c r="I93" s="307" t="s">
        <v>133</v>
      </c>
      <c r="J93" s="288"/>
      <c r="K93" s="316"/>
      <c r="L93" s="298"/>
      <c r="M93" s="323"/>
      <c r="N93" s="296"/>
      <c r="O93" s="297"/>
    </row>
    <row r="94" spans="1:15" ht="15" customHeight="1" x14ac:dyDescent="0.3">
      <c r="A94" s="3626"/>
      <c r="B94" s="564">
        <v>10768</v>
      </c>
      <c r="C94" s="322">
        <v>0.1</v>
      </c>
      <c r="D94" s="1110" t="s">
        <v>4149</v>
      </c>
      <c r="E94" s="305">
        <v>1200000</v>
      </c>
      <c r="F94" s="281">
        <v>0.1</v>
      </c>
      <c r="G94" s="276">
        <f t="shared" si="1"/>
        <v>120000</v>
      </c>
      <c r="H94" s="306" t="s">
        <v>582</v>
      </c>
      <c r="I94" s="307" t="s">
        <v>32</v>
      </c>
      <c r="J94" s="288"/>
      <c r="K94" s="316"/>
      <c r="L94" s="298"/>
      <c r="M94" s="323"/>
      <c r="N94" s="296"/>
      <c r="O94" s="297"/>
    </row>
    <row r="95" spans="1:15" ht="15" customHeight="1" x14ac:dyDescent="0.3">
      <c r="A95" s="3626"/>
      <c r="B95" s="325"/>
      <c r="C95" s="326"/>
      <c r="D95" s="1111"/>
      <c r="E95" s="319"/>
      <c r="F95" s="320"/>
      <c r="G95" s="321"/>
      <c r="H95" s="307"/>
      <c r="I95" s="307"/>
      <c r="J95" s="290"/>
      <c r="K95" s="307"/>
      <c r="L95" s="298"/>
      <c r="M95" s="327"/>
      <c r="N95" s="296"/>
      <c r="O95" s="297"/>
    </row>
    <row r="96" spans="1:15" ht="15" customHeight="1" x14ac:dyDescent="0.3">
      <c r="A96" s="3626"/>
      <c r="B96" s="452"/>
      <c r="C96" s="453"/>
      <c r="D96" s="1112" t="s">
        <v>3000</v>
      </c>
      <c r="E96" s="454">
        <f>SUM(E88:E95)</f>
        <v>8350000</v>
      </c>
      <c r="F96" s="455"/>
      <c r="G96" s="456">
        <f>SUM(G88:G95)</f>
        <v>797000</v>
      </c>
      <c r="H96" s="455"/>
      <c r="I96" s="452"/>
      <c r="J96" s="457"/>
      <c r="K96" s="458"/>
      <c r="L96" s="3734" t="s">
        <v>4150</v>
      </c>
      <c r="M96" s="3734"/>
      <c r="N96" s="3734"/>
      <c r="O96" s="551">
        <v>797000</v>
      </c>
    </row>
    <row r="97" spans="1:15" ht="15.6" x14ac:dyDescent="0.3">
      <c r="A97" s="3626"/>
      <c r="B97" s="204"/>
      <c r="C97" s="204"/>
      <c r="D97" s="1113" t="s">
        <v>3764</v>
      </c>
      <c r="E97" s="459">
        <f>G96</f>
        <v>797000</v>
      </c>
      <c r="F97" s="204"/>
      <c r="G97" s="451"/>
      <c r="H97" s="204"/>
      <c r="I97" s="204"/>
      <c r="J97" s="450"/>
      <c r="K97" s="11"/>
      <c r="L97" s="11"/>
      <c r="M97" s="11"/>
      <c r="N97" s="11"/>
      <c r="O97" s="2"/>
    </row>
    <row r="98" spans="1:15" x14ac:dyDescent="0.3">
      <c r="A98" s="2230"/>
      <c r="B98" s="17"/>
      <c r="C98" s="17"/>
      <c r="D98" s="1085"/>
      <c r="E98" s="19"/>
      <c r="F98" s="17"/>
      <c r="G98" s="20"/>
      <c r="H98" s="17"/>
      <c r="I98" s="17"/>
      <c r="J98" s="18"/>
      <c r="O98" s="1"/>
    </row>
    <row r="99" spans="1:15" x14ac:dyDescent="0.3">
      <c r="A99" s="2230"/>
      <c r="B99" s="17"/>
      <c r="C99" s="17"/>
      <c r="D99" s="1085"/>
      <c r="E99" s="19"/>
      <c r="F99" s="17"/>
      <c r="G99" s="20"/>
      <c r="H99" s="17"/>
      <c r="I99" s="17"/>
      <c r="J99" s="18"/>
      <c r="O99" s="1"/>
    </row>
    <row r="100" spans="1:15" ht="21" x14ac:dyDescent="0.4">
      <c r="A100" s="3730" t="s">
        <v>4151</v>
      </c>
      <c r="B100" s="3730"/>
      <c r="C100" s="3730"/>
      <c r="D100" s="3730"/>
      <c r="E100" s="3730"/>
      <c r="F100" s="3730"/>
      <c r="G100" s="3730"/>
      <c r="H100" s="3730"/>
      <c r="I100" s="3730"/>
      <c r="J100" s="3730"/>
      <c r="K100" s="3642" t="s">
        <v>2973</v>
      </c>
      <c r="L100" s="3642"/>
      <c r="M100" s="3642"/>
      <c r="N100" s="3642"/>
      <c r="O100" s="2"/>
    </row>
    <row r="101" spans="1:15" x14ac:dyDescent="0.3">
      <c r="A101" s="2231" t="s">
        <v>2974</v>
      </c>
      <c r="B101" s="23" t="s">
        <v>2975</v>
      </c>
      <c r="C101" s="3" t="s">
        <v>3004</v>
      </c>
      <c r="D101" s="1086" t="s">
        <v>2977</v>
      </c>
      <c r="E101" s="24" t="s">
        <v>2978</v>
      </c>
      <c r="F101" s="3" t="s">
        <v>2979</v>
      </c>
      <c r="G101" s="25" t="s">
        <v>2980</v>
      </c>
      <c r="H101" s="26" t="s">
        <v>2981</v>
      </c>
      <c r="I101" s="3" t="s">
        <v>2982</v>
      </c>
      <c r="J101" s="6" t="s">
        <v>2983</v>
      </c>
      <c r="K101" s="26" t="s">
        <v>2975</v>
      </c>
      <c r="L101" s="26" t="s">
        <v>2977</v>
      </c>
      <c r="M101" s="26" t="s">
        <v>2984</v>
      </c>
      <c r="N101" s="267" t="s">
        <v>2979</v>
      </c>
      <c r="O101" s="268" t="s">
        <v>2985</v>
      </c>
    </row>
    <row r="102" spans="1:15" x14ac:dyDescent="0.3">
      <c r="A102" s="3714" t="s">
        <v>4152</v>
      </c>
      <c r="B102" s="343"/>
      <c r="C102" s="362"/>
      <c r="D102" s="776" t="s">
        <v>4153</v>
      </c>
      <c r="E102" s="363"/>
      <c r="F102" s="344"/>
      <c r="G102" s="364"/>
      <c r="H102" s="328" t="s">
        <v>4133</v>
      </c>
      <c r="I102" s="329" t="s">
        <v>133</v>
      </c>
      <c r="J102" s="437"/>
      <c r="K102" s="439">
        <v>10628</v>
      </c>
      <c r="L102" s="440" t="s">
        <v>4154</v>
      </c>
      <c r="M102" s="441">
        <v>1200000</v>
      </c>
      <c r="N102" s="310">
        <v>0.04</v>
      </c>
      <c r="O102" s="306">
        <f>M102*N102</f>
        <v>48000</v>
      </c>
    </row>
    <row r="103" spans="1:15" x14ac:dyDescent="0.3">
      <c r="A103" s="3714"/>
      <c r="B103" s="343"/>
      <c r="C103" s="362"/>
      <c r="D103" s="926" t="s">
        <v>4155</v>
      </c>
      <c r="E103" s="363"/>
      <c r="F103" s="344"/>
      <c r="G103" s="364"/>
      <c r="H103" s="328" t="s">
        <v>582</v>
      </c>
      <c r="I103" s="329" t="s">
        <v>32</v>
      </c>
      <c r="J103" s="437"/>
      <c r="K103" s="436"/>
      <c r="L103" s="438"/>
      <c r="M103" s="436"/>
      <c r="N103" s="436"/>
      <c r="O103" s="294"/>
    </row>
    <row r="104" spans="1:15" x14ac:dyDescent="0.3">
      <c r="A104" s="3714"/>
      <c r="B104" s="563">
        <v>10721</v>
      </c>
      <c r="C104" s="365">
        <v>0.1</v>
      </c>
      <c r="D104" s="1114" t="s">
        <v>4156</v>
      </c>
      <c r="E104" s="366">
        <v>1000000</v>
      </c>
      <c r="F104" s="281">
        <v>0.04</v>
      </c>
      <c r="G104" s="367">
        <f>E104*F104</f>
        <v>40000</v>
      </c>
      <c r="H104" s="330" t="s">
        <v>4128</v>
      </c>
      <c r="I104" s="331" t="s">
        <v>133</v>
      </c>
      <c r="J104" s="435"/>
      <c r="K104" s="437"/>
      <c r="L104" s="436"/>
      <c r="M104" s="436"/>
      <c r="N104" s="436"/>
      <c r="O104" s="294"/>
    </row>
    <row r="105" spans="1:15" x14ac:dyDescent="0.3">
      <c r="A105" s="3714"/>
      <c r="B105" s="565">
        <v>10652</v>
      </c>
      <c r="C105" s="365">
        <v>0.1</v>
      </c>
      <c r="D105" s="590" t="s">
        <v>4157</v>
      </c>
      <c r="E105" s="368">
        <v>1750000</v>
      </c>
      <c r="F105" s="369">
        <v>0.04</v>
      </c>
      <c r="G105" s="367">
        <f>E105*F105</f>
        <v>70000</v>
      </c>
      <c r="H105" s="337" t="s">
        <v>118</v>
      </c>
      <c r="I105" s="331" t="s">
        <v>4143</v>
      </c>
      <c r="J105" s="332"/>
      <c r="K105" s="430"/>
      <c r="L105" s="431"/>
      <c r="M105" s="432"/>
      <c r="N105" s="433"/>
      <c r="O105" s="434"/>
    </row>
    <row r="106" spans="1:15" x14ac:dyDescent="0.3">
      <c r="A106" s="3714"/>
      <c r="B106" s="563">
        <v>10623</v>
      </c>
      <c r="C106" s="370">
        <v>0.1</v>
      </c>
      <c r="D106" s="997" t="s">
        <v>4158</v>
      </c>
      <c r="E106" s="422">
        <v>880000</v>
      </c>
      <c r="F106" s="313">
        <v>0.04</v>
      </c>
      <c r="G106" s="486">
        <f>E106*F106</f>
        <v>35200</v>
      </c>
      <c r="H106" s="330" t="s">
        <v>732</v>
      </c>
      <c r="I106" s="331" t="s">
        <v>4143</v>
      </c>
      <c r="J106" s="332"/>
      <c r="K106" s="371"/>
      <c r="L106" s="290"/>
      <c r="M106" s="372"/>
      <c r="N106" s="351"/>
      <c r="O106" s="297"/>
    </row>
    <row r="107" spans="1:15" x14ac:dyDescent="0.3">
      <c r="A107" s="3714"/>
      <c r="B107" s="563">
        <v>10662</v>
      </c>
      <c r="C107" s="370">
        <v>0.1</v>
      </c>
      <c r="D107" s="1109" t="s">
        <v>4159</v>
      </c>
      <c r="E107" s="505">
        <v>600000</v>
      </c>
      <c r="F107" s="281">
        <v>0.04</v>
      </c>
      <c r="G107" s="506">
        <f>E107*F107</f>
        <v>24000</v>
      </c>
      <c r="H107" s="487" t="s">
        <v>4160</v>
      </c>
      <c r="I107" s="488" t="s">
        <v>133</v>
      </c>
      <c r="J107" s="334"/>
      <c r="K107" s="318"/>
      <c r="L107" s="298"/>
      <c r="M107" s="298"/>
      <c r="N107" s="298"/>
      <c r="O107" s="307"/>
    </row>
    <row r="108" spans="1:15" x14ac:dyDescent="0.3">
      <c r="A108" s="3714"/>
      <c r="B108" s="566">
        <v>10801</v>
      </c>
      <c r="C108" s="504">
        <v>0.1</v>
      </c>
      <c r="D108" s="1115" t="s">
        <v>4161</v>
      </c>
      <c r="E108" s="516">
        <v>850000</v>
      </c>
      <c r="F108" s="313">
        <v>0.08</v>
      </c>
      <c r="G108" s="517">
        <f>E108*F108</f>
        <v>68000</v>
      </c>
      <c r="H108" s="507" t="s">
        <v>4112</v>
      </c>
      <c r="I108" s="338" t="s">
        <v>133</v>
      </c>
      <c r="J108" s="332"/>
      <c r="K108" s="484"/>
      <c r="L108" s="352"/>
      <c r="M108" s="352"/>
      <c r="N108" s="352"/>
      <c r="O108" s="315"/>
    </row>
    <row r="109" spans="1:15" s="511" customFormat="1" x14ac:dyDescent="0.3">
      <c r="A109" s="3714"/>
      <c r="B109" s="509"/>
      <c r="C109" s="510"/>
      <c r="D109" s="1058"/>
      <c r="E109" s="512"/>
      <c r="F109" s="320"/>
      <c r="G109" s="513"/>
      <c r="H109" s="371"/>
      <c r="I109" s="316"/>
      <c r="J109" s="335"/>
      <c r="K109" s="484"/>
      <c r="L109" s="508"/>
      <c r="M109" s="508"/>
      <c r="N109" s="508"/>
      <c r="O109" s="447">
        <f>SUM(O102:O108)</f>
        <v>48000</v>
      </c>
    </row>
    <row r="110" spans="1:15" x14ac:dyDescent="0.3">
      <c r="A110" s="3714"/>
      <c r="B110" s="445"/>
      <c r="C110" s="515"/>
      <c r="D110" s="1116" t="s">
        <v>3000</v>
      </c>
      <c r="E110" s="483">
        <f>SUM(E104:E108)</f>
        <v>5080000</v>
      </c>
      <c r="F110" s="514"/>
      <c r="G110" s="483">
        <f>SUM(G104:G108)</f>
        <v>237200</v>
      </c>
      <c r="H110" s="918"/>
      <c r="I110" s="514"/>
      <c r="J110" s="342"/>
      <c r="K110" s="485">
        <v>0</v>
      </c>
      <c r="L110" s="3711" t="s">
        <v>4162</v>
      </c>
      <c r="M110" s="3711"/>
      <c r="N110" s="3711"/>
      <c r="O110" s="552">
        <f>G110+O109</f>
        <v>285200</v>
      </c>
    </row>
    <row r="111" spans="1:15" ht="15.6" x14ac:dyDescent="0.3">
      <c r="A111" s="3714"/>
      <c r="B111" s="460"/>
      <c r="C111" s="460"/>
      <c r="D111" s="1117" t="s">
        <v>3764</v>
      </c>
      <c r="E111" s="518">
        <f>G110+O109</f>
        <v>285200</v>
      </c>
      <c r="F111" s="458"/>
      <c r="G111" s="489"/>
      <c r="H111" s="458"/>
      <c r="I111" s="458"/>
      <c r="J111" s="490"/>
      <c r="K111" s="461"/>
      <c r="L111" s="462"/>
      <c r="M111" s="462"/>
      <c r="N111" s="462"/>
      <c r="O111" s="463"/>
    </row>
    <row r="112" spans="1:15" ht="15.6" x14ac:dyDescent="0.3">
      <c r="A112" s="2236"/>
      <c r="B112" s="464"/>
      <c r="C112" s="464"/>
      <c r="D112" s="1118"/>
      <c r="E112" s="466"/>
      <c r="F112" s="464"/>
      <c r="G112" s="467"/>
      <c r="H112" s="464"/>
      <c r="I112" s="464"/>
      <c r="J112" s="465"/>
      <c r="K112" s="468"/>
      <c r="L112" s="469"/>
      <c r="M112" s="469"/>
      <c r="N112" s="469"/>
      <c r="O112" s="463"/>
    </row>
    <row r="113" spans="1:15" ht="15.6" x14ac:dyDescent="0.3">
      <c r="A113" s="2237"/>
      <c r="B113" s="470"/>
      <c r="C113" s="470"/>
      <c r="D113" s="1119"/>
      <c r="E113" s="472"/>
      <c r="F113" s="470"/>
      <c r="G113" s="473"/>
      <c r="H113" s="470"/>
      <c r="I113" s="470"/>
      <c r="J113" s="471"/>
      <c r="K113" s="448"/>
      <c r="L113" s="449"/>
      <c r="M113" s="449"/>
      <c r="N113" s="449"/>
      <c r="O113" s="474"/>
    </row>
    <row r="114" spans="1:15" ht="17.399999999999999" x14ac:dyDescent="0.3">
      <c r="A114" s="3712" t="s">
        <v>4163</v>
      </c>
      <c r="B114" s="3712"/>
      <c r="C114" s="3712"/>
      <c r="D114" s="3712"/>
      <c r="E114" s="3712"/>
      <c r="F114" s="3712"/>
      <c r="G114" s="3712"/>
      <c r="H114" s="3712"/>
      <c r="I114" s="3712"/>
      <c r="J114" s="3712"/>
      <c r="K114" s="3713" t="s">
        <v>2973</v>
      </c>
      <c r="L114" s="3713"/>
      <c r="M114" s="3713"/>
      <c r="N114" s="3713"/>
      <c r="O114" s="430"/>
    </row>
    <row r="115" spans="1:15" x14ac:dyDescent="0.3">
      <c r="A115" s="3723" t="s">
        <v>4164</v>
      </c>
      <c r="B115" s="480" t="s">
        <v>2975</v>
      </c>
      <c r="C115" s="353" t="s">
        <v>3004</v>
      </c>
      <c r="D115" s="1120" t="s">
        <v>2977</v>
      </c>
      <c r="E115" s="354" t="s">
        <v>2978</v>
      </c>
      <c r="F115" s="353" t="s">
        <v>2979</v>
      </c>
      <c r="G115" s="391" t="s">
        <v>2980</v>
      </c>
      <c r="H115" s="353" t="s">
        <v>2981</v>
      </c>
      <c r="I115" s="353" t="s">
        <v>4115</v>
      </c>
      <c r="J115" s="353" t="s">
        <v>2983</v>
      </c>
      <c r="K115" s="345" t="s">
        <v>2975</v>
      </c>
      <c r="L115" s="345" t="s">
        <v>2977</v>
      </c>
      <c r="M115" s="345" t="s">
        <v>2984</v>
      </c>
      <c r="N115" s="346" t="s">
        <v>2979</v>
      </c>
      <c r="O115" s="347" t="s">
        <v>2985</v>
      </c>
    </row>
    <row r="116" spans="1:15" x14ac:dyDescent="0.3">
      <c r="A116" s="3723"/>
      <c r="B116" s="481"/>
      <c r="C116" s="355"/>
      <c r="D116" s="385" t="s">
        <v>4165</v>
      </c>
      <c r="E116" s="356"/>
      <c r="F116" s="355"/>
      <c r="G116" s="386"/>
      <c r="H116" s="355"/>
      <c r="I116" s="355"/>
      <c r="J116" s="303"/>
      <c r="K116" s="303"/>
      <c r="L116" s="303"/>
      <c r="M116" s="303"/>
      <c r="N116" s="303"/>
      <c r="O116" s="294"/>
    </row>
    <row r="117" spans="1:15" x14ac:dyDescent="0.3">
      <c r="A117" s="3723"/>
      <c r="B117" s="481"/>
      <c r="C117" s="355"/>
      <c r="D117" s="385" t="s">
        <v>4166</v>
      </c>
      <c r="E117" s="357"/>
      <c r="F117" s="302"/>
      <c r="G117" s="344"/>
      <c r="H117" s="1033"/>
      <c r="I117" s="606"/>
      <c r="J117" s="303"/>
      <c r="K117" s="303"/>
      <c r="L117" s="303"/>
      <c r="M117" s="303"/>
      <c r="N117" s="303"/>
      <c r="O117" s="294"/>
    </row>
    <row r="118" spans="1:15" x14ac:dyDescent="0.3">
      <c r="A118" s="3723"/>
      <c r="B118" s="567">
        <v>10593</v>
      </c>
      <c r="C118" s="310">
        <v>0.1</v>
      </c>
      <c r="D118" s="588" t="s">
        <v>4167</v>
      </c>
      <c r="E118" s="375">
        <v>1200000</v>
      </c>
      <c r="F118" s="310">
        <v>0.08</v>
      </c>
      <c r="G118" s="388">
        <f>E118*F118</f>
        <v>96000</v>
      </c>
      <c r="H118" s="338" t="s">
        <v>510</v>
      </c>
      <c r="I118" s="338" t="s">
        <v>4143</v>
      </c>
      <c r="J118" s="339"/>
      <c r="K118" s="373"/>
      <c r="L118" s="359"/>
      <c r="M118" s="374"/>
      <c r="N118" s="389"/>
      <c r="O118" s="360"/>
    </row>
    <row r="119" spans="1:15" x14ac:dyDescent="0.3">
      <c r="A119" s="3723"/>
      <c r="B119" s="568">
        <v>10628</v>
      </c>
      <c r="C119" s="310">
        <v>0.1</v>
      </c>
      <c r="D119" s="587" t="s">
        <v>4168</v>
      </c>
      <c r="E119" s="571">
        <v>1200000</v>
      </c>
      <c r="F119" s="553">
        <v>0.04</v>
      </c>
      <c r="G119" s="388">
        <f>E119*F119</f>
        <v>48000</v>
      </c>
      <c r="H119" s="338" t="s">
        <v>4112</v>
      </c>
      <c r="I119" s="338" t="s">
        <v>4143</v>
      </c>
      <c r="J119" s="339"/>
      <c r="K119" s="373"/>
      <c r="L119" s="359"/>
      <c r="M119" s="374"/>
      <c r="N119" s="389"/>
      <c r="O119" s="360"/>
    </row>
    <row r="120" spans="1:15" x14ac:dyDescent="0.3">
      <c r="A120" s="3723"/>
      <c r="B120" s="567">
        <v>10701</v>
      </c>
      <c r="C120" s="310">
        <v>0.1</v>
      </c>
      <c r="D120" s="588" t="s">
        <v>4169</v>
      </c>
      <c r="E120" s="375">
        <v>1200000</v>
      </c>
      <c r="F120" s="553">
        <v>0.04</v>
      </c>
      <c r="G120" s="388">
        <f>E120*F120</f>
        <v>48000</v>
      </c>
      <c r="H120" s="338" t="s">
        <v>732</v>
      </c>
      <c r="I120" s="338" t="s">
        <v>32</v>
      </c>
      <c r="J120" s="339"/>
      <c r="K120" s="373"/>
      <c r="L120" s="298"/>
      <c r="M120" s="317"/>
      <c r="N120" s="376"/>
      <c r="O120" s="307"/>
    </row>
    <row r="121" spans="1:15" x14ac:dyDescent="0.3">
      <c r="A121" s="3723"/>
      <c r="B121" s="569">
        <v>10658</v>
      </c>
      <c r="C121" s="274">
        <v>0.08</v>
      </c>
      <c r="D121" s="587" t="s">
        <v>4170</v>
      </c>
      <c r="E121" s="375">
        <v>1100000</v>
      </c>
      <c r="F121" s="553">
        <v>0.04</v>
      </c>
      <c r="G121" s="388">
        <f>E121*F121</f>
        <v>44000</v>
      </c>
      <c r="H121" s="338" t="s">
        <v>732</v>
      </c>
      <c r="I121" s="338" t="s">
        <v>133</v>
      </c>
      <c r="J121" s="341"/>
      <c r="K121" s="316"/>
      <c r="L121" s="298"/>
      <c r="M121" s="317"/>
      <c r="N121" s="376"/>
      <c r="O121" s="307"/>
    </row>
    <row r="122" spans="1:15" x14ac:dyDescent="0.3">
      <c r="A122" s="3723"/>
      <c r="B122" s="569">
        <v>10785</v>
      </c>
      <c r="C122" s="310">
        <v>0.1</v>
      </c>
      <c r="D122" s="587" t="s">
        <v>4171</v>
      </c>
      <c r="E122" s="375">
        <v>1200000</v>
      </c>
      <c r="F122" s="310">
        <v>0.08</v>
      </c>
      <c r="G122" s="388">
        <f>E122*F122</f>
        <v>96000</v>
      </c>
      <c r="H122" s="338" t="s">
        <v>510</v>
      </c>
      <c r="I122" s="338" t="s">
        <v>133</v>
      </c>
      <c r="J122" s="341"/>
      <c r="K122" s="316"/>
      <c r="L122" s="298"/>
      <c r="M122" s="317"/>
      <c r="N122" s="376"/>
      <c r="O122" s="307"/>
    </row>
    <row r="123" spans="1:15" x14ac:dyDescent="0.3">
      <c r="A123" s="3723"/>
      <c r="B123" s="570"/>
      <c r="C123" s="278"/>
      <c r="D123" s="1121"/>
      <c r="E123" s="278"/>
      <c r="F123" s="278"/>
      <c r="G123" s="278"/>
      <c r="H123" s="1034"/>
      <c r="I123" s="1034"/>
      <c r="J123" s="278"/>
      <c r="K123" s="278"/>
      <c r="L123" s="278"/>
      <c r="M123" s="278"/>
      <c r="N123" s="278"/>
      <c r="O123" s="278"/>
    </row>
    <row r="124" spans="1:15" x14ac:dyDescent="0.3">
      <c r="A124" s="3723"/>
      <c r="B124" s="444"/>
      <c r="C124" s="475"/>
      <c r="D124" s="1122" t="s">
        <v>3000</v>
      </c>
      <c r="E124" s="476">
        <f>SUM(E118:E123)</f>
        <v>5900000</v>
      </c>
      <c r="F124" s="477"/>
      <c r="G124" s="478">
        <f>SUM(G118:G123)</f>
        <v>332000</v>
      </c>
      <c r="H124" s="445"/>
      <c r="I124" s="1061"/>
      <c r="J124" s="446"/>
      <c r="K124" s="3716" t="s">
        <v>4119</v>
      </c>
      <c r="L124" s="3716"/>
      <c r="M124" s="3716"/>
      <c r="N124" s="572">
        <f>SUM(N118:N123)</f>
        <v>0</v>
      </c>
      <c r="O124" s="573">
        <v>332000</v>
      </c>
    </row>
    <row r="125" spans="1:15" ht="15.6" x14ac:dyDescent="0.3">
      <c r="A125" s="3723"/>
      <c r="B125" s="482"/>
      <c r="C125" s="316"/>
      <c r="D125" s="491" t="s">
        <v>3764</v>
      </c>
      <c r="E125" s="492">
        <f>G124</f>
        <v>332000</v>
      </c>
      <c r="F125" s="479"/>
      <c r="G125" s="317"/>
      <c r="H125" s="479"/>
      <c r="I125" s="316"/>
      <c r="J125" s="335"/>
      <c r="K125" s="298"/>
      <c r="L125" s="307"/>
      <c r="M125" s="307"/>
      <c r="N125" s="307"/>
      <c r="O125" s="390"/>
    </row>
    <row r="126" spans="1:15" x14ac:dyDescent="0.3">
      <c r="A126" s="2238"/>
      <c r="B126" s="381"/>
      <c r="C126" s="381"/>
      <c r="D126" s="1123"/>
      <c r="E126" s="382"/>
      <c r="F126" s="383"/>
      <c r="G126" s="384"/>
      <c r="H126" s="383"/>
      <c r="I126" s="381"/>
      <c r="J126" s="377"/>
      <c r="K126" s="378"/>
      <c r="L126" s="379"/>
      <c r="M126" s="379"/>
      <c r="N126" s="379"/>
      <c r="O126" s="380"/>
    </row>
    <row r="127" spans="1:15" x14ac:dyDescent="0.3">
      <c r="A127" s="2238"/>
      <c r="B127" s="381"/>
      <c r="C127" s="381"/>
      <c r="D127" s="1123"/>
      <c r="E127" s="382"/>
      <c r="F127" s="383"/>
      <c r="G127" s="384"/>
      <c r="H127" s="383"/>
      <c r="I127" s="381"/>
      <c r="J127" s="377"/>
      <c r="K127" s="378"/>
      <c r="L127" s="379"/>
      <c r="M127" s="379"/>
      <c r="N127" s="379"/>
      <c r="O127" s="380"/>
    </row>
    <row r="128" spans="1:15" x14ac:dyDescent="0.3">
      <c r="A128" s="2238"/>
      <c r="B128" s="381"/>
      <c r="C128" s="381"/>
      <c r="D128" s="1123"/>
      <c r="E128" s="382"/>
      <c r="F128" s="383"/>
      <c r="G128" s="384"/>
      <c r="H128" s="383"/>
      <c r="I128" s="381"/>
      <c r="J128" s="377"/>
      <c r="K128" s="378"/>
      <c r="L128" s="379"/>
      <c r="M128" s="379"/>
      <c r="N128" s="379"/>
      <c r="O128" s="380"/>
    </row>
    <row r="129" spans="1:9" ht="15" customHeight="1" x14ac:dyDescent="0.3">
      <c r="A129" s="3717" t="s">
        <v>4172</v>
      </c>
      <c r="B129" s="3717"/>
      <c r="C129" s="3717"/>
      <c r="D129" s="3717"/>
      <c r="E129" s="3717"/>
      <c r="F129" s="3717"/>
      <c r="G129" s="3717"/>
      <c r="H129" s="3717"/>
    </row>
    <row r="130" spans="1:9" ht="21.75" customHeight="1" x14ac:dyDescent="0.3">
      <c r="A130" s="3717"/>
      <c r="B130" s="3717"/>
      <c r="C130" s="3717"/>
      <c r="D130" s="3717"/>
      <c r="E130" s="3717"/>
      <c r="F130" s="3717"/>
      <c r="G130" s="3717"/>
      <c r="H130" s="3717"/>
    </row>
    <row r="131" spans="1:9" x14ac:dyDescent="0.3">
      <c r="A131" s="289" t="s">
        <v>2975</v>
      </c>
      <c r="B131" s="289" t="s">
        <v>2976</v>
      </c>
      <c r="C131" s="289" t="s">
        <v>3752</v>
      </c>
      <c r="D131" s="1124" t="s">
        <v>4121</v>
      </c>
      <c r="E131" s="392" t="s">
        <v>3754</v>
      </c>
      <c r="F131" s="1780" t="s">
        <v>2979</v>
      </c>
      <c r="G131" s="316" t="s">
        <v>2985</v>
      </c>
      <c r="H131" s="294" t="s">
        <v>4122</v>
      </c>
      <c r="I131" s="294" t="s">
        <v>4123</v>
      </c>
    </row>
    <row r="132" spans="1:9" x14ac:dyDescent="0.3">
      <c r="A132" s="361"/>
      <c r="B132" s="393"/>
      <c r="C132" s="357" t="s">
        <v>4173</v>
      </c>
      <c r="D132" s="385" t="s">
        <v>4174</v>
      </c>
      <c r="E132" s="275"/>
      <c r="F132" s="344"/>
      <c r="G132" s="387"/>
      <c r="H132" s="606"/>
      <c r="I132" s="294" t="s">
        <v>4175</v>
      </c>
    </row>
    <row r="133" spans="1:9" x14ac:dyDescent="0.3">
      <c r="A133" s="397">
        <v>10593</v>
      </c>
      <c r="B133" s="274">
        <v>0.1</v>
      </c>
      <c r="C133" s="350" t="s">
        <v>4176</v>
      </c>
      <c r="D133" s="587" t="s">
        <v>4109</v>
      </c>
      <c r="E133" s="273">
        <v>1200000</v>
      </c>
      <c r="F133" s="281"/>
      <c r="G133" s="276"/>
      <c r="H133" s="306" t="s">
        <v>4122</v>
      </c>
      <c r="I133" s="294" t="s">
        <v>4175</v>
      </c>
    </row>
    <row r="134" spans="1:9" x14ac:dyDescent="0.3">
      <c r="A134" s="340">
        <v>10618</v>
      </c>
      <c r="B134" s="274">
        <v>0.1</v>
      </c>
      <c r="C134" s="350" t="s">
        <v>4177</v>
      </c>
      <c r="D134" s="587" t="s">
        <v>4109</v>
      </c>
      <c r="E134" s="273">
        <v>1500000</v>
      </c>
      <c r="F134" s="281"/>
      <c r="G134" s="276"/>
      <c r="H134" s="306" t="s">
        <v>4122</v>
      </c>
      <c r="I134" s="294" t="s">
        <v>1485</v>
      </c>
    </row>
    <row r="135" spans="1:9" x14ac:dyDescent="0.3">
      <c r="A135" s="398">
        <v>10623</v>
      </c>
      <c r="B135" s="274">
        <v>0.1</v>
      </c>
      <c r="C135" s="350" t="s">
        <v>4178</v>
      </c>
      <c r="D135" s="587" t="s">
        <v>4109</v>
      </c>
      <c r="E135" s="273">
        <v>880000</v>
      </c>
      <c r="F135" s="281"/>
      <c r="G135" s="276"/>
      <c r="H135" s="306" t="s">
        <v>4122</v>
      </c>
      <c r="I135" s="294" t="s">
        <v>4133</v>
      </c>
    </row>
    <row r="136" spans="1:9" x14ac:dyDescent="0.3">
      <c r="A136" s="340">
        <v>10652</v>
      </c>
      <c r="B136" s="333">
        <v>0.1</v>
      </c>
      <c r="C136" s="350" t="s">
        <v>4179</v>
      </c>
      <c r="D136" s="587" t="s">
        <v>4109</v>
      </c>
      <c r="E136" s="394">
        <v>1750000</v>
      </c>
      <c r="F136" s="281"/>
      <c r="G136" s="276"/>
      <c r="H136" s="306" t="s">
        <v>4122</v>
      </c>
      <c r="I136" s="360" t="s">
        <v>4133</v>
      </c>
    </row>
    <row r="137" spans="1:9" x14ac:dyDescent="0.3">
      <c r="A137" s="340">
        <v>10628</v>
      </c>
      <c r="B137" s="274">
        <v>0.1</v>
      </c>
      <c r="C137" s="350" t="s">
        <v>4180</v>
      </c>
      <c r="D137" s="587" t="s">
        <v>4109</v>
      </c>
      <c r="E137" s="273">
        <v>1200000</v>
      </c>
      <c r="F137" s="281"/>
      <c r="G137" s="276"/>
      <c r="H137" s="306" t="s">
        <v>4122</v>
      </c>
      <c r="I137" s="360" t="s">
        <v>4181</v>
      </c>
    </row>
    <row r="138" spans="1:9" x14ac:dyDescent="0.3">
      <c r="A138" s="399"/>
      <c r="B138" s="395"/>
      <c r="C138" s="396"/>
      <c r="D138" s="1125"/>
      <c r="E138" s="400"/>
      <c r="F138" s="401"/>
      <c r="G138" s="402"/>
      <c r="H138" s="360"/>
      <c r="I138" s="360"/>
    </row>
    <row r="139" spans="1:9" x14ac:dyDescent="0.3">
      <c r="A139" s="277" t="s">
        <v>3070</v>
      </c>
      <c r="B139" s="287"/>
      <c r="C139" s="287"/>
      <c r="D139" s="1126" t="s">
        <v>3070</v>
      </c>
      <c r="E139" s="279">
        <f>SUM(E133:E138)</f>
        <v>6530000</v>
      </c>
      <c r="F139" s="287"/>
      <c r="G139" s="403"/>
      <c r="H139" s="1035"/>
      <c r="I139" s="294"/>
    </row>
    <row r="140" spans="1:9" ht="15.6" x14ac:dyDescent="0.3">
      <c r="A140" s="3724" t="s">
        <v>4182</v>
      </c>
      <c r="B140" s="3724"/>
      <c r="C140" s="3724"/>
      <c r="D140" s="3724"/>
      <c r="E140" s="3724"/>
      <c r="F140" s="3724"/>
      <c r="G140" s="3724"/>
      <c r="H140" s="3724"/>
      <c r="I140" s="3724"/>
    </row>
    <row r="141" spans="1:9" x14ac:dyDescent="0.3">
      <c r="A141" s="269"/>
      <c r="E141" s="91"/>
      <c r="G141" s="92"/>
      <c r="H141" s="1028"/>
    </row>
    <row r="142" spans="1:9" x14ac:dyDescent="0.3">
      <c r="A142" s="3718" t="s">
        <v>4183</v>
      </c>
      <c r="B142" s="3718"/>
      <c r="C142" s="3718"/>
      <c r="D142" s="3718"/>
      <c r="E142" s="3718"/>
      <c r="F142" s="3718"/>
      <c r="G142" s="3718"/>
      <c r="H142" s="3718"/>
    </row>
    <row r="143" spans="1:9" x14ac:dyDescent="0.3">
      <c r="A143" s="3718"/>
      <c r="B143" s="3718"/>
      <c r="C143" s="3718"/>
      <c r="D143" s="3718"/>
      <c r="E143" s="3718"/>
      <c r="F143" s="3718"/>
      <c r="G143" s="3718"/>
      <c r="H143" s="3718"/>
    </row>
    <row r="144" spans="1:9" ht="20.399999999999999" x14ac:dyDescent="0.3">
      <c r="A144" s="271" t="s">
        <v>3751</v>
      </c>
      <c r="B144" s="404" t="s">
        <v>2976</v>
      </c>
      <c r="C144" s="176" t="s">
        <v>3752</v>
      </c>
      <c r="D144" s="1127" t="s">
        <v>4121</v>
      </c>
      <c r="E144" s="405" t="s">
        <v>3754</v>
      </c>
      <c r="F144" s="406" t="s">
        <v>2979</v>
      </c>
      <c r="G144" s="407" t="s">
        <v>2985</v>
      </c>
      <c r="H144" s="408"/>
    </row>
    <row r="145" spans="1:9" s="163" customFormat="1" x14ac:dyDescent="0.3">
      <c r="A145" s="2239"/>
      <c r="B145" s="409"/>
      <c r="C145" s="358" t="s">
        <v>4178</v>
      </c>
      <c r="D145" s="417" t="s">
        <v>4184</v>
      </c>
      <c r="E145" s="410"/>
      <c r="F145" s="411"/>
      <c r="G145" s="412"/>
      <c r="H145" s="606"/>
      <c r="I145" s="1062"/>
    </row>
    <row r="146" spans="1:9" s="163" customFormat="1" x14ac:dyDescent="0.3">
      <c r="A146" s="2239"/>
      <c r="B146" s="409"/>
      <c r="C146" s="348" t="s">
        <v>4185</v>
      </c>
      <c r="D146" s="417" t="s">
        <v>4186</v>
      </c>
      <c r="E146" s="410"/>
      <c r="F146" s="411"/>
      <c r="G146" s="412"/>
      <c r="H146" s="606"/>
      <c r="I146" s="1062"/>
    </row>
    <row r="147" spans="1:9" s="163" customFormat="1" x14ac:dyDescent="0.3">
      <c r="A147" s="2213">
        <v>10701</v>
      </c>
      <c r="B147" s="310">
        <v>0.1</v>
      </c>
      <c r="C147" s="282" t="s">
        <v>4187</v>
      </c>
      <c r="D147" s="590" t="s">
        <v>4109</v>
      </c>
      <c r="E147" s="388">
        <v>1200000</v>
      </c>
      <c r="F147" s="285">
        <v>0.02</v>
      </c>
      <c r="G147" s="413">
        <f>E147*F147</f>
        <v>24000</v>
      </c>
      <c r="H147" s="306" t="s">
        <v>4122</v>
      </c>
      <c r="I147" s="1062"/>
    </row>
    <row r="148" spans="1:9" x14ac:dyDescent="0.3">
      <c r="A148" s="2213">
        <v>10664</v>
      </c>
      <c r="B148" s="310">
        <v>0.1</v>
      </c>
      <c r="C148" s="282" t="s">
        <v>4188</v>
      </c>
      <c r="D148" s="590" t="s">
        <v>4109</v>
      </c>
      <c r="E148" s="388">
        <v>950000</v>
      </c>
      <c r="F148" s="285">
        <v>0.02</v>
      </c>
      <c r="G148" s="413">
        <f>E148*F148</f>
        <v>19000</v>
      </c>
      <c r="H148" s="314" t="s">
        <v>4122</v>
      </c>
    </row>
    <row r="149" spans="1:9" x14ac:dyDescent="0.3">
      <c r="A149" s="2213">
        <v>10768</v>
      </c>
      <c r="B149" s="310">
        <v>0.1</v>
      </c>
      <c r="C149" s="283" t="s">
        <v>4189</v>
      </c>
      <c r="D149" s="590" t="s">
        <v>3192</v>
      </c>
      <c r="E149" s="388">
        <v>1200000</v>
      </c>
      <c r="F149" s="285">
        <v>0.02</v>
      </c>
      <c r="G149" s="576">
        <f>E149*F149</f>
        <v>24000</v>
      </c>
      <c r="H149" s="306" t="s">
        <v>4122</v>
      </c>
    </row>
    <row r="150" spans="1:9" x14ac:dyDescent="0.3">
      <c r="A150" s="277"/>
      <c r="B150" s="376"/>
      <c r="C150" s="415"/>
      <c r="D150" s="1058"/>
      <c r="E150" s="574"/>
      <c r="F150" s="575"/>
      <c r="G150" s="577"/>
      <c r="H150" s="307"/>
    </row>
    <row r="151" spans="1:9" x14ac:dyDescent="0.3">
      <c r="A151" s="2240"/>
      <c r="B151" s="446"/>
      <c r="C151" s="446"/>
      <c r="D151" s="1128" t="s">
        <v>4190</v>
      </c>
      <c r="E151" s="279">
        <f>SUM(E147:E150)</f>
        <v>3350000</v>
      </c>
      <c r="F151" s="287"/>
      <c r="G151" s="578">
        <f>SUM(G147:G150)</f>
        <v>67000</v>
      </c>
      <c r="H151" s="2"/>
    </row>
    <row r="152" spans="1:9" ht="15.6" x14ac:dyDescent="0.3">
      <c r="A152" s="46"/>
      <c r="B152" s="11"/>
      <c r="C152" s="11"/>
      <c r="D152" s="1129" t="s">
        <v>3764</v>
      </c>
      <c r="E152" s="11"/>
      <c r="F152" s="10"/>
      <c r="G152" s="579" t="s">
        <v>3070</v>
      </c>
      <c r="H152" s="1036">
        <f>G151</f>
        <v>67000</v>
      </c>
    </row>
    <row r="153" spans="1:9" x14ac:dyDescent="0.3">
      <c r="A153" s="90"/>
      <c r="E153" s="91"/>
      <c r="G153" s="92"/>
      <c r="H153" s="1028"/>
    </row>
    <row r="154" spans="1:9" x14ac:dyDescent="0.3">
      <c r="A154" s="90"/>
      <c r="E154" s="91"/>
      <c r="G154" s="92"/>
      <c r="H154" s="1028"/>
    </row>
    <row r="155" spans="1:9" x14ac:dyDescent="0.3">
      <c r="A155" s="3718" t="s">
        <v>4191</v>
      </c>
      <c r="B155" s="3718"/>
      <c r="C155" s="3718"/>
      <c r="D155" s="3718"/>
      <c r="E155" s="3718"/>
      <c r="F155" s="3718"/>
      <c r="G155" s="3718"/>
      <c r="H155" s="3718"/>
    </row>
    <row r="156" spans="1:9" x14ac:dyDescent="0.3">
      <c r="A156" s="3718"/>
      <c r="B156" s="3718"/>
      <c r="C156" s="3718"/>
      <c r="D156" s="3718"/>
      <c r="E156" s="3718"/>
      <c r="F156" s="3718"/>
      <c r="G156" s="3718"/>
      <c r="H156" s="3718"/>
    </row>
    <row r="157" spans="1:9" ht="20.399999999999999" x14ac:dyDescent="0.3">
      <c r="A157" s="271" t="s">
        <v>3751</v>
      </c>
      <c r="B157" s="404" t="s">
        <v>2976</v>
      </c>
      <c r="C157" s="176" t="s">
        <v>3752</v>
      </c>
      <c r="D157" s="1127" t="s">
        <v>4121</v>
      </c>
      <c r="E157" s="405" t="s">
        <v>3754</v>
      </c>
      <c r="F157" s="406" t="s">
        <v>2979</v>
      </c>
      <c r="G157" s="407" t="s">
        <v>2985</v>
      </c>
      <c r="H157" s="408"/>
    </row>
    <row r="158" spans="1:9" x14ac:dyDescent="0.3">
      <c r="A158" s="2241"/>
      <c r="B158" s="416"/>
      <c r="C158" s="416" t="s">
        <v>4192</v>
      </c>
      <c r="D158" s="385" t="s">
        <v>4193</v>
      </c>
      <c r="E158" s="418"/>
      <c r="F158" s="385"/>
      <c r="G158" s="416"/>
      <c r="H158" s="1037"/>
      <c r="I158" s="606"/>
    </row>
    <row r="159" spans="1:9" x14ac:dyDescent="0.3">
      <c r="A159" s="2239"/>
      <c r="B159" s="344">
        <v>0.1</v>
      </c>
      <c r="C159" s="348" t="s">
        <v>4194</v>
      </c>
      <c r="D159" s="417" t="s">
        <v>4195</v>
      </c>
      <c r="E159" s="387"/>
      <c r="F159" s="358"/>
      <c r="G159" s="412"/>
      <c r="H159" s="606"/>
      <c r="I159" s="606" t="s">
        <v>4133</v>
      </c>
    </row>
    <row r="160" spans="1:9" x14ac:dyDescent="0.3">
      <c r="A160" s="2213">
        <v>10611</v>
      </c>
      <c r="B160" s="281">
        <v>0.1</v>
      </c>
      <c r="C160" s="282" t="s">
        <v>4196</v>
      </c>
      <c r="D160" s="590" t="s">
        <v>4109</v>
      </c>
      <c r="E160" s="276">
        <v>1100000</v>
      </c>
      <c r="F160" s="281">
        <v>0.02</v>
      </c>
      <c r="G160" s="413">
        <f t="shared" ref="G160:G171" si="2">E160*F160</f>
        <v>22000</v>
      </c>
      <c r="H160" s="306"/>
      <c r="I160" s="306"/>
    </row>
    <row r="161" spans="1:9" x14ac:dyDescent="0.3">
      <c r="A161" s="2213">
        <v>10614</v>
      </c>
      <c r="B161" s="281">
        <v>0.1</v>
      </c>
      <c r="C161" s="282" t="s">
        <v>4197</v>
      </c>
      <c r="D161" s="590" t="s">
        <v>4109</v>
      </c>
      <c r="E161" s="276">
        <v>1100000</v>
      </c>
      <c r="F161" s="281">
        <v>0.02</v>
      </c>
      <c r="G161" s="413">
        <f t="shared" si="2"/>
        <v>22000</v>
      </c>
      <c r="H161" s="306"/>
      <c r="I161" s="306"/>
    </row>
    <row r="162" spans="1:9" x14ac:dyDescent="0.3">
      <c r="A162" s="2213">
        <v>10641</v>
      </c>
      <c r="B162" s="281">
        <v>0.1</v>
      </c>
      <c r="C162" s="282" t="s">
        <v>4198</v>
      </c>
      <c r="D162" s="590" t="s">
        <v>4109</v>
      </c>
      <c r="E162" s="276">
        <v>750000</v>
      </c>
      <c r="F162" s="281">
        <v>0.02</v>
      </c>
      <c r="G162" s="413">
        <f t="shared" si="2"/>
        <v>15000</v>
      </c>
      <c r="H162" s="306"/>
      <c r="I162" s="306"/>
    </row>
    <row r="163" spans="1:9" x14ac:dyDescent="0.3">
      <c r="A163" s="2213">
        <v>10721</v>
      </c>
      <c r="B163" s="281">
        <v>0.1</v>
      </c>
      <c r="C163" s="283" t="s">
        <v>4199</v>
      </c>
      <c r="D163" s="590" t="s">
        <v>4109</v>
      </c>
      <c r="E163" s="276">
        <v>1000000</v>
      </c>
      <c r="F163" s="281">
        <v>0.02</v>
      </c>
      <c r="G163" s="413">
        <f t="shared" si="2"/>
        <v>20000</v>
      </c>
      <c r="H163" s="306" t="s">
        <v>4122</v>
      </c>
      <c r="I163" s="306" t="s">
        <v>4133</v>
      </c>
    </row>
    <row r="164" spans="1:9" x14ac:dyDescent="0.3">
      <c r="A164" s="2213">
        <v>10626</v>
      </c>
      <c r="B164" s="310">
        <v>0.1</v>
      </c>
      <c r="C164" s="283" t="s">
        <v>4200</v>
      </c>
      <c r="D164" s="590" t="s">
        <v>4109</v>
      </c>
      <c r="E164" s="375">
        <v>1100000</v>
      </c>
      <c r="F164" s="281">
        <v>0.02</v>
      </c>
      <c r="G164" s="413">
        <f t="shared" si="2"/>
        <v>22000</v>
      </c>
      <c r="H164" s="880" t="s">
        <v>4122</v>
      </c>
      <c r="I164" s="306" t="s">
        <v>582</v>
      </c>
    </row>
    <row r="165" spans="1:9" x14ac:dyDescent="0.3">
      <c r="A165" s="2213">
        <v>10662</v>
      </c>
      <c r="B165" s="310">
        <v>0.1</v>
      </c>
      <c r="C165" s="283" t="s">
        <v>4201</v>
      </c>
      <c r="D165" s="590" t="s">
        <v>4109</v>
      </c>
      <c r="E165" s="388">
        <v>600000</v>
      </c>
      <c r="F165" s="281">
        <v>0.02</v>
      </c>
      <c r="G165" s="413">
        <f t="shared" si="2"/>
        <v>12000</v>
      </c>
      <c r="H165" s="747" t="s">
        <v>4122</v>
      </c>
      <c r="I165" s="306" t="s">
        <v>4202</v>
      </c>
    </row>
    <row r="166" spans="1:9" x14ac:dyDescent="0.3">
      <c r="A166" s="2242">
        <v>10776</v>
      </c>
      <c r="B166" s="310">
        <v>0.1</v>
      </c>
      <c r="C166" s="283" t="s">
        <v>225</v>
      </c>
      <c r="D166" s="590" t="s">
        <v>4109</v>
      </c>
      <c r="E166" s="388">
        <v>1100000</v>
      </c>
      <c r="F166" s="281">
        <v>0.02</v>
      </c>
      <c r="G166" s="413">
        <f t="shared" si="2"/>
        <v>22000</v>
      </c>
      <c r="H166" s="306" t="s">
        <v>4122</v>
      </c>
      <c r="I166" s="306" t="s">
        <v>582</v>
      </c>
    </row>
    <row r="167" spans="1:9" x14ac:dyDescent="0.3">
      <c r="A167" s="2213">
        <v>10658</v>
      </c>
      <c r="B167" s="553">
        <v>0.08</v>
      </c>
      <c r="C167" s="283" t="s">
        <v>4203</v>
      </c>
      <c r="D167" s="590" t="s">
        <v>4109</v>
      </c>
      <c r="E167" s="276">
        <v>1100000</v>
      </c>
      <c r="F167" s="553">
        <v>0.01</v>
      </c>
      <c r="G167" s="413">
        <f t="shared" si="2"/>
        <v>11000</v>
      </c>
      <c r="H167" s="747" t="s">
        <v>4122</v>
      </c>
      <c r="I167" s="306" t="s">
        <v>4175</v>
      </c>
    </row>
    <row r="168" spans="1:9" x14ac:dyDescent="0.3">
      <c r="A168" s="2213">
        <v>10720</v>
      </c>
      <c r="B168" s="281">
        <v>0.1</v>
      </c>
      <c r="C168" s="282" t="s">
        <v>4204</v>
      </c>
      <c r="D168" s="590" t="s">
        <v>4109</v>
      </c>
      <c r="E168" s="276">
        <v>1350000</v>
      </c>
      <c r="F168" s="281">
        <v>0.02</v>
      </c>
      <c r="G168" s="413">
        <f t="shared" si="2"/>
        <v>27000</v>
      </c>
      <c r="H168" s="306" t="s">
        <v>4122</v>
      </c>
      <c r="I168" s="306" t="s">
        <v>1485</v>
      </c>
    </row>
    <row r="169" spans="1:9" x14ac:dyDescent="0.3">
      <c r="A169" s="2213">
        <v>10785</v>
      </c>
      <c r="B169" s="310">
        <v>0.1</v>
      </c>
      <c r="C169" s="350" t="s">
        <v>187</v>
      </c>
      <c r="D169" s="590" t="s">
        <v>4109</v>
      </c>
      <c r="E169" s="305">
        <v>1200000</v>
      </c>
      <c r="F169" s="310">
        <v>0.02</v>
      </c>
      <c r="G169" s="519">
        <f t="shared" si="2"/>
        <v>24000</v>
      </c>
      <c r="H169" s="441" t="s">
        <v>4122</v>
      </c>
      <c r="I169" s="441" t="s">
        <v>4175</v>
      </c>
    </row>
    <row r="170" spans="1:9" x14ac:dyDescent="0.3">
      <c r="A170" s="2213">
        <v>10781</v>
      </c>
      <c r="B170" s="281">
        <v>0.1</v>
      </c>
      <c r="C170" s="283" t="s">
        <v>4205</v>
      </c>
      <c r="D170" s="590" t="s">
        <v>4109</v>
      </c>
      <c r="E170" s="276">
        <v>1150000</v>
      </c>
      <c r="F170" s="281">
        <v>0.02</v>
      </c>
      <c r="G170" s="413">
        <f t="shared" si="2"/>
        <v>23000</v>
      </c>
      <c r="H170" s="306" t="s">
        <v>4122</v>
      </c>
      <c r="I170" s="306" t="s">
        <v>1485</v>
      </c>
    </row>
    <row r="171" spans="1:9" x14ac:dyDescent="0.3">
      <c r="A171" s="2213">
        <v>10801</v>
      </c>
      <c r="B171" s="281">
        <v>0.1</v>
      </c>
      <c r="C171" s="283" t="s">
        <v>4206</v>
      </c>
      <c r="D171" s="590" t="s">
        <v>4109</v>
      </c>
      <c r="E171" s="276">
        <v>850000</v>
      </c>
      <c r="F171" s="281">
        <v>0.02</v>
      </c>
      <c r="G171" s="413">
        <f t="shared" si="2"/>
        <v>17000</v>
      </c>
      <c r="H171" s="306" t="s">
        <v>4122</v>
      </c>
      <c r="I171" s="306" t="s">
        <v>4133</v>
      </c>
    </row>
    <row r="172" spans="1:9" x14ac:dyDescent="0.3">
      <c r="A172" s="2240"/>
      <c r="B172" s="496"/>
      <c r="C172" s="446"/>
      <c r="D172" s="1130"/>
      <c r="E172" s="493"/>
      <c r="F172" s="446"/>
      <c r="G172" s="494">
        <f>SUM(G160:G171)</f>
        <v>237000</v>
      </c>
      <c r="H172" s="315"/>
      <c r="I172" s="347"/>
    </row>
    <row r="173" spans="1:9" x14ac:dyDescent="0.3">
      <c r="A173" s="2240"/>
      <c r="B173" s="496"/>
      <c r="C173" s="446"/>
      <c r="D173" s="1130" t="s">
        <v>4190</v>
      </c>
      <c r="E173" s="493">
        <f>SUM(E159:E171)</f>
        <v>12400000</v>
      </c>
      <c r="F173" s="446"/>
      <c r="G173" s="494"/>
      <c r="H173" s="315"/>
      <c r="I173" s="347"/>
    </row>
    <row r="174" spans="1:9" ht="15.6" x14ac:dyDescent="0.3">
      <c r="A174" s="46"/>
      <c r="B174" s="11"/>
      <c r="C174" s="11"/>
      <c r="D174" s="1129" t="s">
        <v>3764</v>
      </c>
      <c r="E174" s="11"/>
      <c r="F174" s="117"/>
      <c r="G174" s="554">
        <v>237000</v>
      </c>
      <c r="H174" s="50"/>
      <c r="I174" s="2"/>
    </row>
    <row r="176" spans="1:9" x14ac:dyDescent="0.3">
      <c r="A176" s="3719" t="s">
        <v>4207</v>
      </c>
      <c r="B176" s="3719"/>
      <c r="C176" s="3719"/>
      <c r="D176" s="3719"/>
      <c r="E176" s="3719"/>
      <c r="F176" s="3719"/>
      <c r="G176" s="3719"/>
      <c r="H176" s="3719"/>
      <c r="I176" s="2"/>
    </row>
    <row r="177" spans="1:9" x14ac:dyDescent="0.3">
      <c r="A177" s="3719"/>
      <c r="B177" s="3719"/>
      <c r="C177" s="3719"/>
      <c r="D177" s="3719"/>
      <c r="E177" s="3719"/>
      <c r="F177" s="3719"/>
      <c r="G177" s="3719"/>
      <c r="H177" s="3719"/>
      <c r="I177" s="2"/>
    </row>
    <row r="178" spans="1:9" ht="20.399999999999999" x14ac:dyDescent="0.3">
      <c r="A178" s="265" t="s">
        <v>3751</v>
      </c>
      <c r="B178" s="33" t="s">
        <v>2976</v>
      </c>
      <c r="C178" s="33" t="s">
        <v>3752</v>
      </c>
      <c r="D178" s="1093" t="s">
        <v>4121</v>
      </c>
      <c r="E178" s="63" t="s">
        <v>3754</v>
      </c>
      <c r="F178" s="118" t="s">
        <v>2979</v>
      </c>
      <c r="G178" s="88" t="s">
        <v>2985</v>
      </c>
      <c r="H178" s="266" t="s">
        <v>4208</v>
      </c>
      <c r="I178" s="2"/>
    </row>
    <row r="179" spans="1:9" s="163" customFormat="1" x14ac:dyDescent="0.3">
      <c r="A179" s="2243">
        <v>10593</v>
      </c>
      <c r="B179" s="426">
        <v>0.1</v>
      </c>
      <c r="C179" s="350" t="s">
        <v>4176</v>
      </c>
      <c r="D179" s="587" t="s">
        <v>3787</v>
      </c>
      <c r="E179" s="427">
        <v>1200000</v>
      </c>
      <c r="F179" s="423">
        <v>0.02</v>
      </c>
      <c r="G179" s="500">
        <f t="shared" ref="G179:G195" si="3">E179*F179</f>
        <v>24000</v>
      </c>
      <c r="H179" s="1038" t="s">
        <v>4209</v>
      </c>
      <c r="I179" s="306" t="s">
        <v>3503</v>
      </c>
    </row>
    <row r="180" spans="1:9" s="163" customFormat="1" x14ac:dyDescent="0.3">
      <c r="A180" s="2244">
        <v>10618</v>
      </c>
      <c r="B180" s="429">
        <v>0.1</v>
      </c>
      <c r="C180" s="350" t="s">
        <v>4177</v>
      </c>
      <c r="D180" s="587" t="s">
        <v>4109</v>
      </c>
      <c r="E180" s="427">
        <v>1500000</v>
      </c>
      <c r="F180" s="423">
        <v>0.02</v>
      </c>
      <c r="G180" s="500">
        <f t="shared" si="3"/>
        <v>30000</v>
      </c>
      <c r="H180" s="1038" t="s">
        <v>1482</v>
      </c>
      <c r="I180" s="306" t="s">
        <v>3503</v>
      </c>
    </row>
    <row r="181" spans="1:9" x14ac:dyDescent="0.3">
      <c r="A181" s="2245">
        <v>10623</v>
      </c>
      <c r="B181" s="281">
        <v>0.1</v>
      </c>
      <c r="C181" s="350" t="s">
        <v>4178</v>
      </c>
      <c r="D181" s="587" t="s">
        <v>4109</v>
      </c>
      <c r="E181" s="283">
        <v>880000</v>
      </c>
      <c r="F181" s="423">
        <v>0.02</v>
      </c>
      <c r="G181" s="500">
        <f t="shared" si="3"/>
        <v>17600</v>
      </c>
      <c r="H181" s="1038" t="s">
        <v>4133</v>
      </c>
      <c r="I181" s="306" t="s">
        <v>3503</v>
      </c>
    </row>
    <row r="182" spans="1:9" x14ac:dyDescent="0.3">
      <c r="A182" s="2245">
        <v>10628</v>
      </c>
      <c r="B182" s="281">
        <v>0.1</v>
      </c>
      <c r="C182" s="420" t="s">
        <v>4180</v>
      </c>
      <c r="D182" s="587" t="s">
        <v>4109</v>
      </c>
      <c r="E182" s="283">
        <v>1200000</v>
      </c>
      <c r="F182" s="423">
        <v>0.02</v>
      </c>
      <c r="G182" s="500">
        <f t="shared" si="3"/>
        <v>24000</v>
      </c>
      <c r="H182" s="1038" t="s">
        <v>4175</v>
      </c>
      <c r="I182" s="306" t="s">
        <v>3503</v>
      </c>
    </row>
    <row r="183" spans="1:9" x14ac:dyDescent="0.3">
      <c r="A183" s="2246">
        <v>10626</v>
      </c>
      <c r="B183" s="281">
        <v>0.1</v>
      </c>
      <c r="C183" s="350" t="s">
        <v>4200</v>
      </c>
      <c r="D183" s="587" t="s">
        <v>4109</v>
      </c>
      <c r="E183" s="283">
        <v>1100000</v>
      </c>
      <c r="F183" s="423">
        <v>0.02</v>
      </c>
      <c r="G183" s="500">
        <f t="shared" si="3"/>
        <v>22000</v>
      </c>
      <c r="H183" s="1038" t="s">
        <v>1485</v>
      </c>
      <c r="I183" s="306" t="s">
        <v>3503</v>
      </c>
    </row>
    <row r="184" spans="1:9" x14ac:dyDescent="0.3">
      <c r="A184" s="2214">
        <v>10652</v>
      </c>
      <c r="B184" s="421">
        <v>0.1</v>
      </c>
      <c r="C184" s="350" t="s">
        <v>4179</v>
      </c>
      <c r="D184" s="587" t="s">
        <v>4109</v>
      </c>
      <c r="E184" s="283">
        <v>1750000</v>
      </c>
      <c r="F184" s="423">
        <v>0.02</v>
      </c>
      <c r="G184" s="500">
        <f t="shared" si="3"/>
        <v>35000</v>
      </c>
      <c r="H184" s="1038" t="s">
        <v>4112</v>
      </c>
      <c r="I184" s="306" t="s">
        <v>4122</v>
      </c>
    </row>
    <row r="185" spans="1:9" x14ac:dyDescent="0.3">
      <c r="A185" s="2214">
        <v>10658</v>
      </c>
      <c r="B185" s="557">
        <v>0.08</v>
      </c>
      <c r="C185" s="350" t="s">
        <v>4203</v>
      </c>
      <c r="D185" s="587" t="s">
        <v>4109</v>
      </c>
      <c r="E185" s="283">
        <v>1100000</v>
      </c>
      <c r="F185" s="556">
        <v>0.01</v>
      </c>
      <c r="G185" s="500">
        <f t="shared" si="3"/>
        <v>11000</v>
      </c>
      <c r="H185" s="1038" t="s">
        <v>510</v>
      </c>
      <c r="I185" s="306" t="s">
        <v>4122</v>
      </c>
    </row>
    <row r="186" spans="1:9" x14ac:dyDescent="0.3">
      <c r="A186" s="2247">
        <v>10662</v>
      </c>
      <c r="B186" s="281">
        <v>0.1</v>
      </c>
      <c r="C186" s="422" t="s">
        <v>4201</v>
      </c>
      <c r="D186" s="587" t="s">
        <v>4109</v>
      </c>
      <c r="E186" s="283">
        <v>600000</v>
      </c>
      <c r="F186" s="423">
        <v>0.02</v>
      </c>
      <c r="G186" s="500">
        <f t="shared" si="3"/>
        <v>12000</v>
      </c>
      <c r="H186" s="1038" t="s">
        <v>4112</v>
      </c>
      <c r="I186" s="306" t="s">
        <v>4122</v>
      </c>
    </row>
    <row r="187" spans="1:9" x14ac:dyDescent="0.3">
      <c r="A187" s="2245">
        <v>10664</v>
      </c>
      <c r="B187" s="423">
        <v>0.1</v>
      </c>
      <c r="C187" s="282" t="s">
        <v>4210</v>
      </c>
      <c r="D187" s="1131" t="s">
        <v>4109</v>
      </c>
      <c r="E187" s="283">
        <v>950000</v>
      </c>
      <c r="F187" s="423">
        <v>0.02</v>
      </c>
      <c r="G187" s="500">
        <f t="shared" si="3"/>
        <v>19000</v>
      </c>
      <c r="H187" s="1038" t="s">
        <v>1482</v>
      </c>
      <c r="I187" s="306" t="s">
        <v>4122</v>
      </c>
    </row>
    <row r="188" spans="1:9" x14ac:dyDescent="0.3">
      <c r="A188" s="2245">
        <v>10701</v>
      </c>
      <c r="B188" s="423">
        <v>0.1</v>
      </c>
      <c r="C188" s="282" t="s">
        <v>4211</v>
      </c>
      <c r="D188" s="1131" t="s">
        <v>4109</v>
      </c>
      <c r="E188" s="283">
        <v>1200000</v>
      </c>
      <c r="F188" s="423">
        <v>0.02</v>
      </c>
      <c r="G188" s="500">
        <f t="shared" si="3"/>
        <v>24000</v>
      </c>
      <c r="H188" s="1038" t="s">
        <v>510</v>
      </c>
      <c r="I188" s="306" t="s">
        <v>4122</v>
      </c>
    </row>
    <row r="189" spans="1:9" x14ac:dyDescent="0.3">
      <c r="A189" s="2246">
        <v>10720</v>
      </c>
      <c r="B189" s="424">
        <v>0.1</v>
      </c>
      <c r="C189" s="425" t="s">
        <v>4204</v>
      </c>
      <c r="D189" s="798" t="s">
        <v>4109</v>
      </c>
      <c r="E189" s="286">
        <v>1350000</v>
      </c>
      <c r="F189" s="423">
        <v>0.02</v>
      </c>
      <c r="G189" s="500">
        <f t="shared" si="3"/>
        <v>27000</v>
      </c>
      <c r="H189" s="727" t="s">
        <v>1485</v>
      </c>
      <c r="I189" s="314" t="s">
        <v>4122</v>
      </c>
    </row>
    <row r="190" spans="1:9" x14ac:dyDescent="0.3">
      <c r="A190" s="2245">
        <v>10721</v>
      </c>
      <c r="B190" s="281">
        <v>0.1</v>
      </c>
      <c r="C190" s="282" t="s">
        <v>4212</v>
      </c>
      <c r="D190" s="587" t="s">
        <v>4109</v>
      </c>
      <c r="E190" s="283">
        <v>1000000</v>
      </c>
      <c r="F190" s="423">
        <v>0.02</v>
      </c>
      <c r="G190" s="500">
        <f t="shared" si="3"/>
        <v>20000</v>
      </c>
      <c r="H190" s="306" t="s">
        <v>4126</v>
      </c>
      <c r="I190" s="306" t="s">
        <v>4122</v>
      </c>
    </row>
    <row r="191" spans="1:9" x14ac:dyDescent="0.3">
      <c r="A191" s="2247">
        <v>10776</v>
      </c>
      <c r="B191" s="555">
        <v>0.1</v>
      </c>
      <c r="C191" s="425" t="s">
        <v>225</v>
      </c>
      <c r="D191" s="1132" t="s">
        <v>4109</v>
      </c>
      <c r="E191" s="284">
        <v>1100000</v>
      </c>
      <c r="F191" s="423">
        <v>0.02</v>
      </c>
      <c r="G191" s="500">
        <f t="shared" si="3"/>
        <v>22000</v>
      </c>
      <c r="H191" s="1039" t="s">
        <v>2008</v>
      </c>
      <c r="I191" s="619" t="s">
        <v>4122</v>
      </c>
    </row>
    <row r="192" spans="1:9" x14ac:dyDescent="0.3">
      <c r="A192" s="2248">
        <v>10781</v>
      </c>
      <c r="B192" s="281">
        <v>0.1</v>
      </c>
      <c r="C192" s="439" t="s">
        <v>4205</v>
      </c>
      <c r="D192" s="1131" t="s">
        <v>4109</v>
      </c>
      <c r="E192" s="503">
        <v>1150000</v>
      </c>
      <c r="F192" s="423">
        <v>0.02</v>
      </c>
      <c r="G192" s="500">
        <f t="shared" si="3"/>
        <v>23000</v>
      </c>
      <c r="H192" s="1038" t="s">
        <v>2008</v>
      </c>
      <c r="I192" s="306" t="s">
        <v>4122</v>
      </c>
    </row>
    <row r="193" spans="1:9" x14ac:dyDescent="0.3">
      <c r="A193" s="2248">
        <v>10768</v>
      </c>
      <c r="B193" s="281">
        <v>0.1</v>
      </c>
      <c r="C193" s="439" t="s">
        <v>4189</v>
      </c>
      <c r="D193" s="1133" t="s">
        <v>4109</v>
      </c>
      <c r="E193" s="283">
        <v>1200000</v>
      </c>
      <c r="F193" s="423">
        <v>0.02</v>
      </c>
      <c r="G193" s="500">
        <f t="shared" si="3"/>
        <v>24000</v>
      </c>
      <c r="H193" s="1038" t="s">
        <v>2008</v>
      </c>
      <c r="I193" s="306" t="s">
        <v>4122</v>
      </c>
    </row>
    <row r="194" spans="1:9" x14ac:dyDescent="0.3">
      <c r="A194" s="2233">
        <v>10785</v>
      </c>
      <c r="B194" s="523">
        <v>0.1</v>
      </c>
      <c r="C194" s="524" t="s">
        <v>4213</v>
      </c>
      <c r="D194" s="1134" t="s">
        <v>4109</v>
      </c>
      <c r="E194" s="67">
        <v>1200000</v>
      </c>
      <c r="F194" s="194">
        <v>0.02</v>
      </c>
      <c r="G194" s="500">
        <f t="shared" si="3"/>
        <v>24000</v>
      </c>
      <c r="H194" s="692" t="s">
        <v>510</v>
      </c>
      <c r="I194" s="878" t="s">
        <v>4122</v>
      </c>
    </row>
    <row r="195" spans="1:9" x14ac:dyDescent="0.3">
      <c r="A195" s="2249">
        <v>10801</v>
      </c>
      <c r="B195" s="525">
        <v>0.1</v>
      </c>
      <c r="C195" s="526" t="s">
        <v>4214</v>
      </c>
      <c r="D195" s="1135" t="s">
        <v>4109</v>
      </c>
      <c r="E195" s="210">
        <v>850000</v>
      </c>
      <c r="F195" s="194">
        <v>0.02</v>
      </c>
      <c r="G195" s="500">
        <f t="shared" si="3"/>
        <v>17000</v>
      </c>
      <c r="H195" s="692" t="s">
        <v>4112</v>
      </c>
      <c r="I195" s="878" t="s">
        <v>4122</v>
      </c>
    </row>
    <row r="196" spans="1:9" x14ac:dyDescent="0.3">
      <c r="A196" s="2250"/>
      <c r="B196" s="520"/>
      <c r="C196" s="527"/>
      <c r="D196" s="1100"/>
      <c r="E196" s="521"/>
      <c r="F196" s="498"/>
      <c r="G196" s="498"/>
      <c r="H196" s="1040"/>
      <c r="I196" s="268"/>
    </row>
    <row r="197" spans="1:9" x14ac:dyDescent="0.3">
      <c r="A197" s="2250"/>
      <c r="B197" s="11"/>
      <c r="C197" s="11"/>
      <c r="D197" s="1136" t="s">
        <v>4215</v>
      </c>
      <c r="E197" s="497">
        <f>SUM(E179:E195)</f>
        <v>19330000</v>
      </c>
      <c r="F197" s="498"/>
      <c r="G197" s="501">
        <f>SUM(G179:G195)</f>
        <v>375600</v>
      </c>
      <c r="H197" s="984"/>
      <c r="I197" s="268"/>
    </row>
    <row r="198" spans="1:9" ht="15.6" x14ac:dyDescent="0.3">
      <c r="A198" s="265"/>
      <c r="B198" s="171"/>
      <c r="C198" s="171"/>
      <c r="D198" s="1137" t="s">
        <v>3764</v>
      </c>
      <c r="E198" s="559">
        <f>G197</f>
        <v>375600</v>
      </c>
      <c r="F198" s="11"/>
      <c r="G198" s="11"/>
      <c r="H198" s="2"/>
      <c r="I198" s="2"/>
    </row>
    <row r="199" spans="1:9" ht="18" x14ac:dyDescent="0.35">
      <c r="D199" s="1138" t="s">
        <v>4216</v>
      </c>
      <c r="E199" s="560">
        <f>E198+H152</f>
        <v>442600</v>
      </c>
    </row>
    <row r="201" spans="1:9" x14ac:dyDescent="0.3">
      <c r="A201" s="3720" t="s">
        <v>3064</v>
      </c>
      <c r="B201" s="3720"/>
      <c r="C201" s="79"/>
      <c r="D201" s="1101">
        <f>E197</f>
        <v>19330000</v>
      </c>
    </row>
    <row r="202" spans="1:9" x14ac:dyDescent="0.3">
      <c r="A202" s="3721" t="s">
        <v>3065</v>
      </c>
      <c r="B202" s="3721"/>
      <c r="C202" s="41"/>
      <c r="D202" s="1102"/>
    </row>
    <row r="203" spans="1:9" x14ac:dyDescent="0.3">
      <c r="A203" s="3722" t="s">
        <v>3066</v>
      </c>
      <c r="B203" s="3722"/>
      <c r="C203" s="45"/>
      <c r="D203" s="1103"/>
    </row>
    <row r="204" spans="1:9" x14ac:dyDescent="0.3">
      <c r="A204" s="3725" t="s">
        <v>3068</v>
      </c>
      <c r="B204" s="3725"/>
      <c r="C204" s="45"/>
      <c r="D204" s="1139">
        <v>5730000</v>
      </c>
    </row>
    <row r="205" spans="1:9" x14ac:dyDescent="0.3">
      <c r="A205" s="2234"/>
      <c r="B205" s="43" t="s">
        <v>3070</v>
      </c>
      <c r="C205" s="43"/>
      <c r="D205" s="1105"/>
    </row>
    <row r="211" spans="1:16" ht="46.2" x14ac:dyDescent="0.85">
      <c r="A211" s="3715" t="s">
        <v>4217</v>
      </c>
      <c r="B211" s="3715"/>
      <c r="C211" s="3715"/>
      <c r="D211" s="3715"/>
      <c r="E211" s="3715"/>
      <c r="F211" s="3715"/>
      <c r="G211" s="3715"/>
      <c r="H211" s="3715"/>
      <c r="I211" s="3715"/>
      <c r="J211" s="3715"/>
      <c r="O211" s="1"/>
    </row>
    <row r="212" spans="1:16" x14ac:dyDescent="0.3">
      <c r="O212" s="1"/>
    </row>
    <row r="213" spans="1:16" ht="21" x14ac:dyDescent="0.4">
      <c r="A213" s="3740" t="s">
        <v>2972</v>
      </c>
      <c r="B213" s="3740"/>
      <c r="C213" s="3740"/>
      <c r="D213" s="3740"/>
      <c r="E213" s="3740"/>
      <c r="F213" s="3740"/>
      <c r="G213" s="3740"/>
      <c r="H213" s="3740"/>
      <c r="I213" s="3740"/>
      <c r="J213" s="3740"/>
      <c r="K213" s="3642" t="s">
        <v>2973</v>
      </c>
      <c r="L213" s="3642"/>
      <c r="M213" s="3642"/>
      <c r="N213" s="3642"/>
      <c r="O213" s="2"/>
    </row>
    <row r="214" spans="1:16" x14ac:dyDescent="0.3">
      <c r="A214" s="2229" t="s">
        <v>2974</v>
      </c>
      <c r="B214" s="1666" t="s">
        <v>2975</v>
      </c>
      <c r="C214" s="1666" t="s">
        <v>3004</v>
      </c>
      <c r="D214" s="1083" t="s">
        <v>2977</v>
      </c>
      <c r="E214" s="4" t="s">
        <v>2978</v>
      </c>
      <c r="F214" s="3" t="s">
        <v>2979</v>
      </c>
      <c r="G214" s="5" t="s">
        <v>2980</v>
      </c>
      <c r="H214" s="3" t="s">
        <v>2981</v>
      </c>
      <c r="I214" s="3" t="s">
        <v>2982</v>
      </c>
      <c r="J214" s="3" t="s">
        <v>2983</v>
      </c>
      <c r="K214" s="6" t="s">
        <v>2975</v>
      </c>
      <c r="L214" s="6" t="s">
        <v>2977</v>
      </c>
      <c r="M214" s="6" t="s">
        <v>2984</v>
      </c>
      <c r="N214" s="7" t="s">
        <v>2979</v>
      </c>
      <c r="O214" s="2" t="s">
        <v>2985</v>
      </c>
    </row>
    <row r="215" spans="1:16" x14ac:dyDescent="0.3">
      <c r="A215" s="2251"/>
      <c r="B215" s="621"/>
      <c r="C215" s="622"/>
      <c r="D215" s="1140" t="s">
        <v>4218</v>
      </c>
      <c r="E215" s="302"/>
      <c r="F215" s="344"/>
      <c r="G215" s="387"/>
      <c r="H215" s="606"/>
      <c r="I215" s="606" t="s">
        <v>3992</v>
      </c>
      <c r="J215" s="288"/>
      <c r="K215" s="316"/>
      <c r="L215" s="298"/>
      <c r="M215" s="323"/>
      <c r="N215" s="296"/>
      <c r="O215" s="297"/>
    </row>
    <row r="216" spans="1:16" x14ac:dyDescent="0.3">
      <c r="A216" s="2251"/>
      <c r="B216" s="563">
        <v>10968</v>
      </c>
      <c r="C216" s="310">
        <v>0.1</v>
      </c>
      <c r="D216" s="1110" t="s">
        <v>4219</v>
      </c>
      <c r="E216" s="305">
        <v>1150000</v>
      </c>
      <c r="F216" s="281">
        <v>0.06</v>
      </c>
      <c r="G216" s="276">
        <f>E216*F216</f>
        <v>69000</v>
      </c>
      <c r="H216" s="306" t="s">
        <v>732</v>
      </c>
      <c r="I216" s="306" t="s">
        <v>133</v>
      </c>
      <c r="J216" s="288"/>
      <c r="K216" s="529"/>
      <c r="L216" s="324"/>
      <c r="M216" s="323"/>
      <c r="N216" s="643"/>
      <c r="O216" s="297"/>
    </row>
    <row r="217" spans="1:16" x14ac:dyDescent="0.3">
      <c r="A217" s="2251"/>
      <c r="B217" s="652">
        <v>10828</v>
      </c>
      <c r="C217" s="310">
        <v>0.1</v>
      </c>
      <c r="D217" s="1141" t="s">
        <v>4220</v>
      </c>
      <c r="E217" s="591">
        <v>1600000</v>
      </c>
      <c r="F217" s="592">
        <v>0.1</v>
      </c>
      <c r="G217" s="276">
        <f t="shared" ref="G217:G221" si="4">E217*F217</f>
        <v>160000</v>
      </c>
      <c r="H217" s="593" t="s">
        <v>2008</v>
      </c>
      <c r="I217" s="441" t="s">
        <v>133</v>
      </c>
      <c r="J217" s="308"/>
      <c r="K217" s="292"/>
      <c r="L217" s="293"/>
      <c r="M217" s="292"/>
      <c r="N217" s="293"/>
      <c r="O217" s="294"/>
    </row>
    <row r="218" spans="1:16" x14ac:dyDescent="0.3">
      <c r="A218" s="3621" t="s">
        <v>2986</v>
      </c>
      <c r="B218" s="653">
        <v>10866</v>
      </c>
      <c r="C218" s="553">
        <v>0.08</v>
      </c>
      <c r="D218" s="1108" t="s">
        <v>4221</v>
      </c>
      <c r="E218" s="608">
        <v>1500000</v>
      </c>
      <c r="F218" s="553">
        <v>0.05</v>
      </c>
      <c r="G218" s="276">
        <f t="shared" si="4"/>
        <v>75000</v>
      </c>
      <c r="H218" s="306" t="s">
        <v>732</v>
      </c>
      <c r="I218" s="306" t="s">
        <v>133</v>
      </c>
      <c r="J218" s="288"/>
      <c r="K218" s="308"/>
      <c r="L218" s="295"/>
      <c r="M218" s="309"/>
      <c r="N218" s="296"/>
      <c r="O218" s="297"/>
    </row>
    <row r="219" spans="1:16" x14ac:dyDescent="0.3">
      <c r="A219" s="3621"/>
      <c r="B219" s="652">
        <v>10870</v>
      </c>
      <c r="C219" s="310">
        <v>0.1</v>
      </c>
      <c r="D219" s="590" t="s">
        <v>4222</v>
      </c>
      <c r="E219" s="305">
        <v>1030000</v>
      </c>
      <c r="F219" s="281">
        <v>0.05</v>
      </c>
      <c r="G219" s="276">
        <f t="shared" si="4"/>
        <v>51500</v>
      </c>
      <c r="H219" s="306" t="s">
        <v>4112</v>
      </c>
      <c r="I219" s="306" t="s">
        <v>3992</v>
      </c>
      <c r="J219" s="609"/>
      <c r="K219" s="316"/>
      <c r="L219" s="298"/>
      <c r="M219" s="317"/>
      <c r="N219" s="320"/>
      <c r="O219" s="297"/>
    </row>
    <row r="220" spans="1:16" x14ac:dyDescent="0.3">
      <c r="A220" s="3621"/>
      <c r="B220" s="654">
        <v>10891</v>
      </c>
      <c r="C220" s="628">
        <v>0.1</v>
      </c>
      <c r="D220" s="1142" t="s">
        <v>4223</v>
      </c>
      <c r="E220" s="626">
        <v>1250000</v>
      </c>
      <c r="F220" s="645">
        <v>0.1</v>
      </c>
      <c r="G220" s="276">
        <f t="shared" si="4"/>
        <v>125000</v>
      </c>
      <c r="H220" s="627" t="s">
        <v>2008</v>
      </c>
      <c r="I220" s="627" t="s">
        <v>3992</v>
      </c>
      <c r="J220" s="644"/>
      <c r="K220" s="11"/>
      <c r="L220" s="11"/>
      <c r="M220" s="11"/>
      <c r="N220" s="11"/>
      <c r="O220" s="11"/>
    </row>
    <row r="221" spans="1:16" x14ac:dyDescent="0.3">
      <c r="A221" s="3621"/>
      <c r="B221" s="655">
        <v>10987</v>
      </c>
      <c r="C221" s="650">
        <v>0.1</v>
      </c>
      <c r="D221" s="1110" t="s">
        <v>4224</v>
      </c>
      <c r="E221" s="305">
        <v>1800000</v>
      </c>
      <c r="F221" s="628">
        <v>0.1</v>
      </c>
      <c r="G221" s="276">
        <f t="shared" si="4"/>
        <v>180000</v>
      </c>
      <c r="H221" s="627" t="s">
        <v>582</v>
      </c>
      <c r="I221" s="627" t="s">
        <v>3992</v>
      </c>
      <c r="J221" s="644"/>
      <c r="K221" s="11"/>
      <c r="L221" s="11"/>
      <c r="M221" s="11"/>
      <c r="N221" s="11"/>
      <c r="O221" s="11"/>
    </row>
    <row r="222" spans="1:16" x14ac:dyDescent="0.3">
      <c r="A222" s="3621"/>
      <c r="B222" s="325"/>
      <c r="C222" s="631"/>
      <c r="D222" s="1111"/>
      <c r="E222" s="319"/>
      <c r="F222" s="320"/>
      <c r="G222" s="321"/>
      <c r="H222" s="307"/>
      <c r="I222" s="307"/>
      <c r="J222" s="290"/>
      <c r="K222" s="307"/>
      <c r="L222" s="298"/>
      <c r="M222" s="327"/>
      <c r="N222" s="296"/>
      <c r="O222" s="297"/>
    </row>
    <row r="223" spans="1:16" x14ac:dyDescent="0.3">
      <c r="A223" s="3621"/>
      <c r="B223" s="630"/>
      <c r="C223" s="326"/>
      <c r="D223" s="1143"/>
      <c r="E223" s="632"/>
      <c r="F223" s="528"/>
      <c r="G223" s="633"/>
      <c r="H223" s="315"/>
      <c r="I223" s="315"/>
      <c r="J223" s="634"/>
      <c r="K223" s="635"/>
      <c r="L223" s="636"/>
      <c r="M223" s="637"/>
      <c r="N223" s="544"/>
      <c r="O223" s="534"/>
    </row>
    <row r="224" spans="1:16" ht="15.6" x14ac:dyDescent="0.3">
      <c r="A224" s="3621"/>
      <c r="B224" s="639"/>
      <c r="C224" s="638"/>
      <c r="D224" s="1144" t="s">
        <v>3000</v>
      </c>
      <c r="E224" s="454">
        <f>E216+E217+E218+E219+E220+E221</f>
        <v>8330000</v>
      </c>
      <c r="F224" s="455"/>
      <c r="G224" s="456">
        <f>G216+G217+G218+G219+G220+G221</f>
        <v>660500</v>
      </c>
      <c r="H224" s="455"/>
      <c r="I224" s="452"/>
      <c r="J224" s="457"/>
      <c r="K224" s="458"/>
      <c r="L224" s="3734" t="s">
        <v>4225</v>
      </c>
      <c r="M224" s="3734"/>
      <c r="N224" s="3734"/>
      <c r="O224" s="656" t="s">
        <v>4226</v>
      </c>
      <c r="P224" s="558" t="s">
        <v>3507</v>
      </c>
    </row>
    <row r="225" spans="1:16" ht="15.6" x14ac:dyDescent="0.3">
      <c r="A225" s="3621"/>
      <c r="B225" s="204"/>
      <c r="C225" s="640"/>
      <c r="D225" s="1145"/>
      <c r="E225" s="209"/>
      <c r="F225" s="657"/>
      <c r="G225" s="451"/>
      <c r="H225" s="204"/>
      <c r="I225" s="204"/>
      <c r="J225" s="450"/>
      <c r="K225" s="11"/>
      <c r="L225" s="11"/>
      <c r="M225" s="11"/>
      <c r="N225" s="11"/>
      <c r="O225" s="2"/>
    </row>
    <row r="226" spans="1:16" x14ac:dyDescent="0.3">
      <c r="A226" s="2230"/>
      <c r="B226" s="17"/>
      <c r="C226" s="17"/>
      <c r="D226" s="1085"/>
      <c r="E226" s="19"/>
      <c r="F226" s="17"/>
      <c r="G226" s="20"/>
      <c r="H226" s="17"/>
      <c r="I226" s="17"/>
      <c r="J226" s="18"/>
      <c r="O226" s="1"/>
    </row>
    <row r="227" spans="1:16" x14ac:dyDescent="0.3">
      <c r="A227" s="2230"/>
      <c r="B227" s="17"/>
      <c r="C227" s="17"/>
      <c r="D227" s="1085"/>
      <c r="E227" s="19"/>
      <c r="F227" s="17"/>
      <c r="G227" s="20"/>
      <c r="H227" s="17"/>
      <c r="I227" s="17"/>
      <c r="J227" s="18"/>
      <c r="O227" s="1"/>
    </row>
    <row r="228" spans="1:16" ht="21" x14ac:dyDescent="0.4">
      <c r="A228" s="3746" t="s">
        <v>4151</v>
      </c>
      <c r="B228" s="3746"/>
      <c r="C228" s="3746"/>
      <c r="D228" s="3746"/>
      <c r="E228" s="3746"/>
      <c r="F228" s="3746"/>
      <c r="G228" s="3746"/>
      <c r="H228" s="3746"/>
      <c r="I228" s="3746"/>
      <c r="J228" s="3746"/>
      <c r="K228" s="3642" t="s">
        <v>2973</v>
      </c>
      <c r="L228" s="3642"/>
      <c r="M228" s="3642"/>
      <c r="N228" s="3642"/>
      <c r="O228" s="2"/>
    </row>
    <row r="229" spans="1:16" x14ac:dyDescent="0.3">
      <c r="A229" s="2231" t="s">
        <v>2974</v>
      </c>
      <c r="B229" s="23" t="s">
        <v>2975</v>
      </c>
      <c r="C229" s="3" t="s">
        <v>3004</v>
      </c>
      <c r="D229" s="1086" t="s">
        <v>2977</v>
      </c>
      <c r="E229" s="24" t="s">
        <v>2978</v>
      </c>
      <c r="F229" s="3" t="s">
        <v>2979</v>
      </c>
      <c r="G229" s="25" t="s">
        <v>2980</v>
      </c>
      <c r="H229" s="26" t="s">
        <v>2981</v>
      </c>
      <c r="I229" s="3" t="s">
        <v>2982</v>
      </c>
      <c r="J229" s="6" t="s">
        <v>2983</v>
      </c>
      <c r="K229" s="26" t="s">
        <v>2975</v>
      </c>
      <c r="L229" s="26" t="s">
        <v>2977</v>
      </c>
      <c r="M229" s="26" t="s">
        <v>2984</v>
      </c>
      <c r="N229" s="267" t="s">
        <v>2979</v>
      </c>
      <c r="O229" s="268" t="s">
        <v>2985</v>
      </c>
    </row>
    <row r="230" spans="1:16" x14ac:dyDescent="0.3">
      <c r="A230" s="3714" t="s">
        <v>4227</v>
      </c>
      <c r="B230" s="343"/>
      <c r="C230" s="362"/>
      <c r="D230" s="776" t="s">
        <v>4228</v>
      </c>
      <c r="E230" s="363"/>
      <c r="F230" s="344"/>
      <c r="G230" s="364"/>
      <c r="H230" s="328" t="s">
        <v>4112</v>
      </c>
      <c r="I230" s="329" t="s">
        <v>3992</v>
      </c>
      <c r="J230" s="530"/>
      <c r="K230" s="439">
        <v>10870</v>
      </c>
      <c r="L230" s="663" t="s">
        <v>4229</v>
      </c>
      <c r="M230" s="593">
        <v>1030000</v>
      </c>
      <c r="N230" s="592">
        <v>0.05</v>
      </c>
      <c r="O230" s="306">
        <f>M230*N230</f>
        <v>51500</v>
      </c>
    </row>
    <row r="231" spans="1:16" x14ac:dyDescent="0.3">
      <c r="A231" s="3714"/>
      <c r="B231" s="594">
        <v>10843</v>
      </c>
      <c r="C231" s="365">
        <v>0.1</v>
      </c>
      <c r="D231" s="995" t="s">
        <v>4230</v>
      </c>
      <c r="E231" s="366">
        <v>700000</v>
      </c>
      <c r="F231" s="281">
        <v>0.06</v>
      </c>
      <c r="G231" s="367">
        <f>E231*F231</f>
        <v>42000</v>
      </c>
      <c r="H231" s="330" t="s">
        <v>732</v>
      </c>
      <c r="I231" s="331" t="s">
        <v>3992</v>
      </c>
      <c r="J231" s="530"/>
      <c r="K231" s="1711"/>
      <c r="L231" s="1780"/>
      <c r="M231" s="1780"/>
      <c r="N231" s="1780"/>
      <c r="O231" s="371"/>
    </row>
    <row r="232" spans="1:16" x14ac:dyDescent="0.3">
      <c r="A232" s="3714"/>
      <c r="B232" s="306">
        <v>10883</v>
      </c>
      <c r="C232" s="365">
        <v>0.1</v>
      </c>
      <c r="D232" s="1114" t="s">
        <v>4231</v>
      </c>
      <c r="E232" s="366">
        <v>950000</v>
      </c>
      <c r="F232" s="281">
        <v>0.05</v>
      </c>
      <c r="G232" s="367">
        <f t="shared" ref="G232:G233" si="5">E232*F232</f>
        <v>47500</v>
      </c>
      <c r="H232" s="330" t="s">
        <v>510</v>
      </c>
      <c r="I232" s="331" t="s">
        <v>133</v>
      </c>
      <c r="J232" s="646"/>
      <c r="K232" s="530"/>
      <c r="L232" s="1780"/>
      <c r="M232" s="1780"/>
      <c r="N232" s="1780"/>
      <c r="O232" s="371"/>
    </row>
    <row r="233" spans="1:16" x14ac:dyDescent="0.3">
      <c r="A233" s="3714"/>
      <c r="B233" s="314">
        <v>10925</v>
      </c>
      <c r="C233" s="365">
        <v>0.1</v>
      </c>
      <c r="D233" s="590" t="s">
        <v>4232</v>
      </c>
      <c r="E233" s="368">
        <v>800000</v>
      </c>
      <c r="F233" s="369">
        <v>0.1</v>
      </c>
      <c r="G233" s="367">
        <f t="shared" si="5"/>
        <v>80000</v>
      </c>
      <c r="H233" s="337" t="s">
        <v>4112</v>
      </c>
      <c r="I233" s="331" t="s">
        <v>133</v>
      </c>
      <c r="J233" s="335"/>
      <c r="K233" s="325"/>
      <c r="L233" s="298"/>
      <c r="M233" s="317"/>
      <c r="N233" s="320"/>
      <c r="O233" s="661"/>
    </row>
    <row r="234" spans="1:16" x14ac:dyDescent="0.3">
      <c r="A234" s="3714"/>
      <c r="B234" s="509"/>
      <c r="C234" s="510"/>
      <c r="D234" s="1058"/>
      <c r="E234" s="512"/>
      <c r="F234" s="320"/>
      <c r="G234" s="513"/>
      <c r="H234" s="371"/>
      <c r="I234" s="316"/>
      <c r="J234" s="335"/>
      <c r="K234" s="484"/>
      <c r="L234" s="298"/>
      <c r="M234" s="298"/>
      <c r="N234" s="298"/>
      <c r="O234" s="662"/>
    </row>
    <row r="235" spans="1:16" x14ac:dyDescent="0.3">
      <c r="A235" s="3714"/>
      <c r="B235" s="445"/>
      <c r="C235" s="515"/>
      <c r="D235" s="1116" t="s">
        <v>3000</v>
      </c>
      <c r="E235" s="483">
        <f>E231+E232+E233</f>
        <v>2450000</v>
      </c>
      <c r="F235" s="514"/>
      <c r="G235" s="483">
        <f>G231+G232+G233</f>
        <v>169500</v>
      </c>
      <c r="H235" s="918"/>
      <c r="I235" s="514"/>
      <c r="J235" s="342"/>
      <c r="K235" s="468"/>
      <c r="L235" s="11"/>
      <c r="M235" s="11"/>
      <c r="N235" s="11"/>
      <c r="O235" s="659">
        <f>SUM(O230:O233)</f>
        <v>51500</v>
      </c>
    </row>
    <row r="236" spans="1:16" ht="15.6" x14ac:dyDescent="0.3">
      <c r="A236" s="3714"/>
      <c r="B236" s="460"/>
      <c r="C236" s="460"/>
      <c r="D236" s="1146"/>
      <c r="E236" s="658"/>
      <c r="F236" s="458"/>
      <c r="G236" s="489"/>
      <c r="H236" s="458"/>
      <c r="I236" s="458"/>
      <c r="J236" s="490"/>
      <c r="K236" s="461"/>
      <c r="L236" s="3747" t="s">
        <v>3026</v>
      </c>
      <c r="M236" s="3747"/>
      <c r="N236" s="3747"/>
      <c r="O236" s="660">
        <f>O235+G235</f>
        <v>221000</v>
      </c>
      <c r="P236" s="664" t="s">
        <v>4233</v>
      </c>
    </row>
    <row r="237" spans="1:16" ht="15.6" x14ac:dyDescent="0.3">
      <c r="A237" s="2236"/>
      <c r="B237" s="464"/>
      <c r="C237" s="464"/>
      <c r="D237" s="1118"/>
      <c r="E237" s="466"/>
      <c r="F237" s="464"/>
      <c r="G237" s="467"/>
      <c r="H237" s="464"/>
      <c r="I237" s="464"/>
      <c r="J237" s="465"/>
      <c r="K237" s="468"/>
      <c r="L237" s="469"/>
      <c r="M237" s="469"/>
      <c r="N237" s="469"/>
      <c r="O237" s="463"/>
    </row>
    <row r="238" spans="1:16" ht="15.6" x14ac:dyDescent="0.3">
      <c r="A238" s="2237"/>
      <c r="B238" s="470"/>
      <c r="C238" s="470"/>
      <c r="D238" s="1119"/>
      <c r="E238" s="472"/>
      <c r="F238" s="470"/>
      <c r="G238" s="473"/>
      <c r="H238" s="470"/>
      <c r="I238" s="470"/>
      <c r="J238" s="471"/>
      <c r="K238" s="448"/>
      <c r="L238" s="449"/>
      <c r="M238" s="449"/>
      <c r="N238" s="449"/>
      <c r="O238" s="474"/>
    </row>
    <row r="239" spans="1:16" ht="21" x14ac:dyDescent="0.4">
      <c r="A239" s="3748" t="s">
        <v>4234</v>
      </c>
      <c r="B239" s="3748"/>
      <c r="C239" s="3748"/>
      <c r="D239" s="3748"/>
      <c r="E239" s="3748"/>
      <c r="F239" s="3748"/>
      <c r="G239" s="3748"/>
      <c r="H239" s="3748"/>
      <c r="I239" s="3748"/>
      <c r="J239" s="3748"/>
      <c r="K239" s="3749" t="s">
        <v>2973</v>
      </c>
      <c r="L239" s="3749"/>
      <c r="M239" s="3749"/>
      <c r="N239" s="3749"/>
      <c r="O239" s="542"/>
    </row>
    <row r="240" spans="1:16" x14ac:dyDescent="0.3">
      <c r="A240" s="3743" t="s">
        <v>4235</v>
      </c>
      <c r="B240" s="303" t="s">
        <v>2975</v>
      </c>
      <c r="C240" s="303" t="s">
        <v>3004</v>
      </c>
      <c r="D240" s="1147" t="s">
        <v>2977</v>
      </c>
      <c r="E240" s="535" t="s">
        <v>2978</v>
      </c>
      <c r="F240" s="303" t="s">
        <v>2979</v>
      </c>
      <c r="G240" s="536" t="s">
        <v>2980</v>
      </c>
      <c r="H240" s="303" t="s">
        <v>2981</v>
      </c>
      <c r="I240" s="303" t="s">
        <v>4115</v>
      </c>
      <c r="J240" s="303" t="s">
        <v>2983</v>
      </c>
      <c r="K240" s="303" t="s">
        <v>2975</v>
      </c>
      <c r="L240" s="303" t="s">
        <v>2977</v>
      </c>
      <c r="M240" s="303" t="s">
        <v>2984</v>
      </c>
      <c r="N240" s="303" t="s">
        <v>2979</v>
      </c>
      <c r="O240" s="294" t="s">
        <v>2985</v>
      </c>
    </row>
    <row r="241" spans="1:16" x14ac:dyDescent="0.3">
      <c r="A241" s="3743"/>
      <c r="B241" s="441">
        <v>10854</v>
      </c>
      <c r="C241" s="310">
        <v>0.1</v>
      </c>
      <c r="D241" s="587" t="s">
        <v>4236</v>
      </c>
      <c r="E241" s="519">
        <v>1000000</v>
      </c>
      <c r="F241" s="310">
        <v>0.04</v>
      </c>
      <c r="G241" s="602">
        <f>E241*F241</f>
        <v>40000</v>
      </c>
      <c r="H241" s="441" t="s">
        <v>732</v>
      </c>
      <c r="I241" s="441" t="s">
        <v>3992</v>
      </c>
      <c r="J241" s="1780"/>
      <c r="K241" s="441">
        <v>10883</v>
      </c>
      <c r="L241" s="616" t="s">
        <v>4237</v>
      </c>
      <c r="M241" s="669">
        <v>950000</v>
      </c>
      <c r="N241" s="310">
        <v>0.04</v>
      </c>
      <c r="O241" s="668">
        <f>M241*N241</f>
        <v>38000</v>
      </c>
    </row>
    <row r="242" spans="1:16" x14ac:dyDescent="0.3">
      <c r="A242" s="3743"/>
      <c r="B242" s="441">
        <v>10912</v>
      </c>
      <c r="C242" s="310">
        <v>0.1</v>
      </c>
      <c r="D242" s="587" t="s">
        <v>4238</v>
      </c>
      <c r="E242" s="428">
        <v>1350000</v>
      </c>
      <c r="F242" s="310">
        <v>0.04</v>
      </c>
      <c r="G242" s="602">
        <f t="shared" ref="G242:G243" si="6">E242*F242</f>
        <v>54000</v>
      </c>
      <c r="H242" s="880" t="s">
        <v>732</v>
      </c>
      <c r="I242" s="306" t="s">
        <v>3992</v>
      </c>
      <c r="J242" s="1780"/>
      <c r="K242" s="1780"/>
      <c r="L242" s="1780"/>
      <c r="M242" s="1780"/>
      <c r="N242" s="1780"/>
      <c r="O242" s="307"/>
    </row>
    <row r="243" spans="1:16" x14ac:dyDescent="0.3">
      <c r="A243" s="3743"/>
      <c r="B243" s="306">
        <v>10926</v>
      </c>
      <c r="C243" s="310">
        <v>0.1</v>
      </c>
      <c r="D243" s="588" t="s">
        <v>4239</v>
      </c>
      <c r="E243" s="625">
        <v>960000</v>
      </c>
      <c r="F243" s="310">
        <v>0.04</v>
      </c>
      <c r="G243" s="602">
        <f t="shared" si="6"/>
        <v>38400</v>
      </c>
      <c r="H243" s="338" t="s">
        <v>732</v>
      </c>
      <c r="I243" s="338" t="s">
        <v>3992</v>
      </c>
      <c r="J243" s="341"/>
      <c r="K243" s="316"/>
      <c r="L243" s="298"/>
      <c r="M243" s="317"/>
      <c r="N243" s="376"/>
      <c r="O243" s="307"/>
    </row>
    <row r="244" spans="1:16" x14ac:dyDescent="0.3">
      <c r="A244" s="3743"/>
      <c r="B244" s="514"/>
      <c r="C244" s="278"/>
      <c r="D244" s="1148"/>
      <c r="E244" s="278"/>
      <c r="F244" s="278"/>
      <c r="G244" s="278"/>
      <c r="H244" s="1034"/>
      <c r="I244" s="1034"/>
      <c r="J244" s="278"/>
      <c r="K244" s="278"/>
      <c r="L244" s="442"/>
      <c r="M244" s="442"/>
      <c r="N244" s="442"/>
      <c r="O244" s="494">
        <f>O241</f>
        <v>38000</v>
      </c>
    </row>
    <row r="245" spans="1:16" x14ac:dyDescent="0.3">
      <c r="A245" s="3743"/>
      <c r="B245" s="514"/>
      <c r="C245" s="537"/>
      <c r="D245" s="1149" t="s">
        <v>3000</v>
      </c>
      <c r="E245" s="538">
        <f>SUM(E241:E244)</f>
        <v>3310000</v>
      </c>
      <c r="F245" s="539"/>
      <c r="G245" s="540">
        <f>G241+G242+G243</f>
        <v>132400</v>
      </c>
      <c r="H245" s="514"/>
      <c r="I245" s="316"/>
      <c r="J245" s="287"/>
      <c r="L245" s="11"/>
      <c r="M245" s="11"/>
      <c r="N245" s="11"/>
      <c r="O245" s="11"/>
    </row>
    <row r="246" spans="1:16" ht="15.6" x14ac:dyDescent="0.3">
      <c r="A246" s="3743"/>
      <c r="B246" s="316"/>
      <c r="C246" s="316"/>
      <c r="D246" s="491"/>
      <c r="E246" s="492">
        <f>G245+O244</f>
        <v>170400</v>
      </c>
      <c r="F246" s="479"/>
      <c r="G246" s="317"/>
      <c r="H246" s="479"/>
      <c r="I246" s="316"/>
      <c r="J246" s="335"/>
      <c r="K246" s="298"/>
      <c r="L246" s="533"/>
      <c r="M246" s="533"/>
      <c r="N246" s="533"/>
      <c r="O246" s="667"/>
    </row>
    <row r="247" spans="1:16" x14ac:dyDescent="0.3">
      <c r="A247" s="2252"/>
      <c r="B247" s="316"/>
      <c r="C247" s="316"/>
      <c r="D247" s="1150"/>
      <c r="E247" s="541"/>
      <c r="F247" s="479"/>
      <c r="G247" s="317"/>
      <c r="H247" s="479"/>
      <c r="I247" s="316"/>
      <c r="J247" s="335"/>
      <c r="K247" s="3744" t="s">
        <v>4119</v>
      </c>
      <c r="L247" s="3744"/>
      <c r="M247" s="3744"/>
      <c r="N247" s="666"/>
      <c r="O247" s="665">
        <f>O244+G245</f>
        <v>170400</v>
      </c>
      <c r="P247" s="558" t="s">
        <v>4233</v>
      </c>
    </row>
    <row r="248" spans="1:16" x14ac:dyDescent="0.3">
      <c r="A248" s="2238"/>
      <c r="B248" s="381"/>
      <c r="C248" s="381"/>
      <c r="D248" s="1123"/>
      <c r="E248" s="382"/>
      <c r="F248" s="383"/>
      <c r="G248" s="384"/>
      <c r="H248" s="383"/>
      <c r="I248" s="381"/>
      <c r="J248" s="377"/>
      <c r="K248" s="378"/>
      <c r="L248" s="379"/>
      <c r="M248" s="379"/>
      <c r="N248" s="379"/>
      <c r="O248" s="380"/>
    </row>
    <row r="249" spans="1:16" ht="3.75" customHeight="1" x14ac:dyDescent="0.3">
      <c r="A249" s="2238"/>
      <c r="B249" s="381"/>
      <c r="C249" s="381"/>
      <c r="D249" s="1123"/>
      <c r="E249" s="382"/>
      <c r="F249" s="383"/>
      <c r="G249" s="384"/>
      <c r="H249" s="383"/>
      <c r="I249" s="381"/>
      <c r="J249" s="377"/>
      <c r="K249" s="378"/>
      <c r="L249" s="379"/>
      <c r="M249" s="379"/>
      <c r="N249" s="379"/>
      <c r="O249" s="380"/>
    </row>
    <row r="250" spans="1:16" x14ac:dyDescent="0.3">
      <c r="A250" s="269"/>
      <c r="E250" s="91"/>
      <c r="G250" s="92"/>
      <c r="H250" s="1028"/>
    </row>
    <row r="251" spans="1:16" x14ac:dyDescent="0.3">
      <c r="A251" s="3745" t="s">
        <v>4240</v>
      </c>
      <c r="B251" s="3745"/>
      <c r="C251" s="3745"/>
      <c r="D251" s="3745"/>
      <c r="E251" s="3745"/>
      <c r="F251" s="3745"/>
      <c r="G251" s="3745"/>
      <c r="H251" s="3745"/>
    </row>
    <row r="252" spans="1:16" x14ac:dyDescent="0.3">
      <c r="A252" s="3745"/>
      <c r="B252" s="3745"/>
      <c r="C252" s="3745"/>
      <c r="D252" s="3745"/>
      <c r="E252" s="3745"/>
      <c r="F252" s="3745"/>
      <c r="G252" s="3745"/>
      <c r="H252" s="3745"/>
    </row>
    <row r="253" spans="1:16" ht="20.399999999999999" x14ac:dyDescent="0.3">
      <c r="A253" s="271" t="s">
        <v>3751</v>
      </c>
      <c r="B253" s="404" t="s">
        <v>2976</v>
      </c>
      <c r="C253" s="176" t="s">
        <v>3752</v>
      </c>
      <c r="D253" s="1127" t="s">
        <v>4121</v>
      </c>
      <c r="E253" s="405" t="s">
        <v>3754</v>
      </c>
      <c r="F253" s="406" t="s">
        <v>2979</v>
      </c>
      <c r="G253" s="407" t="s">
        <v>2985</v>
      </c>
      <c r="H253" s="408"/>
    </row>
    <row r="254" spans="1:16" x14ac:dyDescent="0.3">
      <c r="A254" s="2253"/>
      <c r="B254" s="624"/>
      <c r="C254" s="623" t="s">
        <v>4241</v>
      </c>
      <c r="D254" s="1151" t="s">
        <v>4242</v>
      </c>
      <c r="E254" s="302"/>
      <c r="F254" s="599"/>
      <c r="G254" s="600"/>
      <c r="H254" s="355" t="s">
        <v>4112</v>
      </c>
      <c r="I254" s="1062"/>
      <c r="J254" s="163"/>
      <c r="K254" s="163"/>
      <c r="L254" s="163"/>
      <c r="M254" s="163"/>
      <c r="N254" s="163"/>
      <c r="O254" s="163"/>
    </row>
    <row r="255" spans="1:16" x14ac:dyDescent="0.3">
      <c r="A255" s="2239"/>
      <c r="B255" s="409"/>
      <c r="C255" s="358" t="s">
        <v>4243</v>
      </c>
      <c r="D255" s="417" t="s">
        <v>4244</v>
      </c>
      <c r="E255" s="607"/>
      <c r="F255" s="411"/>
      <c r="G255" s="412"/>
      <c r="H255" s="606"/>
      <c r="I255" s="1062"/>
      <c r="J255" s="163"/>
      <c r="K255" s="163"/>
      <c r="L255" s="163"/>
      <c r="M255" s="163"/>
      <c r="N255" s="163"/>
      <c r="O255" s="163"/>
    </row>
    <row r="256" spans="1:16" x14ac:dyDescent="0.3">
      <c r="A256" s="2213">
        <v>10843</v>
      </c>
      <c r="B256" s="310">
        <v>0.1</v>
      </c>
      <c r="C256" s="282" t="s">
        <v>4245</v>
      </c>
      <c r="D256" s="590" t="s">
        <v>4109</v>
      </c>
      <c r="E256" s="375">
        <v>700000</v>
      </c>
      <c r="F256" s="281">
        <v>0.02</v>
      </c>
      <c r="G256" s="413">
        <f>E256*F256</f>
        <v>14000</v>
      </c>
      <c r="H256" s="306" t="s">
        <v>4112</v>
      </c>
      <c r="I256" s="1063" t="s">
        <v>4122</v>
      </c>
      <c r="J256" s="163"/>
      <c r="K256" s="163"/>
      <c r="L256" s="163"/>
      <c r="M256" s="163"/>
      <c r="N256" s="163"/>
      <c r="O256" s="163"/>
    </row>
    <row r="257" spans="1:15" x14ac:dyDescent="0.3">
      <c r="A257" s="2213">
        <v>10854</v>
      </c>
      <c r="B257" s="310">
        <v>0.1</v>
      </c>
      <c r="C257" s="282" t="s">
        <v>4246</v>
      </c>
      <c r="D257" s="590" t="s">
        <v>4109</v>
      </c>
      <c r="E257" s="388">
        <v>1000000</v>
      </c>
      <c r="F257" s="281">
        <v>0.02</v>
      </c>
      <c r="G257" s="413">
        <f>E257*F257</f>
        <v>20000</v>
      </c>
      <c r="H257" s="306" t="s">
        <v>510</v>
      </c>
      <c r="I257" s="1063" t="s">
        <v>4122</v>
      </c>
      <c r="J257" s="163"/>
      <c r="K257" s="163"/>
      <c r="L257" s="163"/>
      <c r="M257" s="163"/>
      <c r="N257" s="163"/>
      <c r="O257" s="163"/>
    </row>
    <row r="258" spans="1:15" x14ac:dyDescent="0.3">
      <c r="A258" s="2213">
        <v>10870</v>
      </c>
      <c r="B258" s="310">
        <v>0.1</v>
      </c>
      <c r="C258" s="282" t="s">
        <v>4247</v>
      </c>
      <c r="D258" s="590" t="s">
        <v>4109</v>
      </c>
      <c r="E258" s="388">
        <v>1030000</v>
      </c>
      <c r="F258" s="281">
        <v>0.02</v>
      </c>
      <c r="G258" s="413">
        <f t="shared" ref="G258:G262" si="7">E258*F258</f>
        <v>20600</v>
      </c>
      <c r="H258" s="306" t="s">
        <v>2008</v>
      </c>
      <c r="I258" s="1063" t="s">
        <v>4122</v>
      </c>
    </row>
    <row r="259" spans="1:15" x14ac:dyDescent="0.3">
      <c r="A259" s="2254">
        <v>10912</v>
      </c>
      <c r="B259" s="310">
        <v>0.1</v>
      </c>
      <c r="C259" s="350" t="s">
        <v>4248</v>
      </c>
      <c r="D259" s="587" t="s">
        <v>4109</v>
      </c>
      <c r="E259" s="620">
        <v>1350000</v>
      </c>
      <c r="F259" s="281">
        <v>0.02</v>
      </c>
      <c r="G259" s="413">
        <f t="shared" si="7"/>
        <v>27000</v>
      </c>
      <c r="H259" s="441" t="s">
        <v>510</v>
      </c>
      <c r="I259" s="1064" t="s">
        <v>4122</v>
      </c>
    </row>
    <row r="260" spans="1:15" x14ac:dyDescent="0.3">
      <c r="A260" s="2213">
        <v>10926</v>
      </c>
      <c r="B260" s="310">
        <v>0.1</v>
      </c>
      <c r="C260" s="283" t="s">
        <v>4249</v>
      </c>
      <c r="D260" s="590" t="s">
        <v>3787</v>
      </c>
      <c r="E260" s="388">
        <v>960000</v>
      </c>
      <c r="F260" s="281">
        <v>0.02</v>
      </c>
      <c r="G260" s="413">
        <f t="shared" si="7"/>
        <v>19200</v>
      </c>
      <c r="H260" s="306" t="s">
        <v>510</v>
      </c>
      <c r="I260" s="1063" t="s">
        <v>4122</v>
      </c>
    </row>
    <row r="261" spans="1:15" x14ac:dyDescent="0.3">
      <c r="A261" s="2213">
        <v>10891</v>
      </c>
      <c r="B261" s="310">
        <v>0.1</v>
      </c>
      <c r="C261" s="283" t="s">
        <v>4250</v>
      </c>
      <c r="D261" s="590" t="s">
        <v>4109</v>
      </c>
      <c r="E261" s="388">
        <v>1250000</v>
      </c>
      <c r="F261" s="281">
        <v>0.02</v>
      </c>
      <c r="G261" s="413">
        <f t="shared" si="7"/>
        <v>25000</v>
      </c>
      <c r="H261" s="306" t="s">
        <v>2008</v>
      </c>
      <c r="I261" s="1063" t="s">
        <v>4122</v>
      </c>
    </row>
    <row r="262" spans="1:15" x14ac:dyDescent="0.3">
      <c r="A262" s="2213">
        <v>10987</v>
      </c>
      <c r="B262" s="310">
        <v>0.1</v>
      </c>
      <c r="C262" s="616" t="s">
        <v>4251</v>
      </c>
      <c r="D262" s="590" t="s">
        <v>4252</v>
      </c>
      <c r="E262" s="388">
        <v>1800000</v>
      </c>
      <c r="F262" s="281">
        <v>0.02</v>
      </c>
      <c r="G262" s="413">
        <f t="shared" si="7"/>
        <v>36000</v>
      </c>
      <c r="H262" s="306" t="s">
        <v>582</v>
      </c>
      <c r="I262" s="1063" t="s">
        <v>4122</v>
      </c>
    </row>
    <row r="263" spans="1:15" x14ac:dyDescent="0.3">
      <c r="A263" s="2240"/>
      <c r="B263" s="614"/>
      <c r="C263" s="615"/>
      <c r="D263" s="1152"/>
      <c r="E263" s="574"/>
      <c r="F263" s="575"/>
      <c r="G263" s="414"/>
      <c r="H263" s="315"/>
    </row>
    <row r="264" spans="1:15" x14ac:dyDescent="0.3">
      <c r="A264" s="2240"/>
      <c r="B264" s="446"/>
      <c r="C264" s="446"/>
      <c r="D264" s="1153" t="s">
        <v>4190</v>
      </c>
      <c r="E264" s="493">
        <f>E256+E257+E258+E259+E260+E261+E262</f>
        <v>8090000</v>
      </c>
      <c r="F264" s="446"/>
      <c r="G264" s="414">
        <v>161800</v>
      </c>
      <c r="H264" s="315"/>
    </row>
    <row r="265" spans="1:15" ht="18" x14ac:dyDescent="0.35">
      <c r="A265" s="46"/>
      <c r="B265" s="11"/>
      <c r="C265" s="11"/>
      <c r="D265" s="1137" t="s">
        <v>3764</v>
      </c>
      <c r="E265" s="671">
        <f>G264</f>
        <v>161800</v>
      </c>
      <c r="F265" s="672" t="s">
        <v>4233</v>
      </c>
      <c r="G265" s="93"/>
      <c r="H265" s="50"/>
    </row>
    <row r="266" spans="1:15" x14ac:dyDescent="0.3">
      <c r="A266" s="90"/>
      <c r="E266" s="91"/>
      <c r="G266" s="92"/>
      <c r="H266" s="1028"/>
    </row>
    <row r="267" spans="1:15" x14ac:dyDescent="0.3">
      <c r="A267" s="90"/>
      <c r="E267" s="91"/>
      <c r="G267" s="92"/>
      <c r="H267" s="1028"/>
    </row>
    <row r="268" spans="1:15" x14ac:dyDescent="0.3">
      <c r="A268" s="3741" t="s">
        <v>4253</v>
      </c>
      <c r="B268" s="3741"/>
      <c r="C268" s="3741"/>
      <c r="D268" s="3741"/>
      <c r="E268" s="3741"/>
      <c r="F268" s="3741"/>
      <c r="G268" s="3741"/>
      <c r="H268" s="3741"/>
    </row>
    <row r="269" spans="1:15" x14ac:dyDescent="0.3">
      <c r="A269" s="3741"/>
      <c r="B269" s="3741"/>
      <c r="C269" s="3741"/>
      <c r="D269" s="3741"/>
      <c r="E269" s="3741"/>
      <c r="F269" s="3741"/>
      <c r="G269" s="3741"/>
      <c r="H269" s="3741"/>
    </row>
    <row r="270" spans="1:15" ht="20.399999999999999" x14ac:dyDescent="0.3">
      <c r="A270" s="271" t="s">
        <v>3751</v>
      </c>
      <c r="B270" s="404" t="s">
        <v>2976</v>
      </c>
      <c r="C270" s="176" t="s">
        <v>3752</v>
      </c>
      <c r="D270" s="1127" t="s">
        <v>4121</v>
      </c>
      <c r="E270" s="405" t="s">
        <v>3754</v>
      </c>
      <c r="F270" s="406" t="s">
        <v>2979</v>
      </c>
      <c r="G270" s="407" t="s">
        <v>2985</v>
      </c>
      <c r="H270" s="408"/>
    </row>
    <row r="271" spans="1:15" x14ac:dyDescent="0.3">
      <c r="A271" s="340">
        <v>10828</v>
      </c>
      <c r="B271" s="370">
        <v>0.1</v>
      </c>
      <c r="C271" s="588" t="s">
        <v>4254</v>
      </c>
      <c r="D271" s="587" t="s">
        <v>3787</v>
      </c>
      <c r="E271" s="589">
        <v>1600000</v>
      </c>
      <c r="F271" s="310">
        <v>0.02</v>
      </c>
      <c r="G271" s="647">
        <f>E271*F271</f>
        <v>32000</v>
      </c>
      <c r="H271" s="1041" t="s">
        <v>2008</v>
      </c>
      <c r="I271" s="306" t="s">
        <v>3503</v>
      </c>
    </row>
    <row r="272" spans="1:15" x14ac:dyDescent="0.3">
      <c r="A272" s="340">
        <v>10866</v>
      </c>
      <c r="B272" s="649">
        <v>0.08</v>
      </c>
      <c r="C272" s="282" t="s">
        <v>408</v>
      </c>
      <c r="D272" s="590" t="s">
        <v>4255</v>
      </c>
      <c r="E272" s="613">
        <v>1500000</v>
      </c>
      <c r="F272" s="649">
        <v>0.01</v>
      </c>
      <c r="G272" s="647">
        <f t="shared" ref="G272:G275" si="8">E272*F272</f>
        <v>15000</v>
      </c>
      <c r="H272" s="306" t="s">
        <v>2008</v>
      </c>
      <c r="I272" s="306" t="s">
        <v>4122</v>
      </c>
    </row>
    <row r="273" spans="1:15" x14ac:dyDescent="0.3">
      <c r="A273" s="340">
        <v>10883</v>
      </c>
      <c r="B273" s="281">
        <v>0.1</v>
      </c>
      <c r="C273" s="282" t="s">
        <v>310</v>
      </c>
      <c r="D273" s="590" t="s">
        <v>4109</v>
      </c>
      <c r="E273" s="617">
        <v>950000</v>
      </c>
      <c r="F273" s="310">
        <v>0.02</v>
      </c>
      <c r="G273" s="647">
        <f t="shared" si="8"/>
        <v>19000</v>
      </c>
      <c r="H273" s="306" t="s">
        <v>4112</v>
      </c>
      <c r="I273" s="306" t="s">
        <v>4122</v>
      </c>
    </row>
    <row r="274" spans="1:15" x14ac:dyDescent="0.3">
      <c r="A274" s="340">
        <v>10925</v>
      </c>
      <c r="B274" s="281">
        <v>0.1</v>
      </c>
      <c r="C274" s="283" t="s">
        <v>4256</v>
      </c>
      <c r="D274" s="1154" t="s">
        <v>4255</v>
      </c>
      <c r="E274" s="613">
        <v>800000</v>
      </c>
      <c r="F274" s="310">
        <v>0.02</v>
      </c>
      <c r="G274" s="647">
        <f t="shared" si="8"/>
        <v>16000</v>
      </c>
      <c r="H274" s="306" t="s">
        <v>4112</v>
      </c>
      <c r="I274" s="306" t="s">
        <v>4122</v>
      </c>
    </row>
    <row r="275" spans="1:15" x14ac:dyDescent="0.3">
      <c r="A275" s="340">
        <v>10968</v>
      </c>
      <c r="B275" s="310">
        <v>0.1</v>
      </c>
      <c r="C275" s="283" t="s">
        <v>4257</v>
      </c>
      <c r="D275" s="590" t="s">
        <v>4109</v>
      </c>
      <c r="E275" s="648">
        <v>1150000</v>
      </c>
      <c r="F275" s="310">
        <v>0.02</v>
      </c>
      <c r="G275" s="647">
        <f t="shared" si="8"/>
        <v>23000</v>
      </c>
      <c r="H275" s="306" t="s">
        <v>4258</v>
      </c>
      <c r="I275" s="306" t="s">
        <v>4122</v>
      </c>
    </row>
    <row r="276" spans="1:15" x14ac:dyDescent="0.3">
      <c r="A276" s="2240"/>
      <c r="B276" s="496"/>
      <c r="C276" s="446"/>
      <c r="D276" s="1130"/>
      <c r="E276" s="493"/>
      <c r="F276" s="446"/>
      <c r="G276" s="494"/>
      <c r="H276" s="315"/>
      <c r="I276" s="347"/>
    </row>
    <row r="277" spans="1:15" x14ac:dyDescent="0.3">
      <c r="A277" s="2240"/>
      <c r="B277" s="496"/>
      <c r="C277" s="446"/>
      <c r="D277" s="1130" t="s">
        <v>4190</v>
      </c>
      <c r="E277" s="493">
        <f>E271+E272+E273+E274+E275</f>
        <v>6000000</v>
      </c>
      <c r="F277" s="446"/>
      <c r="G277" s="494">
        <f>G271+G272+G273+G274+G275</f>
        <v>105000</v>
      </c>
      <c r="H277" s="315"/>
      <c r="I277" s="347"/>
    </row>
    <row r="278" spans="1:15" ht="15.6" x14ac:dyDescent="0.3">
      <c r="A278" s="46"/>
      <c r="B278" s="11"/>
      <c r="C278" s="11"/>
      <c r="D278" s="1137" t="s">
        <v>3764</v>
      </c>
      <c r="E278" s="495">
        <f>G277</f>
        <v>105000</v>
      </c>
      <c r="F278" s="11"/>
      <c r="G278" s="93"/>
      <c r="H278" s="50"/>
      <c r="I278" s="2"/>
    </row>
    <row r="279" spans="1:15" x14ac:dyDescent="0.3">
      <c r="E279" s="603"/>
    </row>
    <row r="280" spans="1:15" x14ac:dyDescent="0.3">
      <c r="A280" s="3742" t="s">
        <v>4259</v>
      </c>
      <c r="B280" s="3742"/>
      <c r="C280" s="3742"/>
      <c r="D280" s="3742"/>
      <c r="E280" s="3742"/>
      <c r="F280" s="3742"/>
      <c r="G280" s="3742"/>
      <c r="H280" s="3742"/>
      <c r="I280" s="2"/>
    </row>
    <row r="281" spans="1:15" x14ac:dyDescent="0.3">
      <c r="A281" s="3742"/>
      <c r="B281" s="3742"/>
      <c r="C281" s="3742"/>
      <c r="D281" s="3742"/>
      <c r="E281" s="3742"/>
      <c r="F281" s="3742"/>
      <c r="G281" s="3742"/>
      <c r="H281" s="3742"/>
      <c r="I281" s="2"/>
    </row>
    <row r="282" spans="1:15" ht="20.399999999999999" x14ac:dyDescent="0.3">
      <c r="A282" s="265" t="s">
        <v>3751</v>
      </c>
      <c r="B282" s="33" t="s">
        <v>2976</v>
      </c>
      <c r="C282" s="33" t="s">
        <v>3752</v>
      </c>
      <c r="D282" s="1093" t="s">
        <v>4121</v>
      </c>
      <c r="E282" s="63" t="s">
        <v>3754</v>
      </c>
      <c r="F282" s="118" t="s">
        <v>2979</v>
      </c>
      <c r="G282" s="88" t="s">
        <v>2985</v>
      </c>
      <c r="H282" s="266" t="s">
        <v>4208</v>
      </c>
      <c r="I282" s="2"/>
    </row>
    <row r="283" spans="1:15" x14ac:dyDescent="0.3">
      <c r="A283" s="2255">
        <v>10828</v>
      </c>
      <c r="B283" s="426">
        <v>0.1</v>
      </c>
      <c r="C283" s="350" t="s">
        <v>4260</v>
      </c>
      <c r="D283" s="587" t="s">
        <v>3787</v>
      </c>
      <c r="E283" s="427">
        <v>1600000</v>
      </c>
      <c r="F283" s="423">
        <v>0.02</v>
      </c>
      <c r="G283" s="500">
        <f>E283*F283</f>
        <v>32000</v>
      </c>
      <c r="H283" s="1038" t="s">
        <v>2008</v>
      </c>
      <c r="I283" s="306" t="s">
        <v>3503</v>
      </c>
      <c r="J283" s="163"/>
      <c r="K283" s="163"/>
      <c r="L283" s="163"/>
      <c r="M283" s="163"/>
      <c r="N283" s="163"/>
      <c r="O283" s="163"/>
    </row>
    <row r="284" spans="1:15" x14ac:dyDescent="0.3">
      <c r="A284" s="653">
        <v>10843</v>
      </c>
      <c r="B284" s="429">
        <v>0.1</v>
      </c>
      <c r="C284" s="350" t="s">
        <v>4245</v>
      </c>
      <c r="D284" s="587" t="s">
        <v>4109</v>
      </c>
      <c r="E284" s="427">
        <v>700000</v>
      </c>
      <c r="F284" s="423">
        <v>0.02</v>
      </c>
      <c r="G284" s="500">
        <f t="shared" ref="G284:G294" si="9">E284*F284</f>
        <v>14000</v>
      </c>
      <c r="H284" s="1038" t="s">
        <v>4112</v>
      </c>
      <c r="I284" s="306" t="s">
        <v>4122</v>
      </c>
      <c r="J284" s="163"/>
      <c r="K284" s="163"/>
      <c r="L284" s="163"/>
      <c r="M284" s="163"/>
      <c r="N284" s="163"/>
      <c r="O284" s="163"/>
    </row>
    <row r="285" spans="1:15" x14ac:dyDescent="0.3">
      <c r="A285" s="563">
        <v>10854</v>
      </c>
      <c r="B285" s="281">
        <v>0.1</v>
      </c>
      <c r="C285" s="422" t="s">
        <v>4246</v>
      </c>
      <c r="D285" s="587" t="s">
        <v>4109</v>
      </c>
      <c r="E285" s="283">
        <v>1000000</v>
      </c>
      <c r="F285" s="423">
        <v>0.02</v>
      </c>
      <c r="G285" s="500">
        <f t="shared" si="9"/>
        <v>20000</v>
      </c>
      <c r="H285" s="1038" t="s">
        <v>510</v>
      </c>
      <c r="I285" s="306" t="s">
        <v>4122</v>
      </c>
    </row>
    <row r="286" spans="1:15" x14ac:dyDescent="0.3">
      <c r="A286" s="563">
        <v>10866</v>
      </c>
      <c r="B286" s="556">
        <v>0.08</v>
      </c>
      <c r="C286" s="282" t="s">
        <v>4261</v>
      </c>
      <c r="D286" s="1131" t="s">
        <v>4109</v>
      </c>
      <c r="E286" s="283">
        <v>1500000</v>
      </c>
      <c r="F286" s="556">
        <v>0.01</v>
      </c>
      <c r="G286" s="500">
        <f t="shared" si="9"/>
        <v>15000</v>
      </c>
      <c r="H286" s="1038" t="s">
        <v>2008</v>
      </c>
      <c r="I286" s="306" t="s">
        <v>4122</v>
      </c>
    </row>
    <row r="287" spans="1:15" x14ac:dyDescent="0.3">
      <c r="A287" s="565">
        <v>10870</v>
      </c>
      <c r="B287" s="423">
        <v>0.1</v>
      </c>
      <c r="C287" s="439" t="s">
        <v>4247</v>
      </c>
      <c r="D287" s="1131" t="s">
        <v>4109</v>
      </c>
      <c r="E287" s="283">
        <v>1030000</v>
      </c>
      <c r="F287" s="423">
        <v>0.02</v>
      </c>
      <c r="G287" s="500">
        <f t="shared" si="9"/>
        <v>20600</v>
      </c>
      <c r="H287" s="1038" t="s">
        <v>2008</v>
      </c>
      <c r="I287" s="306" t="s">
        <v>4122</v>
      </c>
    </row>
    <row r="288" spans="1:15" x14ac:dyDescent="0.3">
      <c r="A288" s="2256">
        <v>10891</v>
      </c>
      <c r="B288" s="421">
        <v>0.1</v>
      </c>
      <c r="C288" s="349" t="s">
        <v>4250</v>
      </c>
      <c r="D288" s="587" t="s">
        <v>4109</v>
      </c>
      <c r="E288" s="283">
        <v>1250000</v>
      </c>
      <c r="F288" s="423">
        <v>0.02</v>
      </c>
      <c r="G288" s="500">
        <f t="shared" si="9"/>
        <v>25000</v>
      </c>
      <c r="H288" s="1038" t="s">
        <v>2008</v>
      </c>
      <c r="I288" s="306" t="s">
        <v>4122</v>
      </c>
    </row>
    <row r="289" spans="1:9" x14ac:dyDescent="0.3">
      <c r="A289" s="2256">
        <v>10883</v>
      </c>
      <c r="B289" s="421">
        <v>0.1</v>
      </c>
      <c r="C289" s="616" t="s">
        <v>310</v>
      </c>
      <c r="D289" s="587" t="s">
        <v>4109</v>
      </c>
      <c r="E289" s="283">
        <v>950000</v>
      </c>
      <c r="F289" s="423">
        <v>0.02</v>
      </c>
      <c r="G289" s="500">
        <f t="shared" si="9"/>
        <v>19000</v>
      </c>
      <c r="H289" s="1038" t="s">
        <v>4112</v>
      </c>
      <c r="I289" s="306" t="s">
        <v>4122</v>
      </c>
    </row>
    <row r="290" spans="1:9" x14ac:dyDescent="0.3">
      <c r="A290" s="2257">
        <v>10912</v>
      </c>
      <c r="B290" s="281">
        <v>0.1</v>
      </c>
      <c r="C290" s="422" t="s">
        <v>4262</v>
      </c>
      <c r="D290" s="587" t="s">
        <v>4109</v>
      </c>
      <c r="E290" s="283">
        <v>1350000</v>
      </c>
      <c r="F290" s="423">
        <v>0.02</v>
      </c>
      <c r="G290" s="500">
        <f t="shared" si="9"/>
        <v>27000</v>
      </c>
      <c r="H290" s="1038" t="s">
        <v>510</v>
      </c>
      <c r="I290" s="306" t="s">
        <v>4122</v>
      </c>
    </row>
    <row r="291" spans="1:9" x14ac:dyDescent="0.3">
      <c r="A291" s="563">
        <v>10926</v>
      </c>
      <c r="B291" s="423">
        <v>0.1</v>
      </c>
      <c r="C291" s="629" t="s">
        <v>4263</v>
      </c>
      <c r="D291" s="1131" t="s">
        <v>4109</v>
      </c>
      <c r="E291" s="283">
        <v>960000</v>
      </c>
      <c r="F291" s="423">
        <v>0.02</v>
      </c>
      <c r="G291" s="500">
        <f t="shared" si="9"/>
        <v>19200</v>
      </c>
      <c r="H291" s="1038" t="s">
        <v>510</v>
      </c>
      <c r="I291" s="306" t="s">
        <v>4122</v>
      </c>
    </row>
    <row r="292" spans="1:9" x14ac:dyDescent="0.3">
      <c r="A292" s="563">
        <v>10925</v>
      </c>
      <c r="B292" s="423">
        <v>0.1</v>
      </c>
      <c r="C292" s="439" t="s">
        <v>270</v>
      </c>
      <c r="D292" s="1131" t="s">
        <v>4109</v>
      </c>
      <c r="E292" s="283">
        <v>800000</v>
      </c>
      <c r="F292" s="423">
        <v>0.02</v>
      </c>
      <c r="G292" s="500">
        <f t="shared" si="9"/>
        <v>16000</v>
      </c>
      <c r="H292" s="1038" t="s">
        <v>4112</v>
      </c>
      <c r="I292" s="306" t="s">
        <v>4122</v>
      </c>
    </row>
    <row r="293" spans="1:9" x14ac:dyDescent="0.3">
      <c r="A293" s="565">
        <v>10968</v>
      </c>
      <c r="B293" s="424">
        <v>0.1</v>
      </c>
      <c r="C293" s="425" t="s">
        <v>4257</v>
      </c>
      <c r="D293" s="798" t="s">
        <v>4109</v>
      </c>
      <c r="E293" s="286">
        <v>1150000</v>
      </c>
      <c r="F293" s="423">
        <v>0.02</v>
      </c>
      <c r="G293" s="500">
        <f t="shared" si="9"/>
        <v>23000</v>
      </c>
      <c r="H293" s="727" t="s">
        <v>582</v>
      </c>
      <c r="I293" s="314" t="s">
        <v>4122</v>
      </c>
    </row>
    <row r="294" spans="1:9" x14ac:dyDescent="0.3">
      <c r="A294" s="563">
        <v>10987</v>
      </c>
      <c r="B294" s="281">
        <v>0.1</v>
      </c>
      <c r="C294" s="282" t="s">
        <v>4251</v>
      </c>
      <c r="D294" s="587" t="s">
        <v>4252</v>
      </c>
      <c r="E294" s="283">
        <v>1800000</v>
      </c>
      <c r="F294" s="423">
        <v>0.02</v>
      </c>
      <c r="G294" s="500">
        <f t="shared" si="9"/>
        <v>36000</v>
      </c>
      <c r="H294" s="306" t="s">
        <v>2008</v>
      </c>
      <c r="I294" s="306" t="s">
        <v>4122</v>
      </c>
    </row>
    <row r="295" spans="1:9" x14ac:dyDescent="0.3">
      <c r="A295" s="2250"/>
      <c r="B295" s="520"/>
      <c r="C295" s="527"/>
      <c r="D295" s="1100"/>
      <c r="E295" s="521"/>
      <c r="F295" s="498"/>
      <c r="G295" s="498"/>
      <c r="H295" s="1040"/>
      <c r="I295" s="268"/>
    </row>
    <row r="296" spans="1:9" x14ac:dyDescent="0.3">
      <c r="A296" s="2250"/>
      <c r="B296" s="11"/>
      <c r="C296" s="11"/>
      <c r="D296" s="1136" t="s">
        <v>4264</v>
      </c>
      <c r="E296" s="497">
        <f>SUM(E283:E295)</f>
        <v>14090000</v>
      </c>
      <c r="F296" s="498"/>
      <c r="G296" s="501">
        <f>SUM(G283:G294)</f>
        <v>266800</v>
      </c>
      <c r="H296" s="984"/>
      <c r="I296" s="268"/>
    </row>
    <row r="297" spans="1:9" ht="15.6" x14ac:dyDescent="0.3">
      <c r="A297" s="265"/>
      <c r="B297" s="171"/>
      <c r="C297" s="171"/>
      <c r="D297" s="1155" t="s">
        <v>4265</v>
      </c>
      <c r="E297" s="673">
        <f>G296+G264</f>
        <v>428600</v>
      </c>
      <c r="F297" s="670" t="s">
        <v>4233</v>
      </c>
      <c r="G297" s="11"/>
      <c r="H297" s="2"/>
      <c r="I297" s="2"/>
    </row>
    <row r="300" spans="1:9" x14ac:dyDescent="0.3">
      <c r="A300" s="3720" t="s">
        <v>3064</v>
      </c>
      <c r="B300" s="3720"/>
      <c r="C300" s="79"/>
      <c r="D300" s="1101">
        <v>14090000</v>
      </c>
    </row>
    <row r="301" spans="1:9" x14ac:dyDescent="0.3">
      <c r="A301" s="3721" t="s">
        <v>3065</v>
      </c>
      <c r="B301" s="3721"/>
      <c r="C301" s="41"/>
      <c r="D301" s="1102"/>
    </row>
    <row r="302" spans="1:9" x14ac:dyDescent="0.3">
      <c r="A302" s="3722" t="s">
        <v>3066</v>
      </c>
      <c r="B302" s="3722"/>
      <c r="C302" s="45"/>
      <c r="D302" s="1103"/>
    </row>
    <row r="303" spans="1:9" x14ac:dyDescent="0.3">
      <c r="A303" s="3609" t="s">
        <v>3067</v>
      </c>
      <c r="B303" s="3609"/>
      <c r="C303" s="605"/>
      <c r="D303" s="1156"/>
    </row>
    <row r="304" spans="1:9" x14ac:dyDescent="0.3">
      <c r="A304" s="3725" t="s">
        <v>3068</v>
      </c>
      <c r="B304" s="3725"/>
      <c r="C304" s="45"/>
      <c r="D304" s="1139">
        <v>1700000</v>
      </c>
    </row>
    <row r="305" spans="1:15" x14ac:dyDescent="0.3">
      <c r="A305" s="2234"/>
      <c r="B305" s="43" t="s">
        <v>3070</v>
      </c>
      <c r="C305" s="43"/>
      <c r="D305" s="1157" t="s">
        <v>3133</v>
      </c>
    </row>
    <row r="311" spans="1:15" ht="46.2" x14ac:dyDescent="0.85">
      <c r="A311" s="3649" t="s">
        <v>4266</v>
      </c>
      <c r="B311" s="3649"/>
      <c r="C311" s="3649"/>
      <c r="D311" s="3649"/>
      <c r="E311" s="3649"/>
      <c r="F311" s="3649"/>
      <c r="G311" s="3649"/>
      <c r="H311" s="3649"/>
      <c r="I311" s="3649"/>
      <c r="J311" s="3649"/>
      <c r="O311" s="1"/>
    </row>
    <row r="312" spans="1:15" x14ac:dyDescent="0.3">
      <c r="O312" s="1"/>
    </row>
    <row r="313" spans="1:15" ht="21" x14ac:dyDescent="0.4">
      <c r="A313" s="3754" t="s">
        <v>2972</v>
      </c>
      <c r="B313" s="3754"/>
      <c r="C313" s="3754"/>
      <c r="D313" s="3754"/>
      <c r="E313" s="3754"/>
      <c r="F313" s="3754"/>
      <c r="G313" s="3754"/>
      <c r="H313" s="3754"/>
      <c r="I313" s="3754"/>
      <c r="J313" s="3754"/>
      <c r="K313" s="3642" t="s">
        <v>2973</v>
      </c>
      <c r="L313" s="3642"/>
      <c r="M313" s="3642"/>
      <c r="N313" s="3642"/>
      <c r="O313" s="2"/>
    </row>
    <row r="314" spans="1:15" x14ac:dyDescent="0.3">
      <c r="A314" s="2229" t="s">
        <v>2974</v>
      </c>
      <c r="B314" s="1666" t="s">
        <v>2975</v>
      </c>
      <c r="C314" s="1666" t="s">
        <v>3004</v>
      </c>
      <c r="D314" s="1083" t="s">
        <v>2977</v>
      </c>
      <c r="E314" s="4" t="s">
        <v>2978</v>
      </c>
      <c r="F314" s="3" t="s">
        <v>2979</v>
      </c>
      <c r="G314" s="5" t="s">
        <v>2980</v>
      </c>
      <c r="H314" s="3" t="s">
        <v>2981</v>
      </c>
      <c r="I314" s="3" t="s">
        <v>2982</v>
      </c>
      <c r="J314" s="3" t="s">
        <v>2983</v>
      </c>
      <c r="K314" s="6" t="s">
        <v>2975</v>
      </c>
      <c r="L314" s="6" t="s">
        <v>2977</v>
      </c>
      <c r="M314" s="6" t="s">
        <v>2984</v>
      </c>
      <c r="N314" s="7" t="s">
        <v>2979</v>
      </c>
      <c r="O314" s="2" t="s">
        <v>2985</v>
      </c>
    </row>
    <row r="315" spans="1:15" x14ac:dyDescent="0.3">
      <c r="A315" s="3621" t="s">
        <v>4267</v>
      </c>
      <c r="B315" s="691"/>
      <c r="C315" s="300"/>
      <c r="D315" s="921" t="s">
        <v>4268</v>
      </c>
      <c r="E315" s="302"/>
      <c r="F315" s="344"/>
      <c r="G315" s="387"/>
      <c r="H315" s="606"/>
      <c r="I315" s="606"/>
      <c r="J315" s="609"/>
      <c r="K315" s="338">
        <v>11019</v>
      </c>
      <c r="L315" s="286" t="s">
        <v>4269</v>
      </c>
      <c r="M315" s="746">
        <v>1000000</v>
      </c>
      <c r="N315" s="281">
        <v>0.05</v>
      </c>
      <c r="O315" s="747">
        <f>M315*N315</f>
        <v>50000</v>
      </c>
    </row>
    <row r="316" spans="1:15" x14ac:dyDescent="0.3">
      <c r="A316" s="3621"/>
      <c r="B316" s="691"/>
      <c r="C316" s="300"/>
      <c r="D316" s="1158" t="s">
        <v>4270</v>
      </c>
      <c r="E316" s="719"/>
      <c r="F316" s="720"/>
      <c r="G316" s="721"/>
      <c r="H316" s="621"/>
      <c r="I316" s="621"/>
      <c r="J316" s="610"/>
      <c r="K316" s="748">
        <v>11007</v>
      </c>
      <c r="L316" s="439" t="s">
        <v>4271</v>
      </c>
      <c r="M316" s="375">
        <v>750000</v>
      </c>
      <c r="N316" s="749">
        <v>0.05</v>
      </c>
      <c r="O316" s="750">
        <f>M316*N316</f>
        <v>37500</v>
      </c>
    </row>
    <row r="317" spans="1:15" x14ac:dyDescent="0.3">
      <c r="A317" s="3621"/>
      <c r="B317" s="314">
        <v>10998</v>
      </c>
      <c r="C317" s="592">
        <v>0.1</v>
      </c>
      <c r="D317" s="1053" t="s">
        <v>4272</v>
      </c>
      <c r="E317" s="677">
        <v>1200000</v>
      </c>
      <c r="F317" s="678">
        <v>0.1</v>
      </c>
      <c r="G317" s="679">
        <f>E317*F317</f>
        <v>120000</v>
      </c>
      <c r="H317" s="619" t="s">
        <v>582</v>
      </c>
      <c r="I317" s="619" t="s">
        <v>133</v>
      </c>
      <c r="J317" s="610"/>
      <c r="K317" s="745"/>
      <c r="L317" s="298"/>
      <c r="M317" s="317"/>
      <c r="N317" s="643"/>
      <c r="O317" s="612"/>
    </row>
    <row r="318" spans="1:15" x14ac:dyDescent="0.3">
      <c r="A318" s="3621"/>
      <c r="B318" s="675" t="s">
        <v>4273</v>
      </c>
      <c r="C318" s="694">
        <v>0.1</v>
      </c>
      <c r="D318" s="590" t="s">
        <v>4274</v>
      </c>
      <c r="E318" s="591">
        <v>1100000</v>
      </c>
      <c r="F318" s="313">
        <v>0.1</v>
      </c>
      <c r="G318" s="679">
        <f t="shared" ref="G318:G323" si="10">E318*F318</f>
        <v>110000</v>
      </c>
      <c r="H318" s="314" t="s">
        <v>582</v>
      </c>
      <c r="I318" s="314" t="s">
        <v>3992</v>
      </c>
      <c r="J318" s="634"/>
      <c r="K318" s="532"/>
      <c r="L318" s="531"/>
      <c r="M318" s="323"/>
      <c r="N318" s="611"/>
      <c r="O318" s="612"/>
    </row>
    <row r="319" spans="1:15" x14ac:dyDescent="0.3">
      <c r="A319" s="3621"/>
      <c r="B319" s="306">
        <v>11090</v>
      </c>
      <c r="C319" s="714">
        <v>0.1</v>
      </c>
      <c r="D319" s="1159" t="s">
        <v>4275</v>
      </c>
      <c r="E319" s="591">
        <v>1200000</v>
      </c>
      <c r="F319" s="313">
        <v>0.05</v>
      </c>
      <c r="G319" s="679">
        <f t="shared" si="10"/>
        <v>60000</v>
      </c>
      <c r="H319" s="314" t="s">
        <v>4112</v>
      </c>
      <c r="I319" s="314" t="s">
        <v>133</v>
      </c>
      <c r="J319" s="713"/>
      <c r="K319" s="532"/>
      <c r="L319" s="531"/>
      <c r="M319" s="323"/>
      <c r="N319" s="611"/>
      <c r="O319" s="612"/>
    </row>
    <row r="320" spans="1:15" x14ac:dyDescent="0.3">
      <c r="A320" s="3621"/>
      <c r="B320" s="674">
        <v>11114</v>
      </c>
      <c r="C320" s="310">
        <v>0.1</v>
      </c>
      <c r="D320" s="590" t="s">
        <v>4276</v>
      </c>
      <c r="E320" s="305">
        <v>1600000</v>
      </c>
      <c r="F320" s="281">
        <v>0.1</v>
      </c>
      <c r="G320" s="679">
        <f t="shared" si="10"/>
        <v>160000</v>
      </c>
      <c r="H320" s="306" t="s">
        <v>582</v>
      </c>
      <c r="I320" s="306" t="s">
        <v>133</v>
      </c>
      <c r="J320" s="609"/>
      <c r="K320" s="529"/>
      <c r="L320" s="531"/>
      <c r="M320" s="323"/>
      <c r="N320" s="611"/>
      <c r="O320" s="612"/>
    </row>
    <row r="321" spans="1:15" x14ac:dyDescent="0.3">
      <c r="A321" s="3621"/>
      <c r="B321" s="727">
        <v>11127</v>
      </c>
      <c r="C321" s="370">
        <v>0.1</v>
      </c>
      <c r="D321" s="590" t="s">
        <v>4277</v>
      </c>
      <c r="E321" s="305">
        <v>1300000</v>
      </c>
      <c r="F321" s="281">
        <v>0.05</v>
      </c>
      <c r="G321" s="679">
        <f t="shared" si="10"/>
        <v>65000</v>
      </c>
      <c r="H321" s="306" t="s">
        <v>732</v>
      </c>
      <c r="I321" s="306" t="s">
        <v>3992</v>
      </c>
      <c r="J321" s="335"/>
      <c r="K321" s="371"/>
      <c r="L321" s="298"/>
      <c r="M321" s="327"/>
      <c r="N321" s="296"/>
      <c r="O321" s="612">
        <f>O316+O315</f>
        <v>87500</v>
      </c>
    </row>
    <row r="322" spans="1:15" x14ac:dyDescent="0.3">
      <c r="A322" s="3621"/>
      <c r="B322" s="306">
        <v>11123</v>
      </c>
      <c r="C322" s="723">
        <v>0.1</v>
      </c>
      <c r="D322" s="1114" t="s">
        <v>4278</v>
      </c>
      <c r="E322" s="724">
        <v>600000</v>
      </c>
      <c r="F322" s="725">
        <v>0.06</v>
      </c>
      <c r="G322" s="679">
        <f t="shared" si="10"/>
        <v>36000</v>
      </c>
      <c r="H322" s="726" t="s">
        <v>732</v>
      </c>
      <c r="I322" s="726" t="s">
        <v>3992</v>
      </c>
      <c r="J322" s="713"/>
      <c r="K322" s="532"/>
      <c r="L322" s="531"/>
      <c r="M322" s="323"/>
      <c r="N322" s="611"/>
      <c r="O322" s="612"/>
    </row>
    <row r="323" spans="1:15" x14ac:dyDescent="0.3">
      <c r="A323" s="3621"/>
      <c r="B323" s="306">
        <v>11121</v>
      </c>
      <c r="C323" s="694">
        <v>0.08</v>
      </c>
      <c r="D323" s="590" t="s">
        <v>4279</v>
      </c>
      <c r="E323" s="591">
        <v>950000</v>
      </c>
      <c r="F323" s="313">
        <v>0.08</v>
      </c>
      <c r="G323" s="679">
        <f t="shared" si="10"/>
        <v>76000</v>
      </c>
      <c r="H323" s="314" t="s">
        <v>582</v>
      </c>
      <c r="I323" s="314" t="s">
        <v>133</v>
      </c>
      <c r="J323" s="634"/>
      <c r="K323" s="532"/>
      <c r="L323" s="531"/>
      <c r="M323" s="323"/>
      <c r="N323" s="611"/>
      <c r="O323" s="612"/>
    </row>
    <row r="324" spans="1:15" x14ac:dyDescent="0.3">
      <c r="A324" s="3621"/>
      <c r="B324" s="307"/>
      <c r="C324" s="707"/>
      <c r="D324" s="1058"/>
      <c r="E324" s="684"/>
      <c r="F324" s="528"/>
      <c r="G324" s="633"/>
      <c r="H324" s="315"/>
      <c r="I324" s="315"/>
      <c r="J324" s="634"/>
      <c r="K324" s="529"/>
      <c r="L324" s="531"/>
      <c r="M324" s="323"/>
      <c r="N324" s="611"/>
      <c r="O324" s="612"/>
    </row>
    <row r="325" spans="1:15" x14ac:dyDescent="0.3">
      <c r="A325" s="3621"/>
      <c r="B325" s="685"/>
      <c r="C325" s="686"/>
      <c r="D325" s="1160" t="s">
        <v>3000</v>
      </c>
      <c r="E325" s="454">
        <f>E317+E318+E319+E320+E321+E322+E323</f>
        <v>7950000</v>
      </c>
      <c r="F325" s="455"/>
      <c r="G325" s="456">
        <f>G317+G318+G319+G320+G321+G322+G323</f>
        <v>627000</v>
      </c>
      <c r="H325" s="455"/>
      <c r="I325" s="452"/>
      <c r="J325" s="457"/>
      <c r="K325" s="458"/>
      <c r="L325" s="3651" t="s">
        <v>3001</v>
      </c>
      <c r="M325" s="3651"/>
      <c r="N325" s="3651"/>
      <c r="O325" s="756">
        <f>O321+G325</f>
        <v>714500</v>
      </c>
    </row>
    <row r="326" spans="1:15" ht="15.6" x14ac:dyDescent="0.3">
      <c r="A326" s="3621"/>
      <c r="B326" s="204"/>
      <c r="C326" s="640"/>
      <c r="D326" s="1145"/>
      <c r="E326" s="656">
        <f>G325+O320</f>
        <v>627000</v>
      </c>
      <c r="F326" s="204"/>
      <c r="G326" s="451"/>
      <c r="H326" s="204"/>
      <c r="I326" s="204"/>
      <c r="J326" s="450"/>
      <c r="K326" s="11"/>
      <c r="L326" s="11"/>
      <c r="M326" s="11"/>
      <c r="N326" s="11"/>
      <c r="O326" s="2"/>
    </row>
    <row r="327" spans="1:15" x14ac:dyDescent="0.3">
      <c r="A327" s="2230"/>
      <c r="B327" s="17"/>
      <c r="C327" s="17"/>
      <c r="D327" s="1085"/>
      <c r="E327" s="19"/>
      <c r="F327" s="17"/>
      <c r="G327" s="20"/>
      <c r="H327" s="17"/>
      <c r="I327" s="17"/>
      <c r="J327" s="18"/>
      <c r="O327" s="1"/>
    </row>
    <row r="328" spans="1:15" x14ac:dyDescent="0.3">
      <c r="A328" s="2230"/>
      <c r="B328" s="17"/>
      <c r="C328" s="17"/>
      <c r="D328" s="1085"/>
      <c r="E328" s="19"/>
      <c r="F328" s="17"/>
      <c r="G328" s="20"/>
      <c r="H328" s="17"/>
      <c r="I328" s="17"/>
      <c r="J328" s="18"/>
      <c r="O328" s="1"/>
    </row>
    <row r="329" spans="1:15" ht="21" x14ac:dyDescent="0.4">
      <c r="A329" s="3750" t="s">
        <v>4151</v>
      </c>
      <c r="B329" s="3750"/>
      <c r="C329" s="3750"/>
      <c r="D329" s="3750"/>
      <c r="E329" s="3750"/>
      <c r="F329" s="3750"/>
      <c r="G329" s="3750"/>
      <c r="H329" s="3750"/>
      <c r="I329" s="3750"/>
      <c r="J329" s="3750"/>
      <c r="K329" s="3642" t="s">
        <v>2973</v>
      </c>
      <c r="L329" s="3642"/>
      <c r="M329" s="3642"/>
      <c r="N329" s="3642"/>
      <c r="O329" s="2"/>
    </row>
    <row r="330" spans="1:15" x14ac:dyDescent="0.3">
      <c r="A330" s="2231" t="s">
        <v>2974</v>
      </c>
      <c r="B330" s="23" t="s">
        <v>2975</v>
      </c>
      <c r="C330" s="3" t="s">
        <v>3004</v>
      </c>
      <c r="D330" s="1086" t="s">
        <v>2977</v>
      </c>
      <c r="E330" s="24" t="s">
        <v>2978</v>
      </c>
      <c r="F330" s="3" t="s">
        <v>2979</v>
      </c>
      <c r="G330" s="25" t="s">
        <v>2980</v>
      </c>
      <c r="H330" s="26" t="s">
        <v>2981</v>
      </c>
      <c r="I330" s="3" t="s">
        <v>2982</v>
      </c>
      <c r="J330" s="6" t="s">
        <v>2983</v>
      </c>
      <c r="K330" s="26" t="s">
        <v>2975</v>
      </c>
      <c r="L330" s="26" t="s">
        <v>2977</v>
      </c>
      <c r="M330" s="26" t="s">
        <v>2984</v>
      </c>
      <c r="N330" s="267" t="s">
        <v>2979</v>
      </c>
      <c r="O330" s="268" t="s">
        <v>2985</v>
      </c>
    </row>
    <row r="331" spans="1:15" x14ac:dyDescent="0.3">
      <c r="A331" s="2251"/>
      <c r="B331" s="701"/>
      <c r="C331" s="702"/>
      <c r="D331" s="1161" t="s">
        <v>4280</v>
      </c>
      <c r="E331" s="703"/>
      <c r="F331" s="704"/>
      <c r="G331" s="705"/>
      <c r="H331" s="706"/>
      <c r="I331" s="755"/>
      <c r="J331" s="682"/>
      <c r="K331" s="26"/>
      <c r="L331" s="26"/>
      <c r="M331" s="26"/>
      <c r="N331" s="267"/>
      <c r="O331" s="268"/>
    </row>
    <row r="332" spans="1:15" x14ac:dyDescent="0.3">
      <c r="A332" s="3751" t="s">
        <v>4281</v>
      </c>
      <c r="B332" s="314">
        <v>10996</v>
      </c>
      <c r="C332" s="676">
        <v>0.08</v>
      </c>
      <c r="D332" s="997" t="s">
        <v>4282</v>
      </c>
      <c r="E332" s="422">
        <v>500000</v>
      </c>
      <c r="F332" s="424">
        <v>0.04</v>
      </c>
      <c r="G332" s="506">
        <f>E332*F332</f>
        <v>20000</v>
      </c>
      <c r="H332" s="751" t="s">
        <v>732</v>
      </c>
      <c r="I332" s="338" t="s">
        <v>133</v>
      </c>
      <c r="J332" s="311" t="s">
        <v>43</v>
      </c>
      <c r="K332" s="371"/>
      <c r="L332" s="290"/>
      <c r="M332" s="372"/>
      <c r="N332" s="351"/>
      <c r="O332" s="297"/>
    </row>
    <row r="333" spans="1:15" x14ac:dyDescent="0.3">
      <c r="A333" s="3751"/>
      <c r="B333" s="306">
        <v>11003</v>
      </c>
      <c r="C333" s="370">
        <v>0.08</v>
      </c>
      <c r="D333" s="1162" t="s">
        <v>4283</v>
      </c>
      <c r="E333" s="505">
        <v>500000</v>
      </c>
      <c r="F333" s="423">
        <v>0.04</v>
      </c>
      <c r="G333" s="506">
        <f t="shared" ref="G333:G336" si="11">E333*F333</f>
        <v>20000</v>
      </c>
      <c r="H333" s="752" t="s">
        <v>732</v>
      </c>
      <c r="I333" s="338" t="s">
        <v>133</v>
      </c>
      <c r="J333" s="754" t="s">
        <v>43</v>
      </c>
      <c r="K333" s="318"/>
      <c r="L333" s="298"/>
      <c r="M333" s="298"/>
      <c r="N333" s="298"/>
      <c r="O333" s="307"/>
    </row>
    <row r="334" spans="1:15" x14ac:dyDescent="0.3">
      <c r="A334" s="3751"/>
      <c r="B334" s="306">
        <v>11018</v>
      </c>
      <c r="C334" s="370">
        <v>0.1</v>
      </c>
      <c r="D334" s="1163" t="s">
        <v>4284</v>
      </c>
      <c r="E334" s="516">
        <v>1300000</v>
      </c>
      <c r="F334" s="424">
        <v>0.08</v>
      </c>
      <c r="G334" s="506">
        <f t="shared" si="11"/>
        <v>104000</v>
      </c>
      <c r="H334" s="752" t="s">
        <v>4112</v>
      </c>
      <c r="I334" s="338" t="s">
        <v>133</v>
      </c>
      <c r="J334" s="754" t="s">
        <v>4285</v>
      </c>
      <c r="K334" s="484"/>
      <c r="L334" s="352"/>
      <c r="M334" s="352"/>
      <c r="N334" s="352"/>
      <c r="O334" s="315"/>
    </row>
    <row r="335" spans="1:15" x14ac:dyDescent="0.3">
      <c r="A335" s="3751"/>
      <c r="B335" s="699">
        <v>11050</v>
      </c>
      <c r="C335" s="370">
        <v>0.1</v>
      </c>
      <c r="D335" s="1163" t="s">
        <v>4286</v>
      </c>
      <c r="E335" s="516">
        <v>750000</v>
      </c>
      <c r="F335" s="424">
        <v>0.04</v>
      </c>
      <c r="G335" s="506">
        <f t="shared" si="11"/>
        <v>30000</v>
      </c>
      <c r="H335" s="753" t="s">
        <v>732</v>
      </c>
      <c r="I335" s="338" t="s">
        <v>133</v>
      </c>
      <c r="J335" s="311" t="s">
        <v>43</v>
      </c>
      <c r="K335" s="484"/>
      <c r="L335" s="352"/>
      <c r="M335" s="352"/>
      <c r="N335" s="352"/>
      <c r="O335" s="315"/>
    </row>
    <row r="336" spans="1:15" x14ac:dyDescent="0.3">
      <c r="A336" s="3751"/>
      <c r="B336" s="699">
        <v>11100</v>
      </c>
      <c r="C336" s="370">
        <v>0.1</v>
      </c>
      <c r="D336" s="1159" t="s">
        <v>4287</v>
      </c>
      <c r="E336" s="505">
        <v>6500000</v>
      </c>
      <c r="F336" s="423">
        <v>0.04</v>
      </c>
      <c r="G336" s="506">
        <f t="shared" si="11"/>
        <v>260000</v>
      </c>
      <c r="H336" s="507" t="s">
        <v>732</v>
      </c>
      <c r="I336" s="331" t="s">
        <v>133</v>
      </c>
      <c r="J336" s="336" t="s">
        <v>43</v>
      </c>
      <c r="K336" s="484"/>
      <c r="L336" s="508"/>
      <c r="M336" s="508"/>
      <c r="N336" s="508"/>
      <c r="O336" s="315"/>
    </row>
    <row r="337" spans="1:15" x14ac:dyDescent="0.3">
      <c r="A337" s="3751"/>
      <c r="B337" s="307"/>
      <c r="C337" s="326"/>
      <c r="D337" s="1164"/>
      <c r="E337" s="512"/>
      <c r="F337" s="320"/>
      <c r="G337" s="513"/>
      <c r="H337" s="371"/>
      <c r="I337" s="316"/>
      <c r="J337" s="335"/>
      <c r="K337" s="484"/>
      <c r="L337" s="508"/>
      <c r="M337" s="508"/>
      <c r="N337" s="508"/>
      <c r="O337" s="315"/>
    </row>
    <row r="338" spans="1:15" x14ac:dyDescent="0.3">
      <c r="A338" s="3751"/>
      <c r="B338" s="688"/>
      <c r="C338" s="689"/>
      <c r="D338" s="1116" t="s">
        <v>3000</v>
      </c>
      <c r="E338" s="483">
        <f>E332+E333+E334+E335+E336</f>
        <v>9550000</v>
      </c>
      <c r="F338" s="514"/>
      <c r="G338" s="483">
        <f>G332+G333+G334+G335+G336</f>
        <v>434000</v>
      </c>
      <c r="H338" s="918"/>
      <c r="I338" s="514"/>
      <c r="J338" s="342"/>
      <c r="K338" s="485"/>
      <c r="L338" s="3752" t="s">
        <v>4162</v>
      </c>
      <c r="M338" s="3752"/>
      <c r="N338" s="3752"/>
      <c r="O338" s="757">
        <v>434000</v>
      </c>
    </row>
    <row r="339" spans="1:15" ht="15.6" x14ac:dyDescent="0.3">
      <c r="A339" s="3751"/>
      <c r="B339" s="460"/>
      <c r="C339" s="460"/>
      <c r="D339" s="1146"/>
      <c r="E339" s="658"/>
      <c r="F339" s="458"/>
      <c r="G339" s="489"/>
      <c r="H339" s="458"/>
      <c r="I339" s="458"/>
      <c r="J339" s="490"/>
      <c r="K339" s="461"/>
      <c r="L339" s="462"/>
      <c r="M339" s="462"/>
      <c r="N339" s="462"/>
      <c r="O339" s="463"/>
    </row>
    <row r="340" spans="1:15" ht="15.6" x14ac:dyDescent="0.3">
      <c r="A340" s="2236"/>
      <c r="B340" s="464"/>
      <c r="C340" s="464"/>
      <c r="D340" s="1118"/>
      <c r="E340" s="466"/>
      <c r="F340" s="464"/>
      <c r="G340" s="467"/>
      <c r="H340" s="464"/>
      <c r="I340" s="464"/>
      <c r="J340" s="465"/>
      <c r="K340" s="468"/>
      <c r="L340" s="469"/>
      <c r="M340" s="469"/>
      <c r="N340" s="469"/>
      <c r="O340" s="463"/>
    </row>
    <row r="341" spans="1:15" ht="15.6" x14ac:dyDescent="0.3">
      <c r="A341" s="2237"/>
      <c r="B341" s="470"/>
      <c r="C341" s="470"/>
      <c r="D341" s="1119"/>
      <c r="E341" s="472"/>
      <c r="F341" s="470"/>
      <c r="G341" s="473"/>
      <c r="H341" s="470"/>
      <c r="I341" s="470"/>
      <c r="J341" s="471"/>
      <c r="K341" s="448"/>
      <c r="L341" s="449"/>
      <c r="M341" s="449"/>
      <c r="N341" s="449"/>
      <c r="O341" s="474"/>
    </row>
    <row r="342" spans="1:15" ht="21" x14ac:dyDescent="0.4">
      <c r="A342" s="3753" t="s">
        <v>4234</v>
      </c>
      <c r="B342" s="3753"/>
      <c r="C342" s="3753"/>
      <c r="D342" s="3753"/>
      <c r="E342" s="3753"/>
      <c r="F342" s="3753"/>
      <c r="G342" s="3753"/>
      <c r="H342" s="3753"/>
      <c r="I342" s="3753"/>
      <c r="J342" s="3753"/>
      <c r="K342" s="3749" t="s">
        <v>2973</v>
      </c>
      <c r="L342" s="3749"/>
      <c r="M342" s="3749"/>
      <c r="N342" s="3749"/>
      <c r="O342" s="542"/>
    </row>
    <row r="343" spans="1:15" x14ac:dyDescent="0.3">
      <c r="A343" s="3743" t="s">
        <v>4288</v>
      </c>
      <c r="B343" s="303" t="s">
        <v>2975</v>
      </c>
      <c r="C343" s="303" t="s">
        <v>3004</v>
      </c>
      <c r="D343" s="1147" t="s">
        <v>2977</v>
      </c>
      <c r="E343" s="535" t="s">
        <v>2978</v>
      </c>
      <c r="F343" s="303" t="s">
        <v>2979</v>
      </c>
      <c r="G343" s="536" t="s">
        <v>2980</v>
      </c>
      <c r="H343" s="303" t="s">
        <v>2981</v>
      </c>
      <c r="I343" s="303" t="s">
        <v>4115</v>
      </c>
      <c r="J343" s="303" t="s">
        <v>2983</v>
      </c>
      <c r="K343" s="303" t="s">
        <v>2975</v>
      </c>
      <c r="L343" s="303" t="s">
        <v>2977</v>
      </c>
      <c r="M343" s="303" t="s">
        <v>2984</v>
      </c>
      <c r="N343" s="303" t="s">
        <v>2979</v>
      </c>
      <c r="O343" s="294" t="s">
        <v>2985</v>
      </c>
    </row>
    <row r="344" spans="1:15" x14ac:dyDescent="0.3">
      <c r="A344" s="3743"/>
      <c r="B344" s="417"/>
      <c r="C344" s="409"/>
      <c r="D344" s="416" t="s">
        <v>4289</v>
      </c>
      <c r="E344" s="410"/>
      <c r="F344" s="409"/>
      <c r="G344" s="607"/>
      <c r="H344" s="683"/>
      <c r="I344" s="683" t="s">
        <v>133</v>
      </c>
      <c r="J344" s="303"/>
      <c r="K344" s="303"/>
      <c r="L344" s="303"/>
      <c r="M344" s="303"/>
      <c r="N344" s="303"/>
      <c r="O344" s="294"/>
    </row>
    <row r="345" spans="1:15" x14ac:dyDescent="0.3">
      <c r="A345" s="3743"/>
      <c r="B345" s="712">
        <v>11007</v>
      </c>
      <c r="C345" s="592">
        <v>0.1</v>
      </c>
      <c r="D345" s="969" t="s">
        <v>4290</v>
      </c>
      <c r="E345" s="422">
        <v>750000</v>
      </c>
      <c r="F345" s="592">
        <v>0.04</v>
      </c>
      <c r="G345" s="696">
        <f>E345*F345</f>
        <v>30000</v>
      </c>
      <c r="H345" s="338" t="s">
        <v>582</v>
      </c>
      <c r="I345" s="338" t="s">
        <v>133</v>
      </c>
      <c r="J345" s="341"/>
      <c r="K345" s="316"/>
      <c r="L345" s="298"/>
      <c r="M345" s="317"/>
      <c r="N345" s="376"/>
      <c r="O345" s="307"/>
    </row>
    <row r="346" spans="1:15" x14ac:dyDescent="0.3">
      <c r="A346" s="3743"/>
      <c r="B346" s="514"/>
      <c r="C346" s="278"/>
      <c r="D346" s="1148"/>
      <c r="E346" s="278"/>
      <c r="F346" s="278"/>
      <c r="G346" s="278"/>
      <c r="H346" s="1034"/>
      <c r="I346" s="1034"/>
      <c r="J346" s="278"/>
      <c r="K346" s="278"/>
      <c r="L346" s="278"/>
      <c r="M346" s="278"/>
      <c r="N346" s="278"/>
      <c r="O346" s="278"/>
    </row>
    <row r="347" spans="1:15" x14ac:dyDescent="0.3">
      <c r="A347" s="3743"/>
      <c r="B347" s="514"/>
      <c r="C347" s="537"/>
      <c r="D347" s="1149" t="s">
        <v>3000</v>
      </c>
      <c r="E347" s="538">
        <f>E345</f>
        <v>750000</v>
      </c>
      <c r="F347" s="539"/>
      <c r="G347" s="540">
        <f>G345</f>
        <v>30000</v>
      </c>
      <c r="H347" s="514"/>
      <c r="I347" s="316"/>
      <c r="J347" s="287"/>
      <c r="K347" s="3757" t="s">
        <v>4119</v>
      </c>
      <c r="L347" s="3757"/>
      <c r="M347" s="3757"/>
      <c r="N347" s="760">
        <v>30000</v>
      </c>
      <c r="O347" s="390"/>
    </row>
    <row r="348" spans="1:15" ht="15.6" x14ac:dyDescent="0.3">
      <c r="A348" s="3743"/>
      <c r="B348" s="316"/>
      <c r="C348" s="316"/>
      <c r="D348" s="758"/>
      <c r="E348" s="759"/>
      <c r="F348" s="479"/>
      <c r="G348" s="317"/>
      <c r="H348" s="479"/>
      <c r="I348" s="316"/>
      <c r="J348" s="335"/>
      <c r="K348" s="298"/>
      <c r="L348" s="307"/>
      <c r="M348" s="307"/>
      <c r="N348" s="307"/>
      <c r="O348" s="390"/>
    </row>
    <row r="349" spans="1:15" x14ac:dyDescent="0.3">
      <c r="A349" s="2252"/>
      <c r="B349" s="316"/>
      <c r="C349" s="316"/>
      <c r="D349" s="1150"/>
      <c r="E349" s="541"/>
      <c r="F349" s="479"/>
      <c r="G349" s="317"/>
      <c r="H349" s="479"/>
      <c r="I349" s="316"/>
      <c r="J349" s="335"/>
      <c r="K349" s="298"/>
      <c r="L349" s="307"/>
      <c r="M349" s="307"/>
      <c r="N349" s="307"/>
      <c r="O349" s="390"/>
    </row>
    <row r="350" spans="1:15" x14ac:dyDescent="0.3">
      <c r="A350" s="2238"/>
      <c r="B350" s="381"/>
      <c r="C350" s="381"/>
      <c r="D350" s="1123"/>
      <c r="E350" s="382"/>
      <c r="F350" s="383"/>
      <c r="G350" s="384"/>
      <c r="H350" s="383"/>
      <c r="I350" s="381"/>
      <c r="J350" s="377"/>
      <c r="K350" s="378"/>
      <c r="L350" s="379"/>
      <c r="M350" s="379"/>
      <c r="N350" s="379"/>
      <c r="O350" s="380"/>
    </row>
    <row r="351" spans="1:15" x14ac:dyDescent="0.3">
      <c r="A351" s="2238"/>
      <c r="B351" s="381"/>
      <c r="C351" s="381"/>
      <c r="D351" s="1123"/>
      <c r="E351" s="382"/>
      <c r="F351" s="383"/>
      <c r="G351" s="384"/>
      <c r="H351" s="383"/>
      <c r="I351" s="381"/>
      <c r="J351" s="377"/>
      <c r="K351" s="378"/>
      <c r="L351" s="379"/>
      <c r="M351" s="379"/>
      <c r="N351" s="379"/>
      <c r="O351" s="380"/>
    </row>
    <row r="352" spans="1:15" x14ac:dyDescent="0.3">
      <c r="A352" s="269"/>
      <c r="E352" s="91"/>
      <c r="G352" s="92"/>
      <c r="H352" s="1028"/>
    </row>
    <row r="353" spans="1:9" x14ac:dyDescent="0.3">
      <c r="A353" s="3758" t="s">
        <v>4291</v>
      </c>
      <c r="B353" s="3758"/>
      <c r="C353" s="3758"/>
      <c r="D353" s="3758"/>
      <c r="E353" s="3758"/>
      <c r="F353" s="3758"/>
      <c r="G353" s="3758"/>
      <c r="H353" s="3758"/>
    </row>
    <row r="354" spans="1:9" x14ac:dyDescent="0.3">
      <c r="A354" s="3758"/>
      <c r="B354" s="3758"/>
      <c r="C354" s="3758"/>
      <c r="D354" s="3758"/>
      <c r="E354" s="3758"/>
      <c r="F354" s="3758"/>
      <c r="G354" s="3758"/>
      <c r="H354" s="3758"/>
    </row>
    <row r="355" spans="1:9" ht="20.399999999999999" x14ac:dyDescent="0.3">
      <c r="A355" s="271" t="s">
        <v>3751</v>
      </c>
      <c r="B355" s="404" t="s">
        <v>2976</v>
      </c>
      <c r="C355" s="176" t="s">
        <v>3752</v>
      </c>
      <c r="D355" s="1127" t="s">
        <v>4121</v>
      </c>
      <c r="E355" s="405" t="s">
        <v>3754</v>
      </c>
      <c r="F355" s="406" t="s">
        <v>2979</v>
      </c>
      <c r="G355" s="407" t="s">
        <v>2985</v>
      </c>
      <c r="H355" s="697" t="s">
        <v>4123</v>
      </c>
      <c r="I355" s="2"/>
    </row>
    <row r="356" spans="1:9" x14ac:dyDescent="0.3">
      <c r="A356" s="2239"/>
      <c r="B356" s="409"/>
      <c r="C356" s="348" t="s">
        <v>4292</v>
      </c>
      <c r="D356" s="417" t="s">
        <v>4293</v>
      </c>
      <c r="E356" s="607"/>
      <c r="F356" s="411"/>
      <c r="G356" s="412"/>
      <c r="H356" s="1042"/>
      <c r="I356" s="2"/>
    </row>
    <row r="357" spans="1:9" s="511" customFormat="1" x14ac:dyDescent="0.3">
      <c r="A357" s="2258" t="s">
        <v>4273</v>
      </c>
      <c r="B357" s="443">
        <v>0.1</v>
      </c>
      <c r="C357" s="629" t="s">
        <v>4294</v>
      </c>
      <c r="D357" s="1159" t="s">
        <v>4109</v>
      </c>
      <c r="E357" s="696">
        <v>1100000</v>
      </c>
      <c r="F357" s="313">
        <v>0.03</v>
      </c>
      <c r="G357" s="413">
        <f>E357*F357</f>
        <v>33000</v>
      </c>
      <c r="H357" s="727" t="s">
        <v>582</v>
      </c>
      <c r="I357" s="878" t="s">
        <v>4122</v>
      </c>
    </row>
    <row r="358" spans="1:9" x14ac:dyDescent="0.3">
      <c r="A358" s="2259">
        <v>11127</v>
      </c>
      <c r="B358" s="443">
        <v>0.1</v>
      </c>
      <c r="C358" s="629" t="s">
        <v>4295</v>
      </c>
      <c r="D358" s="1159" t="s">
        <v>4296</v>
      </c>
      <c r="E358" s="696">
        <v>1300000</v>
      </c>
      <c r="F358" s="313">
        <v>0.03</v>
      </c>
      <c r="G358" s="413">
        <f t="shared" ref="G358:G360" si="12">E358*F358</f>
        <v>39000</v>
      </c>
      <c r="H358" s="727" t="s">
        <v>732</v>
      </c>
      <c r="I358" s="878"/>
    </row>
    <row r="359" spans="1:9" x14ac:dyDescent="0.3">
      <c r="A359" s="561">
        <v>11123</v>
      </c>
      <c r="B359" s="443">
        <v>0.1</v>
      </c>
      <c r="C359" s="629" t="s">
        <v>4297</v>
      </c>
      <c r="D359" s="1159" t="s">
        <v>4109</v>
      </c>
      <c r="E359" s="696">
        <v>600000</v>
      </c>
      <c r="F359" s="313">
        <v>0.03</v>
      </c>
      <c r="G359" s="413">
        <f t="shared" si="12"/>
        <v>18000</v>
      </c>
      <c r="H359" s="727" t="s">
        <v>582</v>
      </c>
      <c r="I359" s="878" t="s">
        <v>4122</v>
      </c>
    </row>
    <row r="360" spans="1:9" x14ac:dyDescent="0.3">
      <c r="A360" s="653">
        <v>11095</v>
      </c>
      <c r="B360" s="443">
        <v>0.1</v>
      </c>
      <c r="C360" s="629" t="s">
        <v>4298</v>
      </c>
      <c r="D360" s="1159" t="s">
        <v>4109</v>
      </c>
      <c r="E360" s="696">
        <v>820000</v>
      </c>
      <c r="F360" s="313">
        <v>0.03</v>
      </c>
      <c r="G360" s="413">
        <f t="shared" si="12"/>
        <v>24600</v>
      </c>
      <c r="H360" s="727"/>
      <c r="I360" s="878" t="s">
        <v>4122</v>
      </c>
    </row>
    <row r="361" spans="1:9" x14ac:dyDescent="0.3">
      <c r="A361" s="2260"/>
      <c r="B361" s="614"/>
      <c r="C361" s="615"/>
      <c r="D361" s="1152"/>
      <c r="E361" s="574"/>
      <c r="F361" s="575"/>
      <c r="G361" s="414"/>
      <c r="H361" s="509"/>
      <c r="I361" s="2"/>
    </row>
    <row r="362" spans="1:9" x14ac:dyDescent="0.3">
      <c r="A362" s="2240"/>
      <c r="B362" s="446"/>
      <c r="C362" s="446"/>
      <c r="D362" s="1153" t="s">
        <v>4190</v>
      </c>
      <c r="E362" s="493">
        <f>E357+E358+E359+E360</f>
        <v>3820000</v>
      </c>
      <c r="F362" s="446"/>
      <c r="H362" s="509"/>
      <c r="I362" s="2"/>
    </row>
    <row r="363" spans="1:9" ht="15.6" x14ac:dyDescent="0.3">
      <c r="A363" s="46"/>
      <c r="B363" s="11"/>
      <c r="C363" s="11"/>
      <c r="D363" s="1165"/>
      <c r="E363" s="495"/>
      <c r="F363" s="11"/>
      <c r="G363" s="93"/>
      <c r="H363" s="1043" t="s">
        <v>4299</v>
      </c>
      <c r="I363" s="1007">
        <f>G357+G358+G359+G360</f>
        <v>114600</v>
      </c>
    </row>
    <row r="364" spans="1:9" x14ac:dyDescent="0.3">
      <c r="A364" s="90"/>
      <c r="E364" s="91"/>
      <c r="G364" s="92"/>
      <c r="H364" s="1028"/>
    </row>
    <row r="365" spans="1:9" x14ac:dyDescent="0.3">
      <c r="A365" s="90"/>
      <c r="E365" s="91"/>
      <c r="G365" s="92"/>
      <c r="H365" s="1028"/>
    </row>
    <row r="366" spans="1:9" x14ac:dyDescent="0.3">
      <c r="A366" s="3718" t="s">
        <v>4300</v>
      </c>
      <c r="B366" s="3718"/>
      <c r="C366" s="3718"/>
      <c r="D366" s="3718"/>
      <c r="E366" s="3718"/>
      <c r="F366" s="3718"/>
      <c r="G366" s="3718"/>
      <c r="H366" s="3718"/>
    </row>
    <row r="367" spans="1:9" x14ac:dyDescent="0.3">
      <c r="A367" s="3718"/>
      <c r="B367" s="3718"/>
      <c r="C367" s="3718"/>
      <c r="D367" s="3718"/>
      <c r="E367" s="3718"/>
      <c r="F367" s="3718"/>
      <c r="G367" s="3718"/>
      <c r="H367" s="3718"/>
    </row>
    <row r="368" spans="1:9" ht="20.399999999999999" x14ac:dyDescent="0.3">
      <c r="A368" s="271" t="s">
        <v>3751</v>
      </c>
      <c r="B368" s="404" t="s">
        <v>2976</v>
      </c>
      <c r="C368" s="176" t="s">
        <v>3752</v>
      </c>
      <c r="D368" s="1127" t="s">
        <v>4121</v>
      </c>
      <c r="E368" s="405" t="s">
        <v>3754</v>
      </c>
      <c r="F368" s="406" t="s">
        <v>2979</v>
      </c>
      <c r="G368" s="407" t="s">
        <v>2985</v>
      </c>
      <c r="H368" s="408"/>
    </row>
    <row r="369" spans="1:9" x14ac:dyDescent="0.3">
      <c r="A369" s="2239"/>
      <c r="B369" s="409"/>
      <c r="C369" s="357" t="s">
        <v>4301</v>
      </c>
      <c r="D369" s="385" t="s">
        <v>4302</v>
      </c>
      <c r="E369" s="302"/>
      <c r="F369" s="409"/>
      <c r="G369" s="600"/>
      <c r="H369" s="355"/>
      <c r="I369" s="355"/>
    </row>
    <row r="370" spans="1:9" x14ac:dyDescent="0.3">
      <c r="A370" s="2239"/>
      <c r="B370" s="344"/>
      <c r="C370" s="280" t="s">
        <v>4303</v>
      </c>
      <c r="D370" s="417" t="s">
        <v>4304</v>
      </c>
      <c r="E370" s="387"/>
      <c r="F370" s="344"/>
      <c r="G370" s="412"/>
      <c r="H370" s="606"/>
      <c r="I370" s="606" t="s">
        <v>4305</v>
      </c>
    </row>
    <row r="371" spans="1:9" x14ac:dyDescent="0.3">
      <c r="A371" s="2239"/>
      <c r="B371" s="730"/>
      <c r="C371" s="358" t="s">
        <v>4306</v>
      </c>
      <c r="D371" s="1166" t="s">
        <v>4307</v>
      </c>
      <c r="E371" s="387"/>
      <c r="F371" s="344"/>
      <c r="G371" s="412"/>
      <c r="H371" s="606"/>
      <c r="I371" s="606"/>
    </row>
    <row r="372" spans="1:9" x14ac:dyDescent="0.3">
      <c r="A372" s="2239"/>
      <c r="B372" s="731"/>
      <c r="C372" s="729" t="s">
        <v>4308</v>
      </c>
      <c r="D372" s="1166" t="s">
        <v>4309</v>
      </c>
      <c r="E372" s="387"/>
      <c r="F372" s="344"/>
      <c r="G372" s="412"/>
      <c r="H372" s="606"/>
      <c r="I372" s="606"/>
    </row>
    <row r="373" spans="1:9" x14ac:dyDescent="0.3">
      <c r="A373" s="1009">
        <v>10998</v>
      </c>
      <c r="B373" s="322">
        <v>0.1</v>
      </c>
      <c r="C373" s="284" t="s">
        <v>4310</v>
      </c>
      <c r="D373" s="590" t="s">
        <v>4109</v>
      </c>
      <c r="E373" s="388">
        <v>1200000</v>
      </c>
      <c r="F373" s="281">
        <v>0.05</v>
      </c>
      <c r="G373" s="413">
        <f>E373*F373</f>
        <v>60000</v>
      </c>
      <c r="H373" s="306" t="s">
        <v>1482</v>
      </c>
      <c r="I373" s="306" t="s">
        <v>3503</v>
      </c>
    </row>
    <row r="374" spans="1:9" x14ac:dyDescent="0.3">
      <c r="A374" s="2261" t="s">
        <v>4311</v>
      </c>
      <c r="B374" s="310">
        <v>0.08</v>
      </c>
      <c r="C374" s="283" t="s">
        <v>4312</v>
      </c>
      <c r="D374" s="590" t="s">
        <v>4109</v>
      </c>
      <c r="E374" s="276">
        <v>500000</v>
      </c>
      <c r="F374" s="281">
        <v>0.04</v>
      </c>
      <c r="G374" s="413">
        <f t="shared" ref="G374:G382" si="13">E374*F374</f>
        <v>20000</v>
      </c>
      <c r="H374" s="747" t="s">
        <v>4313</v>
      </c>
      <c r="I374" s="306" t="s">
        <v>3503</v>
      </c>
    </row>
    <row r="375" spans="1:9" x14ac:dyDescent="0.3">
      <c r="A375" s="653">
        <v>11003</v>
      </c>
      <c r="B375" s="310">
        <v>0.08</v>
      </c>
      <c r="C375" s="616" t="s">
        <v>4314</v>
      </c>
      <c r="D375" s="590" t="s">
        <v>4109</v>
      </c>
      <c r="E375" s="276">
        <v>500000</v>
      </c>
      <c r="F375" s="281">
        <v>0.04</v>
      </c>
      <c r="G375" s="413">
        <f t="shared" si="13"/>
        <v>20000</v>
      </c>
      <c r="H375" s="306" t="s">
        <v>4313</v>
      </c>
      <c r="I375" s="306" t="s">
        <v>3503</v>
      </c>
    </row>
    <row r="376" spans="1:9" x14ac:dyDescent="0.3">
      <c r="A376" s="653">
        <v>11007</v>
      </c>
      <c r="B376" s="310">
        <v>0.1</v>
      </c>
      <c r="C376" s="283" t="s">
        <v>4315</v>
      </c>
      <c r="D376" s="590" t="s">
        <v>4109</v>
      </c>
      <c r="E376" s="276">
        <v>750000</v>
      </c>
      <c r="F376" s="281">
        <v>0.05</v>
      </c>
      <c r="G376" s="413">
        <f t="shared" si="13"/>
        <v>37500</v>
      </c>
      <c r="H376" s="306" t="s">
        <v>1685</v>
      </c>
      <c r="I376" s="306" t="s">
        <v>4122</v>
      </c>
    </row>
    <row r="377" spans="1:9" x14ac:dyDescent="0.3">
      <c r="A377" s="2258">
        <v>11018</v>
      </c>
      <c r="B377" s="322">
        <v>0.1</v>
      </c>
      <c r="C377" s="286" t="s">
        <v>4316</v>
      </c>
      <c r="D377" s="1159" t="s">
        <v>4109</v>
      </c>
      <c r="E377" s="687">
        <v>1300000</v>
      </c>
      <c r="F377" s="313">
        <v>0.05</v>
      </c>
      <c r="G377" s="413">
        <f t="shared" si="13"/>
        <v>65000</v>
      </c>
      <c r="H377" s="314" t="s">
        <v>4112</v>
      </c>
      <c r="I377" s="314" t="s">
        <v>4122</v>
      </c>
    </row>
    <row r="378" spans="1:9" x14ac:dyDescent="0.3">
      <c r="A378" s="653">
        <v>11050</v>
      </c>
      <c r="B378" s="695">
        <v>0.1</v>
      </c>
      <c r="C378" s="286" t="s">
        <v>4317</v>
      </c>
      <c r="D378" s="1159" t="s">
        <v>4109</v>
      </c>
      <c r="E378" s="687">
        <v>750000</v>
      </c>
      <c r="F378" s="313">
        <v>0.05</v>
      </c>
      <c r="G378" s="413">
        <f t="shared" si="13"/>
        <v>37500</v>
      </c>
      <c r="H378" s="314" t="s">
        <v>4106</v>
      </c>
      <c r="I378" s="314" t="s">
        <v>4122</v>
      </c>
    </row>
    <row r="379" spans="1:9" x14ac:dyDescent="0.3">
      <c r="A379" s="562">
        <v>11100</v>
      </c>
      <c r="B379" s="322">
        <v>0.1</v>
      </c>
      <c r="C379" s="286" t="s">
        <v>4318</v>
      </c>
      <c r="D379" s="1159" t="s">
        <v>4109</v>
      </c>
      <c r="E379" s="687">
        <v>6500000</v>
      </c>
      <c r="F379" s="313">
        <v>0.05</v>
      </c>
      <c r="G379" s="413">
        <f t="shared" si="13"/>
        <v>325000</v>
      </c>
      <c r="H379" s="314" t="s">
        <v>4112</v>
      </c>
      <c r="I379" s="314" t="s">
        <v>4122</v>
      </c>
    </row>
    <row r="380" spans="1:9" x14ac:dyDescent="0.3">
      <c r="A380" s="653">
        <v>11114</v>
      </c>
      <c r="B380" s="322">
        <v>0.1</v>
      </c>
      <c r="C380" s="283" t="s">
        <v>4319</v>
      </c>
      <c r="D380" s="590" t="s">
        <v>4109</v>
      </c>
      <c r="E380" s="687">
        <v>1600000</v>
      </c>
      <c r="F380" s="313">
        <v>0.05</v>
      </c>
      <c r="G380" s="413">
        <f t="shared" si="13"/>
        <v>80000</v>
      </c>
      <c r="H380" s="314" t="s">
        <v>582</v>
      </c>
      <c r="I380" s="314" t="s">
        <v>4122</v>
      </c>
    </row>
    <row r="381" spans="1:9" x14ac:dyDescent="0.3">
      <c r="A381" s="1014">
        <v>11090</v>
      </c>
      <c r="B381" s="695">
        <v>0.1</v>
      </c>
      <c r="C381" s="286" t="s">
        <v>315</v>
      </c>
      <c r="D381" s="1159" t="s">
        <v>4109</v>
      </c>
      <c r="E381" s="687">
        <v>1200000</v>
      </c>
      <c r="F381" s="313">
        <v>0.05</v>
      </c>
      <c r="G381" s="413">
        <f t="shared" si="13"/>
        <v>60000</v>
      </c>
      <c r="H381" s="314"/>
      <c r="I381" s="314" t="s">
        <v>4122</v>
      </c>
    </row>
    <row r="382" spans="1:9" x14ac:dyDescent="0.3">
      <c r="A382" s="2262">
        <v>11121</v>
      </c>
      <c r="B382" s="313">
        <v>0.08</v>
      </c>
      <c r="C382" s="286" t="s">
        <v>4320</v>
      </c>
      <c r="D382" s="1159" t="s">
        <v>4109</v>
      </c>
      <c r="E382" s="687">
        <v>950000</v>
      </c>
      <c r="F382" s="313">
        <v>0.04</v>
      </c>
      <c r="G382" s="413">
        <f t="shared" si="13"/>
        <v>38000</v>
      </c>
      <c r="H382" s="314" t="s">
        <v>582</v>
      </c>
      <c r="I382" s="314" t="s">
        <v>4122</v>
      </c>
    </row>
    <row r="383" spans="1:9" x14ac:dyDescent="0.3">
      <c r="A383" s="2240"/>
      <c r="B383" s="496"/>
      <c r="C383" s="446"/>
      <c r="D383" s="1167"/>
      <c r="E383" s="493"/>
      <c r="F383" s="446"/>
      <c r="G383" s="494"/>
      <c r="H383" s="315"/>
      <c r="I383" s="347"/>
    </row>
    <row r="384" spans="1:9" x14ac:dyDescent="0.3">
      <c r="A384" s="2240"/>
      <c r="B384" s="496"/>
      <c r="C384" s="446"/>
      <c r="D384" s="1130"/>
      <c r="E384" s="493"/>
      <c r="F384" s="446"/>
      <c r="G384" s="494"/>
      <c r="H384" s="315"/>
      <c r="I384" s="347"/>
    </row>
    <row r="385" spans="1:9" x14ac:dyDescent="0.3">
      <c r="A385" s="2240"/>
      <c r="B385" s="496"/>
      <c r="C385" s="446"/>
      <c r="D385" s="1130" t="s">
        <v>4190</v>
      </c>
      <c r="E385" s="493">
        <f>E373+E374+E375+E376+E377+E378+E379+E380+E381+E382</f>
        <v>15250000</v>
      </c>
      <c r="F385" s="446"/>
      <c r="G385" s="494">
        <f>G373+G374+G375+G376+G377+G378+G379+G380+G381+G382</f>
        <v>743000</v>
      </c>
      <c r="H385" s="315"/>
      <c r="I385" s="347"/>
    </row>
    <row r="386" spans="1:9" ht="15.6" x14ac:dyDescent="0.3">
      <c r="A386" s="46"/>
      <c r="B386" s="11"/>
      <c r="C386" s="11"/>
      <c r="D386" s="1137" t="s">
        <v>3764</v>
      </c>
      <c r="E386" s="495">
        <f>G385</f>
        <v>743000</v>
      </c>
      <c r="F386" s="11"/>
      <c r="G386" s="93"/>
      <c r="H386" s="50"/>
      <c r="I386" s="2"/>
    </row>
    <row r="387" spans="1:9" x14ac:dyDescent="0.3">
      <c r="E387" s="603"/>
    </row>
    <row r="388" spans="1:9" x14ac:dyDescent="0.3">
      <c r="A388" s="3719" t="s">
        <v>4321</v>
      </c>
      <c r="B388" s="3719"/>
      <c r="C388" s="3719"/>
      <c r="D388" s="3719"/>
      <c r="E388" s="3719"/>
      <c r="F388" s="3719"/>
      <c r="G388" s="3719"/>
      <c r="H388" s="3719"/>
      <c r="I388" s="2"/>
    </row>
    <row r="389" spans="1:9" x14ac:dyDescent="0.3">
      <c r="A389" s="3719"/>
      <c r="B389" s="3719"/>
      <c r="C389" s="3719"/>
      <c r="D389" s="3719"/>
      <c r="E389" s="3719"/>
      <c r="F389" s="3719"/>
      <c r="G389" s="3719"/>
      <c r="H389" s="3719"/>
      <c r="I389" s="2"/>
    </row>
    <row r="390" spans="1:9" ht="20.399999999999999" x14ac:dyDescent="0.3">
      <c r="A390" s="265" t="s">
        <v>3751</v>
      </c>
      <c r="B390" s="33" t="s">
        <v>2976</v>
      </c>
      <c r="C390" s="33" t="s">
        <v>3752</v>
      </c>
      <c r="D390" s="1093" t="s">
        <v>4121</v>
      </c>
      <c r="E390" s="63" t="s">
        <v>3754</v>
      </c>
      <c r="F390" s="118" t="s">
        <v>2979</v>
      </c>
      <c r="G390" s="88" t="s">
        <v>2985</v>
      </c>
      <c r="H390" s="266" t="s">
        <v>4208</v>
      </c>
      <c r="I390" s="2"/>
    </row>
    <row r="391" spans="1:9" x14ac:dyDescent="0.3">
      <c r="A391" s="1009">
        <v>10998</v>
      </c>
      <c r="B391" s="322">
        <v>0.1</v>
      </c>
      <c r="C391" s="283" t="s">
        <v>4310</v>
      </c>
      <c r="D391" s="590" t="s">
        <v>4109</v>
      </c>
      <c r="E391" s="388">
        <v>1200000</v>
      </c>
      <c r="F391" s="423">
        <v>0.03</v>
      </c>
      <c r="G391" s="500">
        <f>E391*F391</f>
        <v>36000</v>
      </c>
      <c r="H391" s="1039" t="s">
        <v>1482</v>
      </c>
      <c r="I391" s="619" t="s">
        <v>3503</v>
      </c>
    </row>
    <row r="392" spans="1:9" x14ac:dyDescent="0.3">
      <c r="A392" s="2261" t="s">
        <v>4311</v>
      </c>
      <c r="B392" s="274">
        <v>0.08</v>
      </c>
      <c r="C392" s="286" t="s">
        <v>4312</v>
      </c>
      <c r="D392" s="590" t="s">
        <v>4109</v>
      </c>
      <c r="E392" s="276">
        <v>500000</v>
      </c>
      <c r="F392" s="423">
        <v>0.02</v>
      </c>
      <c r="G392" s="500">
        <f t="shared" ref="G392:G404" si="14">E392*F392</f>
        <v>10000</v>
      </c>
      <c r="H392" s="1038" t="s">
        <v>4313</v>
      </c>
      <c r="I392" s="306" t="s">
        <v>4122</v>
      </c>
    </row>
    <row r="393" spans="1:9" x14ac:dyDescent="0.3">
      <c r="A393" s="653">
        <v>11003</v>
      </c>
      <c r="B393" s="762">
        <v>0.08</v>
      </c>
      <c r="C393" s="439" t="s">
        <v>4314</v>
      </c>
      <c r="D393" s="1054" t="s">
        <v>4109</v>
      </c>
      <c r="E393" s="276">
        <v>500000</v>
      </c>
      <c r="F393" s="423">
        <v>0.02</v>
      </c>
      <c r="G393" s="500">
        <f t="shared" si="14"/>
        <v>10000</v>
      </c>
      <c r="H393" s="1038" t="s">
        <v>4313</v>
      </c>
      <c r="I393" s="306" t="s">
        <v>4122</v>
      </c>
    </row>
    <row r="394" spans="1:9" x14ac:dyDescent="0.3">
      <c r="A394" s="2263">
        <v>11007</v>
      </c>
      <c r="B394" s="194">
        <v>0.1</v>
      </c>
      <c r="C394" s="439" t="s">
        <v>4322</v>
      </c>
      <c r="D394" s="1134" t="s">
        <v>4109</v>
      </c>
      <c r="E394" s="67">
        <v>750000</v>
      </c>
      <c r="F394" s="194">
        <v>0.03</v>
      </c>
      <c r="G394" s="500">
        <f t="shared" si="14"/>
        <v>22500</v>
      </c>
      <c r="H394" s="692" t="s">
        <v>4175</v>
      </c>
      <c r="I394" s="878" t="s">
        <v>4122</v>
      </c>
    </row>
    <row r="395" spans="1:9" x14ac:dyDescent="0.3">
      <c r="A395" s="1012">
        <v>11018</v>
      </c>
      <c r="B395" s="123">
        <v>0.1</v>
      </c>
      <c r="C395" s="698" t="s">
        <v>4316</v>
      </c>
      <c r="D395" s="1134" t="s">
        <v>4109</v>
      </c>
      <c r="E395" s="210">
        <v>1300000</v>
      </c>
      <c r="F395" s="194">
        <v>0.03</v>
      </c>
      <c r="G395" s="500">
        <f t="shared" si="14"/>
        <v>39000</v>
      </c>
      <c r="H395" s="692" t="s">
        <v>4112</v>
      </c>
      <c r="I395" s="878" t="s">
        <v>4323</v>
      </c>
    </row>
    <row r="396" spans="1:9" x14ac:dyDescent="0.3">
      <c r="A396" s="1012">
        <v>11049</v>
      </c>
      <c r="B396" s="123">
        <v>0.1</v>
      </c>
      <c r="C396" s="693" t="s">
        <v>4324</v>
      </c>
      <c r="D396" s="1134" t="s">
        <v>4109</v>
      </c>
      <c r="E396" s="210">
        <v>1100000</v>
      </c>
      <c r="F396" s="194">
        <v>0.03</v>
      </c>
      <c r="G396" s="500">
        <f t="shared" si="14"/>
        <v>33000</v>
      </c>
      <c r="H396" s="692" t="s">
        <v>582</v>
      </c>
      <c r="I396" s="878" t="s">
        <v>4122</v>
      </c>
    </row>
    <row r="397" spans="1:9" x14ac:dyDescent="0.3">
      <c r="A397" s="1013">
        <v>11050</v>
      </c>
      <c r="B397" s="123">
        <v>0.1</v>
      </c>
      <c r="C397" s="693" t="s">
        <v>4325</v>
      </c>
      <c r="D397" s="1134" t="s">
        <v>4109</v>
      </c>
      <c r="E397" s="210">
        <v>750000</v>
      </c>
      <c r="F397" s="194">
        <v>0.03</v>
      </c>
      <c r="G397" s="500">
        <f t="shared" si="14"/>
        <v>22500</v>
      </c>
      <c r="H397" s="692" t="s">
        <v>4112</v>
      </c>
      <c r="I397" s="878" t="s">
        <v>4122</v>
      </c>
    </row>
    <row r="398" spans="1:9" x14ac:dyDescent="0.3">
      <c r="A398" s="1014">
        <v>11090</v>
      </c>
      <c r="B398" s="199">
        <v>0.1</v>
      </c>
      <c r="C398" s="616" t="s">
        <v>315</v>
      </c>
      <c r="D398" s="1134" t="s">
        <v>4109</v>
      </c>
      <c r="E398" s="210">
        <v>1200000</v>
      </c>
      <c r="F398" s="194">
        <v>0.03</v>
      </c>
      <c r="G398" s="500">
        <f t="shared" si="14"/>
        <v>36000</v>
      </c>
      <c r="H398" s="692" t="s">
        <v>582</v>
      </c>
      <c r="I398" s="878" t="s">
        <v>4122</v>
      </c>
    </row>
    <row r="399" spans="1:9" x14ac:dyDescent="0.3">
      <c r="A399" s="1009" t="s">
        <v>4326</v>
      </c>
      <c r="B399" s="199">
        <v>0.1</v>
      </c>
      <c r="C399" s="693" t="s">
        <v>4298</v>
      </c>
      <c r="D399" s="1134" t="s">
        <v>4109</v>
      </c>
      <c r="E399" s="210">
        <v>820000</v>
      </c>
      <c r="F399" s="194">
        <v>0.03</v>
      </c>
      <c r="G399" s="500">
        <f t="shared" si="14"/>
        <v>24600</v>
      </c>
      <c r="H399" s="692"/>
      <c r="I399" s="878" t="s">
        <v>4122</v>
      </c>
    </row>
    <row r="400" spans="1:9" x14ac:dyDescent="0.3">
      <c r="A400" s="2264">
        <v>11114</v>
      </c>
      <c r="B400" s="123">
        <v>0.1</v>
      </c>
      <c r="C400" s="693" t="s">
        <v>4327</v>
      </c>
      <c r="D400" s="1134" t="s">
        <v>4109</v>
      </c>
      <c r="E400" s="210">
        <v>1600000</v>
      </c>
      <c r="F400" s="194">
        <v>0.03</v>
      </c>
      <c r="G400" s="500">
        <f t="shared" si="14"/>
        <v>48000</v>
      </c>
      <c r="H400" s="692" t="s">
        <v>582</v>
      </c>
      <c r="I400" s="878" t="s">
        <v>4122</v>
      </c>
    </row>
    <row r="401" spans="1:9" x14ac:dyDescent="0.3">
      <c r="A401" s="1012">
        <v>11100</v>
      </c>
      <c r="B401" s="123">
        <v>0.1</v>
      </c>
      <c r="C401" s="693" t="s">
        <v>4318</v>
      </c>
      <c r="D401" s="1134" t="s">
        <v>4109</v>
      </c>
      <c r="E401" s="210">
        <v>6500000</v>
      </c>
      <c r="F401" s="194">
        <v>0.03</v>
      </c>
      <c r="G401" s="500">
        <f t="shared" si="14"/>
        <v>195000</v>
      </c>
      <c r="H401" s="692" t="s">
        <v>4112</v>
      </c>
      <c r="I401" s="878" t="s">
        <v>4122</v>
      </c>
    </row>
    <row r="402" spans="1:9" x14ac:dyDescent="0.3">
      <c r="A402" s="1012">
        <v>11123</v>
      </c>
      <c r="B402" s="525">
        <v>0.1</v>
      </c>
      <c r="C402" s="732" t="s">
        <v>4297</v>
      </c>
      <c r="D402" s="1134" t="s">
        <v>4109</v>
      </c>
      <c r="E402" s="210">
        <v>600000</v>
      </c>
      <c r="F402" s="194">
        <v>0.03</v>
      </c>
      <c r="G402" s="500">
        <f t="shared" si="14"/>
        <v>18000</v>
      </c>
      <c r="H402" s="692" t="s">
        <v>582</v>
      </c>
      <c r="I402" s="878" t="s">
        <v>4122</v>
      </c>
    </row>
    <row r="403" spans="1:9" x14ac:dyDescent="0.3">
      <c r="A403" s="1012">
        <v>11121</v>
      </c>
      <c r="B403" s="761">
        <v>0.08</v>
      </c>
      <c r="C403" s="693" t="s">
        <v>4328</v>
      </c>
      <c r="D403" s="1134" t="s">
        <v>4109</v>
      </c>
      <c r="E403" s="210">
        <v>950000</v>
      </c>
      <c r="F403" s="763">
        <v>0.02</v>
      </c>
      <c r="G403" s="500">
        <f t="shared" si="14"/>
        <v>19000</v>
      </c>
      <c r="H403" s="692" t="s">
        <v>582</v>
      </c>
      <c r="I403" s="878" t="s">
        <v>4122</v>
      </c>
    </row>
    <row r="404" spans="1:9" x14ac:dyDescent="0.3">
      <c r="A404" s="1012">
        <v>11127</v>
      </c>
      <c r="B404" s="123">
        <v>0.1</v>
      </c>
      <c r="C404" s="693" t="s">
        <v>4329</v>
      </c>
      <c r="D404" s="1134" t="s">
        <v>4109</v>
      </c>
      <c r="E404" s="210">
        <v>1300000</v>
      </c>
      <c r="F404" s="194">
        <v>0.03</v>
      </c>
      <c r="G404" s="500">
        <f t="shared" si="14"/>
        <v>39000</v>
      </c>
      <c r="H404" s="1044" t="s">
        <v>732</v>
      </c>
      <c r="I404" s="1065" t="s">
        <v>4122</v>
      </c>
    </row>
    <row r="405" spans="1:9" x14ac:dyDescent="0.3">
      <c r="A405" s="2265"/>
      <c r="B405" s="680"/>
      <c r="C405" s="681"/>
      <c r="D405" s="1168"/>
      <c r="E405" s="244"/>
      <c r="F405" s="545"/>
      <c r="G405" s="543"/>
      <c r="H405" s="722"/>
      <c r="I405" s="51"/>
    </row>
    <row r="406" spans="1:9" x14ac:dyDescent="0.3">
      <c r="A406" s="2265"/>
      <c r="B406" s="680"/>
      <c r="C406" s="716"/>
      <c r="D406" s="1168"/>
      <c r="E406" s="244"/>
      <c r="F406" s="545"/>
      <c r="G406" s="543"/>
      <c r="H406" s="722"/>
      <c r="I406" s="51"/>
    </row>
    <row r="407" spans="1:9" x14ac:dyDescent="0.3">
      <c r="A407" s="2250"/>
      <c r="B407" s="717"/>
      <c r="C407" s="718"/>
      <c r="D407" s="1100"/>
      <c r="E407" s="521"/>
      <c r="F407" s="498"/>
      <c r="G407" s="498"/>
      <c r="H407" s="1040"/>
      <c r="I407" s="268"/>
    </row>
    <row r="408" spans="1:9" x14ac:dyDescent="0.3">
      <c r="A408" s="2250"/>
      <c r="B408" s="11"/>
      <c r="C408" s="11"/>
      <c r="D408" s="1136" t="s">
        <v>4264</v>
      </c>
      <c r="E408" s="497">
        <f>SUM(E391:E404)</f>
        <v>19070000</v>
      </c>
      <c r="F408" s="498"/>
      <c r="H408" s="984"/>
      <c r="I408" s="268"/>
    </row>
    <row r="409" spans="1:9" ht="15.6" x14ac:dyDescent="0.3">
      <c r="A409" s="265" t="s">
        <v>4330</v>
      </c>
      <c r="B409" s="171"/>
      <c r="C409" s="171"/>
      <c r="D409" s="1165"/>
      <c r="E409" s="502"/>
      <c r="F409" s="11"/>
      <c r="G409" s="10"/>
      <c r="H409" s="1045" t="s">
        <v>4299</v>
      </c>
      <c r="I409" s="1066">
        <f>G391+G392+G393+G394+G395+G396+G397+G398+G399+G400+G401+G402+G403+G404</f>
        <v>552600</v>
      </c>
    </row>
    <row r="412" spans="1:9" x14ac:dyDescent="0.3">
      <c r="A412" s="3720" t="s">
        <v>3064</v>
      </c>
      <c r="B412" s="3720"/>
      <c r="C412" s="79"/>
      <c r="D412" s="1101">
        <v>19070000</v>
      </c>
    </row>
    <row r="413" spans="1:9" x14ac:dyDescent="0.3">
      <c r="A413" s="3721" t="s">
        <v>3065</v>
      </c>
      <c r="B413" s="3721"/>
      <c r="C413" s="41"/>
      <c r="D413" s="1102"/>
    </row>
    <row r="414" spans="1:9" x14ac:dyDescent="0.3">
      <c r="A414" s="3722" t="s">
        <v>3066</v>
      </c>
      <c r="B414" s="3722"/>
      <c r="C414" s="45"/>
      <c r="D414" s="1103"/>
    </row>
    <row r="415" spans="1:9" x14ac:dyDescent="0.3">
      <c r="A415" s="3609" t="s">
        <v>3067</v>
      </c>
      <c r="B415" s="3609"/>
      <c r="C415" s="651"/>
      <c r="D415" s="1156">
        <v>3550000</v>
      </c>
    </row>
    <row r="416" spans="1:9" x14ac:dyDescent="0.3">
      <c r="A416" s="3725" t="s">
        <v>3068</v>
      </c>
      <c r="B416" s="3725"/>
      <c r="C416" s="45"/>
      <c r="D416" s="1139">
        <v>3800000</v>
      </c>
    </row>
    <row r="417" spans="1:15" x14ac:dyDescent="0.3">
      <c r="A417" s="2234"/>
      <c r="B417" s="43" t="s">
        <v>3070</v>
      </c>
      <c r="C417" s="43"/>
      <c r="D417" s="1157" t="s">
        <v>3133</v>
      </c>
    </row>
    <row r="422" spans="1:15" ht="46.2" x14ac:dyDescent="0.85">
      <c r="A422" s="3761" t="s">
        <v>4331</v>
      </c>
      <c r="B422" s="3761"/>
      <c r="C422" s="3761"/>
      <c r="D422" s="3761"/>
      <c r="E422" s="3761"/>
      <c r="F422" s="3761"/>
      <c r="G422" s="3761"/>
      <c r="H422" s="3761"/>
      <c r="I422" s="3761"/>
      <c r="J422" s="3761"/>
      <c r="O422" s="1"/>
    </row>
    <row r="423" spans="1:15" x14ac:dyDescent="0.3">
      <c r="O423" s="1"/>
    </row>
    <row r="424" spans="1:15" ht="21" x14ac:dyDescent="0.4">
      <c r="A424" s="3760" t="s">
        <v>2972</v>
      </c>
      <c r="B424" s="3760"/>
      <c r="C424" s="3760"/>
      <c r="D424" s="3760"/>
      <c r="E424" s="3760"/>
      <c r="F424" s="3760"/>
      <c r="G424" s="3760"/>
      <c r="H424" s="3760"/>
      <c r="I424" s="3760"/>
      <c r="J424" s="3760"/>
      <c r="K424" s="3642" t="s">
        <v>2973</v>
      </c>
      <c r="L424" s="3642"/>
      <c r="M424" s="3642"/>
      <c r="N424" s="3642"/>
      <c r="O424" s="2"/>
    </row>
    <row r="425" spans="1:15" x14ac:dyDescent="0.3">
      <c r="A425" s="2229" t="s">
        <v>2974</v>
      </c>
      <c r="B425" s="1666" t="s">
        <v>2975</v>
      </c>
      <c r="C425" s="1666" t="s">
        <v>3004</v>
      </c>
      <c r="D425" s="1083" t="s">
        <v>2977</v>
      </c>
      <c r="E425" s="4" t="s">
        <v>2978</v>
      </c>
      <c r="F425" s="3" t="s">
        <v>2979</v>
      </c>
      <c r="G425" s="5" t="s">
        <v>2980</v>
      </c>
      <c r="H425" s="3" t="s">
        <v>2981</v>
      </c>
      <c r="I425" s="3" t="s">
        <v>2982</v>
      </c>
      <c r="J425" s="3" t="s">
        <v>2983</v>
      </c>
      <c r="K425" s="26" t="s">
        <v>2975</v>
      </c>
      <c r="L425" s="26" t="s">
        <v>2977</v>
      </c>
      <c r="M425" s="26" t="s">
        <v>2984</v>
      </c>
      <c r="N425" s="267" t="s">
        <v>2979</v>
      </c>
      <c r="O425" s="268" t="s">
        <v>2985</v>
      </c>
    </row>
    <row r="426" spans="1:15" ht="27" x14ac:dyDescent="0.3">
      <c r="A426" s="3756" t="s">
        <v>4332</v>
      </c>
      <c r="B426" s="774"/>
      <c r="C426" s="775"/>
      <c r="D426" s="776" t="s">
        <v>4333</v>
      </c>
      <c r="E426" s="777"/>
      <c r="F426" s="774"/>
      <c r="G426" s="778"/>
      <c r="H426" s="774"/>
      <c r="I426" s="774"/>
      <c r="J426" s="791"/>
      <c r="K426" s="863">
        <v>11236</v>
      </c>
      <c r="L426" s="863" t="s">
        <v>4334</v>
      </c>
      <c r="M426" s="863">
        <v>1100000</v>
      </c>
      <c r="N426" s="864">
        <v>0.04</v>
      </c>
      <c r="O426" s="878">
        <f>M426*N426</f>
        <v>44000</v>
      </c>
    </row>
    <row r="427" spans="1:15" x14ac:dyDescent="0.3">
      <c r="A427" s="3756"/>
      <c r="B427" s="774"/>
      <c r="C427" s="791"/>
      <c r="D427" s="385" t="s">
        <v>4335</v>
      </c>
      <c r="E427" s="777"/>
      <c r="F427" s="774"/>
      <c r="G427" s="778"/>
      <c r="H427" s="774"/>
      <c r="I427" s="774"/>
      <c r="J427" s="791"/>
      <c r="K427" s="882">
        <v>11215</v>
      </c>
      <c r="L427" s="863" t="s">
        <v>4336</v>
      </c>
      <c r="M427" s="863">
        <v>700000</v>
      </c>
      <c r="N427" s="864">
        <v>0.04</v>
      </c>
      <c r="O427" s="878">
        <f>M427*N427</f>
        <v>28000</v>
      </c>
    </row>
    <row r="428" spans="1:15" x14ac:dyDescent="0.3">
      <c r="A428" s="3756"/>
      <c r="B428" s="774"/>
      <c r="C428" s="791"/>
      <c r="D428" s="1169" t="s">
        <v>4337</v>
      </c>
      <c r="E428" s="777"/>
      <c r="F428" s="774"/>
      <c r="G428" s="778"/>
      <c r="H428" s="774"/>
      <c r="I428" s="774"/>
      <c r="J428" s="791"/>
      <c r="K428" s="1779"/>
      <c r="L428" s="1779"/>
      <c r="M428" s="1779"/>
      <c r="N428" s="1779"/>
      <c r="O428" s="51"/>
    </row>
    <row r="429" spans="1:15" x14ac:dyDescent="0.3">
      <c r="A429" s="3756"/>
      <c r="B429" s="306">
        <v>11177</v>
      </c>
      <c r="C429" s="694">
        <v>0.1</v>
      </c>
      <c r="D429" s="590" t="s">
        <v>4338</v>
      </c>
      <c r="E429" s="591">
        <v>1100000</v>
      </c>
      <c r="F429" s="313">
        <v>0.04</v>
      </c>
      <c r="G429" s="879">
        <f>E429*F429</f>
        <v>44000</v>
      </c>
      <c r="H429" s="314" t="s">
        <v>4339</v>
      </c>
      <c r="I429" s="314" t="s">
        <v>3992</v>
      </c>
      <c r="J429" s="792"/>
      <c r="K429" s="1779"/>
      <c r="L429" s="1779"/>
      <c r="M429" s="1779"/>
      <c r="N429" s="1779"/>
      <c r="O429" s="51"/>
    </row>
    <row r="430" spans="1:15" x14ac:dyDescent="0.3">
      <c r="A430" s="3756"/>
      <c r="B430" s="306">
        <v>11184</v>
      </c>
      <c r="C430" s="694">
        <v>0.1</v>
      </c>
      <c r="D430" s="590" t="s">
        <v>4340</v>
      </c>
      <c r="E430" s="591">
        <v>1100000</v>
      </c>
      <c r="F430" s="313">
        <v>0.08</v>
      </c>
      <c r="G430" s="879">
        <f t="shared" ref="G430:G434" si="15">E430*F430</f>
        <v>88000</v>
      </c>
      <c r="H430" s="314" t="s">
        <v>582</v>
      </c>
      <c r="I430" s="314" t="s">
        <v>3992</v>
      </c>
      <c r="J430" s="792"/>
      <c r="K430" s="1779"/>
      <c r="L430" s="1779"/>
      <c r="M430" s="1779"/>
      <c r="N430" s="1779"/>
      <c r="O430" s="51"/>
    </row>
    <row r="431" spans="1:15" x14ac:dyDescent="0.3">
      <c r="A431" s="3756"/>
      <c r="B431" s="306">
        <v>11181</v>
      </c>
      <c r="C431" s="694">
        <v>0.1</v>
      </c>
      <c r="D431" s="590" t="s">
        <v>4341</v>
      </c>
      <c r="E431" s="591">
        <v>1200000</v>
      </c>
      <c r="F431" s="313">
        <v>0.04</v>
      </c>
      <c r="G431" s="879">
        <f t="shared" si="15"/>
        <v>48000</v>
      </c>
      <c r="H431" s="314" t="s">
        <v>510</v>
      </c>
      <c r="I431" s="314" t="s">
        <v>3992</v>
      </c>
      <c r="J431" s="792"/>
      <c r="K431" s="1779"/>
      <c r="L431" s="1779"/>
      <c r="M431" s="1779"/>
      <c r="N431" s="1779"/>
      <c r="O431" s="51"/>
    </row>
    <row r="432" spans="1:15" x14ac:dyDescent="0.3">
      <c r="A432" s="3756"/>
      <c r="B432" s="306">
        <v>11205</v>
      </c>
      <c r="C432" s="694">
        <v>0.1</v>
      </c>
      <c r="D432" s="590" t="s">
        <v>4342</v>
      </c>
      <c r="E432" s="591">
        <v>1300000</v>
      </c>
      <c r="F432" s="313">
        <v>0.08</v>
      </c>
      <c r="G432" s="879">
        <f t="shared" si="15"/>
        <v>104000</v>
      </c>
      <c r="H432" s="314" t="s">
        <v>582</v>
      </c>
      <c r="I432" s="314" t="s">
        <v>3992</v>
      </c>
      <c r="J432" s="793"/>
      <c r="K432" s="1779"/>
      <c r="L432" s="1779"/>
      <c r="M432" s="1779"/>
      <c r="N432" s="1779"/>
      <c r="O432" s="51"/>
    </row>
    <row r="433" spans="1:15" ht="15" customHeight="1" x14ac:dyDescent="0.3">
      <c r="A433" s="3756"/>
      <c r="B433" s="314">
        <v>11239</v>
      </c>
      <c r="C433" s="714">
        <v>0.1</v>
      </c>
      <c r="D433" s="590" t="s">
        <v>4343</v>
      </c>
      <c r="E433" s="591">
        <v>1400000</v>
      </c>
      <c r="F433" s="313">
        <v>0.08</v>
      </c>
      <c r="G433" s="879">
        <f t="shared" si="15"/>
        <v>112000</v>
      </c>
      <c r="H433" s="314" t="s">
        <v>582</v>
      </c>
      <c r="I433" s="314" t="s">
        <v>3992</v>
      </c>
      <c r="J433" s="793"/>
      <c r="K433" s="307"/>
      <c r="L433" s="298"/>
      <c r="M433" s="512"/>
      <c r="N433" s="320"/>
      <c r="O433" s="297"/>
    </row>
    <row r="434" spans="1:15" ht="16.5" customHeight="1" x14ac:dyDescent="0.4">
      <c r="A434" s="3756"/>
      <c r="B434" s="821">
        <v>11264</v>
      </c>
      <c r="C434" s="370">
        <v>0.1</v>
      </c>
      <c r="D434" s="1054" t="s">
        <v>4344</v>
      </c>
      <c r="E434" s="591">
        <v>1300000</v>
      </c>
      <c r="F434" s="313">
        <v>0.08</v>
      </c>
      <c r="G434" s="879">
        <f t="shared" si="15"/>
        <v>104000</v>
      </c>
      <c r="H434" s="314" t="s">
        <v>582</v>
      </c>
      <c r="I434" s="314" t="s">
        <v>4345</v>
      </c>
      <c r="J434" s="793"/>
      <c r="K434" s="307"/>
      <c r="L434" s="298"/>
      <c r="M434" s="512"/>
      <c r="N434" s="320"/>
      <c r="O434" s="297"/>
    </row>
    <row r="435" spans="1:15" ht="15" customHeight="1" x14ac:dyDescent="0.3">
      <c r="A435" s="3756"/>
      <c r="B435" s="533"/>
      <c r="C435" s="820"/>
      <c r="D435" s="1058"/>
      <c r="E435" s="684"/>
      <c r="F435" s="528"/>
      <c r="G435" s="633"/>
      <c r="H435" s="315"/>
      <c r="I435" s="315"/>
      <c r="J435" s="793"/>
      <c r="K435" s="307"/>
      <c r="L435" s="298"/>
      <c r="M435" s="512"/>
      <c r="N435" s="320"/>
      <c r="O435" s="297"/>
    </row>
    <row r="436" spans="1:15" ht="15" customHeight="1" x14ac:dyDescent="0.3">
      <c r="A436" s="3756"/>
      <c r="B436" s="307"/>
      <c r="C436" s="707"/>
      <c r="D436" s="1058"/>
      <c r="E436" s="684"/>
      <c r="F436" s="528"/>
      <c r="G436" s="633"/>
      <c r="H436" s="315"/>
      <c r="I436" s="315"/>
      <c r="J436" s="793"/>
      <c r="K436" s="307"/>
      <c r="L436" s="298"/>
      <c r="M436" s="512"/>
      <c r="N436" s="320"/>
      <c r="O436" s="297"/>
    </row>
    <row r="437" spans="1:15" ht="15" customHeight="1" x14ac:dyDescent="0.3">
      <c r="A437" s="3756"/>
      <c r="B437" s="685"/>
      <c r="C437" s="686"/>
      <c r="D437" s="1160" t="s">
        <v>3000</v>
      </c>
      <c r="E437" s="454">
        <f>E429+E430+E432+E431+E433+E434</f>
        <v>7400000</v>
      </c>
      <c r="F437" s="455"/>
      <c r="G437" s="456">
        <f>G429+G430+G431+G432+G433+G434</f>
        <v>500000</v>
      </c>
      <c r="H437" s="455"/>
      <c r="I437" s="452"/>
      <c r="J437" s="794"/>
      <c r="K437" s="316"/>
      <c r="L437" s="3599" t="s">
        <v>3001</v>
      </c>
      <c r="M437" s="3599"/>
      <c r="N437" s="3599"/>
      <c r="O437" s="297">
        <f>O426+O427</f>
        <v>72000</v>
      </c>
    </row>
    <row r="438" spans="1:15" ht="15.75" customHeight="1" x14ac:dyDescent="0.3">
      <c r="A438" s="3756"/>
      <c r="B438" s="204"/>
      <c r="C438" s="640"/>
      <c r="D438" s="1113" t="s">
        <v>3002</v>
      </c>
      <c r="E438" s="459">
        <f>G437+O437</f>
        <v>572000</v>
      </c>
      <c r="F438" s="204"/>
      <c r="G438" s="451"/>
      <c r="H438" s="204"/>
      <c r="I438" s="204"/>
      <c r="J438" s="450"/>
      <c r="K438" s="171"/>
      <c r="L438" s="171"/>
      <c r="M438" s="171"/>
      <c r="N438" s="171"/>
      <c r="O438" s="795"/>
    </row>
    <row r="439" spans="1:15" x14ac:dyDescent="0.3">
      <c r="A439" s="2230"/>
      <c r="B439" s="17"/>
      <c r="C439" s="17"/>
      <c r="D439" s="1085"/>
      <c r="E439" s="19"/>
      <c r="F439" s="17"/>
      <c r="G439" s="20"/>
      <c r="H439" s="17"/>
      <c r="I439" s="17"/>
      <c r="J439" s="18"/>
      <c r="O439" s="1"/>
    </row>
    <row r="440" spans="1:15" x14ac:dyDescent="0.3">
      <c r="A440" s="2230"/>
      <c r="B440" s="17"/>
      <c r="C440" s="17"/>
      <c r="D440" s="1085"/>
      <c r="E440" s="19"/>
      <c r="F440" s="17"/>
      <c r="G440" s="20"/>
      <c r="H440" s="17"/>
      <c r="I440" s="17"/>
      <c r="J440" s="18"/>
      <c r="O440" s="1"/>
    </row>
    <row r="441" spans="1:15" ht="21" x14ac:dyDescent="0.4">
      <c r="A441" s="3759" t="s">
        <v>4151</v>
      </c>
      <c r="B441" s="3759"/>
      <c r="C441" s="3759"/>
      <c r="D441" s="3759"/>
      <c r="E441" s="3759"/>
      <c r="F441" s="3759"/>
      <c r="G441" s="3759"/>
      <c r="H441" s="3759"/>
      <c r="I441" s="3759"/>
      <c r="J441" s="3759"/>
      <c r="K441" s="3642" t="s">
        <v>2973</v>
      </c>
      <c r="L441" s="3642"/>
      <c r="M441" s="3642"/>
      <c r="N441" s="3642"/>
      <c r="O441" s="2"/>
    </row>
    <row r="442" spans="1:15" x14ac:dyDescent="0.3">
      <c r="A442" s="2266" t="s">
        <v>2974</v>
      </c>
      <c r="B442" s="809" t="s">
        <v>2975</v>
      </c>
      <c r="C442" s="1666" t="s">
        <v>3004</v>
      </c>
      <c r="D442" s="1083" t="s">
        <v>2977</v>
      </c>
      <c r="E442" s="805" t="s">
        <v>2978</v>
      </c>
      <c r="F442" s="1666" t="s">
        <v>2979</v>
      </c>
      <c r="G442" s="25" t="s">
        <v>2980</v>
      </c>
      <c r="H442" s="26" t="s">
        <v>2981</v>
      </c>
      <c r="I442" s="1666" t="s">
        <v>2982</v>
      </c>
      <c r="J442" s="26" t="s">
        <v>2983</v>
      </c>
      <c r="K442" s="26" t="s">
        <v>2975</v>
      </c>
      <c r="L442" s="26" t="s">
        <v>2977</v>
      </c>
      <c r="M442" s="26" t="s">
        <v>2984</v>
      </c>
      <c r="N442" s="267" t="s">
        <v>2979</v>
      </c>
      <c r="O442" s="268" t="s">
        <v>2985</v>
      </c>
    </row>
    <row r="443" spans="1:15" ht="27" x14ac:dyDescent="0.3">
      <c r="A443" s="3755" t="s">
        <v>4346</v>
      </c>
      <c r="B443" s="810"/>
      <c r="C443" s="806"/>
      <c r="D443" s="1169" t="s">
        <v>4347</v>
      </c>
      <c r="E443" s="807"/>
      <c r="F443" s="806"/>
      <c r="G443" s="808"/>
      <c r="H443" s="806"/>
      <c r="I443" s="806"/>
      <c r="J443" s="3"/>
      <c r="K443" s="267"/>
      <c r="L443" s="267"/>
      <c r="M443" s="267"/>
      <c r="N443" s="267"/>
      <c r="O443" s="268"/>
    </row>
    <row r="444" spans="1:15" x14ac:dyDescent="0.3">
      <c r="A444" s="3755"/>
      <c r="B444" s="810"/>
      <c r="C444" s="806"/>
      <c r="D444" s="1169" t="s">
        <v>4348</v>
      </c>
      <c r="E444" s="807"/>
      <c r="F444" s="806"/>
      <c r="G444" s="808"/>
      <c r="H444" s="806"/>
      <c r="I444" s="806"/>
      <c r="J444" s="3"/>
      <c r="K444" s="267"/>
      <c r="L444" s="267"/>
      <c r="M444" s="267"/>
      <c r="N444" s="267"/>
      <c r="O444" s="268"/>
    </row>
    <row r="445" spans="1:15" x14ac:dyDescent="0.3">
      <c r="A445" s="3755"/>
      <c r="B445" s="811">
        <v>11165</v>
      </c>
      <c r="C445" s="123">
        <v>0.1</v>
      </c>
      <c r="D445" s="1170" t="s">
        <v>4349</v>
      </c>
      <c r="E445" s="67">
        <v>1350000</v>
      </c>
      <c r="F445" s="123">
        <v>0.08</v>
      </c>
      <c r="G445" s="878">
        <f>E445*F445</f>
        <v>108000</v>
      </c>
      <c r="H445" s="878" t="s">
        <v>4112</v>
      </c>
      <c r="I445" s="878" t="s">
        <v>3992</v>
      </c>
      <c r="J445" s="3"/>
      <c r="K445" s="267"/>
      <c r="L445" s="267"/>
      <c r="M445" s="267"/>
      <c r="N445" s="267"/>
      <c r="O445" s="268"/>
    </row>
    <row r="446" spans="1:15" x14ac:dyDescent="0.3">
      <c r="A446" s="3755"/>
      <c r="B446" s="811">
        <v>11154</v>
      </c>
      <c r="C446" s="123">
        <v>0.1</v>
      </c>
      <c r="D446" s="1170" t="s">
        <v>4350</v>
      </c>
      <c r="E446" s="67">
        <v>1050000</v>
      </c>
      <c r="F446" s="123">
        <v>0.08</v>
      </c>
      <c r="G446" s="878">
        <f t="shared" ref="G446:G448" si="16">E446*F446</f>
        <v>84000</v>
      </c>
      <c r="H446" s="878" t="s">
        <v>4202</v>
      </c>
      <c r="I446" s="878" t="s">
        <v>3992</v>
      </c>
      <c r="J446" s="3"/>
      <c r="K446" s="267"/>
      <c r="L446" s="267"/>
      <c r="M446" s="267"/>
      <c r="N446" s="267"/>
      <c r="O446" s="268"/>
    </row>
    <row r="447" spans="1:15" ht="15" customHeight="1" x14ac:dyDescent="0.3">
      <c r="A447" s="3755"/>
      <c r="B447" s="870">
        <v>11318</v>
      </c>
      <c r="C447" s="370">
        <v>0.1</v>
      </c>
      <c r="D447" s="590" t="s">
        <v>4351</v>
      </c>
      <c r="E447" s="505">
        <v>1150000</v>
      </c>
      <c r="F447" s="281">
        <v>0.08</v>
      </c>
      <c r="G447" s="878">
        <f t="shared" si="16"/>
        <v>92000</v>
      </c>
      <c r="H447" s="306" t="s">
        <v>4112</v>
      </c>
      <c r="I447" s="338" t="s">
        <v>133</v>
      </c>
      <c r="J447" s="335"/>
      <c r="K447" s="484"/>
      <c r="L447" s="508"/>
      <c r="M447" s="508"/>
      <c r="N447" s="508"/>
      <c r="O447" s="315"/>
    </row>
    <row r="448" spans="1:15" ht="15" customHeight="1" x14ac:dyDescent="0.3">
      <c r="A448" s="3755"/>
      <c r="B448" s="817">
        <v>11236</v>
      </c>
      <c r="C448" s="818">
        <v>0.1</v>
      </c>
      <c r="D448" s="1114" t="s">
        <v>4352</v>
      </c>
      <c r="E448" s="366">
        <v>1100000</v>
      </c>
      <c r="F448" s="678">
        <v>0.04</v>
      </c>
      <c r="G448" s="878">
        <f t="shared" si="16"/>
        <v>44000</v>
      </c>
      <c r="H448" s="330" t="s">
        <v>582</v>
      </c>
      <c r="I448" s="337" t="s">
        <v>133</v>
      </c>
      <c r="J448" s="770"/>
      <c r="K448" s="484"/>
      <c r="L448" s="508"/>
      <c r="M448" s="508"/>
      <c r="N448" s="508"/>
      <c r="O448" s="315"/>
    </row>
    <row r="449" spans="1:108" ht="15" customHeight="1" x14ac:dyDescent="0.3">
      <c r="A449" s="3755"/>
      <c r="B449" s="812"/>
      <c r="C449" s="326"/>
      <c r="D449" s="1058"/>
      <c r="E449" s="327"/>
      <c r="F449" s="768"/>
      <c r="G449" s="769"/>
      <c r="H449" s="711"/>
      <c r="I449" s="532"/>
      <c r="J449" s="770"/>
      <c r="K449" s="484"/>
      <c r="L449" s="508"/>
      <c r="M449" s="508"/>
      <c r="N449" s="508"/>
      <c r="O449" s="315"/>
    </row>
    <row r="450" spans="1:108" ht="15" customHeight="1" x14ac:dyDescent="0.3">
      <c r="A450" s="3755"/>
      <c r="B450" s="813"/>
      <c r="C450" s="326"/>
      <c r="D450" s="1058"/>
      <c r="E450" s="327"/>
      <c r="F450" s="768"/>
      <c r="G450" s="769"/>
      <c r="H450" s="371"/>
      <c r="I450" s="316"/>
      <c r="J450" s="335"/>
      <c r="K450" s="484"/>
      <c r="L450" s="508"/>
      <c r="M450" s="508"/>
      <c r="N450" s="508"/>
      <c r="O450" s="315"/>
    </row>
    <row r="451" spans="1:108" ht="15" customHeight="1" x14ac:dyDescent="0.3">
      <c r="A451" s="3755"/>
      <c r="B451" s="814"/>
      <c r="C451" s="689"/>
      <c r="D451" s="1171" t="s">
        <v>3000</v>
      </c>
      <c r="E451" s="483">
        <f>E445+E446+E447+E448</f>
        <v>4650000</v>
      </c>
      <c r="F451" s="514"/>
      <c r="G451" s="483">
        <f>G445+G446+G447+G448</f>
        <v>328000</v>
      </c>
      <c r="H451" s="918"/>
      <c r="I451" s="514"/>
      <c r="J451" s="342"/>
      <c r="K451" s="485"/>
      <c r="L451" s="3752" t="s">
        <v>3026</v>
      </c>
      <c r="M451" s="3752"/>
      <c r="N451" s="3752"/>
      <c r="O451" s="447"/>
    </row>
    <row r="452" spans="1:108" ht="15.75" customHeight="1" x14ac:dyDescent="0.3">
      <c r="A452" s="3755"/>
      <c r="B452" s="815"/>
      <c r="C452" s="460"/>
      <c r="D452" s="1117" t="s">
        <v>3002</v>
      </c>
      <c r="E452" s="518">
        <f>G451</f>
        <v>328000</v>
      </c>
      <c r="F452" s="458"/>
      <c r="G452" s="489"/>
      <c r="H452" s="458"/>
      <c r="I452" s="458"/>
      <c r="J452" s="490"/>
      <c r="K452" s="461"/>
      <c r="L452" s="462"/>
      <c r="M452" s="462"/>
      <c r="N452" s="462"/>
      <c r="O452" s="463"/>
    </row>
    <row r="453" spans="1:108" ht="15.6" x14ac:dyDescent="0.3">
      <c r="A453" s="2267"/>
      <c r="B453" s="464"/>
      <c r="C453" s="464"/>
      <c r="D453" s="1118"/>
      <c r="E453" s="466"/>
      <c r="F453" s="464"/>
      <c r="G453" s="467"/>
      <c r="H453" s="464"/>
      <c r="I453" s="464"/>
      <c r="J453" s="465"/>
      <c r="K453" s="468"/>
      <c r="L453" s="469"/>
      <c r="M453" s="469"/>
      <c r="N453" s="469"/>
      <c r="O453" s="463"/>
    </row>
    <row r="454" spans="1:108" ht="15.6" x14ac:dyDescent="0.3">
      <c r="A454" s="2267"/>
      <c r="B454" s="825"/>
      <c r="C454" s="825"/>
      <c r="D454" s="1172"/>
      <c r="E454" s="827"/>
      <c r="F454" s="825"/>
      <c r="G454" s="828"/>
      <c r="H454" s="825"/>
      <c r="I454" s="825"/>
      <c r="J454" s="826"/>
      <c r="K454" s="829"/>
      <c r="L454" s="830"/>
      <c r="M454" s="830"/>
      <c r="N454" s="830"/>
      <c r="O454" s="831"/>
    </row>
    <row r="455" spans="1:108" ht="21" x14ac:dyDescent="0.4">
      <c r="A455" s="3760" t="s">
        <v>4353</v>
      </c>
      <c r="B455" s="3760"/>
      <c r="C455" s="3760"/>
      <c r="D455" s="3760"/>
      <c r="E455" s="3760"/>
      <c r="F455" s="3760"/>
      <c r="G455" s="3760"/>
      <c r="H455" s="3760"/>
      <c r="I455" s="3760"/>
      <c r="J455" s="3760"/>
      <c r="K455" s="3762" t="s">
        <v>2973</v>
      </c>
      <c r="L455" s="3762"/>
      <c r="M455" s="3762"/>
      <c r="N455" s="3762"/>
      <c r="O455" s="2"/>
    </row>
    <row r="456" spans="1:108" x14ac:dyDescent="0.3">
      <c r="A456" s="2229" t="s">
        <v>2974</v>
      </c>
      <c r="B456" s="3" t="s">
        <v>2975</v>
      </c>
      <c r="C456" s="3" t="s">
        <v>3004</v>
      </c>
      <c r="D456" s="1086" t="s">
        <v>2977</v>
      </c>
      <c r="E456" s="4" t="s">
        <v>2978</v>
      </c>
      <c r="F456" s="3" t="s">
        <v>2979</v>
      </c>
      <c r="G456" s="5" t="s">
        <v>2980</v>
      </c>
      <c r="H456" s="3" t="s">
        <v>2981</v>
      </c>
      <c r="I456" s="3" t="s">
        <v>2982</v>
      </c>
      <c r="J456" s="3" t="s">
        <v>2983</v>
      </c>
      <c r="K456" s="3" t="s">
        <v>2975</v>
      </c>
      <c r="L456" s="3" t="s">
        <v>2977</v>
      </c>
      <c r="M456" s="3" t="s">
        <v>2984</v>
      </c>
      <c r="N456" s="3" t="s">
        <v>2979</v>
      </c>
      <c r="O456" s="2" t="s">
        <v>2985</v>
      </c>
    </row>
    <row r="457" spans="1:108" x14ac:dyDescent="0.3">
      <c r="A457" s="3763">
        <v>9</v>
      </c>
      <c r="B457" s="863">
        <v>11316</v>
      </c>
      <c r="C457" s="864">
        <v>0.1</v>
      </c>
      <c r="D457" s="1170" t="s">
        <v>4354</v>
      </c>
      <c r="E457" s="865">
        <v>1100000</v>
      </c>
      <c r="F457" s="863"/>
      <c r="G457" s="866"/>
      <c r="H457" s="863" t="s">
        <v>489</v>
      </c>
      <c r="I457" s="863" t="s">
        <v>3992</v>
      </c>
      <c r="J457" s="1779"/>
      <c r="K457" s="3"/>
      <c r="L457" s="3"/>
      <c r="M457" s="3"/>
      <c r="N457" s="3"/>
      <c r="O457" s="2"/>
    </row>
    <row r="458" spans="1:108" x14ac:dyDescent="0.3">
      <c r="A458" s="3763"/>
      <c r="B458" s="863">
        <v>11322</v>
      </c>
      <c r="C458" s="864">
        <v>0.1</v>
      </c>
      <c r="D458" s="1170" t="s">
        <v>4355</v>
      </c>
      <c r="E458" s="865">
        <v>880000</v>
      </c>
      <c r="F458" s="863"/>
      <c r="G458" s="866"/>
      <c r="H458" s="863" t="s">
        <v>489</v>
      </c>
      <c r="I458" s="863" t="s">
        <v>3925</v>
      </c>
      <c r="J458" s="1779"/>
      <c r="K458" s="3"/>
      <c r="L458" s="3"/>
      <c r="M458" s="3"/>
      <c r="N458" s="3"/>
      <c r="O458" s="2"/>
    </row>
    <row r="459" spans="1:108" x14ac:dyDescent="0.3">
      <c r="A459" s="3763"/>
      <c r="B459" s="51"/>
      <c r="C459" s="680"/>
      <c r="D459" s="1173"/>
      <c r="E459" s="34"/>
      <c r="F459" s="680"/>
      <c r="G459" s="34"/>
      <c r="H459" s="51"/>
      <c r="I459" s="51"/>
      <c r="J459" s="1779"/>
      <c r="K459" s="3"/>
      <c r="L459" s="3"/>
      <c r="M459" s="3"/>
      <c r="N459" s="3"/>
      <c r="O459" s="2"/>
    </row>
    <row r="460" spans="1:108" x14ac:dyDescent="0.3">
      <c r="A460" s="3763"/>
      <c r="B460" s="514"/>
      <c r="C460" s="514"/>
      <c r="D460" s="1116" t="s">
        <v>3000</v>
      </c>
      <c r="E460" s="483">
        <f>E457+E458</f>
        <v>1980000</v>
      </c>
      <c r="F460" s="514"/>
      <c r="G460" s="483"/>
      <c r="H460" s="514"/>
      <c r="I460" s="514"/>
      <c r="J460" s="342"/>
      <c r="K460" s="287"/>
      <c r="L460" s="3602" t="s">
        <v>3026</v>
      </c>
      <c r="M460" s="3602"/>
      <c r="N460" s="3602"/>
      <c r="O460" s="848"/>
    </row>
    <row r="461" spans="1:108" ht="15.6" x14ac:dyDescent="0.3">
      <c r="A461" s="3763"/>
      <c r="B461" s="840"/>
      <c r="C461" s="840"/>
      <c r="D461" s="491" t="s">
        <v>3002</v>
      </c>
      <c r="E461" s="841">
        <v>0</v>
      </c>
      <c r="F461" s="840"/>
      <c r="G461" s="842"/>
      <c r="H461" s="840"/>
      <c r="I461" s="840"/>
      <c r="J461" s="843"/>
      <c r="K461" s="287"/>
      <c r="L461" s="844"/>
      <c r="M461" s="844"/>
      <c r="N461" s="844"/>
      <c r="O461" s="294"/>
    </row>
    <row r="462" spans="1:108" s="34" customFormat="1" ht="15" customHeight="1" x14ac:dyDescent="0.3">
      <c r="A462" s="2268"/>
      <c r="B462" s="316"/>
      <c r="C462" s="316"/>
      <c r="D462" s="1174"/>
      <c r="E462" s="846"/>
      <c r="F462" s="316"/>
      <c r="G462" s="847"/>
      <c r="H462" s="316"/>
      <c r="I462" s="316"/>
      <c r="J462" s="335"/>
      <c r="K462" s="298"/>
      <c r="L462" s="844"/>
      <c r="M462" s="844"/>
      <c r="N462" s="844"/>
      <c r="O462" s="852"/>
      <c r="DD462" s="244"/>
    </row>
    <row r="463" spans="1:108" s="34" customFormat="1" ht="9" customHeight="1" x14ac:dyDescent="0.3">
      <c r="A463" s="2268"/>
      <c r="B463" s="316"/>
      <c r="C463" s="316"/>
      <c r="D463" s="1174"/>
      <c r="E463" s="846"/>
      <c r="F463" s="316"/>
      <c r="G463" s="847"/>
      <c r="H463" s="316"/>
      <c r="I463" s="316"/>
      <c r="J463" s="335"/>
      <c r="K463" s="298"/>
      <c r="L463" s="844"/>
      <c r="M463" s="844"/>
      <c r="N463" s="844"/>
      <c r="O463" s="852"/>
      <c r="DD463" s="244"/>
    </row>
    <row r="464" spans="1:108" s="34" customFormat="1" ht="22.5" customHeight="1" x14ac:dyDescent="0.4">
      <c r="A464" s="3760" t="s">
        <v>4356</v>
      </c>
      <c r="B464" s="3760"/>
      <c r="C464" s="3760"/>
      <c r="D464" s="3760"/>
      <c r="E464" s="3760"/>
      <c r="F464" s="3760"/>
      <c r="G464" s="3760"/>
      <c r="H464" s="3760"/>
      <c r="I464" s="3760"/>
      <c r="J464" s="3760"/>
      <c r="K464" s="3636" t="s">
        <v>2973</v>
      </c>
      <c r="L464" s="3636"/>
      <c r="M464" s="3636"/>
      <c r="N464" s="3636"/>
      <c r="O464" s="853"/>
      <c r="DD464" s="244"/>
    </row>
    <row r="465" spans="1:108" s="34" customFormat="1" ht="15" customHeight="1" x14ac:dyDescent="0.3">
      <c r="A465" s="2229" t="s">
        <v>2974</v>
      </c>
      <c r="B465" s="3" t="s">
        <v>2975</v>
      </c>
      <c r="C465" s="3" t="s">
        <v>3004</v>
      </c>
      <c r="D465" s="1086" t="s">
        <v>2977</v>
      </c>
      <c r="E465" s="4" t="s">
        <v>2978</v>
      </c>
      <c r="F465" s="3" t="s">
        <v>2979</v>
      </c>
      <c r="G465" s="5" t="s">
        <v>2980</v>
      </c>
      <c r="H465" s="3" t="s">
        <v>2981</v>
      </c>
      <c r="I465" s="3" t="s">
        <v>2982</v>
      </c>
      <c r="J465" s="3" t="s">
        <v>2983</v>
      </c>
      <c r="K465" s="1779" t="s">
        <v>2975</v>
      </c>
      <c r="L465" s="1779" t="s">
        <v>2977</v>
      </c>
      <c r="M465" s="1779" t="s">
        <v>2984</v>
      </c>
      <c r="N465" s="1779" t="s">
        <v>2979</v>
      </c>
      <c r="O465" s="853" t="s">
        <v>2985</v>
      </c>
      <c r="DD465" s="244"/>
    </row>
    <row r="466" spans="1:108" s="34" customFormat="1" ht="12" customHeight="1" x14ac:dyDescent="0.3">
      <c r="A466" s="3764" t="s">
        <v>4357</v>
      </c>
      <c r="B466" s="863">
        <v>11211</v>
      </c>
      <c r="C466" s="864">
        <v>0.1</v>
      </c>
      <c r="D466" s="1170" t="s">
        <v>4358</v>
      </c>
      <c r="E466" s="865">
        <v>1100000</v>
      </c>
      <c r="F466" s="864">
        <v>0.04</v>
      </c>
      <c r="G466" s="866">
        <f>E466*F466</f>
        <v>44000</v>
      </c>
      <c r="H466" s="863" t="s">
        <v>489</v>
      </c>
      <c r="I466" s="867" t="s">
        <v>4359</v>
      </c>
      <c r="J466" s="1779"/>
      <c r="K466" s="863">
        <v>11181</v>
      </c>
      <c r="L466" s="863" t="s">
        <v>4360</v>
      </c>
      <c r="M466" s="863">
        <v>1200000</v>
      </c>
      <c r="N466" s="864">
        <v>0.04</v>
      </c>
      <c r="O466" s="692">
        <f>M466*N466</f>
        <v>48000</v>
      </c>
      <c r="DD466" s="244"/>
    </row>
    <row r="467" spans="1:108" s="34" customFormat="1" ht="15.75" customHeight="1" x14ac:dyDescent="0.3">
      <c r="A467" s="3764"/>
      <c r="B467" s="863">
        <v>11233</v>
      </c>
      <c r="C467" s="864">
        <v>0.1</v>
      </c>
      <c r="D467" s="1170" t="s">
        <v>4361</v>
      </c>
      <c r="E467" s="865">
        <v>720000</v>
      </c>
      <c r="F467" s="864">
        <v>0.04</v>
      </c>
      <c r="G467" s="866">
        <f t="shared" ref="G467:G471" si="17">E467*F467</f>
        <v>28800</v>
      </c>
      <c r="H467" s="868" t="s">
        <v>732</v>
      </c>
      <c r="I467" s="869" t="s">
        <v>4362</v>
      </c>
      <c r="J467" s="64"/>
      <c r="K467" s="863">
        <v>11317</v>
      </c>
      <c r="L467" s="863" t="s">
        <v>4363</v>
      </c>
      <c r="M467" s="863">
        <v>1400000</v>
      </c>
      <c r="N467" s="864">
        <v>0.04</v>
      </c>
      <c r="O467" s="692">
        <f>M467*N467</f>
        <v>56000</v>
      </c>
      <c r="DD467" s="244"/>
    </row>
    <row r="468" spans="1:108" s="34" customFormat="1" ht="15.75" customHeight="1" x14ac:dyDescent="0.3">
      <c r="A468" s="3764"/>
      <c r="B468" s="863">
        <v>11183</v>
      </c>
      <c r="C468" s="864">
        <v>0.1</v>
      </c>
      <c r="D468" s="1170" t="s">
        <v>4364</v>
      </c>
      <c r="E468" s="865">
        <v>1170000</v>
      </c>
      <c r="F468" s="864">
        <v>0.04</v>
      </c>
      <c r="G468" s="866">
        <f t="shared" si="17"/>
        <v>46800</v>
      </c>
      <c r="H468" s="868" t="s">
        <v>732</v>
      </c>
      <c r="I468" s="869" t="s">
        <v>4362</v>
      </c>
      <c r="J468" s="64"/>
      <c r="K468" s="1779"/>
      <c r="L468" s="1779"/>
      <c r="M468" s="1779"/>
      <c r="N468" s="1779"/>
      <c r="O468" s="853"/>
      <c r="DD468" s="244"/>
    </row>
    <row r="469" spans="1:108" s="34" customFormat="1" ht="15.75" customHeight="1" x14ac:dyDescent="0.3">
      <c r="A469" s="3764"/>
      <c r="B469" s="863">
        <v>11238</v>
      </c>
      <c r="C469" s="864">
        <v>0.1</v>
      </c>
      <c r="D469" s="1170" t="s">
        <v>4365</v>
      </c>
      <c r="E469" s="865">
        <v>1650000</v>
      </c>
      <c r="F469" s="864">
        <v>0.08</v>
      </c>
      <c r="G469" s="866">
        <f t="shared" si="17"/>
        <v>132000</v>
      </c>
      <c r="H469" s="868" t="s">
        <v>510</v>
      </c>
      <c r="I469" s="869" t="s">
        <v>4362</v>
      </c>
      <c r="J469" s="64"/>
      <c r="K469" s="1779"/>
      <c r="L469" s="1779"/>
      <c r="M469" s="1779"/>
      <c r="N469" s="1779"/>
      <c r="O469" s="853"/>
      <c r="DD469" s="244"/>
    </row>
    <row r="470" spans="1:108" s="34" customFormat="1" ht="15.75" customHeight="1" x14ac:dyDescent="0.3">
      <c r="A470" s="3764"/>
      <c r="B470" s="863">
        <v>11273</v>
      </c>
      <c r="C470" s="864">
        <v>0.1</v>
      </c>
      <c r="D470" s="1170" t="s">
        <v>4366</v>
      </c>
      <c r="E470" s="865">
        <v>900000</v>
      </c>
      <c r="F470" s="864">
        <v>0.04</v>
      </c>
      <c r="G470" s="866">
        <f t="shared" si="17"/>
        <v>36000</v>
      </c>
      <c r="H470" s="868" t="s">
        <v>732</v>
      </c>
      <c r="I470" s="869" t="s">
        <v>4362</v>
      </c>
      <c r="J470" s="64"/>
      <c r="K470" s="1779"/>
      <c r="L470" s="1779"/>
      <c r="M470" s="1779"/>
      <c r="N470" s="1779"/>
      <c r="O470" s="853"/>
      <c r="DD470" s="244"/>
    </row>
    <row r="471" spans="1:108" s="34" customFormat="1" ht="15.75" customHeight="1" x14ac:dyDescent="0.3">
      <c r="A471" s="3764"/>
      <c r="B471" s="863">
        <v>11330</v>
      </c>
      <c r="C471" s="864">
        <v>0.1</v>
      </c>
      <c r="D471" s="1170" t="s">
        <v>4367</v>
      </c>
      <c r="E471" s="865">
        <v>950000</v>
      </c>
      <c r="F471" s="864">
        <v>0.08</v>
      </c>
      <c r="G471" s="866">
        <f t="shared" si="17"/>
        <v>76000</v>
      </c>
      <c r="H471" s="868" t="s">
        <v>510</v>
      </c>
      <c r="I471" s="869" t="s">
        <v>4362</v>
      </c>
      <c r="J471" s="64"/>
      <c r="K471" s="1779"/>
      <c r="L471" s="1779"/>
      <c r="M471" s="1779"/>
      <c r="N471" s="1779"/>
      <c r="O471" s="853"/>
      <c r="DD471" s="244"/>
    </row>
    <row r="472" spans="1:108" s="34" customFormat="1" x14ac:dyDescent="0.3">
      <c r="A472" s="3764"/>
      <c r="B472" s="51"/>
      <c r="C472" s="680"/>
      <c r="D472" s="1173"/>
      <c r="F472" s="680"/>
      <c r="H472" s="51"/>
      <c r="I472" s="1059"/>
      <c r="J472" s="1779"/>
      <c r="K472" s="1779"/>
      <c r="L472" s="1779"/>
      <c r="M472" s="1779"/>
      <c r="N472" s="1779"/>
      <c r="O472" s="853"/>
      <c r="DD472" s="244"/>
    </row>
    <row r="473" spans="1:108" ht="15.6" x14ac:dyDescent="0.3">
      <c r="A473" s="3764"/>
      <c r="B473" s="514"/>
      <c r="C473" s="514"/>
      <c r="D473" s="1116" t="s">
        <v>3000</v>
      </c>
      <c r="E473" s="483">
        <f>E466+E467+E468+E469+E470+E471</f>
        <v>6490000</v>
      </c>
      <c r="F473" s="514"/>
      <c r="G473" s="483">
        <f>G466+G467+G468+G469+G470+G471</f>
        <v>363600</v>
      </c>
      <c r="H473" s="514"/>
      <c r="I473" s="514"/>
      <c r="J473" s="342"/>
      <c r="K473" s="287"/>
      <c r="L473" s="3602" t="s">
        <v>3026</v>
      </c>
      <c r="M473" s="3602"/>
      <c r="N473" s="3602"/>
      <c r="O473" s="883">
        <f>O466+O467</f>
        <v>104000</v>
      </c>
    </row>
    <row r="474" spans="1:108" ht="15.6" x14ac:dyDescent="0.3">
      <c r="A474" s="3764"/>
      <c r="B474" s="840"/>
      <c r="C474" s="840"/>
      <c r="D474" s="491" t="s">
        <v>3002</v>
      </c>
      <c r="E474" s="884">
        <f>G473+O473</f>
        <v>467600</v>
      </c>
      <c r="F474" s="840"/>
      <c r="G474" s="842"/>
      <c r="H474" s="840"/>
      <c r="I474" s="840"/>
      <c r="J474" s="843"/>
      <c r="K474" s="287"/>
      <c r="L474" s="844"/>
      <c r="M474" s="844"/>
      <c r="N474" s="844"/>
      <c r="O474" s="294"/>
    </row>
    <row r="475" spans="1:108" ht="27" customHeight="1" x14ac:dyDescent="0.3">
      <c r="A475" s="2269"/>
      <c r="B475" s="381"/>
      <c r="C475" s="381"/>
      <c r="D475" s="1175"/>
      <c r="E475" s="850"/>
      <c r="F475" s="381"/>
      <c r="G475" s="851"/>
      <c r="H475" s="1046"/>
      <c r="I475" s="825"/>
      <c r="J475" s="826"/>
      <c r="K475" s="829"/>
      <c r="L475" s="839"/>
      <c r="M475" s="839"/>
      <c r="N475" s="839"/>
      <c r="O475" s="849"/>
    </row>
    <row r="476" spans="1:108" x14ac:dyDescent="0.3">
      <c r="A476" s="3769" t="s">
        <v>4368</v>
      </c>
      <c r="B476" s="3769"/>
      <c r="C476" s="3769"/>
      <c r="D476" s="3769"/>
      <c r="E476" s="3769"/>
      <c r="F476" s="3769"/>
      <c r="G476" s="3769"/>
      <c r="H476" s="3769"/>
    </row>
    <row r="477" spans="1:108" ht="15" customHeight="1" x14ac:dyDescent="0.3">
      <c r="A477" s="3769"/>
      <c r="B477" s="3769"/>
      <c r="C477" s="3769"/>
      <c r="D477" s="3769"/>
      <c r="E477" s="3769"/>
      <c r="F477" s="3769"/>
      <c r="G477" s="3769"/>
      <c r="H477" s="3769"/>
    </row>
    <row r="478" spans="1:108" ht="15" customHeight="1" x14ac:dyDescent="0.3">
      <c r="A478" s="271" t="s">
        <v>3751</v>
      </c>
      <c r="B478" s="404" t="s">
        <v>2976</v>
      </c>
      <c r="C478" s="176" t="s">
        <v>3752</v>
      </c>
      <c r="D478" s="1127" t="s">
        <v>4121</v>
      </c>
      <c r="E478" s="405" t="s">
        <v>3754</v>
      </c>
      <c r="F478" s="406" t="s">
        <v>2979</v>
      </c>
      <c r="G478" s="407" t="s">
        <v>2985</v>
      </c>
      <c r="H478" s="697" t="s">
        <v>4123</v>
      </c>
      <c r="I478" s="2"/>
    </row>
    <row r="479" spans="1:108" ht="15" customHeight="1" x14ac:dyDescent="0.3">
      <c r="A479" s="2270"/>
      <c r="B479" s="782"/>
      <c r="C479" s="783" t="s">
        <v>4369</v>
      </c>
      <c r="D479" s="780" t="s">
        <v>4370</v>
      </c>
      <c r="E479" s="784"/>
      <c r="F479" s="785"/>
      <c r="G479" s="786"/>
      <c r="H479" s="781"/>
      <c r="I479" s="1067"/>
    </row>
    <row r="480" spans="1:108" ht="15" customHeight="1" x14ac:dyDescent="0.3">
      <c r="A480" s="653">
        <v>11165</v>
      </c>
      <c r="B480" s="771">
        <v>0.1</v>
      </c>
      <c r="C480" s="282" t="s">
        <v>4371</v>
      </c>
      <c r="D480" s="1056" t="s">
        <v>4109</v>
      </c>
      <c r="E480" s="696">
        <v>1350000</v>
      </c>
      <c r="F480" s="313">
        <v>0.02</v>
      </c>
      <c r="G480" s="880">
        <f>E480*F480</f>
        <v>27000</v>
      </c>
      <c r="H480" s="727" t="s">
        <v>4202</v>
      </c>
      <c r="I480" s="627" t="s">
        <v>4122</v>
      </c>
    </row>
    <row r="481" spans="1:9" ht="15" customHeight="1" x14ac:dyDescent="0.3">
      <c r="A481" s="653">
        <v>11154</v>
      </c>
      <c r="B481" s="771">
        <v>0.1</v>
      </c>
      <c r="C481" s="629" t="s">
        <v>4372</v>
      </c>
      <c r="D481" s="1056" t="s">
        <v>4109</v>
      </c>
      <c r="E481" s="696">
        <v>1050000</v>
      </c>
      <c r="F481" s="313">
        <v>0.02</v>
      </c>
      <c r="G481" s="880">
        <f t="shared" ref="G481:G487" si="18">E481*F481</f>
        <v>21000</v>
      </c>
      <c r="H481" s="727" t="s">
        <v>4202</v>
      </c>
      <c r="I481" s="627" t="s">
        <v>4122</v>
      </c>
    </row>
    <row r="482" spans="1:9" ht="15" customHeight="1" x14ac:dyDescent="0.3">
      <c r="A482" s="1010">
        <v>11177</v>
      </c>
      <c r="B482" s="771">
        <v>0.1</v>
      </c>
      <c r="C482" s="282" t="s">
        <v>4373</v>
      </c>
      <c r="D482" s="1056" t="s">
        <v>4109</v>
      </c>
      <c r="E482" s="696">
        <v>1100000</v>
      </c>
      <c r="F482" s="313">
        <v>0.02</v>
      </c>
      <c r="G482" s="880">
        <f t="shared" si="18"/>
        <v>22000</v>
      </c>
      <c r="H482" s="727" t="s">
        <v>582</v>
      </c>
      <c r="I482" s="627" t="s">
        <v>4122</v>
      </c>
    </row>
    <row r="483" spans="1:9" ht="15" customHeight="1" x14ac:dyDescent="0.3">
      <c r="A483" s="653">
        <v>11184</v>
      </c>
      <c r="B483" s="771">
        <v>0.1</v>
      </c>
      <c r="C483" s="282" t="s">
        <v>4374</v>
      </c>
      <c r="D483" s="1056" t="s">
        <v>4109</v>
      </c>
      <c r="E483" s="696">
        <v>1100000</v>
      </c>
      <c r="F483" s="313">
        <v>0.02</v>
      </c>
      <c r="G483" s="880">
        <f t="shared" si="18"/>
        <v>22000</v>
      </c>
      <c r="H483" s="727" t="s">
        <v>582</v>
      </c>
      <c r="I483" s="627" t="s">
        <v>4122</v>
      </c>
    </row>
    <row r="484" spans="1:9" ht="15" customHeight="1" x14ac:dyDescent="0.3">
      <c r="A484" s="653">
        <v>11181</v>
      </c>
      <c r="B484" s="771">
        <v>0.1</v>
      </c>
      <c r="C484" s="282" t="s">
        <v>396</v>
      </c>
      <c r="D484" s="1056" t="s">
        <v>4109</v>
      </c>
      <c r="E484" s="696">
        <v>1200000</v>
      </c>
      <c r="F484" s="313">
        <v>0.02</v>
      </c>
      <c r="G484" s="880">
        <f t="shared" si="18"/>
        <v>24000</v>
      </c>
      <c r="H484" s="727" t="s">
        <v>582</v>
      </c>
      <c r="I484" s="627" t="s">
        <v>4122</v>
      </c>
    </row>
    <row r="485" spans="1:9" ht="15" customHeight="1" x14ac:dyDescent="0.3">
      <c r="A485" s="653">
        <v>11205</v>
      </c>
      <c r="B485" s="771">
        <v>0.1</v>
      </c>
      <c r="C485" s="282" t="s">
        <v>4375</v>
      </c>
      <c r="D485" s="1056" t="s">
        <v>4109</v>
      </c>
      <c r="E485" s="696">
        <v>1300000</v>
      </c>
      <c r="F485" s="313">
        <v>0.02</v>
      </c>
      <c r="G485" s="880">
        <f t="shared" si="18"/>
        <v>26000</v>
      </c>
      <c r="H485" s="727" t="s">
        <v>582</v>
      </c>
      <c r="I485" s="627" t="s">
        <v>4122</v>
      </c>
    </row>
    <row r="486" spans="1:9" ht="15.75" customHeight="1" x14ac:dyDescent="0.3">
      <c r="A486" s="562">
        <v>11149</v>
      </c>
      <c r="B486" s="796">
        <v>0.1</v>
      </c>
      <c r="C486" s="797" t="s">
        <v>4376</v>
      </c>
      <c r="D486" s="798" t="s">
        <v>4109</v>
      </c>
      <c r="E486" s="799">
        <v>950000</v>
      </c>
      <c r="F486" s="313">
        <v>0.02</v>
      </c>
      <c r="G486" s="880">
        <f t="shared" si="18"/>
        <v>19000</v>
      </c>
      <c r="H486" s="1047" t="s">
        <v>732</v>
      </c>
      <c r="I486" s="627" t="s">
        <v>4122</v>
      </c>
    </row>
    <row r="487" spans="1:9" x14ac:dyDescent="0.3">
      <c r="A487" s="562">
        <v>11239</v>
      </c>
      <c r="B487" s="771">
        <v>0.1</v>
      </c>
      <c r="C487" s="629" t="s">
        <v>4377</v>
      </c>
      <c r="D487" s="1056" t="s">
        <v>4109</v>
      </c>
      <c r="E487" s="696">
        <v>1400000</v>
      </c>
      <c r="F487" s="313">
        <v>0.02</v>
      </c>
      <c r="G487" s="880">
        <f t="shared" si="18"/>
        <v>28000</v>
      </c>
      <c r="H487" s="727" t="s">
        <v>582</v>
      </c>
      <c r="I487" s="1068" t="s">
        <v>4122</v>
      </c>
    </row>
    <row r="488" spans="1:9" s="11" customFormat="1" x14ac:dyDescent="0.3">
      <c r="A488" s="121">
        <v>11316</v>
      </c>
      <c r="B488" s="123">
        <v>0.1</v>
      </c>
      <c r="C488" s="67" t="s">
        <v>4378</v>
      </c>
      <c r="D488" s="1088" t="s">
        <v>4379</v>
      </c>
      <c r="E488" s="120">
        <v>1100000</v>
      </c>
      <c r="F488" s="281">
        <v>0.02</v>
      </c>
      <c r="G488" s="880">
        <f>E488*F488</f>
        <v>22000</v>
      </c>
      <c r="H488" s="878" t="s">
        <v>489</v>
      </c>
      <c r="I488" s="878" t="s">
        <v>4122</v>
      </c>
    </row>
    <row r="489" spans="1:9" x14ac:dyDescent="0.3">
      <c r="A489" s="2271"/>
      <c r="B489" s="788"/>
      <c r="C489" s="789"/>
      <c r="D489" s="1176"/>
      <c r="E489" s="874"/>
      <c r="F489" s="873"/>
      <c r="G489" s="875"/>
      <c r="H489" s="630"/>
      <c r="I489" s="1069"/>
    </row>
    <row r="490" spans="1:9" x14ac:dyDescent="0.3">
      <c r="A490" s="277"/>
      <c r="B490" s="764"/>
      <c r="C490" s="415"/>
      <c r="D490" s="1177"/>
      <c r="E490" s="574"/>
      <c r="F490" s="790"/>
      <c r="G490" s="414"/>
      <c r="H490" s="509"/>
      <c r="I490" s="1034"/>
    </row>
    <row r="491" spans="1:9" x14ac:dyDescent="0.3">
      <c r="A491" s="277"/>
      <c r="B491" s="764"/>
      <c r="C491" s="415"/>
      <c r="D491" s="1177"/>
      <c r="E491" s="574"/>
      <c r="F491" s="575"/>
      <c r="G491" s="414"/>
      <c r="H491" s="509"/>
      <c r="I491" s="1034"/>
    </row>
    <row r="492" spans="1:9" x14ac:dyDescent="0.3">
      <c r="A492" s="277"/>
      <c r="B492" s="764"/>
      <c r="C492" s="415"/>
      <c r="D492" s="1177" t="s">
        <v>3000</v>
      </c>
      <c r="E492" s="574">
        <v>10550000</v>
      </c>
      <c r="F492" s="575"/>
      <c r="G492" s="414">
        <f>G480+G481+G482+G483+G484+G485+G486+G487+G488</f>
        <v>211000</v>
      </c>
      <c r="H492" s="509"/>
      <c r="I492" s="1034"/>
    </row>
    <row r="493" spans="1:9" ht="15.6" x14ac:dyDescent="0.3">
      <c r="A493" s="277"/>
      <c r="B493" s="278"/>
      <c r="C493" s="278"/>
      <c r="D493" s="1137" t="s">
        <v>4380</v>
      </c>
      <c r="E493" s="554">
        <f>G492</f>
        <v>211000</v>
      </c>
      <c r="F493" s="278"/>
      <c r="G493" s="787"/>
      <c r="H493" s="1048"/>
      <c r="I493" s="1034"/>
    </row>
    <row r="494" spans="1:9" ht="15.6" x14ac:dyDescent="0.3">
      <c r="A494" s="269"/>
      <c r="B494" s="822"/>
      <c r="C494" s="822"/>
      <c r="D494" s="1178"/>
      <c r="E494" s="823"/>
      <c r="F494" s="822"/>
      <c r="G494" s="824"/>
      <c r="H494" s="1049"/>
      <c r="I494" s="1070"/>
    </row>
    <row r="495" spans="1:9" x14ac:dyDescent="0.3">
      <c r="A495" s="90"/>
      <c r="E495" s="91"/>
      <c r="G495" s="92"/>
      <c r="H495" s="1028"/>
    </row>
    <row r="496" spans="1:9" x14ac:dyDescent="0.3">
      <c r="A496" s="3770" t="s">
        <v>4381</v>
      </c>
      <c r="B496" s="3770"/>
      <c r="C496" s="3770"/>
      <c r="D496" s="3770"/>
      <c r="E496" s="3770"/>
      <c r="F496" s="3770"/>
      <c r="G496" s="3770"/>
      <c r="H496" s="3770"/>
    </row>
    <row r="497" spans="1:9" x14ac:dyDescent="0.3">
      <c r="A497" s="3770"/>
      <c r="B497" s="3770"/>
      <c r="C497" s="3770"/>
      <c r="D497" s="3770"/>
      <c r="E497" s="3770"/>
      <c r="F497" s="3770"/>
      <c r="G497" s="3770"/>
      <c r="H497" s="3770"/>
    </row>
    <row r="498" spans="1:9" ht="20.399999999999999" x14ac:dyDescent="0.3">
      <c r="A498" s="271" t="s">
        <v>3751</v>
      </c>
      <c r="B498" s="404" t="s">
        <v>2976</v>
      </c>
      <c r="C498" s="176" t="s">
        <v>3752</v>
      </c>
      <c r="D498" s="1127" t="s">
        <v>4121</v>
      </c>
      <c r="E498" s="405" t="s">
        <v>3754</v>
      </c>
      <c r="F498" s="406" t="s">
        <v>2979</v>
      </c>
      <c r="G498" s="407" t="s">
        <v>2985</v>
      </c>
      <c r="H498" s="408"/>
    </row>
    <row r="499" spans="1:9" x14ac:dyDescent="0.3">
      <c r="A499" s="2239"/>
      <c r="B499" s="773"/>
      <c r="C499" s="729" t="s">
        <v>4382</v>
      </c>
      <c r="D499" s="780" t="s">
        <v>4383</v>
      </c>
      <c r="E499" s="302"/>
      <c r="F499" s="409"/>
      <c r="G499" s="600"/>
      <c r="H499" s="355"/>
      <c r="I499" s="355"/>
    </row>
    <row r="500" spans="1:9" x14ac:dyDescent="0.3">
      <c r="A500" s="2239"/>
      <c r="B500" s="730"/>
      <c r="C500" s="836" t="s">
        <v>4384</v>
      </c>
      <c r="D500" s="1166" t="s">
        <v>3299</v>
      </c>
      <c r="E500" s="387"/>
      <c r="F500" s="344"/>
      <c r="G500" s="412"/>
      <c r="H500" s="606"/>
      <c r="I500" s="606"/>
    </row>
    <row r="501" spans="1:9" x14ac:dyDescent="0.3">
      <c r="A501" s="2239"/>
      <c r="B501" s="730"/>
      <c r="C501" s="358" t="s">
        <v>4385</v>
      </c>
      <c r="D501" s="417" t="s">
        <v>4386</v>
      </c>
      <c r="E501" s="835"/>
      <c r="F501" s="344"/>
      <c r="G501" s="412"/>
      <c r="H501" s="606"/>
      <c r="I501" s="606"/>
    </row>
    <row r="502" spans="1:9" x14ac:dyDescent="0.3">
      <c r="A502" s="2239"/>
      <c r="B502" s="730"/>
      <c r="C502" s="729" t="s">
        <v>4387</v>
      </c>
      <c r="D502" s="1169" t="s">
        <v>3165</v>
      </c>
      <c r="E502" s="835"/>
      <c r="F502" s="344"/>
      <c r="G502" s="412"/>
      <c r="H502" s="606"/>
      <c r="I502" s="606"/>
    </row>
    <row r="503" spans="1:9" s="511" customFormat="1" x14ac:dyDescent="0.3">
      <c r="A503" s="2272">
        <v>11236</v>
      </c>
      <c r="B503" s="424">
        <v>0.1</v>
      </c>
      <c r="C503" s="283" t="s">
        <v>4388</v>
      </c>
      <c r="D503" s="1056" t="s">
        <v>4109</v>
      </c>
      <c r="E503" s="276">
        <v>1100000</v>
      </c>
      <c r="F503" s="281">
        <v>0.02</v>
      </c>
      <c r="G503" s="880">
        <f>E503*F503</f>
        <v>22000</v>
      </c>
      <c r="H503" s="306" t="s">
        <v>4202</v>
      </c>
      <c r="I503" s="306" t="s">
        <v>4122</v>
      </c>
    </row>
    <row r="504" spans="1:9" x14ac:dyDescent="0.3">
      <c r="A504" s="562">
        <v>11264</v>
      </c>
      <c r="B504" s="771">
        <v>0.1</v>
      </c>
      <c r="C504" s="439" t="s">
        <v>4389</v>
      </c>
      <c r="D504" s="798" t="s">
        <v>4109</v>
      </c>
      <c r="E504" s="305">
        <v>1300000</v>
      </c>
      <c r="F504" s="281">
        <v>0.02</v>
      </c>
      <c r="G504" s="880">
        <f t="shared" ref="G504:G506" si="19">E504*F504</f>
        <v>26000</v>
      </c>
      <c r="H504" s="441" t="s">
        <v>582</v>
      </c>
      <c r="I504" s="441" t="s">
        <v>4122</v>
      </c>
    </row>
    <row r="505" spans="1:9" x14ac:dyDescent="0.3">
      <c r="A505" s="1009">
        <v>11318</v>
      </c>
      <c r="B505" s="310">
        <v>0.1</v>
      </c>
      <c r="C505" s="885" t="s">
        <v>4390</v>
      </c>
      <c r="D505" s="590" t="s">
        <v>4109</v>
      </c>
      <c r="E505" s="388">
        <v>1150000</v>
      </c>
      <c r="F505" s="281">
        <v>0.02</v>
      </c>
      <c r="G505" s="880">
        <f t="shared" si="19"/>
        <v>23000</v>
      </c>
      <c r="H505" s="306" t="s">
        <v>4202</v>
      </c>
      <c r="I505" s="306" t="s">
        <v>4122</v>
      </c>
    </row>
    <row r="506" spans="1:9" x14ac:dyDescent="0.3">
      <c r="A506" s="1009">
        <v>11322</v>
      </c>
      <c r="B506" s="310">
        <v>0.1</v>
      </c>
      <c r="C506" s="503" t="s">
        <v>4391</v>
      </c>
      <c r="D506" s="590" t="s">
        <v>4109</v>
      </c>
      <c r="E506" s="276">
        <v>880000</v>
      </c>
      <c r="F506" s="281">
        <v>0.02</v>
      </c>
      <c r="G506" s="880">
        <f t="shared" si="19"/>
        <v>17600</v>
      </c>
      <c r="H506" s="747" t="s">
        <v>489</v>
      </c>
      <c r="I506" s="306" t="s">
        <v>4122</v>
      </c>
    </row>
    <row r="507" spans="1:9" x14ac:dyDescent="0.3">
      <c r="A507" s="2273"/>
      <c r="B507" s="872"/>
      <c r="C507" s="741"/>
      <c r="D507" s="1058"/>
      <c r="E507" s="321"/>
      <c r="F507" s="320"/>
      <c r="G507" s="414"/>
      <c r="H507" s="307"/>
      <c r="I507" s="307"/>
    </row>
    <row r="508" spans="1:9" x14ac:dyDescent="0.3">
      <c r="A508" s="2240"/>
      <c r="B508" s="496"/>
      <c r="C508" s="446"/>
      <c r="D508" s="1130" t="s">
        <v>4190</v>
      </c>
      <c r="E508" s="493">
        <f>E503+E504+E505+E506</f>
        <v>4430000</v>
      </c>
      <c r="F508" s="446"/>
      <c r="G508" s="494">
        <f>G503+G504+G505+G506</f>
        <v>88600</v>
      </c>
      <c r="H508" s="315"/>
      <c r="I508" s="347"/>
    </row>
    <row r="509" spans="1:9" ht="15.6" x14ac:dyDescent="0.3">
      <c r="A509" s="46"/>
      <c r="B509" s="11"/>
      <c r="C509" s="11"/>
      <c r="D509" s="1137" t="s">
        <v>4380</v>
      </c>
      <c r="E509" s="876">
        <f>G508</f>
        <v>88600</v>
      </c>
      <c r="F509" s="11"/>
      <c r="G509" s="93"/>
      <c r="H509" s="50"/>
      <c r="I509" s="2"/>
    </row>
    <row r="510" spans="1:9" x14ac:dyDescent="0.3">
      <c r="E510" s="603"/>
    </row>
    <row r="511" spans="1:9" x14ac:dyDescent="0.3">
      <c r="A511" s="3771" t="s">
        <v>4392</v>
      </c>
      <c r="B511" s="3771"/>
      <c r="C511" s="3771"/>
      <c r="D511" s="3771"/>
      <c r="E511" s="3771"/>
      <c r="F511" s="3771"/>
      <c r="G511" s="3771"/>
      <c r="H511" s="3771"/>
      <c r="I511" s="2"/>
    </row>
    <row r="512" spans="1:9" x14ac:dyDescent="0.3">
      <c r="A512" s="3771"/>
      <c r="B512" s="3771"/>
      <c r="C512" s="3771"/>
      <c r="D512" s="3771"/>
      <c r="E512" s="3771"/>
      <c r="F512" s="3771"/>
      <c r="G512" s="3771"/>
      <c r="H512" s="3771"/>
      <c r="I512" s="2"/>
    </row>
    <row r="513" spans="1:9" ht="20.399999999999999" x14ac:dyDescent="0.3">
      <c r="A513" s="265" t="s">
        <v>3751</v>
      </c>
      <c r="B513" s="33" t="s">
        <v>2976</v>
      </c>
      <c r="C513" s="33" t="s">
        <v>3752</v>
      </c>
      <c r="D513" s="1093" t="s">
        <v>4121</v>
      </c>
      <c r="E513" s="63" t="s">
        <v>3754</v>
      </c>
      <c r="F513" s="118" t="s">
        <v>2979</v>
      </c>
      <c r="G513" s="88" t="s">
        <v>2985</v>
      </c>
      <c r="H513" s="266" t="s">
        <v>4208</v>
      </c>
      <c r="I513" s="2"/>
    </row>
    <row r="514" spans="1:9" x14ac:dyDescent="0.3">
      <c r="A514" s="1009">
        <v>11154</v>
      </c>
      <c r="B514" s="322">
        <v>0.1</v>
      </c>
      <c r="C514" s="283" t="s">
        <v>4372</v>
      </c>
      <c r="D514" s="590" t="s">
        <v>4109</v>
      </c>
      <c r="E514" s="388">
        <v>1050000</v>
      </c>
      <c r="F514" s="423">
        <v>0.02</v>
      </c>
      <c r="G514" s="881">
        <f>E514*F514</f>
        <v>21000</v>
      </c>
      <c r="H514" s="1039" t="s">
        <v>4202</v>
      </c>
      <c r="I514" s="619" t="s">
        <v>4122</v>
      </c>
    </row>
    <row r="515" spans="1:9" x14ac:dyDescent="0.3">
      <c r="A515" s="566">
        <v>11165</v>
      </c>
      <c r="B515" s="310">
        <v>0.1</v>
      </c>
      <c r="C515" s="286" t="s">
        <v>4393</v>
      </c>
      <c r="D515" s="590" t="s">
        <v>4109</v>
      </c>
      <c r="E515" s="276">
        <v>1350000</v>
      </c>
      <c r="F515" s="423">
        <v>0.02</v>
      </c>
      <c r="G515" s="881">
        <f t="shared" ref="G515:G526" si="20">E515*F515</f>
        <v>27000</v>
      </c>
      <c r="H515" s="1038" t="s">
        <v>4202</v>
      </c>
      <c r="I515" s="306" t="s">
        <v>4122</v>
      </c>
    </row>
    <row r="516" spans="1:9" x14ac:dyDescent="0.3">
      <c r="A516" s="1010">
        <v>11177</v>
      </c>
      <c r="B516" s="771">
        <v>0.1</v>
      </c>
      <c r="C516" s="439" t="s">
        <v>4394</v>
      </c>
      <c r="D516" s="1056" t="s">
        <v>4109</v>
      </c>
      <c r="E516" s="696">
        <v>1100000</v>
      </c>
      <c r="F516" s="423">
        <v>0.02</v>
      </c>
      <c r="G516" s="881">
        <f t="shared" si="20"/>
        <v>22000</v>
      </c>
      <c r="H516" s="727" t="s">
        <v>582</v>
      </c>
      <c r="I516" s="878" t="s">
        <v>4122</v>
      </c>
    </row>
    <row r="517" spans="1:9" x14ac:dyDescent="0.3">
      <c r="A517" s="2263">
        <v>11181</v>
      </c>
      <c r="B517" s="194">
        <v>0.1</v>
      </c>
      <c r="C517" s="439" t="s">
        <v>4395</v>
      </c>
      <c r="D517" s="1134" t="s">
        <v>4109</v>
      </c>
      <c r="E517" s="67">
        <v>1200000</v>
      </c>
      <c r="F517" s="423">
        <v>0.02</v>
      </c>
      <c r="G517" s="881">
        <f t="shared" si="20"/>
        <v>24000</v>
      </c>
      <c r="H517" s="692" t="s">
        <v>2008</v>
      </c>
      <c r="I517" s="878" t="s">
        <v>4122</v>
      </c>
    </row>
    <row r="518" spans="1:9" x14ac:dyDescent="0.3">
      <c r="A518" s="1012">
        <v>11184</v>
      </c>
      <c r="B518" s="123">
        <v>0.1</v>
      </c>
      <c r="C518" s="698" t="s">
        <v>4396</v>
      </c>
      <c r="D518" s="1134" t="s">
        <v>4109</v>
      </c>
      <c r="E518" s="210">
        <v>1100000</v>
      </c>
      <c r="F518" s="423">
        <v>0.02</v>
      </c>
      <c r="G518" s="881">
        <f t="shared" si="20"/>
        <v>22000</v>
      </c>
      <c r="H518" s="692" t="s">
        <v>582</v>
      </c>
      <c r="I518" s="878" t="s">
        <v>4122</v>
      </c>
    </row>
    <row r="519" spans="1:9" x14ac:dyDescent="0.3">
      <c r="A519" s="1012">
        <v>11205</v>
      </c>
      <c r="B519" s="123">
        <v>0.1</v>
      </c>
      <c r="C519" s="693" t="s">
        <v>4397</v>
      </c>
      <c r="D519" s="1134" t="s">
        <v>4109</v>
      </c>
      <c r="E519" s="210">
        <v>1300000</v>
      </c>
      <c r="F519" s="423">
        <v>0.02</v>
      </c>
      <c r="G519" s="881">
        <f t="shared" si="20"/>
        <v>26000</v>
      </c>
      <c r="H519" s="692" t="s">
        <v>582</v>
      </c>
      <c r="I519" s="878" t="s">
        <v>4122</v>
      </c>
    </row>
    <row r="520" spans="1:9" x14ac:dyDescent="0.3">
      <c r="A520" s="1013">
        <v>11149</v>
      </c>
      <c r="B520" s="123">
        <v>0.1</v>
      </c>
      <c r="C520" s="732" t="s">
        <v>4376</v>
      </c>
      <c r="D520" s="1134" t="s">
        <v>4109</v>
      </c>
      <c r="E520" s="210">
        <v>950000</v>
      </c>
      <c r="F520" s="423">
        <v>0.02</v>
      </c>
      <c r="G520" s="881">
        <f t="shared" si="20"/>
        <v>19000</v>
      </c>
      <c r="H520" s="692" t="s">
        <v>732</v>
      </c>
      <c r="I520" s="878" t="s">
        <v>4122</v>
      </c>
    </row>
    <row r="521" spans="1:9" x14ac:dyDescent="0.3">
      <c r="A521" s="1014">
        <v>11236</v>
      </c>
      <c r="B521" s="819">
        <v>0.1</v>
      </c>
      <c r="C521" s="439" t="s">
        <v>4388</v>
      </c>
      <c r="D521" s="1134" t="s">
        <v>4109</v>
      </c>
      <c r="E521" s="210">
        <v>1100000</v>
      </c>
      <c r="F521" s="423">
        <v>0.02</v>
      </c>
      <c r="G521" s="881">
        <f t="shared" si="20"/>
        <v>22000</v>
      </c>
      <c r="H521" s="692" t="s">
        <v>4202</v>
      </c>
      <c r="I521" s="878" t="s">
        <v>4122</v>
      </c>
    </row>
    <row r="522" spans="1:9" x14ac:dyDescent="0.3">
      <c r="A522" s="1009">
        <v>11239</v>
      </c>
      <c r="B522" s="199">
        <v>0.1</v>
      </c>
      <c r="C522" s="698" t="s">
        <v>4377</v>
      </c>
      <c r="D522" s="1134" t="s">
        <v>4109</v>
      </c>
      <c r="E522" s="210">
        <v>1400000</v>
      </c>
      <c r="F522" s="423">
        <v>0.02</v>
      </c>
      <c r="G522" s="881">
        <f t="shared" si="20"/>
        <v>28000</v>
      </c>
      <c r="H522" s="692" t="s">
        <v>582</v>
      </c>
      <c r="I522" s="878" t="s">
        <v>4122</v>
      </c>
    </row>
    <row r="523" spans="1:9" x14ac:dyDescent="0.3">
      <c r="A523" s="2264">
        <v>11264</v>
      </c>
      <c r="B523" s="123">
        <v>0.1</v>
      </c>
      <c r="C523" s="693" t="s">
        <v>4389</v>
      </c>
      <c r="D523" s="1134" t="s">
        <v>4109</v>
      </c>
      <c r="E523" s="210">
        <v>1300000</v>
      </c>
      <c r="F523" s="423">
        <v>0.02</v>
      </c>
      <c r="G523" s="881">
        <f t="shared" si="20"/>
        <v>26000</v>
      </c>
      <c r="H523" s="692" t="s">
        <v>582</v>
      </c>
      <c r="I523" s="878" t="s">
        <v>4122</v>
      </c>
    </row>
    <row r="524" spans="1:9" x14ac:dyDescent="0.3">
      <c r="A524" s="1012">
        <v>11318</v>
      </c>
      <c r="B524" s="123">
        <v>0.1</v>
      </c>
      <c r="C524" s="693" t="s">
        <v>4390</v>
      </c>
      <c r="D524" s="1134" t="s">
        <v>4109</v>
      </c>
      <c r="E524" s="210">
        <v>1150000</v>
      </c>
      <c r="F524" s="423">
        <v>0.02</v>
      </c>
      <c r="G524" s="881">
        <f t="shared" si="20"/>
        <v>23000</v>
      </c>
      <c r="H524" s="692" t="s">
        <v>4202</v>
      </c>
      <c r="I524" s="878" t="s">
        <v>4122</v>
      </c>
    </row>
    <row r="525" spans="1:9" x14ac:dyDescent="0.3">
      <c r="A525" s="1012">
        <v>11322</v>
      </c>
      <c r="B525" s="525">
        <v>0.1</v>
      </c>
      <c r="C525" s="732" t="s">
        <v>4391</v>
      </c>
      <c r="D525" s="1134" t="s">
        <v>4109</v>
      </c>
      <c r="E525" s="210">
        <v>880000</v>
      </c>
      <c r="F525" s="423">
        <v>0.02</v>
      </c>
      <c r="G525" s="881">
        <f t="shared" si="20"/>
        <v>17600</v>
      </c>
      <c r="H525" s="692" t="s">
        <v>489</v>
      </c>
      <c r="I525" s="878" t="s">
        <v>4122</v>
      </c>
    </row>
    <row r="526" spans="1:9" x14ac:dyDescent="0.3">
      <c r="A526" s="1012">
        <v>11316</v>
      </c>
      <c r="B526" s="123">
        <v>0.1</v>
      </c>
      <c r="C526" s="693" t="s">
        <v>4378</v>
      </c>
      <c r="D526" s="1134" t="s">
        <v>4379</v>
      </c>
      <c r="E526" s="210">
        <v>1100000</v>
      </c>
      <c r="F526" s="423">
        <v>0.02</v>
      </c>
      <c r="G526" s="881">
        <f t="shared" si="20"/>
        <v>22000</v>
      </c>
      <c r="H526" s="692" t="s">
        <v>489</v>
      </c>
      <c r="I526" s="878" t="s">
        <v>4122</v>
      </c>
    </row>
    <row r="527" spans="1:9" x14ac:dyDescent="0.3">
      <c r="A527" s="2274"/>
      <c r="B527" s="680"/>
      <c r="C527" s="681"/>
      <c r="D527" s="1168"/>
      <c r="E527" s="244"/>
      <c r="F527" s="545"/>
      <c r="G527" s="543"/>
      <c r="H527" s="722"/>
      <c r="I527" s="51"/>
    </row>
    <row r="528" spans="1:9" x14ac:dyDescent="0.3">
      <c r="A528" s="2265"/>
      <c r="B528" s="680"/>
      <c r="C528" s="681"/>
      <c r="D528" s="1168"/>
      <c r="E528" s="244"/>
      <c r="F528" s="545"/>
      <c r="G528" s="543"/>
      <c r="H528" s="722"/>
      <c r="I528" s="51"/>
    </row>
    <row r="529" spans="1:9" x14ac:dyDescent="0.3">
      <c r="A529" s="2265"/>
      <c r="B529" s="680"/>
      <c r="C529" s="716"/>
      <c r="D529" s="1168"/>
      <c r="E529" s="244"/>
      <c r="F529" s="545"/>
      <c r="G529" s="543"/>
      <c r="H529" s="722"/>
      <c r="I529" s="51"/>
    </row>
    <row r="530" spans="1:9" x14ac:dyDescent="0.3">
      <c r="A530" s="2275"/>
      <c r="B530" s="742"/>
      <c r="C530" s="743"/>
      <c r="D530" s="1100"/>
      <c r="E530" s="744"/>
      <c r="F530" s="499"/>
      <c r="G530" s="499"/>
      <c r="H530" s="984"/>
      <c r="I530" s="1071"/>
    </row>
    <row r="531" spans="1:9" x14ac:dyDescent="0.3">
      <c r="A531" s="2250"/>
      <c r="B531" s="11"/>
      <c r="C531" s="11"/>
      <c r="D531" s="1136" t="s">
        <v>4264</v>
      </c>
      <c r="E531" s="497">
        <f>SUM(E514:E527)</f>
        <v>14980000</v>
      </c>
      <c r="F531" s="498"/>
      <c r="G531" s="501">
        <f>G514+G515+G516+G517+G518+G519+G521+G522+G523+G524+G525+G526+G520</f>
        <v>299600</v>
      </c>
      <c r="H531" s="984"/>
      <c r="I531" s="268"/>
    </row>
    <row r="532" spans="1:9" ht="17.399999999999999" x14ac:dyDescent="0.3">
      <c r="A532" s="265"/>
      <c r="B532" s="171"/>
      <c r="C532" s="171"/>
      <c r="D532" s="1137" t="s">
        <v>4398</v>
      </c>
      <c r="E532" s="877">
        <f>G531+G492</f>
        <v>510600</v>
      </c>
      <c r="F532" s="11"/>
      <c r="G532" s="11"/>
      <c r="H532" s="2"/>
      <c r="I532" s="2"/>
    </row>
    <row r="535" spans="1:9" x14ac:dyDescent="0.3">
      <c r="A535" s="3720" t="s">
        <v>3064</v>
      </c>
      <c r="B535" s="3720"/>
      <c r="C535" s="79"/>
      <c r="D535" s="1101">
        <f>E531</f>
        <v>14980000</v>
      </c>
    </row>
    <row r="536" spans="1:9" x14ac:dyDescent="0.3">
      <c r="A536" s="3721" t="s">
        <v>3065</v>
      </c>
      <c r="B536" s="3721"/>
      <c r="C536" s="41"/>
      <c r="D536" s="1102"/>
    </row>
    <row r="537" spans="1:9" x14ac:dyDescent="0.3">
      <c r="A537" s="3722" t="s">
        <v>3066</v>
      </c>
      <c r="B537" s="3722"/>
      <c r="C537" s="45"/>
      <c r="D537" s="1103"/>
    </row>
    <row r="538" spans="1:9" x14ac:dyDescent="0.3">
      <c r="A538" s="3609" t="s">
        <v>3067</v>
      </c>
      <c r="B538" s="3609"/>
      <c r="C538" s="651"/>
      <c r="D538" s="1156">
        <v>1300000</v>
      </c>
    </row>
    <row r="539" spans="1:9" x14ac:dyDescent="0.3">
      <c r="A539" s="3725" t="s">
        <v>3068</v>
      </c>
      <c r="B539" s="3725"/>
      <c r="C539" s="45"/>
      <c r="D539" s="1139">
        <v>5850000</v>
      </c>
    </row>
    <row r="540" spans="1:9" x14ac:dyDescent="0.3">
      <c r="A540" s="2234"/>
      <c r="B540" s="43" t="s">
        <v>3070</v>
      </c>
      <c r="C540" s="43"/>
      <c r="D540" s="1157" t="s">
        <v>3133</v>
      </c>
    </row>
    <row r="545" spans="1:18" ht="46.2" x14ac:dyDescent="0.85">
      <c r="A545" s="3765" t="s">
        <v>4399</v>
      </c>
      <c r="B545" s="3765"/>
      <c r="C545" s="3765"/>
      <c r="D545" s="3765"/>
      <c r="E545" s="3765"/>
      <c r="F545" s="3765"/>
      <c r="G545" s="3765"/>
      <c r="H545" s="3765"/>
      <c r="I545" s="3765"/>
      <c r="J545" s="3765"/>
      <c r="O545" s="1"/>
    </row>
    <row r="546" spans="1:18" x14ac:dyDescent="0.3">
      <c r="O546" s="1"/>
    </row>
    <row r="547" spans="1:18" ht="21" x14ac:dyDescent="0.4">
      <c r="A547" s="3766" t="s">
        <v>2972</v>
      </c>
      <c r="B547" s="3766"/>
      <c r="C547" s="3766"/>
      <c r="D547" s="3766"/>
      <c r="E547" s="3766"/>
      <c r="F547" s="3766"/>
      <c r="G547" s="3766"/>
      <c r="H547" s="3766"/>
      <c r="I547" s="3766"/>
      <c r="J547" s="3766"/>
      <c r="K547" s="3642" t="s">
        <v>2973</v>
      </c>
      <c r="L547" s="3642"/>
      <c r="M547" s="3642"/>
      <c r="N547" s="3642"/>
      <c r="O547" s="2"/>
    </row>
    <row r="548" spans="1:18" x14ac:dyDescent="0.3">
      <c r="A548" s="2229" t="s">
        <v>2974</v>
      </c>
      <c r="B548" s="1666" t="s">
        <v>2975</v>
      </c>
      <c r="C548" s="1666" t="s">
        <v>3004</v>
      </c>
      <c r="D548" s="1083" t="s">
        <v>2977</v>
      </c>
      <c r="E548" s="4" t="s">
        <v>2978</v>
      </c>
      <c r="F548" s="3" t="s">
        <v>2979</v>
      </c>
      <c r="G548" s="5" t="s">
        <v>2980</v>
      </c>
      <c r="H548" s="3" t="s">
        <v>2981</v>
      </c>
      <c r="I548" s="3" t="s">
        <v>2982</v>
      </c>
      <c r="J548" s="1666" t="s">
        <v>2983</v>
      </c>
      <c r="K548" s="26" t="s">
        <v>2975</v>
      </c>
      <c r="L548" s="26" t="s">
        <v>2977</v>
      </c>
      <c r="M548" s="26" t="s">
        <v>2984</v>
      </c>
      <c r="N548" s="267" t="s">
        <v>2979</v>
      </c>
      <c r="O548" s="268" t="s">
        <v>2985</v>
      </c>
    </row>
    <row r="549" spans="1:18" x14ac:dyDescent="0.3">
      <c r="A549" s="2235"/>
      <c r="B549" s="299"/>
      <c r="C549" s="946"/>
      <c r="D549" s="779" t="s">
        <v>4400</v>
      </c>
      <c r="E549" s="947"/>
      <c r="F549" s="299"/>
      <c r="G549" s="948"/>
      <c r="H549" s="299" t="s">
        <v>523</v>
      </c>
      <c r="I549" s="343" t="s">
        <v>3925</v>
      </c>
      <c r="J549" s="960"/>
      <c r="K549" s="441">
        <v>11410</v>
      </c>
      <c r="L549" s="995" t="s">
        <v>4401</v>
      </c>
      <c r="M549" s="989">
        <v>1200000</v>
      </c>
      <c r="N549" s="322">
        <v>0.05</v>
      </c>
      <c r="O549" s="441">
        <f>M549*N549</f>
        <v>60000</v>
      </c>
      <c r="P549" s="833"/>
      <c r="Q549" s="1779"/>
      <c r="R549" s="1779"/>
    </row>
    <row r="550" spans="1:18" x14ac:dyDescent="0.3">
      <c r="A550" s="3767" t="s">
        <v>2986</v>
      </c>
      <c r="B550" s="299"/>
      <c r="C550" s="946"/>
      <c r="D550" s="926" t="s">
        <v>4402</v>
      </c>
      <c r="E550" s="356"/>
      <c r="F550" s="950"/>
      <c r="G550" s="948"/>
      <c r="H550" s="299" t="s">
        <v>582</v>
      </c>
      <c r="I550" s="343" t="s">
        <v>3925</v>
      </c>
      <c r="J550" s="960"/>
      <c r="K550" s="441">
        <v>11430</v>
      </c>
      <c r="L550" s="995" t="s">
        <v>4403</v>
      </c>
      <c r="M550" s="989">
        <v>1550000</v>
      </c>
      <c r="N550" s="322">
        <v>0.05</v>
      </c>
      <c r="O550" s="441">
        <f t="shared" ref="O550:O553" si="21">M550*N550</f>
        <v>77500</v>
      </c>
      <c r="P550" s="833"/>
      <c r="Q550" s="1779"/>
      <c r="R550" s="1779"/>
    </row>
    <row r="551" spans="1:18" x14ac:dyDescent="0.3">
      <c r="A551" s="3767"/>
      <c r="B551" s="727">
        <v>11431</v>
      </c>
      <c r="C551" s="370">
        <v>0.1</v>
      </c>
      <c r="D551" s="1054" t="s">
        <v>4404</v>
      </c>
      <c r="E551" s="305">
        <v>1300000</v>
      </c>
      <c r="F551" s="695">
        <v>0.1</v>
      </c>
      <c r="G551" s="687">
        <f>E551*F551</f>
        <v>130000</v>
      </c>
      <c r="H551" s="314" t="s">
        <v>582</v>
      </c>
      <c r="I551" s="727" t="s">
        <v>3925</v>
      </c>
      <c r="J551" s="1780"/>
      <c r="K551" s="441">
        <v>11352</v>
      </c>
      <c r="L551" s="996" t="s">
        <v>4405</v>
      </c>
      <c r="M551" s="990">
        <v>1100000</v>
      </c>
      <c r="N551" s="322">
        <v>0.05</v>
      </c>
      <c r="O551" s="441">
        <f t="shared" si="21"/>
        <v>55000</v>
      </c>
    </row>
    <row r="552" spans="1:18" x14ac:dyDescent="0.3">
      <c r="A552" s="3767"/>
      <c r="B552" s="306">
        <v>11452</v>
      </c>
      <c r="C552" s="694">
        <v>0.1</v>
      </c>
      <c r="D552" s="1054" t="s">
        <v>4406</v>
      </c>
      <c r="E552" s="305">
        <v>1150000</v>
      </c>
      <c r="F552" s="695">
        <v>0.1</v>
      </c>
      <c r="G552" s="687">
        <f t="shared" ref="G552:G556" si="22">E552*F552</f>
        <v>115000</v>
      </c>
      <c r="H552" s="314" t="s">
        <v>582</v>
      </c>
      <c r="I552" s="727" t="s">
        <v>3928</v>
      </c>
      <c r="J552" s="1780"/>
      <c r="K552" s="952" t="s">
        <v>4407</v>
      </c>
      <c r="L552" s="587" t="s">
        <v>4408</v>
      </c>
      <c r="M552" s="989">
        <v>1200000</v>
      </c>
      <c r="N552" s="322">
        <v>0.05</v>
      </c>
      <c r="O552" s="441">
        <f t="shared" si="21"/>
        <v>60000</v>
      </c>
    </row>
    <row r="553" spans="1:18" x14ac:dyDescent="0.3">
      <c r="A553" s="3767"/>
      <c r="B553" s="306">
        <v>11450</v>
      </c>
      <c r="C553" s="714">
        <v>0.1</v>
      </c>
      <c r="D553" s="1056" t="s">
        <v>4409</v>
      </c>
      <c r="E553" s="591">
        <v>1050000</v>
      </c>
      <c r="F553" s="313">
        <v>0.05</v>
      </c>
      <c r="G553" s="687">
        <f t="shared" si="22"/>
        <v>52500</v>
      </c>
      <c r="H553" s="314" t="s">
        <v>489</v>
      </c>
      <c r="I553" s="314" t="s">
        <v>3928</v>
      </c>
      <c r="J553" s="961"/>
      <c r="K553" s="733">
        <v>11443</v>
      </c>
      <c r="L553" s="997" t="s">
        <v>4410</v>
      </c>
      <c r="M553" s="428">
        <v>1250000</v>
      </c>
      <c r="N553" s="322">
        <v>0.05</v>
      </c>
      <c r="O553" s="441">
        <f t="shared" si="21"/>
        <v>62500</v>
      </c>
    </row>
    <row r="554" spans="1:18" x14ac:dyDescent="0.3">
      <c r="A554" s="3767"/>
      <c r="B554" s="952" t="s">
        <v>4411</v>
      </c>
      <c r="C554" s="370">
        <v>0.1</v>
      </c>
      <c r="D554" s="995" t="s">
        <v>4412</v>
      </c>
      <c r="E554" s="305">
        <v>950000</v>
      </c>
      <c r="F554" s="281">
        <v>0.05</v>
      </c>
      <c r="G554" s="687">
        <f t="shared" si="22"/>
        <v>47500</v>
      </c>
      <c r="H554" s="306" t="s">
        <v>4413</v>
      </c>
      <c r="I554" s="306" t="s">
        <v>3928</v>
      </c>
      <c r="J554" s="951"/>
      <c r="K554" s="1780"/>
      <c r="L554" s="1780"/>
      <c r="M554" s="1780"/>
      <c r="N554" s="1780"/>
      <c r="O554" s="307"/>
    </row>
    <row r="555" spans="1:18" x14ac:dyDescent="0.3">
      <c r="A555" s="3767"/>
      <c r="B555" s="954">
        <v>11496</v>
      </c>
      <c r="C555" s="676">
        <v>0.1</v>
      </c>
      <c r="D555" s="1179" t="s">
        <v>4414</v>
      </c>
      <c r="E555" s="312">
        <v>1500000</v>
      </c>
      <c r="F555" s="313">
        <v>0.1</v>
      </c>
      <c r="G555" s="687">
        <f t="shared" si="22"/>
        <v>150000</v>
      </c>
      <c r="H555" s="314" t="s">
        <v>582</v>
      </c>
      <c r="I555" s="314" t="s">
        <v>3928</v>
      </c>
      <c r="J555" s="951"/>
      <c r="K555" s="1780"/>
      <c r="L555" s="1780"/>
      <c r="M555" s="1780"/>
      <c r="N555" s="1780"/>
      <c r="O555" s="297">
        <f>SUM(O549:O553)</f>
        <v>315000</v>
      </c>
    </row>
    <row r="556" spans="1:18" x14ac:dyDescent="0.3">
      <c r="A556" s="3767"/>
      <c r="B556" s="306">
        <v>11500</v>
      </c>
      <c r="C556" s="370">
        <v>0.1</v>
      </c>
      <c r="D556" s="590" t="s">
        <v>4415</v>
      </c>
      <c r="E556" s="305">
        <v>1200000</v>
      </c>
      <c r="F556" s="281">
        <v>0.1</v>
      </c>
      <c r="G556" s="687">
        <f t="shared" si="22"/>
        <v>120000</v>
      </c>
      <c r="H556" s="306" t="s">
        <v>582</v>
      </c>
      <c r="I556" s="306" t="s">
        <v>3928</v>
      </c>
      <c r="J556" s="1780"/>
      <c r="K556" s="308"/>
      <c r="L556" s="1780"/>
      <c r="M556" s="1780"/>
      <c r="N556" s="1780"/>
      <c r="O556" s="315"/>
    </row>
    <row r="557" spans="1:18" x14ac:dyDescent="0.3">
      <c r="A557" s="3767"/>
      <c r="B557" s="307"/>
      <c r="C557" s="326"/>
      <c r="D557" s="1180"/>
      <c r="E557" s="319"/>
      <c r="F557" s="320"/>
      <c r="G557" s="957"/>
      <c r="H557" s="315"/>
      <c r="I557" s="315"/>
      <c r="J557" s="793"/>
      <c r="K557" s="307"/>
      <c r="L557" s="298"/>
      <c r="M557" s="512"/>
      <c r="N557" s="296"/>
      <c r="O557" s="297"/>
    </row>
    <row r="558" spans="1:18" x14ac:dyDescent="0.3">
      <c r="A558" s="3767"/>
      <c r="B558" s="638"/>
      <c r="C558" s="638"/>
      <c r="D558" s="1181" t="s">
        <v>3000</v>
      </c>
      <c r="E558" s="955">
        <f>SUM(E551:E556)</f>
        <v>7150000</v>
      </c>
      <c r="F558" s="956"/>
      <c r="G558" s="958">
        <f>SUM(G551:G556)</f>
        <v>615000</v>
      </c>
      <c r="H558" s="455"/>
      <c r="I558" s="452"/>
      <c r="J558" s="794"/>
      <c r="K558" s="316"/>
      <c r="L558" s="3599"/>
      <c r="M558" s="3599"/>
      <c r="N558" s="3599"/>
      <c r="O558" s="1003"/>
    </row>
    <row r="559" spans="1:18" x14ac:dyDescent="0.3">
      <c r="A559" s="3767"/>
      <c r="B559" s="840"/>
      <c r="C559" s="840"/>
      <c r="D559" s="1182" t="s">
        <v>3002</v>
      </c>
      <c r="E559" s="953">
        <f>G558+O555</f>
        <v>930000</v>
      </c>
      <c r="F559" s="840"/>
      <c r="G559" s="959"/>
      <c r="H559" s="840"/>
      <c r="I559" s="840"/>
      <c r="J559" s="843"/>
      <c r="K559" s="895"/>
      <c r="L559" s="895"/>
      <c r="M559" s="895"/>
      <c r="N559" s="1002"/>
      <c r="O559" s="294"/>
    </row>
    <row r="560" spans="1:18" x14ac:dyDescent="0.3">
      <c r="A560" s="2230"/>
      <c r="B560" s="17"/>
      <c r="C560" s="17"/>
      <c r="D560" s="1085"/>
      <c r="E560" s="19"/>
      <c r="F560" s="17"/>
      <c r="G560" s="20"/>
      <c r="H560" s="17"/>
      <c r="I560" s="17"/>
      <c r="J560" s="18"/>
      <c r="O560" s="1"/>
    </row>
    <row r="561" spans="1:15" x14ac:dyDescent="0.3">
      <c r="A561" s="2230"/>
      <c r="B561" s="17"/>
      <c r="C561" s="17"/>
      <c r="D561" s="1085"/>
      <c r="E561" s="19"/>
      <c r="F561" s="17"/>
      <c r="G561" s="20"/>
      <c r="H561" s="17"/>
      <c r="I561" s="17"/>
      <c r="J561" s="18"/>
      <c r="O561" s="1"/>
    </row>
    <row r="562" spans="1:15" ht="21" x14ac:dyDescent="0.4">
      <c r="A562" s="3768" t="s">
        <v>3003</v>
      </c>
      <c r="B562" s="3768"/>
      <c r="C562" s="3768"/>
      <c r="D562" s="3768"/>
      <c r="E562" s="3768"/>
      <c r="F562" s="3768"/>
      <c r="G562" s="3768"/>
      <c r="H562" s="3768"/>
      <c r="I562" s="3768"/>
      <c r="J562" s="3768"/>
      <c r="K562" s="3642" t="s">
        <v>2973</v>
      </c>
      <c r="L562" s="3642"/>
      <c r="M562" s="3642"/>
      <c r="N562" s="3642"/>
      <c r="O562" s="2"/>
    </row>
    <row r="563" spans="1:15" x14ac:dyDescent="0.3">
      <c r="A563" s="2266" t="s">
        <v>2974</v>
      </c>
      <c r="B563" s="809" t="s">
        <v>2975</v>
      </c>
      <c r="C563" s="1666" t="s">
        <v>3004</v>
      </c>
      <c r="D563" s="1083" t="s">
        <v>2977</v>
      </c>
      <c r="E563" s="805" t="s">
        <v>2978</v>
      </c>
      <c r="F563" s="1666" t="s">
        <v>2979</v>
      </c>
      <c r="G563" s="25" t="s">
        <v>2980</v>
      </c>
      <c r="H563" s="26" t="s">
        <v>2981</v>
      </c>
      <c r="I563" s="1666" t="s">
        <v>2982</v>
      </c>
      <c r="J563" s="26" t="s">
        <v>2983</v>
      </c>
      <c r="K563" s="26" t="s">
        <v>2975</v>
      </c>
      <c r="L563" s="26" t="s">
        <v>2977</v>
      </c>
      <c r="M563" s="26" t="s">
        <v>2984</v>
      </c>
      <c r="N563" s="267" t="s">
        <v>2979</v>
      </c>
      <c r="O563" s="268" t="s">
        <v>2985</v>
      </c>
    </row>
    <row r="564" spans="1:15" x14ac:dyDescent="0.3">
      <c r="A564" s="3778" t="s">
        <v>3005</v>
      </c>
      <c r="B564" s="343"/>
      <c r="C564" s="299"/>
      <c r="D564" s="779" t="s">
        <v>4416</v>
      </c>
      <c r="E564" s="947"/>
      <c r="F564" s="343"/>
      <c r="G564" s="386"/>
      <c r="H564" s="355"/>
      <c r="I564" s="950" t="s">
        <v>3928</v>
      </c>
      <c r="J564" s="345"/>
      <c r="K564" s="345"/>
      <c r="L564" s="346"/>
      <c r="M564" s="345"/>
      <c r="N564" s="346"/>
      <c r="O564" s="463"/>
    </row>
    <row r="565" spans="1:15" x14ac:dyDescent="0.3">
      <c r="A565" s="3778"/>
      <c r="B565" s="343"/>
      <c r="C565" s="299"/>
      <c r="D565" s="779" t="s">
        <v>4400</v>
      </c>
      <c r="E565" s="947"/>
      <c r="F565" s="343"/>
      <c r="G565" s="386"/>
      <c r="H565" s="355" t="s">
        <v>523</v>
      </c>
      <c r="I565" s="950" t="s">
        <v>3928</v>
      </c>
      <c r="J565" s="345"/>
      <c r="K565" s="345"/>
      <c r="L565" s="346"/>
      <c r="M565" s="345"/>
      <c r="N565" s="346"/>
      <c r="O565" s="463"/>
    </row>
    <row r="566" spans="1:15" ht="15" customHeight="1" x14ac:dyDescent="0.3">
      <c r="A566" s="3778"/>
      <c r="B566" s="441">
        <v>11352</v>
      </c>
      <c r="C566" s="310">
        <v>0.1</v>
      </c>
      <c r="D566" s="995" t="s">
        <v>4417</v>
      </c>
      <c r="E566" s="519">
        <v>1100000</v>
      </c>
      <c r="F566" s="310">
        <v>0.05</v>
      </c>
      <c r="G566" s="962">
        <f>E566*F566</f>
        <v>55000</v>
      </c>
      <c r="H566" s="733" t="s">
        <v>2008</v>
      </c>
      <c r="I566" s="441" t="s">
        <v>3925</v>
      </c>
      <c r="J566" s="1780"/>
      <c r="K566" s="1780"/>
      <c r="L566" s="1711"/>
      <c r="M566" s="1780"/>
      <c r="N566" s="1780"/>
      <c r="O566" s="463"/>
    </row>
    <row r="567" spans="1:15" ht="15" customHeight="1" x14ac:dyDescent="0.3">
      <c r="A567" s="3778"/>
      <c r="B567" s="441">
        <v>11353</v>
      </c>
      <c r="C567" s="310">
        <v>0.1</v>
      </c>
      <c r="D567" s="995" t="s">
        <v>4418</v>
      </c>
      <c r="E567" s="519">
        <v>1150000</v>
      </c>
      <c r="F567" s="310">
        <v>0.1</v>
      </c>
      <c r="G567" s="962">
        <f t="shared" ref="G567:G571" si="23">E567*F567</f>
        <v>115000</v>
      </c>
      <c r="H567" s="441" t="s">
        <v>2073</v>
      </c>
      <c r="I567" s="441" t="s">
        <v>4345</v>
      </c>
      <c r="J567" s="1780"/>
      <c r="K567" s="1780"/>
      <c r="L567" s="1711"/>
      <c r="M567" s="986"/>
      <c r="N567" s="986"/>
      <c r="O567" s="463"/>
    </row>
    <row r="568" spans="1:15" ht="15" customHeight="1" x14ac:dyDescent="0.3">
      <c r="A568" s="3778"/>
      <c r="B568" s="306">
        <v>11411</v>
      </c>
      <c r="C568" s="281">
        <v>0.1</v>
      </c>
      <c r="D568" s="995" t="s">
        <v>4419</v>
      </c>
      <c r="E568" s="963">
        <v>1000000</v>
      </c>
      <c r="F568" s="281">
        <v>0.1</v>
      </c>
      <c r="G568" s="962">
        <f t="shared" si="23"/>
        <v>100000</v>
      </c>
      <c r="H568" s="306" t="s">
        <v>523</v>
      </c>
      <c r="I568" s="306" t="s">
        <v>3925</v>
      </c>
      <c r="J568" s="1780"/>
      <c r="K568" s="1780"/>
      <c r="L568" s="1711"/>
      <c r="M568" s="1780"/>
      <c r="N568" s="1780"/>
      <c r="O568" s="463"/>
    </row>
    <row r="569" spans="1:15" ht="15" customHeight="1" x14ac:dyDescent="0.3">
      <c r="A569" s="3778"/>
      <c r="B569" s="618">
        <v>11432</v>
      </c>
      <c r="C569" s="370">
        <v>0.1</v>
      </c>
      <c r="D569" s="590" t="s">
        <v>4420</v>
      </c>
      <c r="E569" s="505">
        <v>1200000</v>
      </c>
      <c r="F569" s="281">
        <v>0.1</v>
      </c>
      <c r="G569" s="962">
        <f t="shared" si="23"/>
        <v>120000</v>
      </c>
      <c r="H569" s="306" t="s">
        <v>523</v>
      </c>
      <c r="I569" s="338" t="s">
        <v>3925</v>
      </c>
      <c r="J569" s="335"/>
      <c r="K569" s="298"/>
      <c r="L569" s="318"/>
      <c r="M569" s="298"/>
      <c r="N569" s="298"/>
      <c r="O569" s="662"/>
    </row>
    <row r="570" spans="1:15" ht="15" customHeight="1" x14ac:dyDescent="0.3">
      <c r="A570" s="3778"/>
      <c r="B570" s="618">
        <v>11484</v>
      </c>
      <c r="C570" s="370">
        <v>0.1</v>
      </c>
      <c r="D570" s="590" t="s">
        <v>4421</v>
      </c>
      <c r="E570" s="505">
        <v>1100000</v>
      </c>
      <c r="F570" s="281">
        <v>0.05</v>
      </c>
      <c r="G570" s="962">
        <f t="shared" si="23"/>
        <v>55000</v>
      </c>
      <c r="H570" s="306" t="s">
        <v>510</v>
      </c>
      <c r="I570" s="338" t="s">
        <v>3928</v>
      </c>
      <c r="J570" s="335"/>
      <c r="K570" s="298"/>
      <c r="L570" s="318"/>
      <c r="M570" s="298"/>
      <c r="N570" s="298"/>
      <c r="O570" s="662"/>
    </row>
    <row r="571" spans="1:15" ht="15" customHeight="1" x14ac:dyDescent="0.3">
      <c r="A571" s="3778"/>
      <c r="B571" s="618">
        <v>11525</v>
      </c>
      <c r="C571" s="370">
        <v>0.09</v>
      </c>
      <c r="D571" s="590" t="s">
        <v>4422</v>
      </c>
      <c r="E571" s="505">
        <v>960000</v>
      </c>
      <c r="F571" s="281">
        <v>0.04</v>
      </c>
      <c r="G571" s="962">
        <f t="shared" si="23"/>
        <v>38400</v>
      </c>
      <c r="H571" s="306" t="s">
        <v>732</v>
      </c>
      <c r="I571" s="338" t="s">
        <v>3928</v>
      </c>
      <c r="J571" s="335"/>
      <c r="K571" s="298"/>
      <c r="L571" s="318"/>
      <c r="M571" s="298"/>
      <c r="N571" s="298"/>
      <c r="O571" s="662"/>
    </row>
    <row r="572" spans="1:15" ht="15" customHeight="1" x14ac:dyDescent="0.3">
      <c r="A572" s="3778"/>
      <c r="B572" s="945"/>
      <c r="C572" s="326"/>
      <c r="D572" s="1058"/>
      <c r="E572" s="512"/>
      <c r="F572" s="320"/>
      <c r="G572" s="513"/>
      <c r="H572" s="307"/>
      <c r="I572" s="316"/>
      <c r="J572" s="335"/>
      <c r="K572" s="298"/>
      <c r="L572" s="318"/>
      <c r="M572" s="298"/>
      <c r="N572" s="298"/>
      <c r="O572" s="662"/>
    </row>
    <row r="573" spans="1:15" ht="15" customHeight="1" x14ac:dyDescent="0.3">
      <c r="A573" s="3778"/>
      <c r="B573" s="854"/>
      <c r="C573" s="834"/>
      <c r="D573" s="1183"/>
      <c r="E573" s="327"/>
      <c r="F573" s="768"/>
      <c r="G573" s="769"/>
      <c r="H573" s="711"/>
      <c r="I573" s="532"/>
      <c r="J573" s="770"/>
      <c r="K573" s="378"/>
      <c r="L573" s="636"/>
      <c r="M573" s="298"/>
      <c r="N573" s="298"/>
      <c r="O573" s="662"/>
    </row>
    <row r="574" spans="1:15" ht="15" customHeight="1" x14ac:dyDescent="0.3">
      <c r="A574" s="3778"/>
      <c r="B574" s="814"/>
      <c r="C574" s="689"/>
      <c r="D574" s="1171" t="s">
        <v>3000</v>
      </c>
      <c r="E574" s="483">
        <f>SUM(E566:E572)</f>
        <v>6510000</v>
      </c>
      <c r="F574" s="514"/>
      <c r="G574" s="483">
        <f>SUM(G566:G571)</f>
        <v>483400</v>
      </c>
      <c r="H574" s="918"/>
      <c r="I574" s="514"/>
      <c r="J574" s="342"/>
      <c r="K574" s="485"/>
      <c r="L574" s="3752" t="s">
        <v>3026</v>
      </c>
      <c r="M574" s="3752"/>
      <c r="N574" s="3752"/>
      <c r="O574" s="1006">
        <v>483400</v>
      </c>
    </row>
    <row r="575" spans="1:15" ht="15.75" customHeight="1" x14ac:dyDescent="0.3">
      <c r="A575" s="3778"/>
      <c r="B575" s="815"/>
      <c r="C575" s="460"/>
      <c r="D575" s="1184" t="s">
        <v>3002</v>
      </c>
      <c r="E575" s="964">
        <f>G574</f>
        <v>483400</v>
      </c>
      <c r="F575" s="458"/>
      <c r="G575" s="489"/>
      <c r="H575" s="458"/>
      <c r="I575" s="458"/>
      <c r="J575" s="490"/>
      <c r="K575" s="461"/>
      <c r="L575" s="965"/>
      <c r="M575" s="965"/>
      <c r="N575" s="965"/>
      <c r="O575" s="463"/>
    </row>
    <row r="576" spans="1:15" ht="15.6" x14ac:dyDescent="0.3">
      <c r="A576" s="2267"/>
      <c r="B576" s="464"/>
      <c r="C576" s="464"/>
      <c r="D576" s="1118"/>
      <c r="E576" s="466"/>
      <c r="F576" s="464"/>
      <c r="G576" s="467"/>
      <c r="H576" s="464"/>
      <c r="I576" s="464"/>
      <c r="J576" s="465"/>
      <c r="K576" s="468"/>
      <c r="L576" s="469"/>
      <c r="M576" s="469"/>
      <c r="N576" s="469"/>
      <c r="O576" s="463"/>
    </row>
    <row r="577" spans="1:16" ht="15.6" x14ac:dyDescent="0.3">
      <c r="A577" s="2267"/>
      <c r="B577" s="825"/>
      <c r="C577" s="825"/>
      <c r="D577" s="1172"/>
      <c r="E577" s="827"/>
      <c r="F577" s="825"/>
      <c r="G577" s="828"/>
      <c r="H577" s="825"/>
      <c r="I577" s="825"/>
      <c r="J577" s="826"/>
      <c r="K577" s="829"/>
      <c r="L577" s="830"/>
      <c r="M577" s="830"/>
      <c r="N577" s="830"/>
      <c r="O577" s="831"/>
    </row>
    <row r="578" spans="1:16" ht="21" x14ac:dyDescent="0.4">
      <c r="A578" s="3766" t="s">
        <v>3027</v>
      </c>
      <c r="B578" s="3766"/>
      <c r="C578" s="3766"/>
      <c r="D578" s="3766"/>
      <c r="E578" s="3766"/>
      <c r="F578" s="3766"/>
      <c r="G578" s="3766"/>
      <c r="H578" s="3766"/>
      <c r="I578" s="3766"/>
      <c r="J578" s="3766"/>
      <c r="K578" s="3636" t="s">
        <v>2973</v>
      </c>
      <c r="L578" s="3636"/>
      <c r="M578" s="3636"/>
      <c r="N578" s="3636"/>
      <c r="O578" s="2"/>
    </row>
    <row r="579" spans="1:16" x14ac:dyDescent="0.3">
      <c r="A579" s="2276" t="s">
        <v>2974</v>
      </c>
      <c r="B579" s="1666" t="s">
        <v>2975</v>
      </c>
      <c r="C579" s="1666" t="s">
        <v>3004</v>
      </c>
      <c r="D579" s="1083" t="s">
        <v>2977</v>
      </c>
      <c r="E579" s="32" t="s">
        <v>2978</v>
      </c>
      <c r="F579" s="1666" t="s">
        <v>2979</v>
      </c>
      <c r="G579" s="167" t="s">
        <v>2980</v>
      </c>
      <c r="H579" s="1666" t="s">
        <v>2981</v>
      </c>
      <c r="I579" s="1666" t="s">
        <v>2982</v>
      </c>
      <c r="J579" s="1666" t="s">
        <v>2983</v>
      </c>
      <c r="K579" s="1658" t="s">
        <v>2975</v>
      </c>
      <c r="L579" s="1658" t="s">
        <v>2977</v>
      </c>
      <c r="M579" s="1658" t="s">
        <v>2984</v>
      </c>
      <c r="N579" s="1658" t="s">
        <v>2979</v>
      </c>
      <c r="O579" s="268" t="s">
        <v>2985</v>
      </c>
    </row>
    <row r="580" spans="1:16" x14ac:dyDescent="0.3">
      <c r="A580" s="3773" t="s">
        <v>4423</v>
      </c>
      <c r="B580" s="674" t="s">
        <v>4407</v>
      </c>
      <c r="C580" s="864">
        <v>0.1</v>
      </c>
      <c r="D580" s="1170" t="s">
        <v>4424</v>
      </c>
      <c r="E580" s="991">
        <v>1200000</v>
      </c>
      <c r="F580" s="864">
        <v>0.04</v>
      </c>
      <c r="G580" s="866">
        <f>E580*F580</f>
        <v>48000</v>
      </c>
      <c r="H580" s="863" t="s">
        <v>582</v>
      </c>
      <c r="I580" s="863" t="s">
        <v>3928</v>
      </c>
      <c r="J580" s="1779"/>
      <c r="K580" s="1779"/>
      <c r="L580" s="1779"/>
      <c r="M580" s="1779"/>
      <c r="N580" s="1779"/>
      <c r="O580" s="2"/>
    </row>
    <row r="581" spans="1:16" x14ac:dyDescent="0.3">
      <c r="A581" s="3773"/>
      <c r="B581" s="863">
        <v>11526</v>
      </c>
      <c r="C581" s="864">
        <v>0.1</v>
      </c>
      <c r="D581" s="1170" t="s">
        <v>4425</v>
      </c>
      <c r="E581" s="991">
        <v>1000000</v>
      </c>
      <c r="F581" s="864">
        <v>0.04</v>
      </c>
      <c r="G581" s="866">
        <f>E581*F581</f>
        <v>40000</v>
      </c>
      <c r="H581" s="863" t="s">
        <v>4426</v>
      </c>
      <c r="I581" s="863" t="s">
        <v>3928</v>
      </c>
      <c r="J581" s="1779"/>
      <c r="K581" s="1779"/>
      <c r="L581" s="1779"/>
      <c r="M581" s="1779"/>
      <c r="N581" s="1779"/>
      <c r="O581" s="2"/>
    </row>
    <row r="582" spans="1:16" x14ac:dyDescent="0.3">
      <c r="A582" s="3773"/>
      <c r="B582" s="1779"/>
      <c r="C582" s="1779"/>
      <c r="D582" s="1173"/>
      <c r="E582" s="832"/>
      <c r="F582" s="1779"/>
      <c r="G582" s="833"/>
      <c r="H582" s="1779"/>
      <c r="I582" s="1779"/>
      <c r="J582" s="1779"/>
      <c r="K582" s="1779"/>
      <c r="L582" s="1779"/>
      <c r="M582" s="1779"/>
      <c r="N582" s="1779"/>
      <c r="O582" s="2"/>
    </row>
    <row r="583" spans="1:16" x14ac:dyDescent="0.3">
      <c r="A583" s="3773"/>
      <c r="B583" s="1779"/>
      <c r="C583" s="1779"/>
      <c r="D583" s="1173"/>
      <c r="E583" s="832"/>
      <c r="F583" s="1779"/>
      <c r="G583" s="833"/>
      <c r="H583" s="1779"/>
      <c r="I583" s="1779"/>
      <c r="J583" s="1779"/>
      <c r="K583" s="1779"/>
      <c r="L583" s="1779"/>
      <c r="M583" s="1779"/>
      <c r="N583" s="1779"/>
      <c r="O583" s="2"/>
    </row>
    <row r="584" spans="1:16" x14ac:dyDescent="0.3">
      <c r="A584" s="3773"/>
      <c r="B584" s="514"/>
      <c r="C584" s="514"/>
      <c r="D584" s="1116" t="s">
        <v>3000</v>
      </c>
      <c r="E584" s="483">
        <f>SUM(E580:E583)</f>
        <v>2200000</v>
      </c>
      <c r="F584" s="514"/>
      <c r="G584" s="483">
        <f>SUM(G580:G581)</f>
        <v>88000</v>
      </c>
      <c r="H584" s="514"/>
      <c r="I584" s="514"/>
      <c r="J584" s="342"/>
      <c r="K584" s="287"/>
      <c r="L584" s="3602" t="s">
        <v>3026</v>
      </c>
      <c r="M584" s="3602"/>
      <c r="N584" s="3602"/>
      <c r="O584" s="1007">
        <v>88000</v>
      </c>
    </row>
    <row r="585" spans="1:16" ht="15.6" x14ac:dyDescent="0.3">
      <c r="A585" s="3773"/>
      <c r="B585" s="840"/>
      <c r="C585" s="840"/>
      <c r="D585" s="491" t="s">
        <v>4427</v>
      </c>
      <c r="E585" s="841">
        <f>G584</f>
        <v>88000</v>
      </c>
      <c r="F585" s="840"/>
      <c r="G585" s="842"/>
      <c r="H585" s="840"/>
      <c r="I585" s="840"/>
      <c r="J585" s="843"/>
      <c r="K585" s="287"/>
      <c r="L585" s="844"/>
      <c r="M585" s="844"/>
      <c r="N585" s="844"/>
      <c r="O585" s="294"/>
    </row>
    <row r="586" spans="1:16" s="855" customFormat="1" ht="15.75" customHeight="1" x14ac:dyDescent="0.3">
      <c r="A586" s="2268"/>
      <c r="B586" s="316"/>
      <c r="C586" s="316"/>
      <c r="D586" s="1174"/>
      <c r="E586" s="846"/>
      <c r="F586" s="316"/>
      <c r="G586" s="847"/>
      <c r="H586" s="316"/>
      <c r="I586" s="840"/>
      <c r="J586" s="843"/>
      <c r="K586" s="287"/>
      <c r="L586" s="844"/>
      <c r="M586" s="844"/>
      <c r="N586" s="844"/>
      <c r="O586" s="294"/>
      <c r="P586" s="522"/>
    </row>
    <row r="587" spans="1:16" ht="15.6" x14ac:dyDescent="0.3">
      <c r="A587" s="2267"/>
      <c r="B587" s="464"/>
      <c r="C587" s="464"/>
      <c r="D587" s="1118"/>
      <c r="E587" s="466"/>
      <c r="F587" s="464"/>
      <c r="G587" s="467"/>
      <c r="H587" s="464"/>
      <c r="I587" s="464"/>
      <c r="J587" s="465"/>
      <c r="K587" s="468"/>
      <c r="L587" s="469"/>
      <c r="M587" s="469"/>
      <c r="N587" s="469"/>
      <c r="O587" s="463"/>
    </row>
    <row r="588" spans="1:16" ht="15.6" x14ac:dyDescent="0.3">
      <c r="A588" s="2267"/>
      <c r="B588" s="825"/>
      <c r="C588" s="825"/>
      <c r="D588" s="1172"/>
      <c r="E588" s="827"/>
      <c r="F588" s="825"/>
      <c r="G588" s="828"/>
      <c r="H588" s="825"/>
      <c r="I588" s="825"/>
      <c r="J588" s="826"/>
      <c r="K588" s="829"/>
      <c r="L588" s="830"/>
      <c r="M588" s="830"/>
      <c r="N588" s="830"/>
      <c r="O588" s="831"/>
    </row>
    <row r="589" spans="1:16" ht="21" x14ac:dyDescent="0.4">
      <c r="A589" s="3772" t="s">
        <v>3042</v>
      </c>
      <c r="B589" s="3772"/>
      <c r="C589" s="3772"/>
      <c r="D589" s="3772"/>
      <c r="E589" s="3772"/>
      <c r="F589" s="3772"/>
      <c r="G589" s="3772"/>
      <c r="H589" s="3772"/>
      <c r="I589" s="3772"/>
      <c r="J589" s="3772"/>
      <c r="K589" s="287"/>
      <c r="L589" s="845"/>
      <c r="M589" s="845"/>
      <c r="N589" s="845"/>
      <c r="O589" s="294"/>
    </row>
    <row r="590" spans="1:16" ht="15" customHeight="1" x14ac:dyDescent="0.3">
      <c r="A590" s="2276" t="s">
        <v>2974</v>
      </c>
      <c r="B590" s="3" t="s">
        <v>2975</v>
      </c>
      <c r="C590" s="3" t="s">
        <v>3004</v>
      </c>
      <c r="D590" s="1086" t="s">
        <v>2977</v>
      </c>
      <c r="E590" s="4" t="s">
        <v>2978</v>
      </c>
      <c r="F590" s="3" t="s">
        <v>2979</v>
      </c>
      <c r="G590" s="5" t="s">
        <v>2980</v>
      </c>
      <c r="H590" s="3" t="s">
        <v>2981</v>
      </c>
      <c r="I590" s="3" t="s">
        <v>2982</v>
      </c>
      <c r="J590" s="23" t="s">
        <v>2983</v>
      </c>
      <c r="K590" s="1779" t="s">
        <v>2975</v>
      </c>
      <c r="L590" s="1779" t="s">
        <v>2977</v>
      </c>
      <c r="M590" s="1779" t="s">
        <v>2984</v>
      </c>
      <c r="N590" s="1779" t="s">
        <v>2979</v>
      </c>
      <c r="O590" s="2" t="s">
        <v>2985</v>
      </c>
    </row>
    <row r="591" spans="1:16" ht="15" customHeight="1" x14ac:dyDescent="0.3">
      <c r="A591" s="2277"/>
      <c r="B591" s="481"/>
      <c r="C591" s="355"/>
      <c r="D591" s="385" t="s">
        <v>4428</v>
      </c>
      <c r="E591" s="356"/>
      <c r="F591" s="355"/>
      <c r="G591" s="386"/>
      <c r="H591" s="355"/>
      <c r="I591" s="355" t="s">
        <v>3928</v>
      </c>
      <c r="J591" s="966"/>
      <c r="K591" s="1780"/>
      <c r="L591" s="1780"/>
      <c r="M591" s="1780"/>
      <c r="N591" s="1780"/>
      <c r="O591" s="294"/>
    </row>
    <row r="592" spans="1:16" ht="15" customHeight="1" x14ac:dyDescent="0.3">
      <c r="A592" s="3779" t="s">
        <v>4227</v>
      </c>
      <c r="B592" s="481"/>
      <c r="C592" s="355"/>
      <c r="D592" s="1106" t="s">
        <v>4429</v>
      </c>
      <c r="E592" s="356"/>
      <c r="F592" s="355"/>
      <c r="G592" s="386"/>
      <c r="H592" s="355"/>
      <c r="I592" s="355"/>
      <c r="J592" s="966"/>
      <c r="K592" s="1780"/>
      <c r="L592" s="1780"/>
      <c r="M592" s="1780"/>
      <c r="N592" s="1780"/>
      <c r="O592" s="294"/>
    </row>
    <row r="593" spans="1:15" ht="15" customHeight="1" x14ac:dyDescent="0.3">
      <c r="A593" s="3779"/>
      <c r="B593" s="440">
        <v>11407</v>
      </c>
      <c r="C593" s="310">
        <v>0.1</v>
      </c>
      <c r="D593" s="587" t="s">
        <v>4430</v>
      </c>
      <c r="E593" s="519">
        <v>1000000</v>
      </c>
      <c r="F593" s="310">
        <v>0.05</v>
      </c>
      <c r="G593" s="602">
        <f>E593*F593</f>
        <v>50000</v>
      </c>
      <c r="H593" s="441" t="s">
        <v>4234</v>
      </c>
      <c r="I593" s="441" t="s">
        <v>3925</v>
      </c>
      <c r="J593" s="1711"/>
      <c r="K593" s="1780"/>
      <c r="L593" s="1780"/>
      <c r="M593" s="1780"/>
      <c r="N593" s="1780"/>
      <c r="O593" s="294"/>
    </row>
    <row r="594" spans="1:15" ht="15" customHeight="1" x14ac:dyDescent="0.3">
      <c r="A594" s="3779"/>
      <c r="B594" s="440">
        <v>11419</v>
      </c>
      <c r="C594" s="310">
        <v>0.1</v>
      </c>
      <c r="D594" s="587" t="s">
        <v>4431</v>
      </c>
      <c r="E594" s="519">
        <v>1150000</v>
      </c>
      <c r="F594" s="310">
        <v>0.1</v>
      </c>
      <c r="G594" s="602">
        <f t="shared" ref="G594:G596" si="24">E594*F594</f>
        <v>115000</v>
      </c>
      <c r="H594" s="441" t="s">
        <v>527</v>
      </c>
      <c r="I594" s="441" t="s">
        <v>3925</v>
      </c>
      <c r="J594" s="1711"/>
      <c r="K594" s="1780"/>
      <c r="L594" s="1780"/>
      <c r="M594" s="1780"/>
      <c r="N594" s="1780"/>
      <c r="O594" s="294"/>
    </row>
    <row r="595" spans="1:15" ht="15" customHeight="1" x14ac:dyDescent="0.3">
      <c r="A595" s="3779"/>
      <c r="B595" s="440">
        <v>11494</v>
      </c>
      <c r="C595" s="310">
        <v>0.1</v>
      </c>
      <c r="D595" s="587" t="s">
        <v>4432</v>
      </c>
      <c r="E595" s="519">
        <v>1100000</v>
      </c>
      <c r="F595" s="310">
        <v>0.05</v>
      </c>
      <c r="G595" s="602">
        <f t="shared" si="24"/>
        <v>55000</v>
      </c>
      <c r="H595" s="441" t="s">
        <v>4426</v>
      </c>
      <c r="I595" s="441" t="s">
        <v>3928</v>
      </c>
      <c r="J595" s="1711"/>
      <c r="K595" s="1780"/>
      <c r="L595" s="1780"/>
      <c r="M595" s="1780"/>
      <c r="N595" s="1780"/>
      <c r="O595" s="294"/>
    </row>
    <row r="596" spans="1:15" ht="15" customHeight="1" x14ac:dyDescent="0.3">
      <c r="A596" s="3779"/>
      <c r="B596" s="440">
        <v>11524</v>
      </c>
      <c r="C596" s="310">
        <v>0.1</v>
      </c>
      <c r="D596" s="1185" t="s">
        <v>4433</v>
      </c>
      <c r="E596" s="519">
        <v>1150000</v>
      </c>
      <c r="F596" s="310">
        <v>0.05</v>
      </c>
      <c r="G596" s="602">
        <f t="shared" si="24"/>
        <v>57500</v>
      </c>
      <c r="H596" s="441" t="s">
        <v>510</v>
      </c>
      <c r="I596" s="441" t="s">
        <v>3928</v>
      </c>
      <c r="J596" s="1711"/>
      <c r="K596" s="1780"/>
      <c r="L596" s="1780"/>
      <c r="M596" s="1780"/>
      <c r="N596" s="1780"/>
      <c r="O596" s="294"/>
    </row>
    <row r="597" spans="1:15" ht="15" customHeight="1" x14ac:dyDescent="0.3">
      <c r="A597" s="3779"/>
      <c r="B597" s="308"/>
      <c r="C597" s="1780"/>
      <c r="D597" s="1186"/>
      <c r="E597" s="740"/>
      <c r="F597" s="1780"/>
      <c r="G597" s="967"/>
      <c r="H597" s="1780"/>
      <c r="I597" s="1780"/>
      <c r="J597" s="1711"/>
      <c r="K597" s="1780"/>
      <c r="L597" s="1780"/>
      <c r="M597" s="1780"/>
      <c r="N597" s="1780"/>
      <c r="O597" s="294"/>
    </row>
    <row r="598" spans="1:15" ht="15" customHeight="1" x14ac:dyDescent="0.3">
      <c r="A598" s="3779"/>
      <c r="B598" s="308"/>
      <c r="C598" s="1711"/>
      <c r="D598" s="1187"/>
      <c r="E598" s="971"/>
      <c r="F598" s="1780"/>
      <c r="G598" s="967"/>
      <c r="H598" s="1780"/>
      <c r="I598" s="1780"/>
      <c r="J598" s="1711"/>
      <c r="K598" s="1780"/>
      <c r="L598" s="1780"/>
      <c r="M598" s="1780"/>
      <c r="N598" s="376"/>
      <c r="O598" s="294"/>
    </row>
    <row r="599" spans="1:15" ht="15" customHeight="1" x14ac:dyDescent="0.3">
      <c r="A599" s="3779"/>
      <c r="B599" s="918"/>
      <c r="C599" s="514"/>
      <c r="D599" s="1116" t="s">
        <v>3000</v>
      </c>
      <c r="E599" s="483">
        <f>SUM(E593:E598)</f>
        <v>4400000</v>
      </c>
      <c r="F599" s="514"/>
      <c r="G599" s="483">
        <f>SUM(G593:G596)</f>
        <v>277500</v>
      </c>
      <c r="H599" s="514"/>
      <c r="I599" s="514"/>
      <c r="J599" s="856"/>
      <c r="K599" s="287"/>
      <c r="L599" s="3590" t="s">
        <v>3026</v>
      </c>
      <c r="M599" s="3590"/>
      <c r="N599" s="3590"/>
      <c r="O599" s="1007">
        <v>227500</v>
      </c>
    </row>
    <row r="600" spans="1:15" ht="15.75" customHeight="1" x14ac:dyDescent="0.3">
      <c r="A600" s="3779"/>
      <c r="B600" s="919"/>
      <c r="C600" s="840"/>
      <c r="D600" s="1182" t="s">
        <v>3002</v>
      </c>
      <c r="E600" s="953">
        <f>G599</f>
        <v>277500</v>
      </c>
      <c r="F600" s="840"/>
      <c r="G600" s="842"/>
      <c r="H600" s="840"/>
      <c r="I600" s="840"/>
      <c r="J600" s="857"/>
      <c r="K600" s="287"/>
      <c r="L600" s="968"/>
      <c r="M600" s="968"/>
      <c r="N600" s="968"/>
      <c r="O600" s="294"/>
    </row>
    <row r="601" spans="1:15" ht="15.6" x14ac:dyDescent="0.3">
      <c r="A601" s="2267"/>
      <c r="B601" s="464"/>
      <c r="C601" s="464"/>
      <c r="D601" s="1118"/>
      <c r="E601" s="466"/>
      <c r="F601" s="464"/>
      <c r="G601" s="467"/>
      <c r="H601" s="464"/>
      <c r="I601" s="464"/>
      <c r="J601" s="465"/>
      <c r="K601" s="468"/>
      <c r="L601" s="469"/>
      <c r="M601" s="469"/>
      <c r="N601" s="469"/>
      <c r="O601" s="463"/>
    </row>
    <row r="602" spans="1:15" ht="15.6" x14ac:dyDescent="0.3">
      <c r="A602" s="2267"/>
      <c r="B602" s="825"/>
      <c r="C602" s="825"/>
      <c r="D602" s="1172"/>
      <c r="E602" s="827"/>
      <c r="F602" s="825"/>
      <c r="G602" s="828"/>
      <c r="H602" s="825"/>
      <c r="I602" s="825"/>
      <c r="J602" s="826"/>
      <c r="K602" s="829"/>
      <c r="L602" s="830"/>
      <c r="M602" s="830"/>
      <c r="N602" s="830"/>
      <c r="O602" s="831"/>
    </row>
    <row r="603" spans="1:15" ht="21" x14ac:dyDescent="0.4">
      <c r="A603" s="3772" t="s">
        <v>4434</v>
      </c>
      <c r="B603" s="3772"/>
      <c r="C603" s="3772"/>
      <c r="D603" s="3772"/>
      <c r="E603" s="3772"/>
      <c r="F603" s="3772"/>
      <c r="G603" s="3772"/>
      <c r="H603" s="3772"/>
      <c r="I603" s="3772"/>
      <c r="J603" s="3772"/>
      <c r="K603" s="287"/>
      <c r="L603" s="845"/>
      <c r="M603" s="845"/>
      <c r="N603" s="845"/>
      <c r="O603" s="294"/>
    </row>
    <row r="604" spans="1:15" x14ac:dyDescent="0.3">
      <c r="A604" s="2276" t="s">
        <v>2974</v>
      </c>
      <c r="B604" s="3" t="s">
        <v>2975</v>
      </c>
      <c r="C604" s="3" t="s">
        <v>3004</v>
      </c>
      <c r="D604" s="1086" t="s">
        <v>2977</v>
      </c>
      <c r="E604" s="4" t="s">
        <v>2978</v>
      </c>
      <c r="F604" s="3" t="s">
        <v>2979</v>
      </c>
      <c r="G604" s="5" t="s">
        <v>2980</v>
      </c>
      <c r="H604" s="3" t="s">
        <v>2981</v>
      </c>
      <c r="I604" s="3" t="s">
        <v>2982</v>
      </c>
      <c r="J604" s="23" t="s">
        <v>2983</v>
      </c>
      <c r="K604" s="1779" t="s">
        <v>2975</v>
      </c>
      <c r="L604" s="1779" t="s">
        <v>2977</v>
      </c>
      <c r="M604" s="1779" t="s">
        <v>2984</v>
      </c>
      <c r="N604" s="1779" t="s">
        <v>2979</v>
      </c>
      <c r="O604" s="2" t="s">
        <v>2985</v>
      </c>
    </row>
    <row r="605" spans="1:15" x14ac:dyDescent="0.3">
      <c r="A605" s="3780" t="s">
        <v>4227</v>
      </c>
      <c r="B605" s="440">
        <v>11361</v>
      </c>
      <c r="C605" s="310">
        <v>0.1</v>
      </c>
      <c r="D605" s="587" t="s">
        <v>4435</v>
      </c>
      <c r="E605" s="519">
        <v>850000</v>
      </c>
      <c r="F605" s="310">
        <v>0.1</v>
      </c>
      <c r="G605" s="602">
        <f>E605*F605</f>
        <v>85000</v>
      </c>
      <c r="H605" s="441" t="s">
        <v>4234</v>
      </c>
      <c r="I605" s="441" t="s">
        <v>3992</v>
      </c>
      <c r="J605" s="1711"/>
      <c r="K605" s="441">
        <v>11484</v>
      </c>
      <c r="L605" s="587" t="s">
        <v>4436</v>
      </c>
      <c r="M605" s="1780">
        <v>1100000</v>
      </c>
      <c r="N605" s="376">
        <v>0.05</v>
      </c>
      <c r="O605" s="294">
        <f>M605*N605</f>
        <v>55000</v>
      </c>
    </row>
    <row r="606" spans="1:15" x14ac:dyDescent="0.3">
      <c r="A606" s="3780"/>
      <c r="B606" s="440">
        <v>11410</v>
      </c>
      <c r="C606" s="310">
        <v>0.1</v>
      </c>
      <c r="D606" s="587" t="s">
        <v>4437</v>
      </c>
      <c r="E606" s="519">
        <v>1200000</v>
      </c>
      <c r="F606" s="310">
        <v>0.05</v>
      </c>
      <c r="G606" s="602">
        <f t="shared" ref="G606:G609" si="25">E606*F606</f>
        <v>60000</v>
      </c>
      <c r="H606" s="441" t="s">
        <v>582</v>
      </c>
      <c r="I606" s="441" t="s">
        <v>3928</v>
      </c>
      <c r="J606" s="1711"/>
      <c r="K606" s="441">
        <v>11407</v>
      </c>
      <c r="L606" s="587" t="s">
        <v>4430</v>
      </c>
      <c r="M606" s="1780">
        <v>1000000</v>
      </c>
      <c r="N606" s="376">
        <v>0.05</v>
      </c>
      <c r="O606" s="294">
        <f t="shared" ref="O606:O609" si="26">M606*N606</f>
        <v>50000</v>
      </c>
    </row>
    <row r="607" spans="1:15" x14ac:dyDescent="0.3">
      <c r="A607" s="3780"/>
      <c r="B607" s="440">
        <v>11430</v>
      </c>
      <c r="C607" s="310">
        <v>0.1</v>
      </c>
      <c r="D607" s="587" t="s">
        <v>4438</v>
      </c>
      <c r="E607" s="519">
        <v>1550000</v>
      </c>
      <c r="F607" s="310">
        <v>0.05</v>
      </c>
      <c r="G607" s="602">
        <f t="shared" si="25"/>
        <v>77500</v>
      </c>
      <c r="H607" s="441" t="s">
        <v>582</v>
      </c>
      <c r="I607" s="441" t="s">
        <v>3925</v>
      </c>
      <c r="J607" s="1711"/>
      <c r="K607" s="1780"/>
      <c r="L607" s="970" t="s">
        <v>4439</v>
      </c>
      <c r="M607" s="1780">
        <v>1150000</v>
      </c>
      <c r="N607" s="376">
        <v>0.05</v>
      </c>
      <c r="O607" s="294">
        <f t="shared" si="26"/>
        <v>57500</v>
      </c>
    </row>
    <row r="608" spans="1:15" x14ac:dyDescent="0.3">
      <c r="A608" s="3780"/>
      <c r="B608" s="440">
        <v>11456</v>
      </c>
      <c r="C608" s="310">
        <v>0.1</v>
      </c>
      <c r="D608" s="587" t="s">
        <v>4440</v>
      </c>
      <c r="E608" s="519">
        <v>1200000</v>
      </c>
      <c r="F608" s="310">
        <v>0.1</v>
      </c>
      <c r="G608" s="602">
        <f t="shared" si="25"/>
        <v>120000</v>
      </c>
      <c r="H608" s="441" t="s">
        <v>510</v>
      </c>
      <c r="I608" s="441" t="s">
        <v>3928</v>
      </c>
      <c r="J608" s="1711"/>
      <c r="K608" s="441">
        <v>11494</v>
      </c>
      <c r="L608" s="587" t="s">
        <v>4441</v>
      </c>
      <c r="M608" s="1780">
        <v>1100000</v>
      </c>
      <c r="N608" s="376">
        <v>0.05</v>
      </c>
      <c r="O608" s="294">
        <f t="shared" si="26"/>
        <v>55000</v>
      </c>
    </row>
    <row r="609" spans="1:15" x14ac:dyDescent="0.3">
      <c r="A609" s="3780"/>
      <c r="B609" s="604">
        <v>11443</v>
      </c>
      <c r="C609" s="310">
        <v>0.1</v>
      </c>
      <c r="D609" s="587" t="s">
        <v>4442</v>
      </c>
      <c r="E609" s="519">
        <v>1250000</v>
      </c>
      <c r="F609" s="310">
        <v>0.05</v>
      </c>
      <c r="G609" s="602">
        <f t="shared" si="25"/>
        <v>62500</v>
      </c>
      <c r="H609" s="441" t="s">
        <v>582</v>
      </c>
      <c r="I609" s="441" t="s">
        <v>3928</v>
      </c>
      <c r="J609" s="1711"/>
      <c r="K609" s="1780"/>
      <c r="L609" s="970" t="s">
        <v>4443</v>
      </c>
      <c r="M609" s="1780">
        <v>1000000</v>
      </c>
      <c r="N609" s="376">
        <v>0.05</v>
      </c>
      <c r="O609" s="294">
        <f t="shared" si="26"/>
        <v>50000</v>
      </c>
    </row>
    <row r="610" spans="1:15" x14ac:dyDescent="0.3">
      <c r="A610" s="3780"/>
      <c r="B610" s="308"/>
      <c r="C610" s="1780"/>
      <c r="D610" s="970"/>
      <c r="E610" s="740"/>
      <c r="F610" s="1780"/>
      <c r="G610" s="967"/>
      <c r="H610" s="1780"/>
      <c r="I610" s="1780"/>
      <c r="J610" s="1711"/>
      <c r="K610" s="1780"/>
      <c r="L610" s="1780"/>
      <c r="M610" s="1780"/>
      <c r="N610" s="1780"/>
      <c r="O610" s="294"/>
    </row>
    <row r="611" spans="1:15" ht="15" customHeight="1" x14ac:dyDescent="0.3">
      <c r="A611" s="3780"/>
      <c r="B611" s="308"/>
      <c r="C611" s="1780"/>
      <c r="D611" s="1188"/>
      <c r="E611" s="740"/>
      <c r="F611" s="1780"/>
      <c r="G611" s="967"/>
      <c r="H611" s="1780"/>
      <c r="I611" s="1780"/>
      <c r="J611" s="1711"/>
      <c r="K611" s="1780"/>
      <c r="L611" s="1780"/>
      <c r="M611" s="1780"/>
      <c r="N611" s="376"/>
      <c r="O611" s="848">
        <f>SUM(O605:O609)</f>
        <v>267500</v>
      </c>
    </row>
    <row r="612" spans="1:15" ht="15" customHeight="1" x14ac:dyDescent="0.3">
      <c r="A612" s="2278"/>
      <c r="B612" s="308"/>
      <c r="C612" s="1780"/>
      <c r="D612" s="1188"/>
      <c r="E612" s="740"/>
      <c r="F612" s="1780"/>
      <c r="G612" s="967"/>
      <c r="H612" s="1780"/>
      <c r="I612" s="1780"/>
      <c r="J612" s="1711"/>
      <c r="K612" s="1780"/>
      <c r="L612" s="1780"/>
      <c r="M612" s="1780"/>
      <c r="N612" s="1780"/>
      <c r="O612" s="294"/>
    </row>
    <row r="613" spans="1:15" ht="15" customHeight="1" x14ac:dyDescent="0.3">
      <c r="A613" s="2278"/>
      <c r="B613" s="371"/>
      <c r="C613" s="320"/>
      <c r="D613" s="1188"/>
      <c r="E613" s="972"/>
      <c r="F613" s="320"/>
      <c r="G613" s="298"/>
      <c r="H613" s="307"/>
      <c r="I613" s="307"/>
      <c r="J613" s="1711"/>
      <c r="K613" s="1780"/>
      <c r="L613" s="1780"/>
      <c r="M613" s="1780"/>
      <c r="N613" s="1780"/>
      <c r="O613" s="294"/>
    </row>
    <row r="614" spans="1:15" ht="15" customHeight="1" x14ac:dyDescent="0.3">
      <c r="A614" s="2278"/>
      <c r="B614" s="918"/>
      <c r="C614" s="514"/>
      <c r="D614" s="1116" t="s">
        <v>3000</v>
      </c>
      <c r="E614" s="483">
        <f>SUM(E605:E612)</f>
        <v>6050000</v>
      </c>
      <c r="F614" s="514"/>
      <c r="G614" s="483">
        <f>SUM(G605:G609)</f>
        <v>405000</v>
      </c>
      <c r="H614" s="514"/>
      <c r="I614" s="514"/>
      <c r="J614" s="856"/>
      <c r="K614" s="287"/>
      <c r="L614" s="3590" t="s">
        <v>3026</v>
      </c>
      <c r="M614" s="3590"/>
      <c r="N614" s="3590"/>
      <c r="O614" s="1008">
        <v>672500</v>
      </c>
    </row>
    <row r="615" spans="1:15" ht="15.75" customHeight="1" x14ac:dyDescent="0.3">
      <c r="A615" s="2279"/>
      <c r="B615" s="919"/>
      <c r="C615" s="840"/>
      <c r="D615" s="1182" t="s">
        <v>3002</v>
      </c>
      <c r="E615" s="953">
        <f>G614+O611</f>
        <v>672500</v>
      </c>
      <c r="F615" s="840"/>
      <c r="G615" s="842"/>
      <c r="H615" s="840"/>
      <c r="I615" s="840"/>
      <c r="J615" s="857"/>
      <c r="K615" s="287"/>
      <c r="L615" s="968"/>
      <c r="M615" s="968"/>
      <c r="N615" s="968"/>
      <c r="O615" s="294"/>
    </row>
    <row r="616" spans="1:15" x14ac:dyDescent="0.3">
      <c r="A616" s="2230"/>
      <c r="B616" s="17"/>
      <c r="C616" s="17"/>
      <c r="D616" s="1085"/>
      <c r="E616" s="19"/>
      <c r="F616" s="17"/>
      <c r="G616" s="20"/>
      <c r="H616" s="17"/>
      <c r="I616" s="17"/>
      <c r="J616" s="18"/>
      <c r="O616" s="1"/>
    </row>
    <row r="617" spans="1:15" x14ac:dyDescent="0.3">
      <c r="A617" s="3774" t="s">
        <v>4444</v>
      </c>
      <c r="B617" s="3774"/>
      <c r="C617" s="3774"/>
      <c r="D617" s="3774"/>
      <c r="E617" s="3774"/>
      <c r="F617" s="3774"/>
      <c r="G617" s="3774"/>
      <c r="H617" s="3774"/>
      <c r="I617" s="17"/>
      <c r="J617" s="18"/>
      <c r="O617" s="1"/>
    </row>
    <row r="618" spans="1:15" x14ac:dyDescent="0.3">
      <c r="A618" s="3774"/>
      <c r="B618" s="3774"/>
      <c r="C618" s="3774"/>
      <c r="D618" s="3774"/>
      <c r="E618" s="3774"/>
      <c r="F618" s="3774"/>
      <c r="G618" s="3774"/>
      <c r="H618" s="3774"/>
    </row>
    <row r="619" spans="1:15" ht="20.399999999999999" x14ac:dyDescent="0.3">
      <c r="A619" s="271" t="s">
        <v>3751</v>
      </c>
      <c r="B619" s="404" t="s">
        <v>2976</v>
      </c>
      <c r="C619" s="176" t="s">
        <v>3752</v>
      </c>
      <c r="D619" s="1127" t="s">
        <v>4121</v>
      </c>
      <c r="E619" s="405" t="s">
        <v>3754</v>
      </c>
      <c r="F619" s="406" t="s">
        <v>2979</v>
      </c>
      <c r="G619" s="407" t="s">
        <v>2985</v>
      </c>
      <c r="H619" s="697" t="s">
        <v>4123</v>
      </c>
      <c r="I619" s="2"/>
    </row>
    <row r="620" spans="1:15" s="511" customFormat="1" x14ac:dyDescent="0.3">
      <c r="A620" s="2280">
        <v>11361</v>
      </c>
      <c r="B620" s="900">
        <v>0.1</v>
      </c>
      <c r="C620" s="901" t="s">
        <v>4445</v>
      </c>
      <c r="D620" s="1189" t="s">
        <v>4109</v>
      </c>
      <c r="E620" s="902">
        <v>850000</v>
      </c>
      <c r="F620" s="903"/>
      <c r="G620" s="904"/>
      <c r="H620" s="727" t="s">
        <v>4234</v>
      </c>
      <c r="I620" s="1072" t="s">
        <v>4122</v>
      </c>
    </row>
    <row r="621" spans="1:15" s="511" customFormat="1" ht="15" customHeight="1" x14ac:dyDescent="0.3">
      <c r="A621" s="2281"/>
      <c r="B621" s="764"/>
      <c r="C621" s="859"/>
      <c r="D621" s="1177"/>
      <c r="E621" s="574"/>
      <c r="F621" s="858"/>
      <c r="G621" s="414"/>
      <c r="H621" s="509"/>
      <c r="I621" s="1073"/>
    </row>
    <row r="622" spans="1:15" x14ac:dyDescent="0.3">
      <c r="A622" s="277"/>
      <c r="B622" s="764"/>
      <c r="C622" s="415"/>
      <c r="D622" s="1177" t="s">
        <v>3000</v>
      </c>
      <c r="E622" s="574">
        <f>E620</f>
        <v>850000</v>
      </c>
      <c r="F622" s="575"/>
      <c r="G622" s="414"/>
      <c r="H622" s="509"/>
      <c r="I622" s="1034"/>
    </row>
    <row r="623" spans="1:15" ht="15.6" x14ac:dyDescent="0.3">
      <c r="A623" s="277"/>
      <c r="B623" s="278"/>
      <c r="C623" s="278"/>
      <c r="D623" s="1137" t="s">
        <v>3764</v>
      </c>
      <c r="E623" s="495">
        <v>0</v>
      </c>
      <c r="F623" s="278"/>
      <c r="G623" s="787"/>
      <c r="H623" s="1048"/>
      <c r="I623" s="1034"/>
    </row>
    <row r="624" spans="1:15" ht="15.6" x14ac:dyDescent="0.3">
      <c r="A624" s="269"/>
      <c r="B624" s="822"/>
      <c r="C624" s="822"/>
      <c r="D624" s="1178"/>
      <c r="E624" s="823"/>
      <c r="F624" s="822"/>
      <c r="G624" s="824"/>
      <c r="H624" s="1049"/>
      <c r="I624" s="1070"/>
    </row>
    <row r="625" spans="1:9" x14ac:dyDescent="0.3">
      <c r="A625" s="90"/>
      <c r="E625" s="91"/>
      <c r="G625" s="92"/>
      <c r="H625" s="1028"/>
    </row>
    <row r="626" spans="1:9" x14ac:dyDescent="0.3">
      <c r="A626" s="3775" t="s">
        <v>4446</v>
      </c>
      <c r="B626" s="3775"/>
      <c r="C626" s="3775"/>
      <c r="D626" s="3775"/>
      <c r="E626" s="3775"/>
      <c r="F626" s="3775"/>
      <c r="G626" s="3775"/>
      <c r="H626" s="3775"/>
    </row>
    <row r="627" spans="1:9" x14ac:dyDescent="0.3">
      <c r="A627" s="3775"/>
      <c r="B627" s="3775"/>
      <c r="C627" s="3775"/>
      <c r="D627" s="3775"/>
      <c r="E627" s="3775"/>
      <c r="F627" s="3775"/>
      <c r="G627" s="3775"/>
      <c r="H627" s="3775"/>
    </row>
    <row r="628" spans="1:9" ht="20.399999999999999" x14ac:dyDescent="0.3">
      <c r="A628" s="271" t="s">
        <v>3751</v>
      </c>
      <c r="B628" s="860" t="s">
        <v>2976</v>
      </c>
      <c r="C628" s="890" t="s">
        <v>3752</v>
      </c>
      <c r="D628" s="1127" t="s">
        <v>4121</v>
      </c>
      <c r="E628" s="862" t="s">
        <v>3754</v>
      </c>
      <c r="F628" s="406" t="s">
        <v>2979</v>
      </c>
      <c r="G628" s="407" t="s">
        <v>2985</v>
      </c>
      <c r="H628" s="408"/>
    </row>
    <row r="629" spans="1:9" ht="20.399999999999999" x14ac:dyDescent="0.3">
      <c r="A629" s="892"/>
      <c r="B629" s="914"/>
      <c r="C629" s="915" t="s">
        <v>4447</v>
      </c>
      <c r="D629" s="891" t="s">
        <v>4448</v>
      </c>
      <c r="E629" s="893"/>
      <c r="F629" s="775"/>
      <c r="G629" s="894"/>
      <c r="H629" s="897"/>
      <c r="I629" s="1074"/>
    </row>
    <row r="630" spans="1:9" x14ac:dyDescent="0.3">
      <c r="A630" s="561">
        <v>11353</v>
      </c>
      <c r="B630" s="429">
        <v>0.1</v>
      </c>
      <c r="C630" s="912" t="s">
        <v>4449</v>
      </c>
      <c r="D630" s="1190" t="s">
        <v>4109</v>
      </c>
      <c r="E630" s="276">
        <v>1150000</v>
      </c>
      <c r="F630" s="310">
        <v>0.02</v>
      </c>
      <c r="G630" s="519">
        <f t="shared" ref="G630:G637" si="27">E630*F630</f>
        <v>23000</v>
      </c>
      <c r="H630" s="306" t="s">
        <v>523</v>
      </c>
      <c r="I630" s="306" t="s">
        <v>4122</v>
      </c>
    </row>
    <row r="631" spans="1:9" x14ac:dyDescent="0.3">
      <c r="A631" s="653">
        <v>11352</v>
      </c>
      <c r="B631" s="322">
        <v>0.1</v>
      </c>
      <c r="C631" s="284" t="s">
        <v>4450</v>
      </c>
      <c r="D631" s="590" t="s">
        <v>4109</v>
      </c>
      <c r="E631" s="276">
        <v>1100000</v>
      </c>
      <c r="F631" s="310">
        <v>0.02</v>
      </c>
      <c r="G631" s="519">
        <f t="shared" si="27"/>
        <v>22000</v>
      </c>
      <c r="H631" s="306" t="s">
        <v>523</v>
      </c>
      <c r="I631" s="306" t="s">
        <v>4122</v>
      </c>
    </row>
    <row r="632" spans="1:9" x14ac:dyDescent="0.3">
      <c r="A632" s="1009">
        <v>11407</v>
      </c>
      <c r="B632" s="322">
        <v>0.1</v>
      </c>
      <c r="C632" s="616" t="s">
        <v>4451</v>
      </c>
      <c r="D632" s="1159" t="s">
        <v>4109</v>
      </c>
      <c r="E632" s="687">
        <v>1000000</v>
      </c>
      <c r="F632" s="310">
        <v>0.02</v>
      </c>
      <c r="G632" s="519">
        <f t="shared" si="27"/>
        <v>20000</v>
      </c>
      <c r="H632" s="314" t="s">
        <v>527</v>
      </c>
      <c r="I632" s="314" t="s">
        <v>4122</v>
      </c>
    </row>
    <row r="633" spans="1:9" x14ac:dyDescent="0.3">
      <c r="A633" s="562">
        <v>11411</v>
      </c>
      <c r="B633" s="771">
        <v>0.1</v>
      </c>
      <c r="C633" s="526" t="s">
        <v>4452</v>
      </c>
      <c r="D633" s="1056" t="s">
        <v>4109</v>
      </c>
      <c r="E633" s="687">
        <v>1000000</v>
      </c>
      <c r="F633" s="592">
        <v>0.02</v>
      </c>
      <c r="G633" s="916">
        <f t="shared" si="27"/>
        <v>20000</v>
      </c>
      <c r="H633" s="314" t="s">
        <v>523</v>
      </c>
      <c r="I633" s="314" t="s">
        <v>4122</v>
      </c>
    </row>
    <row r="634" spans="1:9" x14ac:dyDescent="0.3">
      <c r="A634" s="653">
        <v>11419</v>
      </c>
      <c r="B634" s="423">
        <v>0.1</v>
      </c>
      <c r="C634" s="283" t="s">
        <v>4453</v>
      </c>
      <c r="D634" s="590" t="s">
        <v>4109</v>
      </c>
      <c r="E634" s="276">
        <v>1150000</v>
      </c>
      <c r="F634" s="310">
        <v>0.02</v>
      </c>
      <c r="G634" s="519">
        <f t="shared" ref="G634" si="28">E634*F634</f>
        <v>23000</v>
      </c>
      <c r="H634" s="306" t="s">
        <v>527</v>
      </c>
      <c r="I634" s="306" t="s">
        <v>4122</v>
      </c>
    </row>
    <row r="635" spans="1:9" x14ac:dyDescent="0.3">
      <c r="A635" s="653">
        <v>11431</v>
      </c>
      <c r="B635" s="281">
        <v>0.1</v>
      </c>
      <c r="C635" s="283" t="s">
        <v>4454</v>
      </c>
      <c r="D635" s="1056" t="s">
        <v>4109</v>
      </c>
      <c r="E635" s="687">
        <v>1300000</v>
      </c>
      <c r="F635" s="310">
        <v>0.02</v>
      </c>
      <c r="G635" s="519">
        <f t="shared" si="27"/>
        <v>26000</v>
      </c>
      <c r="H635" s="314" t="s">
        <v>582</v>
      </c>
      <c r="I635" s="314" t="s">
        <v>4122</v>
      </c>
    </row>
    <row r="636" spans="1:9" x14ac:dyDescent="0.3">
      <c r="A636" s="653">
        <v>11432</v>
      </c>
      <c r="B636" s="281">
        <v>0.1</v>
      </c>
      <c r="C636" s="526" t="s">
        <v>4455</v>
      </c>
      <c r="D636" s="1056" t="s">
        <v>4109</v>
      </c>
      <c r="E636" s="687">
        <v>1200000</v>
      </c>
      <c r="F636" s="310">
        <v>0.02</v>
      </c>
      <c r="G636" s="519">
        <f t="shared" si="27"/>
        <v>24000</v>
      </c>
      <c r="H636" s="314" t="s">
        <v>523</v>
      </c>
      <c r="I636" s="314" t="s">
        <v>4122</v>
      </c>
    </row>
    <row r="637" spans="1:9" x14ac:dyDescent="0.3">
      <c r="A637" s="653">
        <v>11430</v>
      </c>
      <c r="B637" s="423">
        <v>0.1</v>
      </c>
      <c r="C637" s="439" t="s">
        <v>4456</v>
      </c>
      <c r="D637" s="1056" t="s">
        <v>4109</v>
      </c>
      <c r="E637" s="687">
        <v>1550000</v>
      </c>
      <c r="F637" s="592">
        <v>0.02</v>
      </c>
      <c r="G637" s="916">
        <f t="shared" si="27"/>
        <v>31000</v>
      </c>
      <c r="H637" s="314" t="s">
        <v>510</v>
      </c>
      <c r="I637" s="314" t="s">
        <v>4122</v>
      </c>
    </row>
    <row r="638" spans="1:9" x14ac:dyDescent="0.3">
      <c r="A638" s="2282"/>
      <c r="B638" s="861"/>
      <c r="C638" s="895"/>
      <c r="D638" s="1191"/>
      <c r="E638" s="917"/>
      <c r="F638" s="927"/>
      <c r="G638" s="928"/>
      <c r="H638" s="1016"/>
      <c r="I638" s="1016"/>
    </row>
    <row r="639" spans="1:9" x14ac:dyDescent="0.3">
      <c r="A639" s="2240"/>
      <c r="B639" s="861"/>
      <c r="C639" s="287"/>
      <c r="D639" s="1192"/>
      <c r="E639" s="493"/>
      <c r="F639" s="446"/>
      <c r="G639" s="494"/>
      <c r="H639" s="315"/>
      <c r="I639" s="347"/>
    </row>
    <row r="640" spans="1:9" x14ac:dyDescent="0.3">
      <c r="A640" s="2240"/>
      <c r="B640" s="861"/>
      <c r="C640" s="287"/>
      <c r="D640" s="1192" t="s">
        <v>4457</v>
      </c>
      <c r="E640" s="493">
        <f>SUM(E630:E637)</f>
        <v>9450000</v>
      </c>
      <c r="F640" s="446"/>
      <c r="G640" s="494">
        <f>SUM(G630:G637)</f>
        <v>189000</v>
      </c>
      <c r="H640" s="315"/>
      <c r="I640" s="347"/>
    </row>
    <row r="641" spans="1:9" ht="15.6" x14ac:dyDescent="0.3">
      <c r="A641" s="46"/>
      <c r="B641" s="11"/>
      <c r="C641" s="171"/>
      <c r="D641" s="1137" t="s">
        <v>3764</v>
      </c>
      <c r="E641" s="495">
        <f>G640</f>
        <v>189000</v>
      </c>
      <c r="F641" s="11"/>
      <c r="G641" s="93"/>
      <c r="H641" s="50"/>
      <c r="I641" s="2"/>
    </row>
    <row r="642" spans="1:9" x14ac:dyDescent="0.3">
      <c r="E642" s="603"/>
    </row>
    <row r="645" spans="1:9" x14ac:dyDescent="0.3">
      <c r="A645" s="3775" t="s">
        <v>4458</v>
      </c>
      <c r="B645" s="3775"/>
      <c r="C645" s="3775"/>
      <c r="D645" s="3775"/>
      <c r="E645" s="3775"/>
      <c r="F645" s="3775"/>
      <c r="G645" s="3775"/>
      <c r="H645" s="3775"/>
    </row>
    <row r="646" spans="1:9" s="511" customFormat="1" x14ac:dyDescent="0.3">
      <c r="A646" s="3775"/>
      <c r="B646" s="3775"/>
      <c r="C646" s="3775"/>
      <c r="D646" s="3775"/>
      <c r="E646" s="3775"/>
      <c r="F646" s="3775"/>
      <c r="G646" s="3775"/>
      <c r="H646" s="3775"/>
      <c r="I646" s="1"/>
    </row>
    <row r="647" spans="1:9" s="511" customFormat="1" ht="20.399999999999999" x14ac:dyDescent="0.3">
      <c r="A647" s="271" t="s">
        <v>3751</v>
      </c>
      <c r="B647" s="860" t="s">
        <v>2976</v>
      </c>
      <c r="C647" s="890" t="s">
        <v>3752</v>
      </c>
      <c r="D647" s="1127" t="s">
        <v>4121</v>
      </c>
      <c r="E647" s="862" t="s">
        <v>3754</v>
      </c>
      <c r="F647" s="406" t="s">
        <v>2979</v>
      </c>
      <c r="G647" s="407" t="s">
        <v>2985</v>
      </c>
      <c r="H647" s="408" t="s">
        <v>4123</v>
      </c>
      <c r="I647" s="1"/>
    </row>
    <row r="648" spans="1:9" s="511" customFormat="1" x14ac:dyDescent="0.3">
      <c r="A648" s="127"/>
      <c r="B648" s="896"/>
      <c r="C648" s="923" t="s">
        <v>4447</v>
      </c>
      <c r="D648" s="973" t="s">
        <v>4459</v>
      </c>
      <c r="E648" s="920"/>
      <c r="F648" s="974"/>
      <c r="G648" s="939"/>
      <c r="H648" s="975" t="s">
        <v>582</v>
      </c>
      <c r="I648" s="1075"/>
    </row>
    <row r="649" spans="1:9" s="511" customFormat="1" x14ac:dyDescent="0.3">
      <c r="A649" s="361"/>
      <c r="B649" s="409"/>
      <c r="C649" s="923" t="s">
        <v>4460</v>
      </c>
      <c r="D649" s="921" t="s">
        <v>4461</v>
      </c>
      <c r="E649" s="387"/>
      <c r="F649" s="344"/>
      <c r="G649" s="412"/>
      <c r="H649" s="706" t="s">
        <v>523</v>
      </c>
      <c r="I649" s="606"/>
    </row>
    <row r="650" spans="1:9" s="511" customFormat="1" x14ac:dyDescent="0.3">
      <c r="A650" s="361"/>
      <c r="B650" s="409"/>
      <c r="C650" s="358" t="s">
        <v>4462</v>
      </c>
      <c r="D650" s="1193" t="s">
        <v>4463</v>
      </c>
      <c r="E650" s="721"/>
      <c r="F650" s="720"/>
      <c r="G650" s="924"/>
      <c r="H650" s="606" t="s">
        <v>527</v>
      </c>
      <c r="I650" s="606"/>
    </row>
    <row r="651" spans="1:9" s="511" customFormat="1" x14ac:dyDescent="0.3">
      <c r="A651" s="2283"/>
      <c r="B651" s="773"/>
      <c r="C651" s="270" t="s">
        <v>4464</v>
      </c>
      <c r="D651" s="1194" t="s">
        <v>4125</v>
      </c>
      <c r="E651" s="938"/>
      <c r="F651" s="720"/>
      <c r="G651" s="924"/>
      <c r="H651" s="606" t="s">
        <v>527</v>
      </c>
      <c r="I651" s="691"/>
    </row>
    <row r="652" spans="1:9" s="511" customFormat="1" x14ac:dyDescent="0.3">
      <c r="A652" s="562">
        <v>11349</v>
      </c>
      <c r="B652" s="796">
        <v>0.1</v>
      </c>
      <c r="C652" s="930" t="s">
        <v>4465</v>
      </c>
      <c r="D652" s="969" t="s">
        <v>4109</v>
      </c>
      <c r="E652" s="931">
        <v>900000</v>
      </c>
      <c r="F652" s="678">
        <v>0.06</v>
      </c>
      <c r="G652" s="929">
        <f>E652*F652</f>
        <v>54000</v>
      </c>
      <c r="H652" s="306"/>
      <c r="I652" s="619"/>
    </row>
    <row r="653" spans="1:9" s="511" customFormat="1" x14ac:dyDescent="0.3">
      <c r="A653" s="562">
        <v>11354</v>
      </c>
      <c r="B653" s="796">
        <v>0.1</v>
      </c>
      <c r="C653" s="930" t="s">
        <v>4466</v>
      </c>
      <c r="D653" s="969" t="s">
        <v>4109</v>
      </c>
      <c r="E653" s="931">
        <v>870000</v>
      </c>
      <c r="F653" s="678">
        <v>0.06</v>
      </c>
      <c r="G653" s="929">
        <f t="shared" ref="G653:G669" si="29">E653*F653</f>
        <v>52200</v>
      </c>
      <c r="H653" s="306"/>
      <c r="I653" s="306"/>
    </row>
    <row r="654" spans="1:9" s="511" customFormat="1" x14ac:dyDescent="0.3">
      <c r="A654" s="562">
        <v>11408</v>
      </c>
      <c r="B654" s="796">
        <v>0.1</v>
      </c>
      <c r="C654" s="930" t="s">
        <v>4467</v>
      </c>
      <c r="D654" s="969" t="s">
        <v>4109</v>
      </c>
      <c r="E654" s="931">
        <v>900000</v>
      </c>
      <c r="F654" s="678">
        <v>0.06</v>
      </c>
      <c r="G654" s="929">
        <f t="shared" si="29"/>
        <v>54000</v>
      </c>
      <c r="H654" s="306"/>
      <c r="I654" s="306"/>
    </row>
    <row r="655" spans="1:9" s="511" customFormat="1" x14ac:dyDescent="0.3">
      <c r="A655" s="562">
        <v>11370</v>
      </c>
      <c r="B655" s="796">
        <v>0.1</v>
      </c>
      <c r="C655" s="930" t="s">
        <v>4468</v>
      </c>
      <c r="D655" s="969" t="s">
        <v>4109</v>
      </c>
      <c r="E655" s="940">
        <v>1100000</v>
      </c>
      <c r="F655" s="678">
        <v>0.06</v>
      </c>
      <c r="G655" s="929">
        <f t="shared" si="29"/>
        <v>66000</v>
      </c>
      <c r="H655" s="976"/>
      <c r="I655" s="1076"/>
    </row>
    <row r="656" spans="1:9" s="511" customFormat="1" x14ac:dyDescent="0.3">
      <c r="A656" s="562">
        <v>11410</v>
      </c>
      <c r="B656" s="313">
        <v>0.1</v>
      </c>
      <c r="C656" s="526" t="s">
        <v>4469</v>
      </c>
      <c r="D656" s="1159" t="s">
        <v>4109</v>
      </c>
      <c r="E656" s="312">
        <v>1200000</v>
      </c>
      <c r="F656" s="678">
        <v>0.06</v>
      </c>
      <c r="G656" s="929">
        <f t="shared" si="29"/>
        <v>72000</v>
      </c>
      <c r="H656" s="593" t="s">
        <v>510</v>
      </c>
      <c r="I656" s="593" t="s">
        <v>4122</v>
      </c>
    </row>
    <row r="657" spans="1:9" s="511" customFormat="1" x14ac:dyDescent="0.3">
      <c r="A657" s="562">
        <v>11443</v>
      </c>
      <c r="B657" s="424">
        <v>0.1</v>
      </c>
      <c r="C657" s="283" t="s">
        <v>4470</v>
      </c>
      <c r="D657" s="1056" t="s">
        <v>4471</v>
      </c>
      <c r="E657" s="687">
        <v>1250000</v>
      </c>
      <c r="F657" s="678">
        <v>0.06</v>
      </c>
      <c r="G657" s="929">
        <f t="shared" si="29"/>
        <v>75000</v>
      </c>
      <c r="H657" s="314" t="s">
        <v>510</v>
      </c>
      <c r="I657" s="314" t="s">
        <v>4122</v>
      </c>
    </row>
    <row r="658" spans="1:9" s="511" customFormat="1" x14ac:dyDescent="0.3">
      <c r="A658" s="562">
        <v>11450</v>
      </c>
      <c r="B658" s="281">
        <v>0.1</v>
      </c>
      <c r="C658" s="937" t="s">
        <v>4472</v>
      </c>
      <c r="D658" s="1054" t="s">
        <v>4109</v>
      </c>
      <c r="E658" s="305">
        <v>1050000</v>
      </c>
      <c r="F658" s="678">
        <v>0.06</v>
      </c>
      <c r="G658" s="929">
        <f t="shared" si="29"/>
        <v>63000</v>
      </c>
      <c r="H658" s="441" t="s">
        <v>582</v>
      </c>
      <c r="I658" s="441" t="s">
        <v>4122</v>
      </c>
    </row>
    <row r="659" spans="1:9" s="511" customFormat="1" x14ac:dyDescent="0.3">
      <c r="A659" s="2284" t="s">
        <v>4473</v>
      </c>
      <c r="B659" s="695">
        <v>0.1</v>
      </c>
      <c r="C659" s="772" t="s">
        <v>4474</v>
      </c>
      <c r="D659" s="1056" t="s">
        <v>4109</v>
      </c>
      <c r="E659" s="687">
        <v>1150000</v>
      </c>
      <c r="F659" s="678">
        <v>0.06</v>
      </c>
      <c r="G659" s="929">
        <f t="shared" si="29"/>
        <v>69000</v>
      </c>
      <c r="H659" s="314" t="s">
        <v>582</v>
      </c>
      <c r="I659" s="314" t="s">
        <v>4122</v>
      </c>
    </row>
    <row r="660" spans="1:9" s="511" customFormat="1" x14ac:dyDescent="0.3">
      <c r="A660" s="2285" t="s">
        <v>4407</v>
      </c>
      <c r="B660" s="421">
        <v>0.1</v>
      </c>
      <c r="C660" s="439" t="s">
        <v>4475</v>
      </c>
      <c r="D660" s="590" t="s">
        <v>4109</v>
      </c>
      <c r="E660" s="276">
        <v>1200000</v>
      </c>
      <c r="F660" s="678">
        <v>0.06</v>
      </c>
      <c r="G660" s="929">
        <f t="shared" si="29"/>
        <v>72000</v>
      </c>
      <c r="H660" s="306" t="s">
        <v>1138</v>
      </c>
      <c r="I660" s="306" t="s">
        <v>4122</v>
      </c>
    </row>
    <row r="661" spans="1:9" s="511" customFormat="1" x14ac:dyDescent="0.3">
      <c r="A661" s="2259">
        <v>11484</v>
      </c>
      <c r="B661" s="981">
        <v>0.1</v>
      </c>
      <c r="C661" s="286" t="s">
        <v>4476</v>
      </c>
      <c r="D661" s="1056" t="s">
        <v>4109</v>
      </c>
      <c r="E661" s="687">
        <v>1100000</v>
      </c>
      <c r="F661" s="678">
        <v>0.06</v>
      </c>
      <c r="G661" s="929">
        <f t="shared" si="29"/>
        <v>66000</v>
      </c>
      <c r="H661" s="314" t="s">
        <v>523</v>
      </c>
      <c r="I661" s="314" t="s">
        <v>4122</v>
      </c>
    </row>
    <row r="662" spans="1:9" s="511" customFormat="1" x14ac:dyDescent="0.3">
      <c r="A662" s="2284">
        <v>11456</v>
      </c>
      <c r="B662" s="322">
        <v>0.1</v>
      </c>
      <c r="C662" s="439" t="s">
        <v>4477</v>
      </c>
      <c r="D662" s="590" t="s">
        <v>4109</v>
      </c>
      <c r="E662" s="276">
        <v>1200000</v>
      </c>
      <c r="F662" s="678">
        <v>0.06</v>
      </c>
      <c r="G662" s="929">
        <f t="shared" si="29"/>
        <v>72000</v>
      </c>
      <c r="H662" s="306" t="s">
        <v>510</v>
      </c>
      <c r="I662" s="306" t="s">
        <v>4122</v>
      </c>
    </row>
    <row r="663" spans="1:9" s="511" customFormat="1" x14ac:dyDescent="0.3">
      <c r="A663" s="561">
        <v>11476</v>
      </c>
      <c r="B663" s="281">
        <v>0.1</v>
      </c>
      <c r="C663" s="283" t="s">
        <v>4478</v>
      </c>
      <c r="D663" s="590" t="s">
        <v>4479</v>
      </c>
      <c r="E663" s="276">
        <v>950000</v>
      </c>
      <c r="F663" s="678">
        <v>0.06</v>
      </c>
      <c r="G663" s="929">
        <f t="shared" si="29"/>
        <v>57000</v>
      </c>
      <c r="H663" s="307" t="s">
        <v>582</v>
      </c>
      <c r="I663" s="307"/>
    </row>
    <row r="664" spans="1:9" s="511" customFormat="1" x14ac:dyDescent="0.3">
      <c r="A664" s="2286">
        <v>11494</v>
      </c>
      <c r="B664" s="281">
        <v>0.1</v>
      </c>
      <c r="C664" s="283" t="s">
        <v>4480</v>
      </c>
      <c r="D664" s="590" t="s">
        <v>4479</v>
      </c>
      <c r="E664" s="276">
        <v>1100000</v>
      </c>
      <c r="F664" s="678">
        <v>0.06</v>
      </c>
      <c r="G664" s="929">
        <f t="shared" si="29"/>
        <v>66000</v>
      </c>
      <c r="H664" s="306" t="s">
        <v>527</v>
      </c>
      <c r="I664" s="306" t="s">
        <v>4122</v>
      </c>
    </row>
    <row r="665" spans="1:9" s="511" customFormat="1" x14ac:dyDescent="0.3">
      <c r="A665" s="653">
        <v>11496</v>
      </c>
      <c r="B665" s="281">
        <v>0.1</v>
      </c>
      <c r="C665" s="283" t="s">
        <v>4481</v>
      </c>
      <c r="D665" s="590" t="s">
        <v>4479</v>
      </c>
      <c r="E665" s="276">
        <v>1500000</v>
      </c>
      <c r="F665" s="678">
        <v>0.06</v>
      </c>
      <c r="G665" s="929">
        <f t="shared" si="29"/>
        <v>90000</v>
      </c>
      <c r="H665" s="306" t="s">
        <v>582</v>
      </c>
      <c r="I665" s="306" t="s">
        <v>4122</v>
      </c>
    </row>
    <row r="666" spans="1:9" x14ac:dyDescent="0.3">
      <c r="A666" s="561">
        <v>11500</v>
      </c>
      <c r="B666" s="313">
        <v>0.1</v>
      </c>
      <c r="C666" s="283" t="s">
        <v>4482</v>
      </c>
      <c r="D666" s="590" t="s">
        <v>4483</v>
      </c>
      <c r="E666" s="276">
        <v>1200000</v>
      </c>
      <c r="F666" s="678">
        <v>0.06</v>
      </c>
      <c r="G666" s="929">
        <f t="shared" si="29"/>
        <v>72000</v>
      </c>
      <c r="H666" s="306" t="s">
        <v>582</v>
      </c>
      <c r="I666" s="306" t="s">
        <v>4122</v>
      </c>
    </row>
    <row r="667" spans="1:9" x14ac:dyDescent="0.3">
      <c r="A667" s="2287">
        <v>11524</v>
      </c>
      <c r="B667" s="281">
        <v>0.1</v>
      </c>
      <c r="C667" s="772" t="s">
        <v>4484</v>
      </c>
      <c r="D667" s="1056" t="s">
        <v>4483</v>
      </c>
      <c r="E667" s="687">
        <v>1150000</v>
      </c>
      <c r="F667" s="678">
        <v>0.06</v>
      </c>
      <c r="G667" s="929">
        <f t="shared" si="29"/>
        <v>69000</v>
      </c>
      <c r="H667" s="315" t="s">
        <v>527</v>
      </c>
      <c r="I667" s="347"/>
    </row>
    <row r="668" spans="1:9" x14ac:dyDescent="0.3">
      <c r="A668" s="2287">
        <v>11525</v>
      </c>
      <c r="B668" s="649">
        <v>0.09</v>
      </c>
      <c r="C668" s="772" t="s">
        <v>4485</v>
      </c>
      <c r="D668" s="1056" t="s">
        <v>4483</v>
      </c>
      <c r="E668" s="687">
        <v>960000</v>
      </c>
      <c r="F668" s="1004">
        <v>0.05</v>
      </c>
      <c r="G668" s="929">
        <f t="shared" si="29"/>
        <v>48000</v>
      </c>
      <c r="H668" s="315" t="s">
        <v>523</v>
      </c>
      <c r="I668" s="347"/>
    </row>
    <row r="669" spans="1:9" x14ac:dyDescent="0.3">
      <c r="A669" s="2287">
        <v>11526</v>
      </c>
      <c r="B669" s="281">
        <v>0.1</v>
      </c>
      <c r="C669" s="772" t="s">
        <v>4486</v>
      </c>
      <c r="D669" s="1056" t="s">
        <v>4479</v>
      </c>
      <c r="E669" s="687">
        <v>1000000</v>
      </c>
      <c r="F669" s="313">
        <v>0.06</v>
      </c>
      <c r="G669" s="929">
        <f t="shared" si="29"/>
        <v>60000</v>
      </c>
      <c r="H669" s="315" t="s">
        <v>1138</v>
      </c>
      <c r="I669" s="347"/>
    </row>
    <row r="670" spans="1:9" x14ac:dyDescent="0.3">
      <c r="A670" s="2288"/>
      <c r="B670" s="913"/>
      <c r="C670" s="983"/>
      <c r="D670" s="1192"/>
      <c r="E670" s="493"/>
      <c r="F670" s="461"/>
      <c r="G670" s="494"/>
      <c r="H670" s="315"/>
      <c r="I670" s="347"/>
    </row>
    <row r="671" spans="1:9" s="511" customFormat="1" x14ac:dyDescent="0.3">
      <c r="A671" s="277"/>
      <c r="B671" s="992"/>
      <c r="C671" s="895"/>
      <c r="D671" s="1195" t="s">
        <v>3758</v>
      </c>
      <c r="E671" s="279">
        <f>SUM(E652:E669)</f>
        <v>19780000</v>
      </c>
      <c r="F671" s="942"/>
      <c r="G671" s="414">
        <f>SUM(G652:G669)</f>
        <v>1177200</v>
      </c>
      <c r="H671" s="307"/>
      <c r="I671" s="294"/>
    </row>
    <row r="672" spans="1:9" x14ac:dyDescent="0.3">
      <c r="A672" s="46"/>
      <c r="B672" s="977"/>
      <c r="C672" s="977"/>
      <c r="D672" s="398" t="s">
        <v>3764</v>
      </c>
      <c r="E672" s="978"/>
      <c r="F672" s="979"/>
      <c r="G672" s="980"/>
      <c r="H672" s="1050"/>
      <c r="I672" s="1077"/>
    </row>
    <row r="673" spans="1:9" x14ac:dyDescent="0.3">
      <c r="E673" s="603"/>
    </row>
    <row r="677" spans="1:9" x14ac:dyDescent="0.3">
      <c r="A677" s="3776" t="s">
        <v>4487</v>
      </c>
      <c r="B677" s="3776"/>
      <c r="C677" s="3776"/>
      <c r="D677" s="3776"/>
      <c r="E677" s="3776"/>
      <c r="F677" s="3776"/>
      <c r="G677" s="3776"/>
      <c r="H677" s="3776"/>
      <c r="I677" s="2"/>
    </row>
    <row r="678" spans="1:9" x14ac:dyDescent="0.3">
      <c r="A678" s="3776"/>
      <c r="B678" s="3776"/>
      <c r="C678" s="3776"/>
      <c r="D678" s="3776"/>
      <c r="E678" s="3776"/>
      <c r="F678" s="3776"/>
      <c r="G678" s="3776"/>
      <c r="H678" s="3776"/>
      <c r="I678" s="2"/>
    </row>
    <row r="679" spans="1:9" ht="20.399999999999999" x14ac:dyDescent="0.3">
      <c r="A679" s="265" t="s">
        <v>3751</v>
      </c>
      <c r="B679" s="33" t="s">
        <v>2976</v>
      </c>
      <c r="C679" s="33" t="s">
        <v>3752</v>
      </c>
      <c r="D679" s="1093" t="s">
        <v>4121</v>
      </c>
      <c r="E679" s="63" t="s">
        <v>3754</v>
      </c>
      <c r="F679" s="118" t="s">
        <v>2979</v>
      </c>
      <c r="G679" s="88" t="s">
        <v>2985</v>
      </c>
      <c r="H679" s="266" t="s">
        <v>4208</v>
      </c>
      <c r="I679" s="2"/>
    </row>
    <row r="680" spans="1:9" x14ac:dyDescent="0.3">
      <c r="A680" s="1009">
        <v>11352</v>
      </c>
      <c r="B680" s="322">
        <v>0.1</v>
      </c>
      <c r="C680" s="283" t="s">
        <v>4488</v>
      </c>
      <c r="D680" s="590" t="s">
        <v>4109</v>
      </c>
      <c r="E680" s="388">
        <v>1100000</v>
      </c>
      <c r="F680" s="423">
        <v>0.03</v>
      </c>
      <c r="G680" s="500">
        <f>E680*F680</f>
        <v>33000</v>
      </c>
      <c r="H680" s="1039" t="s">
        <v>523</v>
      </c>
      <c r="I680" s="619" t="s">
        <v>4122</v>
      </c>
    </row>
    <row r="681" spans="1:9" x14ac:dyDescent="0.3">
      <c r="A681" s="566">
        <v>11353</v>
      </c>
      <c r="B681" s="592">
        <v>0.1</v>
      </c>
      <c r="C681" s="286" t="s">
        <v>4489</v>
      </c>
      <c r="D681" s="1159" t="s">
        <v>4109</v>
      </c>
      <c r="E681" s="687">
        <v>1150000</v>
      </c>
      <c r="F681" s="423">
        <v>0.03</v>
      </c>
      <c r="G681" s="500">
        <f t="shared" ref="G681:G702" si="30">E681*F681</f>
        <v>34500</v>
      </c>
      <c r="H681" s="1038" t="s">
        <v>523</v>
      </c>
      <c r="I681" s="306" t="s">
        <v>4122</v>
      </c>
    </row>
    <row r="682" spans="1:9" x14ac:dyDescent="0.3">
      <c r="A682" s="1010">
        <v>11361</v>
      </c>
      <c r="B682" s="310">
        <v>0.1</v>
      </c>
      <c r="C682" s="693" t="s">
        <v>4490</v>
      </c>
      <c r="D682" s="590" t="s">
        <v>4109</v>
      </c>
      <c r="E682" s="388">
        <v>850000</v>
      </c>
      <c r="F682" s="423">
        <v>0.03</v>
      </c>
      <c r="G682" s="500">
        <f t="shared" si="30"/>
        <v>25500</v>
      </c>
      <c r="H682" s="727" t="s">
        <v>3992</v>
      </c>
      <c r="I682" s="878" t="s">
        <v>4122</v>
      </c>
    </row>
    <row r="683" spans="1:9" x14ac:dyDescent="0.3">
      <c r="A683" s="1011">
        <v>11407</v>
      </c>
      <c r="B683" s="911">
        <v>0.1</v>
      </c>
      <c r="C683" s="912" t="s">
        <v>4451</v>
      </c>
      <c r="D683" s="1196" t="s">
        <v>4109</v>
      </c>
      <c r="E683" s="86">
        <v>1000000</v>
      </c>
      <c r="F683" s="423">
        <v>0.03</v>
      </c>
      <c r="G683" s="500">
        <f t="shared" si="30"/>
        <v>30000</v>
      </c>
      <c r="H683" s="692" t="s">
        <v>3925</v>
      </c>
      <c r="I683" s="878" t="s">
        <v>4122</v>
      </c>
    </row>
    <row r="684" spans="1:9" x14ac:dyDescent="0.3">
      <c r="A684" s="1012">
        <v>11410</v>
      </c>
      <c r="B684" s="123">
        <v>0.1</v>
      </c>
      <c r="C684" s="524" t="s">
        <v>4491</v>
      </c>
      <c r="D684" s="1134" t="s">
        <v>4109</v>
      </c>
      <c r="E684" s="210">
        <v>1200000</v>
      </c>
      <c r="F684" s="423">
        <v>0.03</v>
      </c>
      <c r="G684" s="500">
        <f t="shared" si="30"/>
        <v>36000</v>
      </c>
      <c r="H684" s="692" t="s">
        <v>3928</v>
      </c>
      <c r="I684" s="878" t="s">
        <v>4122</v>
      </c>
    </row>
    <row r="685" spans="1:9" x14ac:dyDescent="0.3">
      <c r="A685" s="1012">
        <v>11411</v>
      </c>
      <c r="B685" s="194">
        <v>0.1</v>
      </c>
      <c r="C685" s="439" t="s">
        <v>4452</v>
      </c>
      <c r="D685" s="1098" t="s">
        <v>4109</v>
      </c>
      <c r="E685" s="210">
        <v>1000000</v>
      </c>
      <c r="F685" s="423">
        <v>0.03</v>
      </c>
      <c r="G685" s="500">
        <f t="shared" si="30"/>
        <v>30000</v>
      </c>
      <c r="H685" s="692" t="s">
        <v>3925</v>
      </c>
      <c r="I685" s="878" t="s">
        <v>4122</v>
      </c>
    </row>
    <row r="686" spans="1:9" x14ac:dyDescent="0.3">
      <c r="A686" s="1013">
        <v>11419</v>
      </c>
      <c r="B686" s="525">
        <v>0.1</v>
      </c>
      <c r="C686" s="524" t="s">
        <v>4453</v>
      </c>
      <c r="D686" s="1196" t="s">
        <v>4109</v>
      </c>
      <c r="E686" s="210">
        <v>1150000</v>
      </c>
      <c r="F686" s="423">
        <v>0.03</v>
      </c>
      <c r="G686" s="500">
        <f t="shared" si="30"/>
        <v>34500</v>
      </c>
      <c r="H686" s="692" t="s">
        <v>3925</v>
      </c>
      <c r="I686" s="878" t="s">
        <v>4122</v>
      </c>
    </row>
    <row r="687" spans="1:9" x14ac:dyDescent="0.3">
      <c r="A687" s="1014">
        <v>11430</v>
      </c>
      <c r="B687" s="123">
        <v>0.1</v>
      </c>
      <c r="C687" s="439" t="s">
        <v>4456</v>
      </c>
      <c r="D687" s="1134" t="s">
        <v>4109</v>
      </c>
      <c r="E687" s="210">
        <v>1550000</v>
      </c>
      <c r="F687" s="423">
        <v>0.03</v>
      </c>
      <c r="G687" s="500">
        <f t="shared" si="30"/>
        <v>46500</v>
      </c>
      <c r="H687" s="692" t="s">
        <v>3925</v>
      </c>
      <c r="I687" s="878" t="s">
        <v>4122</v>
      </c>
    </row>
    <row r="688" spans="1:9" x14ac:dyDescent="0.3">
      <c r="A688" s="1009" t="s">
        <v>4492</v>
      </c>
      <c r="B688" s="123">
        <v>0.1</v>
      </c>
      <c r="C688" s="693" t="s">
        <v>4493</v>
      </c>
      <c r="D688" s="1134" t="s">
        <v>4109</v>
      </c>
      <c r="E688" s="210">
        <v>1300000</v>
      </c>
      <c r="F688" s="423">
        <v>0.03</v>
      </c>
      <c r="G688" s="500">
        <f t="shared" si="30"/>
        <v>39000</v>
      </c>
      <c r="H688" s="692" t="s">
        <v>3925</v>
      </c>
      <c r="I688" s="878" t="s">
        <v>4122</v>
      </c>
    </row>
    <row r="689" spans="1:9" x14ac:dyDescent="0.3">
      <c r="A689" s="196">
        <v>11432</v>
      </c>
      <c r="B689" s="123">
        <v>0.1</v>
      </c>
      <c r="C689" s="439" t="s">
        <v>4494</v>
      </c>
      <c r="D689" s="1134" t="s">
        <v>4109</v>
      </c>
      <c r="E689" s="210">
        <v>1200000</v>
      </c>
      <c r="F689" s="423">
        <v>0.03</v>
      </c>
      <c r="G689" s="500">
        <f t="shared" si="30"/>
        <v>36000</v>
      </c>
      <c r="H689" s="692" t="s">
        <v>4495</v>
      </c>
      <c r="I689" s="878" t="s">
        <v>4122</v>
      </c>
    </row>
    <row r="690" spans="1:9" x14ac:dyDescent="0.3">
      <c r="A690" s="1009">
        <v>11443</v>
      </c>
      <c r="B690" s="199">
        <v>0.1</v>
      </c>
      <c r="C690" s="693" t="s">
        <v>4470</v>
      </c>
      <c r="D690" s="1134" t="s">
        <v>3948</v>
      </c>
      <c r="E690" s="210">
        <v>1250000</v>
      </c>
      <c r="F690" s="423">
        <v>0.03</v>
      </c>
      <c r="G690" s="500">
        <f t="shared" si="30"/>
        <v>37500</v>
      </c>
      <c r="H690" s="692" t="s">
        <v>3928</v>
      </c>
      <c r="I690" s="878" t="s">
        <v>4122</v>
      </c>
    </row>
    <row r="691" spans="1:9" x14ac:dyDescent="0.3">
      <c r="A691" s="121">
        <v>11450</v>
      </c>
      <c r="B691" s="936">
        <v>0.1</v>
      </c>
      <c r="C691" s="524" t="s">
        <v>4472</v>
      </c>
      <c r="D691" s="1134" t="s">
        <v>4109</v>
      </c>
      <c r="E691" s="210">
        <v>1050000</v>
      </c>
      <c r="F691" s="423">
        <v>0.03</v>
      </c>
      <c r="G691" s="500">
        <f t="shared" si="30"/>
        <v>31500</v>
      </c>
      <c r="H691" s="692" t="s">
        <v>582</v>
      </c>
      <c r="I691" s="878" t="s">
        <v>4122</v>
      </c>
    </row>
    <row r="692" spans="1:9" x14ac:dyDescent="0.3">
      <c r="A692" s="1015" t="s">
        <v>4473</v>
      </c>
      <c r="B692" s="281">
        <v>0.1</v>
      </c>
      <c r="C692" s="772" t="s">
        <v>4474</v>
      </c>
      <c r="D692" s="1056" t="s">
        <v>4109</v>
      </c>
      <c r="E692" s="687">
        <v>1150000</v>
      </c>
      <c r="F692" s="423">
        <v>0.03</v>
      </c>
      <c r="G692" s="500">
        <f t="shared" si="30"/>
        <v>34500</v>
      </c>
      <c r="H692" s="314" t="s">
        <v>582</v>
      </c>
      <c r="I692" s="314" t="s">
        <v>4122</v>
      </c>
    </row>
    <row r="693" spans="1:9" x14ac:dyDescent="0.3">
      <c r="A693" s="1012">
        <v>11456</v>
      </c>
      <c r="B693" s="123">
        <v>0.1</v>
      </c>
      <c r="C693" s="693" t="s">
        <v>4477</v>
      </c>
      <c r="D693" s="1134" t="s">
        <v>4109</v>
      </c>
      <c r="E693" s="210">
        <v>1200000</v>
      </c>
      <c r="F693" s="423">
        <v>0.03</v>
      </c>
      <c r="G693" s="500">
        <f t="shared" si="30"/>
        <v>36000</v>
      </c>
      <c r="H693" s="692" t="s">
        <v>4234</v>
      </c>
      <c r="I693" s="878" t="s">
        <v>4122</v>
      </c>
    </row>
    <row r="694" spans="1:9" x14ac:dyDescent="0.3">
      <c r="A694" s="1012">
        <v>11476</v>
      </c>
      <c r="B694" s="123">
        <v>0.1</v>
      </c>
      <c r="C694" s="693" t="s">
        <v>4478</v>
      </c>
      <c r="D694" s="1134" t="s">
        <v>4483</v>
      </c>
      <c r="E694" s="210">
        <v>950000</v>
      </c>
      <c r="F694" s="423">
        <v>0.03</v>
      </c>
      <c r="G694" s="500">
        <f t="shared" si="30"/>
        <v>28500</v>
      </c>
      <c r="H694" s="692" t="s">
        <v>582</v>
      </c>
      <c r="I694" s="878"/>
    </row>
    <row r="695" spans="1:9" x14ac:dyDescent="0.3">
      <c r="A695" s="1012">
        <v>11479</v>
      </c>
      <c r="B695" s="123">
        <v>0.1</v>
      </c>
      <c r="C695" s="526" t="s">
        <v>4496</v>
      </c>
      <c r="D695" s="1134" t="s">
        <v>4109</v>
      </c>
      <c r="E695" s="210">
        <v>1200000</v>
      </c>
      <c r="F695" s="423">
        <v>0.03</v>
      </c>
      <c r="G695" s="500">
        <f t="shared" si="30"/>
        <v>36000</v>
      </c>
      <c r="H695" s="692" t="s">
        <v>1138</v>
      </c>
      <c r="I695" s="878" t="s">
        <v>4122</v>
      </c>
    </row>
    <row r="696" spans="1:9" x14ac:dyDescent="0.3">
      <c r="A696" s="1013">
        <v>11484</v>
      </c>
      <c r="B696" s="523">
        <v>0.1</v>
      </c>
      <c r="C696" s="526" t="s">
        <v>4476</v>
      </c>
      <c r="D696" s="1134" t="s">
        <v>4109</v>
      </c>
      <c r="E696" s="944">
        <v>1100000</v>
      </c>
      <c r="F696" s="423">
        <v>0.03</v>
      </c>
      <c r="G696" s="500">
        <f t="shared" si="30"/>
        <v>33000</v>
      </c>
      <c r="H696" s="715" t="s">
        <v>523</v>
      </c>
      <c r="I696" s="1078" t="s">
        <v>4122</v>
      </c>
    </row>
    <row r="697" spans="1:9" x14ac:dyDescent="0.3">
      <c r="A697" s="1013">
        <v>11496</v>
      </c>
      <c r="B697" s="123">
        <v>0.1</v>
      </c>
      <c r="C697" s="439" t="s">
        <v>4481</v>
      </c>
      <c r="D697" s="1098" t="s">
        <v>4483</v>
      </c>
      <c r="E697" s="944">
        <v>1500000</v>
      </c>
      <c r="F697" s="423">
        <v>0.03</v>
      </c>
      <c r="G697" s="500">
        <f t="shared" si="30"/>
        <v>45000</v>
      </c>
      <c r="H697" s="715" t="s">
        <v>582</v>
      </c>
      <c r="I697" s="1078" t="s">
        <v>4122</v>
      </c>
    </row>
    <row r="698" spans="1:9" x14ac:dyDescent="0.3">
      <c r="A698" s="1013">
        <v>11494</v>
      </c>
      <c r="B698" s="123">
        <v>0.1</v>
      </c>
      <c r="C698" s="439" t="s">
        <v>77</v>
      </c>
      <c r="D698" s="1135" t="s">
        <v>4479</v>
      </c>
      <c r="E698" s="944">
        <v>1100000</v>
      </c>
      <c r="F698" s="423">
        <v>0.03</v>
      </c>
      <c r="G698" s="500">
        <f t="shared" si="30"/>
        <v>33000</v>
      </c>
      <c r="H698" s="715" t="s">
        <v>527</v>
      </c>
      <c r="I698" s="1078" t="s">
        <v>4122</v>
      </c>
    </row>
    <row r="699" spans="1:9" x14ac:dyDescent="0.3">
      <c r="A699" s="1013">
        <v>11500</v>
      </c>
      <c r="B699" s="123">
        <v>0.1</v>
      </c>
      <c r="C699" s="998" t="s">
        <v>4482</v>
      </c>
      <c r="D699" s="1098" t="s">
        <v>4479</v>
      </c>
      <c r="E699" s="67">
        <v>1200000</v>
      </c>
      <c r="F699" s="423">
        <v>0.03</v>
      </c>
      <c r="G699" s="500">
        <f t="shared" si="30"/>
        <v>36000</v>
      </c>
      <c r="H699" s="878" t="s">
        <v>582</v>
      </c>
      <c r="I699" s="878" t="s">
        <v>4122</v>
      </c>
    </row>
    <row r="700" spans="1:9" x14ac:dyDescent="0.3">
      <c r="A700" s="1013">
        <v>11524</v>
      </c>
      <c r="B700" s="281">
        <v>0.1</v>
      </c>
      <c r="C700" s="690" t="s">
        <v>4484</v>
      </c>
      <c r="D700" s="590" t="s">
        <v>3192</v>
      </c>
      <c r="E700" s="276">
        <v>1150000</v>
      </c>
      <c r="F700" s="423">
        <v>0.03</v>
      </c>
      <c r="G700" s="500">
        <f t="shared" si="30"/>
        <v>34500</v>
      </c>
      <c r="H700" s="306" t="s">
        <v>527</v>
      </c>
      <c r="I700" s="306" t="s">
        <v>4122</v>
      </c>
    </row>
    <row r="701" spans="1:9" x14ac:dyDescent="0.3">
      <c r="A701" s="1013">
        <v>11525</v>
      </c>
      <c r="B701" s="649">
        <v>0.09</v>
      </c>
      <c r="C701" s="690" t="s">
        <v>4485</v>
      </c>
      <c r="D701" s="590" t="s">
        <v>3192</v>
      </c>
      <c r="E701" s="276">
        <v>960000</v>
      </c>
      <c r="F701" s="423">
        <v>0.02</v>
      </c>
      <c r="G701" s="500">
        <f t="shared" si="30"/>
        <v>19200</v>
      </c>
      <c r="H701" s="306" t="s">
        <v>523</v>
      </c>
      <c r="I701" s="306" t="s">
        <v>4122</v>
      </c>
    </row>
    <row r="702" spans="1:9" x14ac:dyDescent="0.3">
      <c r="A702" s="121">
        <v>11526</v>
      </c>
      <c r="B702" s="281">
        <v>0.1</v>
      </c>
      <c r="C702" s="690" t="s">
        <v>4486</v>
      </c>
      <c r="D702" s="590" t="s">
        <v>3192</v>
      </c>
      <c r="E702" s="276">
        <v>1000000</v>
      </c>
      <c r="F702" s="423">
        <v>0.03</v>
      </c>
      <c r="G702" s="500">
        <f t="shared" si="30"/>
        <v>30000</v>
      </c>
      <c r="H702" s="306" t="s">
        <v>1138</v>
      </c>
      <c r="I702" s="306" t="s">
        <v>4122</v>
      </c>
    </row>
    <row r="703" spans="1:9" x14ac:dyDescent="0.3">
      <c r="A703" s="2289"/>
      <c r="B703" s="680"/>
      <c r="C703" s="988"/>
      <c r="D703" s="1100"/>
      <c r="E703" s="34"/>
      <c r="F703" s="34"/>
      <c r="G703" s="34"/>
      <c r="H703" s="51"/>
      <c r="I703" s="51"/>
    </row>
    <row r="704" spans="1:9" x14ac:dyDescent="0.3">
      <c r="A704" s="2290"/>
      <c r="B704" s="171"/>
      <c r="C704" s="171"/>
      <c r="D704" s="1136" t="s">
        <v>4264</v>
      </c>
      <c r="E704" s="993">
        <f>SUM(E680:E702)</f>
        <v>26310000</v>
      </c>
      <c r="F704" s="943"/>
      <c r="G704" s="994">
        <f>SUM(G680:G702)</f>
        <v>779700</v>
      </c>
      <c r="H704" s="1051"/>
      <c r="I704" s="1079"/>
    </row>
    <row r="705" spans="1:9" ht="15.6" x14ac:dyDescent="0.3">
      <c r="A705" s="265"/>
      <c r="B705" s="171"/>
      <c r="C705" s="171"/>
      <c r="D705" s="1137" t="s">
        <v>3764</v>
      </c>
      <c r="E705" s="502"/>
      <c r="F705" s="11"/>
      <c r="G705" s="11"/>
      <c r="H705" s="2"/>
      <c r="I705" s="2"/>
    </row>
    <row r="708" spans="1:9" ht="18" x14ac:dyDescent="0.35">
      <c r="A708" s="3777" t="s">
        <v>4497</v>
      </c>
      <c r="B708" s="3777"/>
      <c r="C708" s="3777"/>
      <c r="D708" s="3777"/>
      <c r="E708" s="3777"/>
      <c r="F708" s="11"/>
    </row>
    <row r="709" spans="1:9" ht="18" x14ac:dyDescent="0.35">
      <c r="A709" s="898" t="s">
        <v>4498</v>
      </c>
      <c r="B709" s="898" t="s">
        <v>3754</v>
      </c>
      <c r="C709" s="898" t="s">
        <v>4499</v>
      </c>
      <c r="D709" s="1197" t="s">
        <v>4500</v>
      </c>
      <c r="E709" s="905" t="s">
        <v>4123</v>
      </c>
      <c r="F709" s="11"/>
    </row>
    <row r="710" spans="1:9" ht="18" x14ac:dyDescent="0.35">
      <c r="A710" s="898">
        <v>7168542</v>
      </c>
      <c r="B710" s="899">
        <v>850000</v>
      </c>
      <c r="C710" s="899" t="s">
        <v>4501</v>
      </c>
      <c r="D710" s="1198" t="s">
        <v>4502</v>
      </c>
      <c r="E710" s="906" t="s">
        <v>32</v>
      </c>
      <c r="F710" s="11"/>
    </row>
    <row r="711" spans="1:9" ht="18" x14ac:dyDescent="0.35">
      <c r="A711" s="2291">
        <v>7167568</v>
      </c>
      <c r="B711" s="908">
        <v>1150000</v>
      </c>
      <c r="C711" s="908" t="s">
        <v>4503</v>
      </c>
      <c r="D711" s="1199" t="s">
        <v>4504</v>
      </c>
      <c r="E711" s="909" t="s">
        <v>3928</v>
      </c>
      <c r="F711" s="910" t="s">
        <v>4125</v>
      </c>
    </row>
    <row r="712" spans="1:9" ht="18" x14ac:dyDescent="0.35">
      <c r="A712" s="898">
        <v>7175709</v>
      </c>
      <c r="B712" s="898">
        <v>1250000</v>
      </c>
      <c r="C712" s="898" t="s">
        <v>4505</v>
      </c>
      <c r="D712" s="1197" t="s">
        <v>4506</v>
      </c>
      <c r="E712" s="907" t="s">
        <v>3928</v>
      </c>
      <c r="F712" s="11"/>
    </row>
    <row r="713" spans="1:9" ht="18" x14ac:dyDescent="0.35">
      <c r="A713" s="898"/>
      <c r="B713" s="898"/>
      <c r="C713" s="898"/>
      <c r="D713" s="1197"/>
      <c r="E713" s="10"/>
      <c r="F713" s="11"/>
    </row>
    <row r="714" spans="1:9" x14ac:dyDescent="0.3">
      <c r="A714" s="265"/>
      <c r="B714" s="11"/>
      <c r="C714" s="11"/>
      <c r="D714" s="1200"/>
      <c r="E714" s="10"/>
      <c r="F714" s="11"/>
    </row>
    <row r="716" spans="1:9" x14ac:dyDescent="0.3">
      <c r="A716" s="3720" t="s">
        <v>3064</v>
      </c>
      <c r="B716" s="3720"/>
      <c r="C716" s="79"/>
      <c r="D716" s="1101">
        <f>E704</f>
        <v>26310000</v>
      </c>
    </row>
    <row r="717" spans="1:9" x14ac:dyDescent="0.3">
      <c r="A717" s="3721" t="s">
        <v>3065</v>
      </c>
      <c r="B717" s="3721"/>
      <c r="C717" s="41"/>
      <c r="D717" s="1102"/>
    </row>
    <row r="718" spans="1:9" x14ac:dyDescent="0.3">
      <c r="A718" s="3722" t="s">
        <v>3066</v>
      </c>
      <c r="B718" s="3722"/>
      <c r="C718" s="45"/>
      <c r="D718" s="1103"/>
    </row>
    <row r="719" spans="1:9" x14ac:dyDescent="0.3">
      <c r="A719" s="3609" t="s">
        <v>3067</v>
      </c>
      <c r="B719" s="3609"/>
      <c r="C719" s="651"/>
      <c r="D719" s="1156">
        <v>1000000</v>
      </c>
    </row>
    <row r="720" spans="1:9" x14ac:dyDescent="0.3">
      <c r="A720" s="3725" t="s">
        <v>3068</v>
      </c>
      <c r="B720" s="3725"/>
      <c r="C720" s="45"/>
      <c r="D720" s="1139">
        <v>6950000</v>
      </c>
    </row>
    <row r="721" spans="1:15" x14ac:dyDescent="0.3">
      <c r="A721" s="2234"/>
      <c r="B721" s="43" t="s">
        <v>3070</v>
      </c>
      <c r="C721" s="43"/>
      <c r="D721" s="1157" t="s">
        <v>3133</v>
      </c>
    </row>
    <row r="723" spans="1:15" x14ac:dyDescent="0.3">
      <c r="A723" s="50"/>
      <c r="B723" s="33"/>
      <c r="C723" s="33"/>
      <c r="D723" s="1093"/>
      <c r="E723" s="63"/>
      <c r="F723" s="1779"/>
      <c r="G723" s="657"/>
    </row>
    <row r="724" spans="1:15" x14ac:dyDescent="0.3">
      <c r="A724" s="2281"/>
      <c r="B724" s="376"/>
      <c r="C724" s="716"/>
      <c r="D724" s="1058"/>
      <c r="E724" s="321"/>
      <c r="F724" s="376"/>
      <c r="G724" s="740"/>
    </row>
    <row r="725" spans="1:15" x14ac:dyDescent="0.3">
      <c r="A725" s="2281"/>
      <c r="B725" s="376"/>
      <c r="C725" s="298"/>
      <c r="D725" s="1058"/>
      <c r="E725" s="321"/>
      <c r="F725" s="376"/>
      <c r="G725" s="740"/>
    </row>
    <row r="727" spans="1:15" ht="46.2" x14ac:dyDescent="0.85">
      <c r="A727" s="3623" t="s">
        <v>4507</v>
      </c>
      <c r="B727" s="3623"/>
      <c r="C727" s="3623"/>
      <c r="D727" s="3623"/>
      <c r="E727" s="3623"/>
      <c r="F727" s="3623"/>
      <c r="G727" s="3623"/>
      <c r="H727" s="3623"/>
      <c r="I727" s="3623"/>
      <c r="J727" s="3623"/>
      <c r="O727" s="1"/>
    </row>
    <row r="728" spans="1:15" x14ac:dyDescent="0.3">
      <c r="O728" s="1"/>
    </row>
    <row r="729" spans="1:15" ht="21" x14ac:dyDescent="0.4">
      <c r="A729" s="3641" t="s">
        <v>2972</v>
      </c>
      <c r="B729" s="3641"/>
      <c r="C729" s="3641"/>
      <c r="D729" s="3641"/>
      <c r="E729" s="3641"/>
      <c r="F729" s="3641"/>
      <c r="G729" s="3641"/>
      <c r="H729" s="3641"/>
      <c r="I729" s="3641"/>
      <c r="J729" s="3641"/>
      <c r="K729" s="3642" t="s">
        <v>2973</v>
      </c>
      <c r="L729" s="3642"/>
      <c r="M729" s="3642"/>
      <c r="N729" s="3642"/>
      <c r="O729" s="2"/>
    </row>
    <row r="730" spans="1:15" x14ac:dyDescent="0.3">
      <c r="A730" s="2229" t="s">
        <v>2974</v>
      </c>
      <c r="B730" s="1666" t="s">
        <v>2975</v>
      </c>
      <c r="C730" s="809" t="s">
        <v>3004</v>
      </c>
      <c r="D730" s="1086" t="s">
        <v>2977</v>
      </c>
      <c r="E730" s="24" t="s">
        <v>2978</v>
      </c>
      <c r="F730" s="3" t="s">
        <v>2979</v>
      </c>
      <c r="G730" s="5" t="s">
        <v>2980</v>
      </c>
      <c r="H730" s="3" t="s">
        <v>2981</v>
      </c>
      <c r="I730" s="3" t="s">
        <v>2982</v>
      </c>
      <c r="J730" s="1666" t="s">
        <v>2983</v>
      </c>
      <c r="K730" s="26" t="s">
        <v>2975</v>
      </c>
      <c r="L730" s="26" t="s">
        <v>2977</v>
      </c>
      <c r="M730" s="26" t="s">
        <v>2984</v>
      </c>
      <c r="N730" s="267" t="s">
        <v>2979</v>
      </c>
      <c r="O730" s="268" t="s">
        <v>2985</v>
      </c>
    </row>
    <row r="731" spans="1:15" x14ac:dyDescent="0.3">
      <c r="A731" s="2235"/>
      <c r="B731" s="1224"/>
      <c r="C731" s="1225">
        <v>0.1</v>
      </c>
      <c r="D731" s="1226" t="s">
        <v>4508</v>
      </c>
      <c r="E731" s="302"/>
      <c r="F731" s="344"/>
      <c r="G731" s="387"/>
      <c r="H731" s="1227"/>
      <c r="I731" s="691" t="s">
        <v>3925</v>
      </c>
      <c r="J731" s="1300"/>
      <c r="K731" s="1779"/>
      <c r="L731" s="1307"/>
      <c r="M731" s="1779"/>
      <c r="N731" s="1216"/>
      <c r="O731" s="1313"/>
    </row>
    <row r="732" spans="1:15" x14ac:dyDescent="0.3">
      <c r="A732" s="3779" t="s">
        <v>4509</v>
      </c>
      <c r="B732" s="1224"/>
      <c r="C732" s="1225">
        <v>0.1</v>
      </c>
      <c r="D732" s="1246" t="s">
        <v>4510</v>
      </c>
      <c r="E732" s="1247"/>
      <c r="F732" s="704"/>
      <c r="G732" s="1248"/>
      <c r="H732" s="606"/>
      <c r="I732" s="1227" t="s">
        <v>3928</v>
      </c>
      <c r="J732" s="1300"/>
      <c r="K732" s="1779"/>
      <c r="L732" s="1779"/>
      <c r="M732" s="1779"/>
      <c r="N732" s="1779"/>
      <c r="O732" s="1313"/>
    </row>
    <row r="733" spans="1:15" x14ac:dyDescent="0.3">
      <c r="A733" s="3779"/>
      <c r="B733" s="1224"/>
      <c r="C733" s="1225">
        <v>0.1</v>
      </c>
      <c r="D733" s="1291" t="s">
        <v>4511</v>
      </c>
      <c r="E733" s="1247"/>
      <c r="F733" s="704"/>
      <c r="G733" s="1292"/>
      <c r="H733" s="1227"/>
      <c r="I733" s="691" t="s">
        <v>3928</v>
      </c>
      <c r="J733" s="1300"/>
      <c r="K733" s="1779"/>
      <c r="L733" s="1779"/>
      <c r="M733" s="1779"/>
      <c r="N733" s="1779"/>
      <c r="O733" s="1313"/>
    </row>
    <row r="734" spans="1:15" ht="15" customHeight="1" x14ac:dyDescent="0.3">
      <c r="A734" s="3779"/>
      <c r="B734" s="727">
        <v>11536</v>
      </c>
      <c r="C734" s="370">
        <v>0.1</v>
      </c>
      <c r="D734" s="1170" t="s">
        <v>4512</v>
      </c>
      <c r="E734" s="305">
        <v>1700000</v>
      </c>
      <c r="F734" s="695">
        <v>0.06</v>
      </c>
      <c r="G734" s="687">
        <f>E734*F734</f>
        <v>102000</v>
      </c>
      <c r="H734" s="314" t="s">
        <v>732</v>
      </c>
      <c r="I734" s="727" t="s">
        <v>3928</v>
      </c>
      <c r="J734" s="1711"/>
      <c r="K734" s="1780"/>
      <c r="L734" s="376"/>
      <c r="M734" s="1312"/>
      <c r="N734" s="376"/>
      <c r="O734" s="308"/>
    </row>
    <row r="735" spans="1:15" ht="15" customHeight="1" x14ac:dyDescent="0.3">
      <c r="A735" s="3779"/>
      <c r="B735" s="306">
        <v>11528</v>
      </c>
      <c r="C735" s="694">
        <v>0.1</v>
      </c>
      <c r="D735" s="1159" t="s">
        <v>4513</v>
      </c>
      <c r="E735" s="312">
        <v>900000</v>
      </c>
      <c r="F735" s="313">
        <v>0.06</v>
      </c>
      <c r="G735" s="687">
        <f t="shared" ref="G735:G741" si="31">E735*F735</f>
        <v>54000</v>
      </c>
      <c r="H735" s="314" t="s">
        <v>732</v>
      </c>
      <c r="I735" s="314" t="s">
        <v>3928</v>
      </c>
      <c r="J735" s="986"/>
      <c r="K735" s="1314"/>
      <c r="L735" s="1016"/>
      <c r="M735" s="1315"/>
      <c r="N735" s="1316"/>
      <c r="O735" s="1780"/>
    </row>
    <row r="736" spans="1:15" ht="15" customHeight="1" x14ac:dyDescent="0.3">
      <c r="A736" s="3779"/>
      <c r="B736" s="306">
        <v>11562</v>
      </c>
      <c r="C736" s="796">
        <v>0.1</v>
      </c>
      <c r="D736" s="590" t="s">
        <v>4514</v>
      </c>
      <c r="E736" s="312">
        <v>1400000</v>
      </c>
      <c r="F736" s="313">
        <v>0.1</v>
      </c>
      <c r="G736" s="687">
        <f t="shared" si="31"/>
        <v>140000</v>
      </c>
      <c r="H736" s="314" t="s">
        <v>1485</v>
      </c>
      <c r="I736" s="306" t="s">
        <v>3928</v>
      </c>
      <c r="J736" s="1780"/>
      <c r="K736" s="1780"/>
      <c r="L736" s="1780"/>
      <c r="M736" s="949"/>
      <c r="N736" s="985"/>
      <c r="O736" s="1780"/>
    </row>
    <row r="737" spans="1:19" ht="15" customHeight="1" x14ac:dyDescent="0.3">
      <c r="A737" s="3779"/>
      <c r="B737" s="306">
        <v>11580</v>
      </c>
      <c r="C737" s="676">
        <v>0.1</v>
      </c>
      <c r="D737" s="1220" t="s">
        <v>4515</v>
      </c>
      <c r="E737" s="305">
        <v>1200000</v>
      </c>
      <c r="F737" s="281">
        <v>0.05</v>
      </c>
      <c r="G737" s="687">
        <f t="shared" si="31"/>
        <v>60000</v>
      </c>
      <c r="H737" s="306" t="s">
        <v>523</v>
      </c>
      <c r="I737" s="487" t="s">
        <v>3928</v>
      </c>
      <c r="J737" s="1780"/>
      <c r="K737" s="1780"/>
      <c r="L737" s="1780"/>
      <c r="M737" s="949"/>
      <c r="N737" s="985"/>
      <c r="O737" s="1780"/>
    </row>
    <row r="738" spans="1:19" ht="15" customHeight="1" x14ac:dyDescent="0.3">
      <c r="A738" s="3779"/>
      <c r="B738" s="306">
        <v>11617</v>
      </c>
      <c r="C738" s="676">
        <v>0.1</v>
      </c>
      <c r="D738" s="1220" t="s">
        <v>4516</v>
      </c>
      <c r="E738" s="305">
        <v>950000</v>
      </c>
      <c r="F738" s="281">
        <v>0.1</v>
      </c>
      <c r="G738" s="687">
        <f t="shared" si="31"/>
        <v>95000</v>
      </c>
      <c r="H738" s="306" t="s">
        <v>582</v>
      </c>
      <c r="I738" s="487" t="s">
        <v>3928</v>
      </c>
      <c r="J738" s="1780"/>
      <c r="K738" s="1780"/>
      <c r="L738" s="1780"/>
      <c r="M738" s="949"/>
      <c r="N738" s="985"/>
      <c r="O738" s="1780"/>
    </row>
    <row r="739" spans="1:19" ht="15" customHeight="1" x14ac:dyDescent="0.3">
      <c r="A739" s="3779"/>
      <c r="B739" s="306">
        <v>11653</v>
      </c>
      <c r="C739" s="676">
        <v>0.1</v>
      </c>
      <c r="D739" s="590" t="s">
        <v>4517</v>
      </c>
      <c r="E739" s="305">
        <v>1200000</v>
      </c>
      <c r="F739" s="423">
        <v>0.1</v>
      </c>
      <c r="G739" s="687">
        <f t="shared" si="31"/>
        <v>120000</v>
      </c>
      <c r="H739" s="507" t="s">
        <v>2008</v>
      </c>
      <c r="I739" s="306" t="s">
        <v>3928</v>
      </c>
      <c r="J739" s="1780"/>
      <c r="K739" s="1780"/>
      <c r="L739" s="1780"/>
      <c r="M739" s="949"/>
      <c r="N739" s="985"/>
      <c r="O739" s="1780"/>
    </row>
    <row r="740" spans="1:19" ht="15" customHeight="1" x14ac:dyDescent="0.3">
      <c r="A740" s="3779"/>
      <c r="B740" s="306">
        <v>11658</v>
      </c>
      <c r="C740" s="504">
        <v>0.1</v>
      </c>
      <c r="D740" s="1257" t="s">
        <v>4518</v>
      </c>
      <c r="E740" s="312">
        <v>1150000</v>
      </c>
      <c r="F740" s="313">
        <v>0.1</v>
      </c>
      <c r="G740" s="687">
        <f t="shared" si="31"/>
        <v>115000</v>
      </c>
      <c r="H740" s="314" t="s">
        <v>582</v>
      </c>
      <c r="I740" s="1055" t="s">
        <v>3925</v>
      </c>
      <c r="J740" s="1780"/>
      <c r="K740" s="1780"/>
      <c r="L740" s="1780"/>
      <c r="M740" s="949"/>
      <c r="N740" s="985"/>
      <c r="O740" s="1780"/>
    </row>
    <row r="741" spans="1:19" ht="15" customHeight="1" x14ac:dyDescent="0.3">
      <c r="A741" s="3779"/>
      <c r="B741" s="952">
        <v>11710</v>
      </c>
      <c r="C741" s="504">
        <v>0.1</v>
      </c>
      <c r="D741" s="995" t="s">
        <v>4519</v>
      </c>
      <c r="E741" s="305">
        <v>1000000</v>
      </c>
      <c r="F741" s="423">
        <v>0.05</v>
      </c>
      <c r="G741" s="276">
        <f t="shared" si="31"/>
        <v>50000</v>
      </c>
      <c r="H741" s="507" t="s">
        <v>748</v>
      </c>
      <c r="I741" s="507" t="s">
        <v>3928</v>
      </c>
      <c r="J741" s="1780"/>
      <c r="K741" s="1780"/>
      <c r="L741" s="1780"/>
      <c r="M741" s="1780"/>
      <c r="N741" s="308"/>
      <c r="O741" s="307"/>
    </row>
    <row r="742" spans="1:19" ht="15" customHeight="1" x14ac:dyDescent="0.3">
      <c r="A742" s="3779"/>
      <c r="B742" s="307"/>
      <c r="C742" s="1209"/>
      <c r="D742" s="1214"/>
      <c r="E742" s="1258"/>
      <c r="F742" s="611"/>
      <c r="G742" s="321"/>
      <c r="H742" s="1318"/>
      <c r="I742" s="315"/>
      <c r="J742" s="1780"/>
      <c r="K742" s="308"/>
      <c r="L742" s="1780"/>
      <c r="M742" s="1780"/>
      <c r="N742" s="1780"/>
      <c r="O742" s="307"/>
    </row>
    <row r="743" spans="1:19" ht="15" customHeight="1" x14ac:dyDescent="0.3">
      <c r="A743" s="3779"/>
      <c r="B743" s="307"/>
      <c r="C743" s="1209"/>
      <c r="D743" s="1214"/>
      <c r="E743" s="319"/>
      <c r="F743" s="320"/>
      <c r="G743" s="1319"/>
      <c r="H743" s="662"/>
      <c r="I743" s="315"/>
      <c r="J743" s="793"/>
      <c r="K743" s="307"/>
      <c r="L743" s="298"/>
      <c r="M743" s="512"/>
      <c r="N743" s="320"/>
      <c r="O743" s="297"/>
    </row>
    <row r="744" spans="1:19" ht="15" customHeight="1" x14ac:dyDescent="0.3">
      <c r="A744" s="3779"/>
      <c r="B744" s="638"/>
      <c r="C744" s="638"/>
      <c r="D744" s="1195"/>
      <c r="E744" s="955">
        <f>SUM(E734:E742)</f>
        <v>9500000</v>
      </c>
      <c r="F744" s="956"/>
      <c r="G744" s="1207">
        <f>SUM(G734:G742)</f>
        <v>736000</v>
      </c>
      <c r="H744" s="1208"/>
      <c r="I744" s="452"/>
      <c r="J744" s="794"/>
      <c r="K744" s="316"/>
      <c r="L744" s="3599" t="s">
        <v>3001</v>
      </c>
      <c r="M744" s="3599"/>
      <c r="N744" s="3599"/>
      <c r="O744" s="297">
        <f>SUM(O734:O736)</f>
        <v>0</v>
      </c>
    </row>
    <row r="745" spans="1:19" ht="15" customHeight="1" x14ac:dyDescent="0.3">
      <c r="A745" s="3779"/>
      <c r="B745" s="1210"/>
      <c r="C745" s="1210"/>
      <c r="D745" s="1211" t="s">
        <v>3002</v>
      </c>
      <c r="E745" s="1212">
        <f>G744+O744</f>
        <v>736000</v>
      </c>
      <c r="F745" s="1210"/>
      <c r="G745" s="1213"/>
      <c r="H745" s="840"/>
      <c r="I745" s="840"/>
      <c r="J745" s="843"/>
      <c r="K745" s="895"/>
      <c r="L745" s="895"/>
      <c r="M745" s="895"/>
      <c r="N745" s="895"/>
      <c r="O745" s="430"/>
    </row>
    <row r="746" spans="1:19" x14ac:dyDescent="0.3">
      <c r="A746" s="2230"/>
      <c r="B746" s="17"/>
      <c r="C746" s="17"/>
      <c r="D746" s="1085"/>
      <c r="E746" s="19"/>
      <c r="F746" s="17"/>
      <c r="G746" s="20"/>
      <c r="H746" s="17"/>
      <c r="I746" s="17"/>
      <c r="J746" s="18"/>
      <c r="O746" s="1"/>
    </row>
    <row r="747" spans="1:19" x14ac:dyDescent="0.3">
      <c r="A747" s="2230"/>
      <c r="B747" s="17"/>
      <c r="C747" s="17"/>
      <c r="D747" s="1085"/>
      <c r="E747" s="19"/>
      <c r="F747" s="17"/>
      <c r="G747" s="20"/>
      <c r="H747" s="17"/>
      <c r="I747" s="17"/>
      <c r="J747" s="18"/>
      <c r="O747" s="1"/>
    </row>
    <row r="748" spans="1:19" ht="21" x14ac:dyDescent="0.4">
      <c r="A748" s="3781" t="s">
        <v>3003</v>
      </c>
      <c r="B748" s="3781"/>
      <c r="C748" s="3781"/>
      <c r="D748" s="3781"/>
      <c r="E748" s="3781"/>
      <c r="F748" s="3781"/>
      <c r="G748" s="3781"/>
      <c r="H748" s="3781"/>
      <c r="I748" s="3781"/>
      <c r="J748" s="3781"/>
      <c r="K748" s="3642" t="s">
        <v>2973</v>
      </c>
      <c r="L748" s="3642"/>
      <c r="M748" s="3642"/>
      <c r="N748" s="3642"/>
      <c r="O748" s="2"/>
    </row>
    <row r="749" spans="1:19" x14ac:dyDescent="0.3">
      <c r="A749" s="2266" t="s">
        <v>2974</v>
      </c>
      <c r="B749" s="809" t="s">
        <v>2975</v>
      </c>
      <c r="C749" s="1666" t="s">
        <v>3004</v>
      </c>
      <c r="D749" s="1083" t="s">
        <v>2977</v>
      </c>
      <c r="E749" s="805" t="s">
        <v>2978</v>
      </c>
      <c r="F749" s="1666" t="s">
        <v>2979</v>
      </c>
      <c r="G749" s="25" t="s">
        <v>2980</v>
      </c>
      <c r="H749" s="26" t="s">
        <v>2981</v>
      </c>
      <c r="I749" s="1666" t="s">
        <v>2982</v>
      </c>
      <c r="J749" s="26" t="s">
        <v>2983</v>
      </c>
      <c r="K749" s="26" t="s">
        <v>2975</v>
      </c>
      <c r="L749" s="26" t="s">
        <v>2977</v>
      </c>
      <c r="M749" s="26" t="s">
        <v>2984</v>
      </c>
      <c r="N749" s="267" t="s">
        <v>2979</v>
      </c>
      <c r="O749" s="268" t="s">
        <v>2985</v>
      </c>
    </row>
    <row r="750" spans="1:19" x14ac:dyDescent="0.3">
      <c r="A750" s="2266"/>
      <c r="B750" s="1224"/>
      <c r="C750" s="1309"/>
      <c r="D750" s="417" t="s">
        <v>4520</v>
      </c>
      <c r="E750" s="1310"/>
      <c r="F750" s="344"/>
      <c r="G750" s="358"/>
      <c r="H750" s="606"/>
      <c r="I750" s="683" t="s">
        <v>3925</v>
      </c>
      <c r="J750" s="26"/>
      <c r="K750" s="26"/>
      <c r="L750" s="267"/>
      <c r="M750" s="26"/>
      <c r="N750" s="267"/>
      <c r="O750" s="268"/>
    </row>
    <row r="751" spans="1:19" x14ac:dyDescent="0.3">
      <c r="A751" s="3782" t="s">
        <v>3005</v>
      </c>
      <c r="B751" s="806"/>
      <c r="C751" s="409"/>
      <c r="D751" s="926" t="s">
        <v>4521</v>
      </c>
      <c r="E751" s="600"/>
      <c r="F751" s="409"/>
      <c r="G751" s="386"/>
      <c r="H751" s="355"/>
      <c r="I751" s="355" t="s">
        <v>3928</v>
      </c>
      <c r="J751" s="1658"/>
      <c r="K751" s="663">
        <v>11544</v>
      </c>
      <c r="L751" s="1275" t="s">
        <v>4522</v>
      </c>
      <c r="M751" s="1272">
        <v>900000</v>
      </c>
      <c r="N751" s="771">
        <v>0.05</v>
      </c>
      <c r="O751" s="441">
        <f>M751*N751</f>
        <v>45000</v>
      </c>
      <c r="P751" s="1264"/>
      <c r="Q751" s="961" t="s">
        <v>3133</v>
      </c>
      <c r="R751" s="961"/>
      <c r="S751" s="511"/>
    </row>
    <row r="752" spans="1:19" x14ac:dyDescent="0.3">
      <c r="A752" s="3782"/>
      <c r="B752" s="774"/>
      <c r="C752" s="704"/>
      <c r="D752" s="1228" t="s">
        <v>4523</v>
      </c>
      <c r="E752" s="1229"/>
      <c r="F752" s="704"/>
      <c r="G752" s="358"/>
      <c r="H752" s="606"/>
      <c r="I752" s="1042" t="s">
        <v>3928</v>
      </c>
      <c r="J752" s="1779"/>
      <c r="K752" s="306">
        <v>11580</v>
      </c>
      <c r="L752" s="1311" t="s">
        <v>4524</v>
      </c>
      <c r="M752" s="1170">
        <v>1200000</v>
      </c>
      <c r="N752" s="771">
        <v>0.05</v>
      </c>
      <c r="O752" s="441">
        <f>M752*N752</f>
        <v>60000</v>
      </c>
    </row>
    <row r="753" spans="1:19" ht="15.75" customHeight="1" x14ac:dyDescent="0.3">
      <c r="A753" s="3782"/>
      <c r="B753" s="1240">
        <v>11642</v>
      </c>
      <c r="C753" s="310">
        <v>0.1</v>
      </c>
      <c r="D753" s="587" t="s">
        <v>4525</v>
      </c>
      <c r="E753" s="1320">
        <v>1100000</v>
      </c>
      <c r="F753" s="310">
        <v>0.1</v>
      </c>
      <c r="G753" s="1324">
        <f>E753*F753</f>
        <v>110000</v>
      </c>
      <c r="H753" s="733" t="s">
        <v>523</v>
      </c>
      <c r="I753" s="1270" t="s">
        <v>3928</v>
      </c>
      <c r="J753" s="1780"/>
      <c r="K753" s="1780"/>
      <c r="L753" s="1780"/>
      <c r="M753" s="1780"/>
      <c r="N753" s="1711"/>
      <c r="O753" s="347"/>
    </row>
    <row r="754" spans="1:19" ht="25.5" customHeight="1" x14ac:dyDescent="0.3">
      <c r="A754" s="3782"/>
      <c r="B754" s="699">
        <v>11557</v>
      </c>
      <c r="C754" s="310">
        <v>0.1</v>
      </c>
      <c r="D754" s="1170" t="s">
        <v>4526</v>
      </c>
      <c r="E754" s="1274">
        <v>850000</v>
      </c>
      <c r="F754" s="310">
        <v>0.1</v>
      </c>
      <c r="G754" s="1324">
        <f t="shared" ref="G754:G758" si="32">E754*F754</f>
        <v>85000</v>
      </c>
      <c r="H754" s="441" t="s">
        <v>523</v>
      </c>
      <c r="I754" s="1271" t="s">
        <v>3928</v>
      </c>
      <c r="J754" s="1780"/>
      <c r="K754" s="1780"/>
      <c r="L754" s="1780"/>
      <c r="M754" s="1780"/>
      <c r="N754" s="1711"/>
      <c r="O754" s="347"/>
    </row>
    <row r="755" spans="1:19" ht="15" customHeight="1" x14ac:dyDescent="0.3">
      <c r="A755" s="3782"/>
      <c r="B755" s="593">
        <v>11624</v>
      </c>
      <c r="C755" s="310">
        <v>0.1</v>
      </c>
      <c r="D755" s="995" t="s">
        <v>4527</v>
      </c>
      <c r="E755" s="1321">
        <v>950000</v>
      </c>
      <c r="F755" s="310">
        <v>0.1</v>
      </c>
      <c r="G755" s="1324">
        <f t="shared" si="32"/>
        <v>95000</v>
      </c>
      <c r="H755" s="733" t="s">
        <v>4528</v>
      </c>
      <c r="I755" s="441" t="s">
        <v>3928</v>
      </c>
      <c r="J755" s="871"/>
      <c r="K755" s="871"/>
      <c r="L755" s="1273"/>
      <c r="M755" s="871"/>
      <c r="N755" s="871"/>
      <c r="O755" s="463"/>
    </row>
    <row r="756" spans="1:19" ht="15" customHeight="1" x14ac:dyDescent="0.3">
      <c r="A756" s="3782"/>
      <c r="B756" s="441">
        <v>11666</v>
      </c>
      <c r="C756" s="723">
        <v>0.1</v>
      </c>
      <c r="D756" s="1114" t="s">
        <v>4529</v>
      </c>
      <c r="E756" s="1322">
        <v>1050000</v>
      </c>
      <c r="F756" s="310">
        <v>0.1</v>
      </c>
      <c r="G756" s="1324">
        <f t="shared" si="32"/>
        <v>105000</v>
      </c>
      <c r="H756" s="306" t="s">
        <v>523</v>
      </c>
      <c r="I756" s="338" t="s">
        <v>3928</v>
      </c>
      <c r="J756" s="1780"/>
      <c r="K756" s="1780"/>
      <c r="L756" s="1711"/>
      <c r="M756" s="1780"/>
      <c r="N756" s="1780"/>
      <c r="O756" s="463"/>
    </row>
    <row r="757" spans="1:19" ht="15" customHeight="1" x14ac:dyDescent="0.3">
      <c r="A757" s="3782"/>
      <c r="B757" s="1308">
        <v>11674</v>
      </c>
      <c r="C757" s="694">
        <v>0.1</v>
      </c>
      <c r="D757" s="439" t="s">
        <v>4530</v>
      </c>
      <c r="E757" s="1323">
        <v>900000</v>
      </c>
      <c r="F757" s="310">
        <v>0.1</v>
      </c>
      <c r="G757" s="1324">
        <f t="shared" si="32"/>
        <v>90000</v>
      </c>
      <c r="H757" s="880" t="s">
        <v>523</v>
      </c>
      <c r="I757" s="306" t="s">
        <v>3925</v>
      </c>
      <c r="J757" s="1780"/>
      <c r="K757" s="1780"/>
      <c r="L757" s="1711"/>
      <c r="M757" s="1780"/>
      <c r="N757" s="1780"/>
      <c r="O757" s="463"/>
    </row>
    <row r="758" spans="1:19" ht="15" customHeight="1" x14ac:dyDescent="0.3">
      <c r="A758" s="3782"/>
      <c r="B758" s="618">
        <v>11732</v>
      </c>
      <c r="C758" s="694">
        <v>0.1</v>
      </c>
      <c r="D758" s="590" t="s">
        <v>4531</v>
      </c>
      <c r="E758" s="1322">
        <v>1200000</v>
      </c>
      <c r="F758" s="281">
        <v>0.1</v>
      </c>
      <c r="G758" s="1324">
        <f t="shared" si="32"/>
        <v>120000</v>
      </c>
      <c r="H758" s="306" t="s">
        <v>523</v>
      </c>
      <c r="I758" s="338" t="s">
        <v>3928</v>
      </c>
      <c r="J758" s="335"/>
      <c r="K758" s="298"/>
      <c r="L758" s="298"/>
      <c r="M758" s="484"/>
      <c r="N758" s="508"/>
      <c r="O758" s="315"/>
    </row>
    <row r="759" spans="1:19" ht="15" customHeight="1" x14ac:dyDescent="0.3">
      <c r="A759" s="3782"/>
      <c r="B759" s="307"/>
      <c r="C759" s="820"/>
      <c r="D759" s="1183"/>
      <c r="E759" s="327"/>
      <c r="F759" s="768"/>
      <c r="G759" s="769"/>
      <c r="H759" s="711"/>
      <c r="I759" s="532"/>
      <c r="J759" s="770"/>
      <c r="K759" s="378"/>
      <c r="L759" s="636"/>
      <c r="M759" s="508"/>
      <c r="N759" s="508"/>
      <c r="O759" s="315"/>
    </row>
    <row r="760" spans="1:19" ht="15" customHeight="1" x14ac:dyDescent="0.3">
      <c r="A760" s="3782"/>
      <c r="B760" s="514"/>
      <c r="C760" s="689"/>
      <c r="D760" s="1171" t="s">
        <v>3000</v>
      </c>
      <c r="E760" s="483">
        <f>SUM(E753:E758)</f>
        <v>6050000</v>
      </c>
      <c r="F760" s="514"/>
      <c r="G760" s="483">
        <f>SUM(G753:G758)</f>
        <v>605000</v>
      </c>
      <c r="H760" s="918"/>
      <c r="I760" s="514"/>
      <c r="J760" s="342"/>
      <c r="K760" s="485"/>
      <c r="L760" s="3752" t="s">
        <v>3026</v>
      </c>
      <c r="M760" s="3752"/>
      <c r="N760" s="3752"/>
      <c r="O760" s="447">
        <f>SUM(O751:O752)</f>
        <v>105000</v>
      </c>
    </row>
    <row r="761" spans="1:19" ht="15" customHeight="1" x14ac:dyDescent="0.3">
      <c r="A761" s="3782"/>
      <c r="B761" s="840"/>
      <c r="C761" s="815"/>
      <c r="D761" s="1184" t="s">
        <v>3002</v>
      </c>
      <c r="E761" s="518">
        <f>G760+O760</f>
        <v>710000</v>
      </c>
      <c r="F761" s="458"/>
      <c r="G761" s="489"/>
      <c r="H761" s="458"/>
      <c r="I761" s="458"/>
      <c r="J761" s="490"/>
      <c r="K761" s="461"/>
      <c r="L761" s="965"/>
      <c r="M761" s="965"/>
      <c r="N761" s="965"/>
      <c r="O761" s="463"/>
    </row>
    <row r="762" spans="1:19" ht="15.6" x14ac:dyDescent="0.3">
      <c r="A762" s="2267"/>
      <c r="B762" s="825"/>
      <c r="C762" s="464"/>
      <c r="D762" s="1118"/>
      <c r="E762" s="466"/>
      <c r="F762" s="464"/>
      <c r="G762" s="467"/>
      <c r="H762" s="464"/>
      <c r="I762" s="464"/>
      <c r="J762" s="465"/>
      <c r="K762" s="468"/>
      <c r="L762" s="469"/>
      <c r="M762" s="469"/>
      <c r="N762" s="469"/>
      <c r="O762" s="463"/>
    </row>
    <row r="763" spans="1:19" ht="15.6" x14ac:dyDescent="0.3">
      <c r="A763" s="2267"/>
      <c r="B763" s="825"/>
      <c r="C763" s="825"/>
      <c r="D763" s="1172"/>
      <c r="E763" s="827"/>
      <c r="F763" s="825"/>
      <c r="G763" s="828"/>
      <c r="H763" s="825"/>
      <c r="I763" s="825"/>
      <c r="J763" s="826"/>
      <c r="K763" s="829"/>
      <c r="L763" s="830"/>
      <c r="M763" s="830"/>
      <c r="N763" s="830"/>
      <c r="O763" s="831"/>
    </row>
    <row r="764" spans="1:19" ht="21" x14ac:dyDescent="0.4">
      <c r="A764" s="3641" t="s">
        <v>3027</v>
      </c>
      <c r="B764" s="3641"/>
      <c r="C764" s="3641"/>
      <c r="D764" s="3641"/>
      <c r="E764" s="3641"/>
      <c r="F764" s="3641"/>
      <c r="G764" s="3641"/>
      <c r="H764" s="3641"/>
      <c r="I764" s="3641"/>
      <c r="J764" s="3641"/>
      <c r="K764" s="3636" t="s">
        <v>2973</v>
      </c>
      <c r="L764" s="3636"/>
      <c r="M764" s="3636"/>
      <c r="N764" s="3636"/>
      <c r="O764" s="2"/>
    </row>
    <row r="765" spans="1:19" x14ac:dyDescent="0.3">
      <c r="A765" s="2276" t="s">
        <v>2974</v>
      </c>
      <c r="B765" s="1666" t="s">
        <v>2975</v>
      </c>
      <c r="C765" s="1666" t="s">
        <v>3004</v>
      </c>
      <c r="D765" s="1083" t="s">
        <v>2977</v>
      </c>
      <c r="E765" s="32" t="s">
        <v>2978</v>
      </c>
      <c r="F765" s="1666" t="s">
        <v>2979</v>
      </c>
      <c r="G765" s="167" t="s">
        <v>2980</v>
      </c>
      <c r="H765" s="1666" t="s">
        <v>2981</v>
      </c>
      <c r="I765" s="1666" t="s">
        <v>2982</v>
      </c>
      <c r="J765" s="1666" t="s">
        <v>2983</v>
      </c>
      <c r="K765" s="1658" t="s">
        <v>2975</v>
      </c>
      <c r="L765" s="1658" t="s">
        <v>2977</v>
      </c>
      <c r="M765" s="1658" t="s">
        <v>2984</v>
      </c>
      <c r="N765" s="1658" t="s">
        <v>2979</v>
      </c>
      <c r="O765" s="268" t="s">
        <v>2985</v>
      </c>
    </row>
    <row r="766" spans="1:19" x14ac:dyDescent="0.3">
      <c r="A766" s="3778" t="s">
        <v>3005</v>
      </c>
      <c r="B766" s="774"/>
      <c r="C766" s="1259"/>
      <c r="D766" s="1228" t="s">
        <v>4532</v>
      </c>
      <c r="E766" s="1260"/>
      <c r="F766" s="806"/>
      <c r="G766" s="808"/>
      <c r="H766" s="806"/>
      <c r="I766" s="806" t="s">
        <v>3928</v>
      </c>
      <c r="J766" s="1779"/>
      <c r="K766" s="440">
        <v>11576</v>
      </c>
      <c r="L766" s="996" t="s">
        <v>4533</v>
      </c>
      <c r="M766" s="995">
        <v>1000000</v>
      </c>
      <c r="N766" s="310">
        <v>0.05</v>
      </c>
      <c r="O766" s="441">
        <f>M766*N766</f>
        <v>50000</v>
      </c>
      <c r="P766" s="967"/>
      <c r="Q766" s="1780"/>
      <c r="R766" s="1780"/>
      <c r="S766" s="511"/>
    </row>
    <row r="767" spans="1:19" x14ac:dyDescent="0.3">
      <c r="A767" s="3778"/>
      <c r="B767" s="774"/>
      <c r="C767" s="1259"/>
      <c r="D767" s="1169" t="s">
        <v>4534</v>
      </c>
      <c r="E767" s="1260"/>
      <c r="F767" s="806"/>
      <c r="G767" s="808"/>
      <c r="H767" s="806"/>
      <c r="I767" s="806" t="s">
        <v>3925</v>
      </c>
      <c r="J767" s="1779"/>
      <c r="K767" s="440">
        <v>11660</v>
      </c>
      <c r="L767" s="996" t="s">
        <v>4535</v>
      </c>
      <c r="M767" s="587">
        <v>1100000</v>
      </c>
      <c r="N767" s="310">
        <v>0.05</v>
      </c>
      <c r="O767" s="441">
        <f t="shared" ref="O767:O768" si="33">M767*N767</f>
        <v>55000</v>
      </c>
      <c r="P767" s="1264"/>
      <c r="Q767" s="961"/>
      <c r="R767" s="961"/>
    </row>
    <row r="768" spans="1:19" x14ac:dyDescent="0.3">
      <c r="A768" s="3778"/>
      <c r="B768" s="892"/>
      <c r="C768" s="1244"/>
      <c r="D768" s="98" t="s">
        <v>4536</v>
      </c>
      <c r="E768" s="1087"/>
      <c r="F768" s="1245"/>
      <c r="G768" s="98"/>
      <c r="H768" s="98"/>
      <c r="I768" s="1026" t="s">
        <v>3928</v>
      </c>
      <c r="J768" s="307"/>
      <c r="K768" s="867">
        <v>11710</v>
      </c>
      <c r="L768" s="995" t="s">
        <v>4537</v>
      </c>
      <c r="M768" s="1253">
        <v>1000000</v>
      </c>
      <c r="N768" s="310">
        <v>0.05</v>
      </c>
      <c r="O768" s="441">
        <f t="shared" si="33"/>
        <v>50000</v>
      </c>
      <c r="P768" s="371"/>
    </row>
    <row r="769" spans="1:16" x14ac:dyDescent="0.3">
      <c r="A769" s="3778"/>
      <c r="B769" s="1298"/>
      <c r="C769" s="730"/>
      <c r="D769" s="729" t="s">
        <v>4538</v>
      </c>
      <c r="E769" s="1087"/>
      <c r="F769" s="1245"/>
      <c r="G769" s="98"/>
      <c r="H769" s="98"/>
      <c r="I769" s="1026"/>
      <c r="J769" s="307"/>
      <c r="K769" s="1658"/>
      <c r="L769" s="1188"/>
      <c r="M769" s="319"/>
      <c r="N769" s="320"/>
      <c r="O769" s="321"/>
      <c r="P769" s="379"/>
    </row>
    <row r="770" spans="1:16" ht="15" customHeight="1" x14ac:dyDescent="0.3">
      <c r="A770" s="3778"/>
      <c r="B770" s="674">
        <v>11545</v>
      </c>
      <c r="C770" s="864">
        <v>0.1</v>
      </c>
      <c r="D770" s="1170" t="s">
        <v>4539</v>
      </c>
      <c r="E770" s="1217">
        <v>1000000</v>
      </c>
      <c r="F770" s="864">
        <v>0.1</v>
      </c>
      <c r="G770" s="866">
        <f>E770*F770</f>
        <v>100000</v>
      </c>
      <c r="H770" s="863" t="s">
        <v>1138</v>
      </c>
      <c r="I770" s="863" t="s">
        <v>3928</v>
      </c>
      <c r="J770" s="1779"/>
      <c r="K770" s="1779"/>
      <c r="L770" s="1779"/>
      <c r="M770" s="1779"/>
      <c r="N770" s="1779"/>
      <c r="O770" s="2"/>
    </row>
    <row r="771" spans="1:16" ht="15" customHeight="1" x14ac:dyDescent="0.3">
      <c r="A771" s="3778"/>
      <c r="B771" s="863">
        <v>11582</v>
      </c>
      <c r="C771" s="864">
        <v>0.1</v>
      </c>
      <c r="D771" s="1170" t="s">
        <v>4540</v>
      </c>
      <c r="E771" s="1217">
        <v>1200000</v>
      </c>
      <c r="F771" s="864">
        <v>0.05</v>
      </c>
      <c r="G771" s="866">
        <f t="shared" ref="G771:G773" si="34">E771*F771</f>
        <v>60000</v>
      </c>
      <c r="H771" s="863" t="s">
        <v>4234</v>
      </c>
      <c r="I771" s="863" t="s">
        <v>3928</v>
      </c>
      <c r="J771" s="1779"/>
      <c r="K771" s="1779"/>
      <c r="L771" s="1779"/>
      <c r="M771" s="1779"/>
      <c r="N771" s="1779"/>
      <c r="O771" s="2"/>
    </row>
    <row r="772" spans="1:16" ht="15" customHeight="1" x14ac:dyDescent="0.3">
      <c r="A772" s="3778"/>
      <c r="B772" s="863">
        <v>11644</v>
      </c>
      <c r="C772" s="864">
        <v>0.1</v>
      </c>
      <c r="D772" s="1170" t="s">
        <v>4541</v>
      </c>
      <c r="E772" s="1217">
        <v>1100000</v>
      </c>
      <c r="F772" s="864">
        <v>0.1</v>
      </c>
      <c r="G772" s="866">
        <f t="shared" si="34"/>
        <v>110000</v>
      </c>
      <c r="H772" s="863" t="s">
        <v>748</v>
      </c>
      <c r="I772" s="863" t="s">
        <v>3928</v>
      </c>
      <c r="J772" s="1779"/>
      <c r="K772" s="1779"/>
      <c r="L772" s="1779"/>
      <c r="M772" s="1779"/>
      <c r="N772" s="1779"/>
      <c r="O772" s="2"/>
    </row>
    <row r="773" spans="1:16" ht="15" customHeight="1" x14ac:dyDescent="0.3">
      <c r="A773" s="3778"/>
      <c r="B773" s="863">
        <v>11693</v>
      </c>
      <c r="C773" s="424">
        <v>0.1</v>
      </c>
      <c r="D773" s="439" t="s">
        <v>4542</v>
      </c>
      <c r="E773" s="1254">
        <v>900000</v>
      </c>
      <c r="F773" s="310">
        <v>0.05</v>
      </c>
      <c r="G773" s="866">
        <f t="shared" si="34"/>
        <v>45000</v>
      </c>
      <c r="H773" s="519" t="s">
        <v>510</v>
      </c>
      <c r="I773" s="441" t="s">
        <v>3928</v>
      </c>
      <c r="J773" s="1779"/>
      <c r="K773" s="1779"/>
      <c r="L773" s="1779"/>
      <c r="M773" s="1779"/>
      <c r="N773" s="1779"/>
      <c r="O773" s="2"/>
    </row>
    <row r="774" spans="1:16" ht="15" customHeight="1" x14ac:dyDescent="0.3">
      <c r="A774" s="3778"/>
      <c r="B774" s="1779"/>
      <c r="C774" s="1216"/>
      <c r="D774" s="1173"/>
      <c r="E774" s="1218"/>
      <c r="F774" s="1779"/>
      <c r="G774" s="833"/>
      <c r="H774" s="1779"/>
      <c r="I774" s="1779"/>
      <c r="J774" s="1779"/>
      <c r="K774" s="1779"/>
      <c r="L774" s="1779"/>
      <c r="M774" s="1779"/>
      <c r="N774" s="1779"/>
      <c r="O774" s="2"/>
    </row>
    <row r="775" spans="1:16" ht="15" customHeight="1" x14ac:dyDescent="0.3">
      <c r="A775" s="3778"/>
      <c r="B775" s="1779"/>
      <c r="C775" s="1779"/>
      <c r="D775" s="1173"/>
      <c r="E775" s="832"/>
      <c r="F775" s="1779"/>
      <c r="G775" s="833"/>
      <c r="H775" s="1779"/>
      <c r="I775" s="1779"/>
      <c r="J775" s="1779"/>
      <c r="K775" s="1779"/>
      <c r="L775" s="1779"/>
      <c r="M775" s="1779"/>
      <c r="N775" s="1779"/>
      <c r="O775" s="2"/>
    </row>
    <row r="776" spans="1:16" ht="15" customHeight="1" x14ac:dyDescent="0.3">
      <c r="A776" s="3778"/>
      <c r="B776" s="514"/>
      <c r="C776" s="514"/>
      <c r="D776" s="1116" t="s">
        <v>3000</v>
      </c>
      <c r="E776" s="483">
        <f>SUM(E770:E775)</f>
        <v>4200000</v>
      </c>
      <c r="F776" s="514"/>
      <c r="G776" s="483">
        <f>SUM(G770:G773)</f>
        <v>315000</v>
      </c>
      <c r="H776" s="514"/>
      <c r="I776" s="514"/>
      <c r="J776" s="342"/>
      <c r="K776" s="287"/>
      <c r="L776" s="3602" t="s">
        <v>3026</v>
      </c>
      <c r="M776" s="3602"/>
      <c r="N776" s="3602"/>
      <c r="O776" s="848">
        <f>SUM(O766:O768)</f>
        <v>155000</v>
      </c>
    </row>
    <row r="777" spans="1:16" ht="15.75" customHeight="1" x14ac:dyDescent="0.3">
      <c r="A777" s="3778"/>
      <c r="B777" s="840"/>
      <c r="C777" s="840"/>
      <c r="D777" s="491" t="s">
        <v>3002</v>
      </c>
      <c r="E777" s="841">
        <f>G776+O776</f>
        <v>470000</v>
      </c>
      <c r="F777" s="840"/>
      <c r="G777" s="842"/>
      <c r="H777" s="840"/>
      <c r="I777" s="840"/>
      <c r="J777" s="843"/>
      <c r="K777" s="287"/>
      <c r="L777" s="844"/>
      <c r="M777" s="844"/>
      <c r="N777" s="844"/>
      <c r="O777" s="294"/>
    </row>
    <row r="778" spans="1:16" ht="15.6" x14ac:dyDescent="0.3">
      <c r="A778" s="2267"/>
      <c r="B778" s="464"/>
      <c r="C778" s="464"/>
      <c r="D778" s="1118"/>
      <c r="E778" s="466"/>
      <c r="F778" s="464"/>
      <c r="G778" s="467"/>
      <c r="H778" s="464"/>
      <c r="I778" s="464"/>
      <c r="J778" s="465"/>
      <c r="K778" s="468"/>
      <c r="L778" s="469"/>
      <c r="M778" s="469"/>
      <c r="N778" s="469"/>
      <c r="O778" s="463"/>
    </row>
    <row r="779" spans="1:16" ht="15.6" x14ac:dyDescent="0.3">
      <c r="A779" s="2267"/>
      <c r="B779" s="825"/>
      <c r="C779" s="825"/>
      <c r="D779" s="1172"/>
      <c r="E779" s="827"/>
      <c r="F779" s="825"/>
      <c r="G779" s="828"/>
      <c r="H779" s="825"/>
      <c r="I779" s="825"/>
      <c r="J779" s="826"/>
      <c r="K779" s="829"/>
      <c r="L779" s="830"/>
      <c r="M779" s="830"/>
      <c r="N779" s="830"/>
      <c r="O779" s="831"/>
    </row>
    <row r="780" spans="1:16" ht="21" x14ac:dyDescent="0.4">
      <c r="A780" s="3619" t="s">
        <v>3042</v>
      </c>
      <c r="B780" s="3619"/>
      <c r="C780" s="3619"/>
      <c r="D780" s="3619"/>
      <c r="E780" s="3619"/>
      <c r="F780" s="3619"/>
      <c r="G780" s="3619"/>
      <c r="H780" s="3619"/>
      <c r="I780" s="3619"/>
      <c r="J780" s="3619"/>
      <c r="K780" s="287"/>
      <c r="L780" s="845"/>
      <c r="M780" s="845"/>
      <c r="N780" s="845"/>
      <c r="O780" s="294"/>
    </row>
    <row r="781" spans="1:16" x14ac:dyDescent="0.3">
      <c r="A781" s="2276" t="s">
        <v>2974</v>
      </c>
      <c r="B781" s="3" t="s">
        <v>2975</v>
      </c>
      <c r="C781" s="3" t="s">
        <v>3004</v>
      </c>
      <c r="D781" s="1086" t="s">
        <v>2977</v>
      </c>
      <c r="E781" s="4" t="s">
        <v>2978</v>
      </c>
      <c r="F781" s="3" t="s">
        <v>2979</v>
      </c>
      <c r="G781" s="5" t="s">
        <v>2980</v>
      </c>
      <c r="H781" s="3" t="s">
        <v>2981</v>
      </c>
      <c r="I781" s="3" t="s">
        <v>2982</v>
      </c>
      <c r="J781" s="23" t="s">
        <v>2983</v>
      </c>
      <c r="K781" s="1779" t="s">
        <v>2975</v>
      </c>
      <c r="L781" s="1779" t="s">
        <v>2977</v>
      </c>
      <c r="M781" s="1779" t="s">
        <v>2984</v>
      </c>
      <c r="N781" s="1779" t="s">
        <v>2979</v>
      </c>
      <c r="O781" s="2" t="s">
        <v>2985</v>
      </c>
    </row>
    <row r="782" spans="1:16" x14ac:dyDescent="0.3">
      <c r="A782" s="2276"/>
      <c r="B782" s="810"/>
      <c r="C782" s="409"/>
      <c r="D782" s="1193" t="s">
        <v>4543</v>
      </c>
      <c r="E782" s="600"/>
      <c r="F782" s="355"/>
      <c r="G782" s="386"/>
      <c r="H782" s="385"/>
      <c r="I782" s="385" t="s">
        <v>3928</v>
      </c>
      <c r="J782" s="23"/>
      <c r="K782" s="1779"/>
      <c r="L782" s="1779"/>
      <c r="M782" s="1779"/>
      <c r="N782" s="1779"/>
      <c r="O782" s="2"/>
    </row>
    <row r="783" spans="1:16" x14ac:dyDescent="0.3">
      <c r="A783" s="3785" t="s">
        <v>4544</v>
      </c>
      <c r="B783" s="810"/>
      <c r="C783" s="806"/>
      <c r="D783" s="776" t="s">
        <v>4545</v>
      </c>
      <c r="E783" s="600"/>
      <c r="F783" s="355"/>
      <c r="G783" s="386"/>
      <c r="H783" s="385"/>
      <c r="I783" s="385" t="s">
        <v>3928</v>
      </c>
      <c r="J783" s="1711"/>
      <c r="K783" s="1779"/>
      <c r="L783" s="1779"/>
      <c r="M783" s="1779"/>
      <c r="N783" s="1779"/>
      <c r="O783" s="2"/>
    </row>
    <row r="784" spans="1:16" x14ac:dyDescent="0.3">
      <c r="A784" s="3785"/>
      <c r="B784" s="810"/>
      <c r="C784" s="1234"/>
      <c r="D784" s="926" t="s">
        <v>4546</v>
      </c>
      <c r="E784" s="1235"/>
      <c r="F784" s="355"/>
      <c r="G784" s="386"/>
      <c r="H784" s="385"/>
      <c r="I784" s="385" t="s">
        <v>3928</v>
      </c>
      <c r="J784" s="1711"/>
      <c r="K784" s="1779"/>
      <c r="L784" s="1779"/>
      <c r="M784" s="1779"/>
      <c r="N784" s="1779"/>
      <c r="O784" s="2"/>
    </row>
    <row r="785" spans="1:15" x14ac:dyDescent="0.3">
      <c r="A785" s="3785"/>
      <c r="B785" s="810"/>
      <c r="C785" s="1231"/>
      <c r="D785" s="417" t="s">
        <v>4547</v>
      </c>
      <c r="E785" s="1235"/>
      <c r="F785" s="355"/>
      <c r="G785" s="386"/>
      <c r="H785" s="385"/>
      <c r="I785" s="385" t="s">
        <v>3925</v>
      </c>
      <c r="J785" s="1711"/>
      <c r="K785" s="1779"/>
      <c r="L785" s="1779"/>
      <c r="M785" s="1779"/>
      <c r="N785" s="1779"/>
      <c r="O785" s="2"/>
    </row>
    <row r="786" spans="1:15" ht="15" customHeight="1" x14ac:dyDescent="0.3">
      <c r="A786" s="3785"/>
      <c r="B786" s="440">
        <v>11595</v>
      </c>
      <c r="C786" s="310">
        <v>0.1</v>
      </c>
      <c r="D786" s="1236" t="s">
        <v>4548</v>
      </c>
      <c r="E786" s="519">
        <v>2300000</v>
      </c>
      <c r="F786" s="310">
        <v>0.05</v>
      </c>
      <c r="G786" s="602">
        <f>E786*F786</f>
        <v>115000</v>
      </c>
      <c r="H786" s="587" t="s">
        <v>442</v>
      </c>
      <c r="I786" s="587" t="s">
        <v>3928</v>
      </c>
      <c r="J786" s="1711"/>
      <c r="K786" s="1780"/>
      <c r="L786" s="1780"/>
      <c r="M786" s="1780"/>
      <c r="N786" s="1780"/>
      <c r="O786" s="294"/>
    </row>
    <row r="787" spans="1:15" ht="15" customHeight="1" x14ac:dyDescent="0.3">
      <c r="A787" s="3785"/>
      <c r="B787" s="440">
        <v>11576</v>
      </c>
      <c r="C787" s="310">
        <v>0.1</v>
      </c>
      <c r="D787" s="995" t="s">
        <v>4549</v>
      </c>
      <c r="E787" s="519">
        <v>1000000</v>
      </c>
      <c r="F787" s="310">
        <v>0.05</v>
      </c>
      <c r="G787" s="602">
        <f t="shared" ref="G787:G795" si="35">E787*F787</f>
        <v>50000</v>
      </c>
      <c r="H787" s="587" t="s">
        <v>1138</v>
      </c>
      <c r="I787" s="587" t="s">
        <v>3928</v>
      </c>
      <c r="J787" s="1711"/>
      <c r="K787" s="1780"/>
      <c r="L787" s="1780"/>
      <c r="M787" s="1780"/>
      <c r="N787" s="1780"/>
      <c r="O787" s="294"/>
    </row>
    <row r="788" spans="1:15" s="511" customFormat="1" ht="15.75" customHeight="1" x14ac:dyDescent="0.3">
      <c r="A788" s="3785"/>
      <c r="B788" s="1057">
        <v>11585</v>
      </c>
      <c r="C788" s="310">
        <v>0.1</v>
      </c>
      <c r="D788" s="1185" t="s">
        <v>4550</v>
      </c>
      <c r="E788" s="519">
        <v>1000000</v>
      </c>
      <c r="F788" s="310">
        <v>0.1</v>
      </c>
      <c r="G788" s="602">
        <f t="shared" si="35"/>
        <v>100000</v>
      </c>
      <c r="H788" s="587" t="s">
        <v>527</v>
      </c>
      <c r="I788" s="587" t="s">
        <v>3928</v>
      </c>
      <c r="J788" s="1711"/>
      <c r="K788" s="1780"/>
      <c r="L788" s="1780"/>
      <c r="M788" s="1780"/>
      <c r="N788" s="1780"/>
      <c r="O788" s="307"/>
    </row>
    <row r="789" spans="1:15" ht="15" customHeight="1" x14ac:dyDescent="0.3">
      <c r="A789" s="3785"/>
      <c r="B789" s="440">
        <v>11609</v>
      </c>
      <c r="C789" s="310">
        <v>0.1</v>
      </c>
      <c r="D789" s="995" t="s">
        <v>4551</v>
      </c>
      <c r="E789" s="1080">
        <v>850000</v>
      </c>
      <c r="F789" s="310">
        <v>0.1</v>
      </c>
      <c r="G789" s="602">
        <f t="shared" si="35"/>
        <v>85000</v>
      </c>
      <c r="H789" s="587" t="s">
        <v>527</v>
      </c>
      <c r="I789" s="587" t="s">
        <v>3928</v>
      </c>
      <c r="J789" s="1711"/>
      <c r="K789" s="1780"/>
      <c r="L789" s="1780"/>
      <c r="M789" s="1780"/>
      <c r="N789" s="1780"/>
      <c r="O789" s="294"/>
    </row>
    <row r="790" spans="1:15" ht="15" customHeight="1" x14ac:dyDescent="0.3">
      <c r="A790" s="3785"/>
      <c r="B790" s="440">
        <v>11604</v>
      </c>
      <c r="C790" s="310">
        <v>0.1</v>
      </c>
      <c r="D790" s="587" t="s">
        <v>4552</v>
      </c>
      <c r="E790" s="519">
        <v>960000</v>
      </c>
      <c r="F790" s="310">
        <v>0.1</v>
      </c>
      <c r="G790" s="602">
        <f t="shared" si="35"/>
        <v>96000</v>
      </c>
      <c r="H790" s="587" t="s">
        <v>527</v>
      </c>
      <c r="I790" s="587" t="s">
        <v>3928</v>
      </c>
      <c r="J790" s="1711"/>
      <c r="K790" s="1780"/>
      <c r="L790" s="1780"/>
      <c r="M790" s="1780"/>
      <c r="N790" s="1780"/>
      <c r="O790" s="294"/>
    </row>
    <row r="791" spans="1:15" ht="15" customHeight="1" x14ac:dyDescent="0.3">
      <c r="A791" s="3785"/>
      <c r="B791" s="440">
        <v>11645</v>
      </c>
      <c r="C791" s="310">
        <v>0.1</v>
      </c>
      <c r="D791" s="995" t="s">
        <v>4553</v>
      </c>
      <c r="E791" s="1080">
        <v>900000</v>
      </c>
      <c r="F791" s="310">
        <v>0.05</v>
      </c>
      <c r="G791" s="602">
        <f t="shared" si="35"/>
        <v>45000</v>
      </c>
      <c r="H791" s="587" t="s">
        <v>4234</v>
      </c>
      <c r="I791" s="587" t="s">
        <v>3928</v>
      </c>
      <c r="J791" s="1711"/>
      <c r="K791" s="1780"/>
      <c r="L791" s="1780"/>
      <c r="M791" s="1780"/>
      <c r="N791" s="1780"/>
      <c r="O791" s="294"/>
    </row>
    <row r="792" spans="1:15" ht="15" customHeight="1" x14ac:dyDescent="0.3">
      <c r="A792" s="3785"/>
      <c r="B792" s="440">
        <v>11660</v>
      </c>
      <c r="C792" s="310">
        <v>0.1</v>
      </c>
      <c r="D792" s="587" t="s">
        <v>4535</v>
      </c>
      <c r="E792" s="519">
        <v>1100000</v>
      </c>
      <c r="F792" s="310">
        <v>0.05</v>
      </c>
      <c r="G792" s="602">
        <f t="shared" si="35"/>
        <v>55000</v>
      </c>
      <c r="H792" s="587" t="s">
        <v>1138</v>
      </c>
      <c r="I792" s="587" t="s">
        <v>3928</v>
      </c>
      <c r="J792" s="1711"/>
      <c r="K792" s="1780"/>
      <c r="L792" s="1780"/>
      <c r="M792" s="1780"/>
      <c r="N792" s="1780"/>
      <c r="O792" s="294"/>
    </row>
    <row r="793" spans="1:15" ht="15" customHeight="1" x14ac:dyDescent="0.3">
      <c r="A793" s="3785"/>
      <c r="B793" s="440">
        <v>11684</v>
      </c>
      <c r="C793" s="310">
        <v>0.1</v>
      </c>
      <c r="D793" s="1114" t="s">
        <v>4554</v>
      </c>
      <c r="E793" s="519">
        <v>1500000</v>
      </c>
      <c r="F793" s="310">
        <v>0.05</v>
      </c>
      <c r="G793" s="602">
        <f t="shared" si="35"/>
        <v>75000</v>
      </c>
      <c r="H793" s="587" t="s">
        <v>4234</v>
      </c>
      <c r="I793" s="587" t="s">
        <v>3928</v>
      </c>
      <c r="J793" s="1711"/>
      <c r="K793" s="1780"/>
      <c r="L793" s="1780"/>
      <c r="M793" s="1780"/>
      <c r="N793" s="1780"/>
      <c r="O793" s="294"/>
    </row>
    <row r="794" spans="1:15" ht="15.75" customHeight="1" x14ac:dyDescent="0.3">
      <c r="A794" s="3785"/>
      <c r="B794" s="1057">
        <v>11687</v>
      </c>
      <c r="C794" s="310">
        <v>0.1</v>
      </c>
      <c r="D794" s="1114" t="s">
        <v>4555</v>
      </c>
      <c r="E794" s="519">
        <v>700000</v>
      </c>
      <c r="F794" s="310">
        <v>0.1</v>
      </c>
      <c r="G794" s="602">
        <f t="shared" si="35"/>
        <v>70000</v>
      </c>
      <c r="H794" s="587" t="s">
        <v>527</v>
      </c>
      <c r="I794" s="587" t="s">
        <v>3925</v>
      </c>
      <c r="J794" s="1711"/>
      <c r="K794" s="1780"/>
      <c r="L794" s="1780"/>
      <c r="M794" s="1780"/>
      <c r="N794" s="1780"/>
      <c r="O794" s="294"/>
    </row>
    <row r="795" spans="1:15" ht="15" customHeight="1" x14ac:dyDescent="0.3">
      <c r="A795" s="3785"/>
      <c r="B795" s="440">
        <v>11713</v>
      </c>
      <c r="C795" s="310">
        <v>0.1</v>
      </c>
      <c r="D795" s="1185" t="s">
        <v>4556</v>
      </c>
      <c r="E795" s="1080">
        <v>1250000</v>
      </c>
      <c r="F795" s="310">
        <v>0.05</v>
      </c>
      <c r="G795" s="602">
        <f t="shared" si="35"/>
        <v>62500</v>
      </c>
      <c r="H795" s="587" t="s">
        <v>4234</v>
      </c>
      <c r="I795" s="587" t="s">
        <v>3925</v>
      </c>
      <c r="J795" s="1711"/>
      <c r="K795" s="1780"/>
      <c r="L795" s="1780"/>
      <c r="M795" s="1780"/>
      <c r="N795" s="376"/>
      <c r="O795" s="294"/>
    </row>
    <row r="796" spans="1:15" ht="15" customHeight="1" x14ac:dyDescent="0.3">
      <c r="A796" s="3785"/>
      <c r="B796" s="308"/>
      <c r="C796" s="982"/>
      <c r="D796" s="889"/>
      <c r="E796" s="1205"/>
      <c r="F796" s="1018"/>
      <c r="G796" s="941"/>
      <c r="H796" s="1204"/>
      <c r="I796" s="970"/>
      <c r="J796" s="1711"/>
      <c r="K796" s="1780"/>
      <c r="L796" s="1780"/>
      <c r="M796" s="1780"/>
      <c r="N796" s="376"/>
      <c r="O796" s="294"/>
    </row>
    <row r="797" spans="1:15" ht="15" customHeight="1" x14ac:dyDescent="0.3">
      <c r="A797" s="3785"/>
      <c r="B797" s="308"/>
      <c r="C797" s="982"/>
      <c r="D797" s="889"/>
      <c r="E797" s="1205"/>
      <c r="F797" s="1018"/>
      <c r="G797" s="941"/>
      <c r="H797" s="1204"/>
      <c r="I797" s="970"/>
      <c r="J797" s="1711"/>
      <c r="K797" s="1780"/>
      <c r="L797" s="1780"/>
      <c r="M797" s="1780"/>
      <c r="N797" s="1780"/>
      <c r="O797" s="294"/>
    </row>
    <row r="798" spans="1:15" ht="15" customHeight="1" x14ac:dyDescent="0.3">
      <c r="A798" s="3785"/>
      <c r="B798" s="918"/>
      <c r="C798" s="514"/>
      <c r="D798" s="1116" t="s">
        <v>3000</v>
      </c>
      <c r="E798" s="483">
        <f>SUM(E786:E795)</f>
        <v>11560000</v>
      </c>
      <c r="F798" s="514"/>
      <c r="G798" s="483">
        <f>SUM(G786:G795)</f>
        <v>753500</v>
      </c>
      <c r="H798" s="514"/>
      <c r="I798" s="514"/>
      <c r="J798" s="856"/>
      <c r="K798" s="287"/>
      <c r="L798" s="3590" t="s">
        <v>3026</v>
      </c>
      <c r="M798" s="3590"/>
      <c r="N798" s="3590"/>
      <c r="O798" s="848"/>
    </row>
    <row r="799" spans="1:15" ht="15" customHeight="1" x14ac:dyDescent="0.3">
      <c r="A799" s="3785"/>
      <c r="B799" s="919"/>
      <c r="C799" s="840"/>
      <c r="D799" s="1182" t="s">
        <v>3002</v>
      </c>
      <c r="E799" s="841">
        <f>G798</f>
        <v>753500</v>
      </c>
      <c r="F799" s="840"/>
      <c r="G799" s="842"/>
      <c r="H799" s="840"/>
      <c r="I799" s="840"/>
      <c r="J799" s="857"/>
      <c r="K799" s="287"/>
      <c r="L799" s="968"/>
      <c r="M799" s="968"/>
      <c r="N799" s="968"/>
      <c r="O799" s="294"/>
    </row>
    <row r="800" spans="1:15" ht="15.6" x14ac:dyDescent="0.3">
      <c r="A800" s="2267"/>
      <c r="B800" s="464"/>
      <c r="C800" s="464"/>
      <c r="D800" s="1118"/>
      <c r="E800" s="466"/>
      <c r="F800" s="464"/>
      <c r="G800" s="467"/>
      <c r="H800" s="464"/>
      <c r="I800" s="464"/>
      <c r="J800" s="465"/>
      <c r="K800" s="468"/>
      <c r="L800" s="469"/>
      <c r="M800" s="469"/>
      <c r="N800" s="469"/>
      <c r="O800" s="463"/>
    </row>
    <row r="801" spans="1:19" ht="15.6" x14ac:dyDescent="0.3">
      <c r="A801" s="2267"/>
      <c r="B801" s="825"/>
      <c r="C801" s="825"/>
      <c r="D801" s="1172"/>
      <c r="E801" s="827"/>
      <c r="F801" s="825"/>
      <c r="G801" s="828"/>
      <c r="H801" s="825"/>
      <c r="I801" s="825"/>
      <c r="J801" s="826"/>
      <c r="K801" s="829"/>
      <c r="L801" s="830"/>
      <c r="M801" s="830"/>
      <c r="N801" s="830"/>
      <c r="O801" s="831"/>
    </row>
    <row r="802" spans="1:19" ht="21" x14ac:dyDescent="0.4">
      <c r="A802" s="3619" t="s">
        <v>4434</v>
      </c>
      <c r="B802" s="3619"/>
      <c r="C802" s="3619"/>
      <c r="D802" s="3619"/>
      <c r="E802" s="3619"/>
      <c r="F802" s="3619"/>
      <c r="G802" s="3619"/>
      <c r="H802" s="3619"/>
      <c r="I802" s="3619"/>
      <c r="J802" s="3619"/>
      <c r="K802" s="287"/>
      <c r="L802" s="845"/>
      <c r="M802" s="845"/>
      <c r="N802" s="845"/>
      <c r="O802" s="1262"/>
      <c r="P802" s="943"/>
    </row>
    <row r="803" spans="1:19" x14ac:dyDescent="0.3">
      <c r="A803" s="2276" t="s">
        <v>2974</v>
      </c>
      <c r="B803" s="3" t="s">
        <v>2975</v>
      </c>
      <c r="C803" s="3" t="s">
        <v>3004</v>
      </c>
      <c r="D803" s="1086" t="s">
        <v>2977</v>
      </c>
      <c r="E803" s="4" t="s">
        <v>2978</v>
      </c>
      <c r="F803" s="3" t="s">
        <v>2979</v>
      </c>
      <c r="G803" s="5" t="s">
        <v>2980</v>
      </c>
      <c r="H803" s="3" t="s">
        <v>2981</v>
      </c>
      <c r="I803" s="3" t="s">
        <v>2982</v>
      </c>
      <c r="J803" s="23" t="s">
        <v>2983</v>
      </c>
      <c r="K803" s="1779" t="s">
        <v>2975</v>
      </c>
      <c r="L803" s="1779" t="s">
        <v>2977</v>
      </c>
      <c r="M803" s="1779" t="s">
        <v>2984</v>
      </c>
      <c r="N803" s="1779" t="s">
        <v>2979</v>
      </c>
      <c r="O803" s="853" t="s">
        <v>2985</v>
      </c>
      <c r="P803" s="943"/>
    </row>
    <row r="804" spans="1:19" x14ac:dyDescent="0.3">
      <c r="A804" s="2276"/>
      <c r="B804" s="810"/>
      <c r="C804" s="1244">
        <v>0.1</v>
      </c>
      <c r="D804" s="98" t="s">
        <v>4557</v>
      </c>
      <c r="E804" s="807"/>
      <c r="F804" s="806"/>
      <c r="G804" s="808"/>
      <c r="H804" s="806"/>
      <c r="I804" s="1334" t="s">
        <v>3925</v>
      </c>
      <c r="J804" s="23"/>
      <c r="K804" s="1779"/>
      <c r="L804" s="1779"/>
      <c r="M804" s="64"/>
      <c r="N804" s="1779"/>
      <c r="O804" s="853"/>
      <c r="P804" s="943"/>
    </row>
    <row r="805" spans="1:19" x14ac:dyDescent="0.3">
      <c r="A805" s="3780" t="s">
        <v>4558</v>
      </c>
      <c r="B805" s="440">
        <v>11544</v>
      </c>
      <c r="C805" s="310">
        <v>0.1</v>
      </c>
      <c r="D805" s="1154" t="s">
        <v>4522</v>
      </c>
      <c r="E805" s="519">
        <v>900000</v>
      </c>
      <c r="F805" s="310">
        <v>0.04</v>
      </c>
      <c r="G805" s="602">
        <f>E805*F805</f>
        <v>36000</v>
      </c>
      <c r="H805" s="587" t="s">
        <v>523</v>
      </c>
      <c r="I805" s="587" t="s">
        <v>3928</v>
      </c>
      <c r="J805" s="1711"/>
      <c r="K805" s="441">
        <v>11645</v>
      </c>
      <c r="L805" s="282" t="s">
        <v>4553</v>
      </c>
      <c r="M805" s="1080">
        <v>900000</v>
      </c>
      <c r="N805" s="310">
        <v>0.04</v>
      </c>
      <c r="O805" s="1261">
        <f>M805*N805</f>
        <v>36000</v>
      </c>
      <c r="P805" s="1263"/>
    </row>
    <row r="806" spans="1:19" x14ac:dyDescent="0.3">
      <c r="A806" s="3780"/>
      <c r="B806" s="440">
        <v>11628</v>
      </c>
      <c r="C806" s="310">
        <v>0.1</v>
      </c>
      <c r="D806" s="1215" t="s">
        <v>4559</v>
      </c>
      <c r="E806" s="519">
        <v>1300000</v>
      </c>
      <c r="F806" s="310">
        <v>0.04</v>
      </c>
      <c r="G806" s="602">
        <f t="shared" ref="G806:G808" si="36">E806*F806</f>
        <v>52000</v>
      </c>
      <c r="H806" s="587" t="s">
        <v>3073</v>
      </c>
      <c r="I806" s="587" t="s">
        <v>3925</v>
      </c>
      <c r="J806" s="1711"/>
      <c r="K806" s="1329">
        <v>11713</v>
      </c>
      <c r="L806" s="1326" t="s">
        <v>4560</v>
      </c>
      <c r="M806" s="1080">
        <v>1250000</v>
      </c>
      <c r="N806" s="310">
        <v>0.04</v>
      </c>
      <c r="O806" s="1261">
        <f t="shared" ref="O806:O809" si="37">M806*N806</f>
        <v>50000</v>
      </c>
      <c r="P806" s="1263"/>
    </row>
    <row r="807" spans="1:19" x14ac:dyDescent="0.3">
      <c r="A807" s="3780"/>
      <c r="B807" s="440">
        <v>11651</v>
      </c>
      <c r="C807" s="310">
        <v>0.1</v>
      </c>
      <c r="D807" s="587" t="s">
        <v>4561</v>
      </c>
      <c r="E807" s="519">
        <v>900000</v>
      </c>
      <c r="F807" s="310">
        <v>0.04</v>
      </c>
      <c r="G807" s="602">
        <f t="shared" si="36"/>
        <v>36000</v>
      </c>
      <c r="H807" s="587" t="s">
        <v>4562</v>
      </c>
      <c r="I807" s="587" t="s">
        <v>3925</v>
      </c>
      <c r="J807" s="1711"/>
      <c r="K807" s="441">
        <v>11684</v>
      </c>
      <c r="L807" s="284" t="s">
        <v>4554</v>
      </c>
      <c r="M807" s="1080">
        <v>1500000</v>
      </c>
      <c r="N807" s="310">
        <v>0.04</v>
      </c>
      <c r="O807" s="1261">
        <f t="shared" si="37"/>
        <v>60000</v>
      </c>
      <c r="P807" s="1263"/>
    </row>
    <row r="808" spans="1:19" x14ac:dyDescent="0.3">
      <c r="A808" s="3780"/>
      <c r="B808" s="878">
        <v>11735</v>
      </c>
      <c r="C808" s="123">
        <v>0.1</v>
      </c>
      <c r="D808" s="67" t="s">
        <v>4563</v>
      </c>
      <c r="E808" s="1330">
        <v>1150000</v>
      </c>
      <c r="F808" s="310">
        <v>0.08</v>
      </c>
      <c r="G808" s="602">
        <f t="shared" si="36"/>
        <v>92000</v>
      </c>
      <c r="H808" s="587" t="s">
        <v>510</v>
      </c>
      <c r="I808" s="587" t="s">
        <v>3925</v>
      </c>
      <c r="J808" s="1711"/>
      <c r="K808" s="863">
        <v>11582</v>
      </c>
      <c r="L808" s="1278" t="s">
        <v>4564</v>
      </c>
      <c r="M808" s="1080">
        <v>1200000</v>
      </c>
      <c r="N808" s="1325">
        <v>0.04</v>
      </c>
      <c r="O808" s="1261">
        <f t="shared" si="37"/>
        <v>48000</v>
      </c>
      <c r="P808" s="1265"/>
      <c r="Q808" s="1266"/>
      <c r="R808" s="1266"/>
    </row>
    <row r="809" spans="1:19" x14ac:dyDescent="0.3">
      <c r="A809" s="3780"/>
      <c r="B809" s="987"/>
      <c r="C809" s="680"/>
      <c r="D809" s="34"/>
      <c r="E809" s="201"/>
      <c r="F809" s="1780"/>
      <c r="G809" s="967"/>
      <c r="H809" s="970"/>
      <c r="I809" s="970"/>
      <c r="J809" s="1711"/>
      <c r="K809" s="863">
        <v>11693</v>
      </c>
      <c r="L809" s="1327" t="s">
        <v>4542</v>
      </c>
      <c r="M809" s="1080">
        <v>900000</v>
      </c>
      <c r="N809" s="1328">
        <v>0.04</v>
      </c>
      <c r="O809" s="1261">
        <f t="shared" si="37"/>
        <v>36000</v>
      </c>
      <c r="P809" s="788"/>
      <c r="Q809" s="1267" t="s">
        <v>3133</v>
      </c>
      <c r="R809" s="961"/>
    </row>
    <row r="810" spans="1:19" x14ac:dyDescent="0.3">
      <c r="A810" s="3780"/>
      <c r="B810" s="308"/>
      <c r="C810" s="1780"/>
      <c r="D810" s="970"/>
      <c r="E810" s="740"/>
      <c r="F810" s="1780"/>
      <c r="G810" s="967"/>
      <c r="H810" s="970"/>
      <c r="I810" s="970"/>
      <c r="J810" s="1711"/>
      <c r="K810" s="1779"/>
      <c r="L810" s="1216"/>
      <c r="M810" s="971"/>
      <c r="N810" s="1269"/>
      <c r="O810" s="1779"/>
      <c r="P810" s="1265"/>
      <c r="Q810" s="1266"/>
      <c r="R810" s="1266"/>
      <c r="S810" s="511"/>
    </row>
    <row r="811" spans="1:19" x14ac:dyDescent="0.3">
      <c r="A811" s="3780"/>
      <c r="B811" s="308"/>
      <c r="C811" s="1780"/>
      <c r="D811" s="1188"/>
      <c r="E811" s="740"/>
      <c r="F811" s="1780"/>
      <c r="G811" s="967"/>
      <c r="H811" s="970"/>
      <c r="I811" s="970"/>
      <c r="J811" s="1711"/>
      <c r="K811" s="1780"/>
      <c r="L811" s="1780"/>
      <c r="M811" s="1780"/>
      <c r="N811" s="941"/>
      <c r="O811" s="294"/>
      <c r="P811" s="511"/>
      <c r="Q811" s="511"/>
      <c r="R811" s="511"/>
    </row>
    <row r="812" spans="1:19" ht="14.25" customHeight="1" x14ac:dyDescent="0.3">
      <c r="A812" s="2278"/>
      <c r="B812" s="918"/>
      <c r="C812" s="514"/>
      <c r="D812" s="1116" t="s">
        <v>3000</v>
      </c>
      <c r="E812" s="483">
        <f>SUM(E805:E811)</f>
        <v>4250000</v>
      </c>
      <c r="F812" s="514"/>
      <c r="G812" s="483">
        <f>SUM(G805:G808)</f>
        <v>216000</v>
      </c>
      <c r="H812" s="1279"/>
      <c r="I812" s="1279"/>
      <c r="J812" s="856"/>
      <c r="K812" s="287"/>
      <c r="L812" s="3590" t="s">
        <v>4565</v>
      </c>
      <c r="M812" s="3590"/>
      <c r="N812" s="3590"/>
      <c r="O812" s="1268">
        <f>SUM(O805:O809)</f>
        <v>230000</v>
      </c>
    </row>
    <row r="813" spans="1:19" ht="15" customHeight="1" x14ac:dyDescent="0.3">
      <c r="A813" s="2279"/>
      <c r="B813" s="919"/>
      <c r="C813" s="840"/>
      <c r="D813" s="1182" t="s">
        <v>3002</v>
      </c>
      <c r="E813" s="841">
        <f>G812+O812</f>
        <v>446000</v>
      </c>
      <c r="F813" s="840"/>
      <c r="G813" s="842"/>
      <c r="H813" s="840"/>
      <c r="I813" s="840"/>
      <c r="J813" s="857"/>
      <c r="K813" s="287"/>
      <c r="L813" s="968"/>
      <c r="M813" s="968"/>
      <c r="N813" s="968"/>
      <c r="O813" s="294"/>
    </row>
    <row r="814" spans="1:19" x14ac:dyDescent="0.3">
      <c r="A814" s="2230"/>
      <c r="B814" s="17"/>
      <c r="C814" s="17"/>
      <c r="D814" s="1085"/>
      <c r="E814" s="19"/>
      <c r="F814" s="17"/>
      <c r="G814" s="20"/>
      <c r="H814" s="17"/>
      <c r="I814" s="17"/>
      <c r="J814" s="18"/>
      <c r="O814" s="1"/>
    </row>
    <row r="815" spans="1:19" x14ac:dyDescent="0.3">
      <c r="A815" s="90"/>
      <c r="E815" s="91"/>
      <c r="G815" s="92"/>
      <c r="H815" s="1028"/>
    </row>
    <row r="816" spans="1:19" x14ac:dyDescent="0.3">
      <c r="A816" s="3783" t="s">
        <v>4566</v>
      </c>
      <c r="B816" s="3783"/>
      <c r="C816" s="3783"/>
      <c r="D816" s="3783"/>
      <c r="E816" s="3783"/>
      <c r="F816" s="3783"/>
      <c r="G816" s="3783"/>
      <c r="H816" s="3783"/>
    </row>
    <row r="817" spans="1:38" x14ac:dyDescent="0.3">
      <c r="A817" s="3783"/>
      <c r="B817" s="3783"/>
      <c r="C817" s="3783"/>
      <c r="D817" s="3783"/>
      <c r="E817" s="3783"/>
      <c r="F817" s="3783"/>
      <c r="G817" s="3783"/>
      <c r="H817" s="3783"/>
      <c r="J817" s="511"/>
      <c r="K817" s="511"/>
      <c r="L817" s="511"/>
      <c r="M817" s="511"/>
      <c r="N817" s="511"/>
      <c r="O817" s="511"/>
      <c r="P817" s="511"/>
      <c r="Q817" s="511"/>
      <c r="R817" s="511"/>
      <c r="S817" s="511"/>
      <c r="T817" s="511"/>
      <c r="U817" s="511"/>
      <c r="V817" s="511"/>
      <c r="W817" s="511"/>
      <c r="X817" s="511"/>
      <c r="Y817" s="511"/>
      <c r="Z817" s="511"/>
      <c r="AA817" s="511"/>
      <c r="AB817" s="511"/>
      <c r="AC817" s="511"/>
      <c r="AD817" s="511"/>
      <c r="AE817" s="511"/>
      <c r="AF817" s="511"/>
      <c r="AG817" s="511"/>
      <c r="AH817" s="511"/>
      <c r="AI817" s="511"/>
      <c r="AJ817" s="511"/>
      <c r="AK817" s="511"/>
      <c r="AL817" s="511"/>
    </row>
    <row r="818" spans="1:38" ht="20.399999999999999" x14ac:dyDescent="0.3">
      <c r="A818" s="271" t="s">
        <v>3751</v>
      </c>
      <c r="B818" s="860" t="s">
        <v>2976</v>
      </c>
      <c r="C818" s="890" t="s">
        <v>3752</v>
      </c>
      <c r="D818" s="1127" t="s">
        <v>3753</v>
      </c>
      <c r="E818" s="862" t="s">
        <v>3754</v>
      </c>
      <c r="F818" s="406" t="s">
        <v>2979</v>
      </c>
      <c r="G818" s="407" t="s">
        <v>2985</v>
      </c>
      <c r="H818" s="697" t="s">
        <v>4123</v>
      </c>
      <c r="I818" s="2"/>
      <c r="J818" s="511"/>
      <c r="K818" s="511"/>
      <c r="L818" s="511"/>
      <c r="M818" s="511"/>
      <c r="N818" s="511"/>
      <c r="O818" s="511"/>
      <c r="P818" s="511"/>
      <c r="Q818" s="511"/>
      <c r="R818" s="511"/>
      <c r="S818" s="511"/>
      <c r="T818" s="511"/>
      <c r="U818" s="511"/>
      <c r="V818" s="511"/>
      <c r="W818" s="511"/>
      <c r="X818" s="511"/>
      <c r="Y818" s="511"/>
      <c r="Z818" s="511"/>
      <c r="AA818" s="511"/>
      <c r="AB818" s="511"/>
      <c r="AC818" s="511"/>
      <c r="AD818" s="511"/>
      <c r="AE818" s="511"/>
      <c r="AF818" s="511"/>
      <c r="AG818" s="511"/>
      <c r="AH818" s="511"/>
      <c r="AI818" s="511"/>
      <c r="AJ818" s="511"/>
      <c r="AK818" s="511"/>
      <c r="AL818" s="511"/>
    </row>
    <row r="819" spans="1:38" x14ac:dyDescent="0.3">
      <c r="A819" s="892"/>
      <c r="B819" s="344"/>
      <c r="C819" s="729" t="s">
        <v>4567</v>
      </c>
      <c r="D819" s="1203" t="s">
        <v>4568</v>
      </c>
      <c r="E819" s="1296"/>
      <c r="F819" s="1231"/>
      <c r="G819" s="600"/>
      <c r="H819" s="385" t="s">
        <v>527</v>
      </c>
      <c r="I819" s="385"/>
      <c r="J819" s="511"/>
      <c r="K819" s="511"/>
      <c r="L819" s="511"/>
      <c r="M819" s="511"/>
      <c r="N819" s="511"/>
      <c r="O819" s="511"/>
      <c r="P819" s="511"/>
      <c r="Q819" s="511"/>
      <c r="R819" s="511"/>
      <c r="S819" s="511"/>
      <c r="T819" s="511"/>
      <c r="U819" s="511"/>
      <c r="V819" s="511"/>
      <c r="W819" s="511"/>
      <c r="X819" s="511"/>
      <c r="Y819" s="511"/>
      <c r="Z819" s="511"/>
      <c r="AA819" s="511"/>
      <c r="AB819" s="511"/>
      <c r="AC819" s="511"/>
      <c r="AD819" s="511"/>
      <c r="AE819" s="511"/>
      <c r="AF819" s="511"/>
      <c r="AG819" s="511"/>
      <c r="AH819" s="511"/>
      <c r="AI819" s="511"/>
      <c r="AJ819" s="511"/>
      <c r="AK819" s="511"/>
      <c r="AL819" s="511"/>
    </row>
    <row r="820" spans="1:38" s="1293" customFormat="1" x14ac:dyDescent="0.3">
      <c r="A820" s="892"/>
      <c r="B820" s="704"/>
      <c r="C820" s="1294" t="s">
        <v>4569</v>
      </c>
      <c r="D820" s="1166" t="s">
        <v>4568</v>
      </c>
      <c r="E820" s="1295"/>
      <c r="F820" s="1231"/>
      <c r="G820" s="600"/>
      <c r="H820" s="385" t="s">
        <v>1138</v>
      </c>
      <c r="I820" s="385"/>
      <c r="J820" s="511"/>
      <c r="K820" s="511"/>
      <c r="L820" s="511"/>
      <c r="M820" s="511"/>
      <c r="N820" s="511"/>
      <c r="O820" s="511"/>
      <c r="P820" s="511"/>
      <c r="Q820" s="511"/>
      <c r="R820" s="511"/>
      <c r="S820" s="511"/>
      <c r="T820" s="511"/>
      <c r="U820" s="511"/>
      <c r="V820" s="511"/>
      <c r="W820" s="511"/>
      <c r="X820" s="511"/>
      <c r="Y820" s="511"/>
      <c r="Z820" s="511"/>
      <c r="AA820" s="511"/>
      <c r="AB820" s="511"/>
      <c r="AC820" s="511"/>
      <c r="AD820" s="511"/>
      <c r="AE820" s="511"/>
      <c r="AF820" s="511"/>
      <c r="AG820" s="511"/>
      <c r="AH820" s="511"/>
      <c r="AI820" s="511"/>
      <c r="AJ820" s="511"/>
      <c r="AK820" s="511"/>
      <c r="AL820" s="511"/>
    </row>
    <row r="821" spans="1:38" x14ac:dyDescent="0.3">
      <c r="A821" s="892"/>
      <c r="B821" s="344"/>
      <c r="C821" s="729" t="s">
        <v>4570</v>
      </c>
      <c r="D821" s="1203" t="s">
        <v>4571</v>
      </c>
      <c r="E821" s="1230"/>
      <c r="F821" s="1231"/>
      <c r="G821" s="600"/>
      <c r="H821" s="385" t="s">
        <v>3532</v>
      </c>
      <c r="I821" s="1087"/>
      <c r="J821" s="511"/>
      <c r="K821" s="511"/>
      <c r="L821" s="511"/>
      <c r="M821" s="511"/>
      <c r="N821" s="511"/>
      <c r="O821" s="511"/>
    </row>
    <row r="822" spans="1:38" x14ac:dyDescent="0.3">
      <c r="A822" s="892"/>
      <c r="B822" s="999"/>
      <c r="C822" s="1000" t="s">
        <v>4572</v>
      </c>
      <c r="D822" s="1202" t="s">
        <v>4573</v>
      </c>
      <c r="E822" s="1001"/>
      <c r="F822" s="775"/>
      <c r="G822" s="894"/>
      <c r="H822" s="1280" t="s">
        <v>527</v>
      </c>
      <c r="I822" s="1087"/>
      <c r="J822" s="511"/>
      <c r="K822" s="511"/>
      <c r="L822" s="511"/>
      <c r="M822" s="511"/>
      <c r="N822" s="511"/>
      <c r="O822" s="511"/>
    </row>
    <row r="823" spans="1:38" x14ac:dyDescent="0.3">
      <c r="A823" s="892"/>
      <c r="B823" s="999"/>
      <c r="C823" s="385" t="s">
        <v>4574</v>
      </c>
      <c r="D823" s="1203" t="s">
        <v>4575</v>
      </c>
      <c r="E823" s="1019"/>
      <c r="F823" s="836"/>
      <c r="G823" s="1020"/>
      <c r="H823" s="417" t="s">
        <v>527</v>
      </c>
      <c r="I823" s="1087"/>
      <c r="J823" s="511"/>
      <c r="K823" s="511"/>
      <c r="L823" s="511"/>
      <c r="M823" s="511"/>
      <c r="N823" s="511"/>
      <c r="O823" s="511"/>
    </row>
    <row r="824" spans="1:38" x14ac:dyDescent="0.3">
      <c r="A824" s="361"/>
      <c r="B824" s="344"/>
      <c r="C824" s="729" t="s">
        <v>4576</v>
      </c>
      <c r="D824" s="1203" t="s">
        <v>4577</v>
      </c>
      <c r="E824" s="1230"/>
      <c r="F824" s="1231"/>
      <c r="G824" s="600"/>
      <c r="H824" s="385" t="s">
        <v>2008</v>
      </c>
      <c r="I824" s="385"/>
      <c r="J824" s="511"/>
      <c r="K824" s="511"/>
      <c r="L824" s="511"/>
      <c r="M824" s="511"/>
      <c r="N824" s="511"/>
      <c r="O824" s="511"/>
    </row>
    <row r="825" spans="1:38" x14ac:dyDescent="0.3">
      <c r="A825" s="2283"/>
      <c r="B825" s="730"/>
      <c r="C825" s="729" t="s">
        <v>4578</v>
      </c>
      <c r="D825" s="1255" t="s">
        <v>4579</v>
      </c>
      <c r="E825" s="1230"/>
      <c r="F825" s="1231"/>
      <c r="G825" s="600"/>
      <c r="H825" s="1281" t="s">
        <v>523</v>
      </c>
      <c r="I825" s="385"/>
      <c r="J825" s="511"/>
      <c r="K825" s="511"/>
      <c r="L825" s="511"/>
      <c r="M825" s="511"/>
      <c r="N825" s="511"/>
      <c r="O825" s="511"/>
    </row>
    <row r="826" spans="1:38" x14ac:dyDescent="0.3">
      <c r="A826" s="2283"/>
      <c r="B826" s="704"/>
      <c r="C826" s="1289" t="s">
        <v>4580</v>
      </c>
      <c r="D826" s="417" t="s">
        <v>4581</v>
      </c>
      <c r="E826" s="1230"/>
      <c r="F826" s="1290"/>
      <c r="G826" s="600"/>
      <c r="H826" s="385" t="s">
        <v>2008</v>
      </c>
      <c r="I826" s="385"/>
      <c r="J826" s="511"/>
      <c r="K826" s="511"/>
      <c r="L826" s="511"/>
      <c r="M826" s="511"/>
      <c r="N826" s="511"/>
      <c r="O826" s="511"/>
    </row>
    <row r="827" spans="1:38" x14ac:dyDescent="0.3">
      <c r="A827" s="562">
        <v>11536</v>
      </c>
      <c r="B827" s="424">
        <v>0.1</v>
      </c>
      <c r="C827" s="439" t="s">
        <v>4582</v>
      </c>
      <c r="D827" s="1052" t="s">
        <v>4583</v>
      </c>
      <c r="E827" s="1340">
        <v>1700000</v>
      </c>
      <c r="F827" s="281">
        <v>0.02</v>
      </c>
      <c r="G827" s="1317">
        <f>E827*F827</f>
        <v>34000</v>
      </c>
      <c r="H827" s="1163" t="s">
        <v>2008</v>
      </c>
      <c r="I827" s="587" t="s">
        <v>4122</v>
      </c>
      <c r="J827" s="511"/>
      <c r="K827" s="511"/>
      <c r="L827" s="511"/>
      <c r="M827" s="511"/>
      <c r="N827" s="511"/>
      <c r="O827" s="511"/>
    </row>
    <row r="828" spans="1:38" x14ac:dyDescent="0.3">
      <c r="A828" s="2292">
        <v>11528</v>
      </c>
      <c r="B828" s="313">
        <v>0.1</v>
      </c>
      <c r="C828" s="503" t="s">
        <v>486</v>
      </c>
      <c r="D828" s="1052" t="s">
        <v>4109</v>
      </c>
      <c r="E828" s="1340">
        <v>900000</v>
      </c>
      <c r="F828" s="281">
        <v>0.06</v>
      </c>
      <c r="G828" s="1317">
        <f>E828*F828</f>
        <v>54000</v>
      </c>
      <c r="H828" s="1054" t="s">
        <v>2008</v>
      </c>
      <c r="I828" s="587" t="s">
        <v>4122</v>
      </c>
      <c r="J828" s="511"/>
      <c r="K828" s="511"/>
      <c r="L828" s="511"/>
      <c r="M828" s="511"/>
      <c r="N828" s="511"/>
      <c r="O828" s="511"/>
    </row>
    <row r="829" spans="1:38" x14ac:dyDescent="0.3">
      <c r="A829" s="2292">
        <v>11544</v>
      </c>
      <c r="B829" s="281">
        <v>0.1</v>
      </c>
      <c r="C829" s="1022" t="s">
        <v>659</v>
      </c>
      <c r="D829" s="1053" t="s">
        <v>3787</v>
      </c>
      <c r="E829" s="1340">
        <v>900000</v>
      </c>
      <c r="F829" s="281">
        <v>0.06</v>
      </c>
      <c r="G829" s="1317">
        <f t="shared" ref="G829:G851" si="38">E829*F829</f>
        <v>54000</v>
      </c>
      <c r="H829" s="1282" t="s">
        <v>4234</v>
      </c>
      <c r="I829" s="587" t="s">
        <v>4122</v>
      </c>
      <c r="J829" s="511"/>
      <c r="K829" s="511"/>
      <c r="L829" s="511"/>
      <c r="M829" s="511"/>
      <c r="N829" s="511"/>
      <c r="O829" s="511"/>
    </row>
    <row r="830" spans="1:38" x14ac:dyDescent="0.3">
      <c r="A830" s="2292">
        <v>11545</v>
      </c>
      <c r="B830" s="310">
        <v>0.1</v>
      </c>
      <c r="C830" s="937" t="s">
        <v>4584</v>
      </c>
      <c r="D830" s="1054" t="s">
        <v>3787</v>
      </c>
      <c r="E830" s="1340">
        <v>1000000</v>
      </c>
      <c r="F830" s="281">
        <v>0.06</v>
      </c>
      <c r="G830" s="1317">
        <f t="shared" si="38"/>
        <v>60000</v>
      </c>
      <c r="H830" s="590" t="s">
        <v>1138</v>
      </c>
      <c r="I830" s="590" t="s">
        <v>4122</v>
      </c>
      <c r="J830" s="511"/>
      <c r="K830" s="511"/>
      <c r="L830" s="511"/>
      <c r="M830" s="511"/>
      <c r="N830" s="511"/>
      <c r="O830" s="511"/>
    </row>
    <row r="831" spans="1:38" x14ac:dyDescent="0.3">
      <c r="A831" s="2293">
        <v>11562</v>
      </c>
      <c r="B831" s="310">
        <v>0.1</v>
      </c>
      <c r="C831" s="1022" t="s">
        <v>4585</v>
      </c>
      <c r="D831" s="1056" t="s">
        <v>4586</v>
      </c>
      <c r="E831" s="1341">
        <v>1400000</v>
      </c>
      <c r="F831" s="281">
        <v>0.06</v>
      </c>
      <c r="G831" s="1317">
        <f t="shared" si="38"/>
        <v>84000</v>
      </c>
      <c r="H831" s="1115" t="s">
        <v>2008</v>
      </c>
      <c r="I831" s="590" t="s">
        <v>4122</v>
      </c>
      <c r="J831" s="511"/>
      <c r="K831" s="511"/>
      <c r="L831" s="511"/>
      <c r="M831" s="511"/>
      <c r="N831" s="511"/>
      <c r="O831" s="511"/>
    </row>
    <row r="832" spans="1:38" x14ac:dyDescent="0.3">
      <c r="A832" s="2292">
        <v>11557</v>
      </c>
      <c r="B832" s="281">
        <v>0.1</v>
      </c>
      <c r="C832" s="937" t="s">
        <v>4587</v>
      </c>
      <c r="D832" s="590" t="s">
        <v>3787</v>
      </c>
      <c r="E832" s="1337">
        <v>850000</v>
      </c>
      <c r="F832" s="281">
        <v>0.06</v>
      </c>
      <c r="G832" s="1317">
        <f t="shared" si="38"/>
        <v>51000</v>
      </c>
      <c r="H832" s="587" t="s">
        <v>4588</v>
      </c>
      <c r="I832" s="1131" t="s">
        <v>4122</v>
      </c>
    </row>
    <row r="833" spans="1:15" x14ac:dyDescent="0.3">
      <c r="A833" s="2294">
        <v>11576</v>
      </c>
      <c r="B833" s="678">
        <v>0.1</v>
      </c>
      <c r="C833" s="439" t="s">
        <v>4589</v>
      </c>
      <c r="D833" s="590" t="s">
        <v>4109</v>
      </c>
      <c r="E833" s="1340">
        <v>1000000</v>
      </c>
      <c r="F833" s="281">
        <v>0.06</v>
      </c>
      <c r="G833" s="1317">
        <f t="shared" si="38"/>
        <v>60000</v>
      </c>
      <c r="H833" s="590" t="s">
        <v>527</v>
      </c>
      <c r="I833" s="1054" t="s">
        <v>4122</v>
      </c>
      <c r="J833" s="511"/>
      <c r="K833" s="511"/>
      <c r="L833" s="511"/>
      <c r="M833" s="511"/>
      <c r="N833" s="511"/>
      <c r="O833" s="511"/>
    </row>
    <row r="834" spans="1:15" x14ac:dyDescent="0.3">
      <c r="A834" s="2294">
        <v>11582</v>
      </c>
      <c r="B834" s="281">
        <v>0.1</v>
      </c>
      <c r="C834" s="439" t="s">
        <v>4590</v>
      </c>
      <c r="D834" s="590" t="s">
        <v>3787</v>
      </c>
      <c r="E834" s="1340">
        <v>1200000</v>
      </c>
      <c r="F834" s="281">
        <v>0.06</v>
      </c>
      <c r="G834" s="1317">
        <f t="shared" si="38"/>
        <v>72000</v>
      </c>
      <c r="H834" s="590" t="s">
        <v>1138</v>
      </c>
      <c r="I834" s="1054" t="s">
        <v>4122</v>
      </c>
      <c r="J834" s="511"/>
      <c r="K834" s="511"/>
      <c r="L834" s="511"/>
      <c r="M834" s="511"/>
      <c r="N834" s="511"/>
      <c r="O834" s="511"/>
    </row>
    <row r="835" spans="1:15" x14ac:dyDescent="0.3">
      <c r="A835" s="653">
        <v>11585</v>
      </c>
      <c r="B835" s="281">
        <v>0.1</v>
      </c>
      <c r="C835" s="439" t="s">
        <v>4591</v>
      </c>
      <c r="D835" s="590" t="s">
        <v>3787</v>
      </c>
      <c r="E835" s="1337">
        <v>1000000</v>
      </c>
      <c r="F835" s="281">
        <v>0.06</v>
      </c>
      <c r="G835" s="1317">
        <f t="shared" si="38"/>
        <v>60000</v>
      </c>
      <c r="H835" s="587" t="s">
        <v>527</v>
      </c>
      <c r="I835" s="1131" t="s">
        <v>4122</v>
      </c>
    </row>
    <row r="836" spans="1:15" x14ac:dyDescent="0.3">
      <c r="A836" s="653">
        <v>11580</v>
      </c>
      <c r="B836" s="281">
        <v>0.1</v>
      </c>
      <c r="C836" s="439" t="s">
        <v>4592</v>
      </c>
      <c r="D836" s="590" t="s">
        <v>3787</v>
      </c>
      <c r="E836" s="1340">
        <v>1200000</v>
      </c>
      <c r="F836" s="281">
        <v>0.06</v>
      </c>
      <c r="G836" s="1317">
        <f t="shared" si="38"/>
        <v>72000</v>
      </c>
      <c r="H836" s="590" t="s">
        <v>2008</v>
      </c>
      <c r="I836" s="1131" t="s">
        <v>4122</v>
      </c>
    </row>
    <row r="837" spans="1:15" x14ac:dyDescent="0.3">
      <c r="A837" s="653">
        <v>11595</v>
      </c>
      <c r="B837" s="281">
        <v>0.1</v>
      </c>
      <c r="C837" s="350" t="s">
        <v>4593</v>
      </c>
      <c r="D837" s="590" t="s">
        <v>3787</v>
      </c>
      <c r="E837" s="1340">
        <v>2300000</v>
      </c>
      <c r="F837" s="281">
        <v>0.06</v>
      </c>
      <c r="G837" s="1317">
        <f t="shared" si="38"/>
        <v>138000</v>
      </c>
      <c r="H837" s="590" t="s">
        <v>527</v>
      </c>
      <c r="I837" s="1131" t="s">
        <v>4122</v>
      </c>
    </row>
    <row r="838" spans="1:15" x14ac:dyDescent="0.3">
      <c r="A838" s="653">
        <v>11609</v>
      </c>
      <c r="B838" s="281">
        <v>0.1</v>
      </c>
      <c r="C838" s="439" t="s">
        <v>4594</v>
      </c>
      <c r="D838" s="590" t="s">
        <v>4586</v>
      </c>
      <c r="E838" s="1337">
        <v>850000</v>
      </c>
      <c r="F838" s="281">
        <v>0.06</v>
      </c>
      <c r="G838" s="1317">
        <f t="shared" si="38"/>
        <v>51000</v>
      </c>
      <c r="H838" s="587" t="s">
        <v>527</v>
      </c>
      <c r="I838" s="1131" t="s">
        <v>4122</v>
      </c>
    </row>
    <row r="839" spans="1:15" x14ac:dyDescent="0.3">
      <c r="A839" s="653">
        <v>11604</v>
      </c>
      <c r="B839" s="281">
        <v>0.1</v>
      </c>
      <c r="C839" s="350" t="s">
        <v>4595</v>
      </c>
      <c r="D839" s="590" t="s">
        <v>4109</v>
      </c>
      <c r="E839" s="1340">
        <v>960000</v>
      </c>
      <c r="F839" s="281">
        <v>0.06</v>
      </c>
      <c r="G839" s="1317">
        <f t="shared" si="38"/>
        <v>57600</v>
      </c>
      <c r="H839" s="590" t="s">
        <v>527</v>
      </c>
      <c r="I839" s="1056" t="s">
        <v>4122</v>
      </c>
    </row>
    <row r="840" spans="1:15" x14ac:dyDescent="0.3">
      <c r="A840" s="653">
        <v>11617</v>
      </c>
      <c r="B840" s="281">
        <v>0.1</v>
      </c>
      <c r="C840" s="283" t="s">
        <v>4596</v>
      </c>
      <c r="D840" s="590" t="s">
        <v>4109</v>
      </c>
      <c r="E840" s="1340">
        <v>950000</v>
      </c>
      <c r="F840" s="281">
        <v>0.06</v>
      </c>
      <c r="G840" s="1317">
        <f t="shared" si="38"/>
        <v>57000</v>
      </c>
      <c r="H840" s="590" t="s">
        <v>2008</v>
      </c>
      <c r="I840" s="1056" t="s">
        <v>4122</v>
      </c>
    </row>
    <row r="841" spans="1:15" x14ac:dyDescent="0.3">
      <c r="A841" s="653">
        <v>11624</v>
      </c>
      <c r="B841" s="281">
        <v>0.1</v>
      </c>
      <c r="C841" s="439" t="s">
        <v>895</v>
      </c>
      <c r="D841" s="1054" t="s">
        <v>4109</v>
      </c>
      <c r="E841" s="1337">
        <v>950000</v>
      </c>
      <c r="F841" s="281">
        <v>0.06</v>
      </c>
      <c r="G841" s="1317">
        <f t="shared" si="38"/>
        <v>57000</v>
      </c>
      <c r="H841" s="587" t="s">
        <v>2073</v>
      </c>
      <c r="I841" s="587" t="s">
        <v>4122</v>
      </c>
    </row>
    <row r="842" spans="1:15" x14ac:dyDescent="0.3">
      <c r="A842" s="653">
        <v>11642</v>
      </c>
      <c r="B842" s="281">
        <v>0.1</v>
      </c>
      <c r="C842" s="587" t="s">
        <v>4597</v>
      </c>
      <c r="D842" s="1170" t="s">
        <v>3787</v>
      </c>
      <c r="E842" s="1337">
        <v>1100000</v>
      </c>
      <c r="F842" s="281">
        <v>0.06</v>
      </c>
      <c r="G842" s="1317">
        <f t="shared" si="38"/>
        <v>66000</v>
      </c>
      <c r="H842" s="587" t="s">
        <v>2073</v>
      </c>
      <c r="I842" s="1131" t="s">
        <v>4122</v>
      </c>
    </row>
    <row r="843" spans="1:15" x14ac:dyDescent="0.3">
      <c r="A843" s="653">
        <v>11644</v>
      </c>
      <c r="B843" s="281">
        <v>0.1</v>
      </c>
      <c r="C843" s="439" t="s">
        <v>4598</v>
      </c>
      <c r="D843" s="1054" t="s">
        <v>3787</v>
      </c>
      <c r="E843" s="1337">
        <v>1100000</v>
      </c>
      <c r="F843" s="281">
        <v>0.06</v>
      </c>
      <c r="G843" s="1317">
        <f t="shared" si="38"/>
        <v>66000</v>
      </c>
      <c r="H843" s="587" t="s">
        <v>1138</v>
      </c>
      <c r="I843" s="587" t="s">
        <v>4122</v>
      </c>
    </row>
    <row r="844" spans="1:15" x14ac:dyDescent="0.3">
      <c r="A844" s="653">
        <v>11645</v>
      </c>
      <c r="B844" s="281">
        <v>0.1</v>
      </c>
      <c r="C844" s="439" t="s">
        <v>943</v>
      </c>
      <c r="D844" s="590" t="s">
        <v>3787</v>
      </c>
      <c r="E844" s="1337">
        <v>900000</v>
      </c>
      <c r="F844" s="281">
        <v>0.06</v>
      </c>
      <c r="G844" s="1317">
        <f t="shared" si="38"/>
        <v>54000</v>
      </c>
      <c r="H844" s="587" t="s">
        <v>527</v>
      </c>
      <c r="I844" s="1131" t="s">
        <v>4122</v>
      </c>
    </row>
    <row r="845" spans="1:15" x14ac:dyDescent="0.3">
      <c r="A845" s="653">
        <v>11653</v>
      </c>
      <c r="B845" s="281">
        <v>0.1</v>
      </c>
      <c r="C845" s="439" t="s">
        <v>4599</v>
      </c>
      <c r="D845" s="590" t="s">
        <v>4109</v>
      </c>
      <c r="E845" s="1340">
        <v>1200000</v>
      </c>
      <c r="F845" s="281">
        <v>0.06</v>
      </c>
      <c r="G845" s="1317">
        <f t="shared" si="38"/>
        <v>72000</v>
      </c>
      <c r="H845" s="590" t="s">
        <v>2008</v>
      </c>
      <c r="I845" s="1056" t="s">
        <v>4122</v>
      </c>
    </row>
    <row r="846" spans="1:15" x14ac:dyDescent="0.3">
      <c r="A846" s="653">
        <v>11660</v>
      </c>
      <c r="B846" s="281">
        <v>0.1</v>
      </c>
      <c r="C846" s="912" t="s">
        <v>4600</v>
      </c>
      <c r="D846" s="1190" t="s">
        <v>4586</v>
      </c>
      <c r="E846" s="1342">
        <v>1100000</v>
      </c>
      <c r="F846" s="281">
        <v>0.06</v>
      </c>
      <c r="G846" s="1317">
        <f t="shared" si="38"/>
        <v>66000</v>
      </c>
      <c r="H846" s="997" t="s">
        <v>527</v>
      </c>
      <c r="I846" s="1131" t="s">
        <v>4122</v>
      </c>
    </row>
    <row r="847" spans="1:15" x14ac:dyDescent="0.3">
      <c r="A847" s="2292">
        <v>11666</v>
      </c>
      <c r="B847" s="281">
        <v>0.1</v>
      </c>
      <c r="C847" s="1256" t="s">
        <v>4601</v>
      </c>
      <c r="D847" s="590" t="s">
        <v>4109</v>
      </c>
      <c r="E847" s="1337">
        <v>1050000</v>
      </c>
      <c r="F847" s="281">
        <v>0.06</v>
      </c>
      <c r="G847" s="1317">
        <f t="shared" si="38"/>
        <v>63000</v>
      </c>
      <c r="H847" s="587" t="s">
        <v>2073</v>
      </c>
      <c r="I847" s="587" t="s">
        <v>4122</v>
      </c>
    </row>
    <row r="848" spans="1:15" x14ac:dyDescent="0.3">
      <c r="A848" s="653">
        <v>11684</v>
      </c>
      <c r="B848" s="281">
        <v>0.1</v>
      </c>
      <c r="C848" s="439" t="s">
        <v>4602</v>
      </c>
      <c r="D848" s="1054" t="s">
        <v>4109</v>
      </c>
      <c r="E848" s="1337">
        <v>1500000</v>
      </c>
      <c r="F848" s="281">
        <v>0.06</v>
      </c>
      <c r="G848" s="1317">
        <f t="shared" si="38"/>
        <v>90000</v>
      </c>
      <c r="H848" s="587" t="s">
        <v>527</v>
      </c>
      <c r="I848" s="587" t="s">
        <v>4122</v>
      </c>
    </row>
    <row r="849" spans="1:15" x14ac:dyDescent="0.3">
      <c r="A849" s="653">
        <v>11693</v>
      </c>
      <c r="B849" s="424">
        <v>0.1</v>
      </c>
      <c r="C849" s="439" t="s">
        <v>708</v>
      </c>
      <c r="D849" s="1054" t="s">
        <v>4109</v>
      </c>
      <c r="E849" s="1337">
        <v>900000</v>
      </c>
      <c r="F849" s="281">
        <v>0.06</v>
      </c>
      <c r="G849" s="1317">
        <f t="shared" si="38"/>
        <v>54000</v>
      </c>
      <c r="H849" s="587" t="s">
        <v>1138</v>
      </c>
      <c r="I849" s="587" t="s">
        <v>4122</v>
      </c>
    </row>
    <row r="850" spans="1:15" x14ac:dyDescent="0.3">
      <c r="A850" s="653">
        <v>11710</v>
      </c>
      <c r="B850" s="281">
        <v>0.1</v>
      </c>
      <c r="C850" s="283" t="s">
        <v>4603</v>
      </c>
      <c r="D850" s="590" t="s">
        <v>3787</v>
      </c>
      <c r="E850" s="1340">
        <v>1000000</v>
      </c>
      <c r="F850" s="281">
        <v>0.06</v>
      </c>
      <c r="G850" s="1317">
        <f t="shared" si="38"/>
        <v>60000</v>
      </c>
      <c r="H850" s="590" t="s">
        <v>2008</v>
      </c>
      <c r="I850" s="1131" t="s">
        <v>4122</v>
      </c>
    </row>
    <row r="851" spans="1:15" x14ac:dyDescent="0.3">
      <c r="A851" s="653">
        <v>11732</v>
      </c>
      <c r="B851" s="424">
        <v>0.1</v>
      </c>
      <c r="C851" s="439" t="s">
        <v>4604</v>
      </c>
      <c r="D851" s="590" t="s">
        <v>3787</v>
      </c>
      <c r="E851" s="1347">
        <v>1200000</v>
      </c>
      <c r="F851" s="281">
        <v>0.06</v>
      </c>
      <c r="G851" s="1317">
        <f t="shared" si="38"/>
        <v>72000</v>
      </c>
      <c r="H851" s="587" t="s">
        <v>523</v>
      </c>
      <c r="I851" s="1131" t="s">
        <v>4122</v>
      </c>
    </row>
    <row r="852" spans="1:15" x14ac:dyDescent="0.3">
      <c r="A852" s="2281"/>
      <c r="B852" s="496"/>
      <c r="C852" s="716"/>
      <c r="D852" s="1205"/>
      <c r="E852" s="1018"/>
      <c r="F852" s="941"/>
      <c r="G852" s="740"/>
      <c r="H852" s="970"/>
      <c r="I852" s="970"/>
    </row>
    <row r="853" spans="1:15" x14ac:dyDescent="0.3">
      <c r="A853" s="2295"/>
      <c r="B853" s="861"/>
      <c r="C853" s="716"/>
      <c r="D853" s="1205"/>
      <c r="E853" s="1018"/>
      <c r="F853" s="941"/>
      <c r="G853" s="740"/>
      <c r="H853" s="970"/>
      <c r="I853" s="970"/>
    </row>
    <row r="854" spans="1:15" x14ac:dyDescent="0.3">
      <c r="A854" s="277"/>
      <c r="B854" s="982"/>
      <c r="C854" s="287"/>
      <c r="D854" s="1205" t="s">
        <v>3758</v>
      </c>
      <c r="E854" s="1017">
        <f>SUM(E827:E852)</f>
        <v>28210000</v>
      </c>
      <c r="F854" s="942"/>
      <c r="G854" s="414">
        <f>SUM(G827:G851)</f>
        <v>1624600</v>
      </c>
      <c r="H854" s="1058"/>
      <c r="I854" s="1195"/>
      <c r="J854" s="511"/>
      <c r="K854" s="511"/>
      <c r="L854" s="511"/>
      <c r="M854" s="511"/>
      <c r="N854" s="511"/>
      <c r="O854" s="511"/>
    </row>
    <row r="855" spans="1:15" ht="15.6" x14ac:dyDescent="0.3">
      <c r="A855" s="46"/>
      <c r="B855" s="977"/>
      <c r="C855" s="1021"/>
      <c r="D855" s="398" t="s">
        <v>3764</v>
      </c>
      <c r="E855" s="495">
        <f>G854</f>
        <v>1624600</v>
      </c>
      <c r="F855" s="979"/>
      <c r="G855" s="980"/>
      <c r="H855" s="1050"/>
      <c r="I855" s="1077"/>
    </row>
    <row r="856" spans="1:15" x14ac:dyDescent="0.3">
      <c r="E856" s="603"/>
    </row>
    <row r="857" spans="1:15" x14ac:dyDescent="0.3">
      <c r="E857" s="603"/>
    </row>
    <row r="858" spans="1:15" x14ac:dyDescent="0.3">
      <c r="A858" s="3783" t="s">
        <v>4605</v>
      </c>
      <c r="B858" s="3783"/>
      <c r="C858" s="3783"/>
      <c r="D858" s="3783"/>
      <c r="E858" s="3783"/>
      <c r="F858" s="3783"/>
      <c r="G858" s="3783"/>
      <c r="H858" s="3783"/>
    </row>
    <row r="859" spans="1:15" x14ac:dyDescent="0.3">
      <c r="A859" s="3783"/>
      <c r="B859" s="3783"/>
      <c r="C859" s="3783"/>
      <c r="D859" s="3783"/>
      <c r="E859" s="3783"/>
      <c r="F859" s="3783"/>
      <c r="G859" s="3783"/>
      <c r="H859" s="3783"/>
    </row>
    <row r="860" spans="1:15" ht="20.399999999999999" x14ac:dyDescent="0.3">
      <c r="A860" s="271" t="s">
        <v>3751</v>
      </c>
      <c r="B860" s="860" t="s">
        <v>2976</v>
      </c>
      <c r="C860" s="890" t="s">
        <v>3752</v>
      </c>
      <c r="D860" s="1127" t="s">
        <v>3753</v>
      </c>
      <c r="E860" s="862" t="s">
        <v>3754</v>
      </c>
      <c r="F860" s="406" t="s">
        <v>2979</v>
      </c>
      <c r="G860" s="407" t="s">
        <v>2985</v>
      </c>
      <c r="H860" s="697" t="s">
        <v>4123</v>
      </c>
      <c r="I860" s="268"/>
    </row>
    <row r="861" spans="1:15" x14ac:dyDescent="0.3">
      <c r="A861" s="892"/>
      <c r="B861" s="810"/>
      <c r="C861" s="98" t="s">
        <v>4557</v>
      </c>
      <c r="D861" s="98" t="s">
        <v>4606</v>
      </c>
      <c r="E861" s="893"/>
      <c r="F861" s="775"/>
      <c r="G861" s="894"/>
      <c r="H861" s="1280" t="s">
        <v>510</v>
      </c>
      <c r="I861" s="1335"/>
    </row>
    <row r="862" spans="1:15" x14ac:dyDescent="0.3">
      <c r="A862" s="892"/>
      <c r="B862" s="1244"/>
      <c r="C862" s="98" t="s">
        <v>4607</v>
      </c>
      <c r="D862" s="1087" t="s">
        <v>4125</v>
      </c>
      <c r="E862" s="1297"/>
      <c r="F862" s="98"/>
      <c r="G862" s="98"/>
      <c r="H862" s="1087" t="s">
        <v>523</v>
      </c>
      <c r="I862" s="1087"/>
    </row>
    <row r="863" spans="1:15" x14ac:dyDescent="0.3">
      <c r="A863" s="892"/>
      <c r="B863" s="1237"/>
      <c r="C863" s="729" t="s">
        <v>4608</v>
      </c>
      <c r="D863" s="417" t="s">
        <v>4609</v>
      </c>
      <c r="E863" s="1238"/>
      <c r="F863" s="358"/>
      <c r="G863" s="412"/>
      <c r="H863" s="417" t="s">
        <v>527</v>
      </c>
      <c r="I863" s="417"/>
    </row>
    <row r="864" spans="1:15" x14ac:dyDescent="0.3">
      <c r="A864" s="892"/>
      <c r="B864" s="1237"/>
      <c r="C864" s="729" t="s">
        <v>4610</v>
      </c>
      <c r="D864" s="417" t="s">
        <v>4611</v>
      </c>
      <c r="E864" s="1238"/>
      <c r="F864" s="358"/>
      <c r="G864" s="412"/>
      <c r="H864" s="417" t="s">
        <v>2008</v>
      </c>
      <c r="I864" s="417"/>
    </row>
    <row r="865" spans="1:9" x14ac:dyDescent="0.3">
      <c r="A865" s="892"/>
      <c r="B865" s="1244"/>
      <c r="C865" s="98" t="s">
        <v>4612</v>
      </c>
      <c r="D865" s="1087" t="s">
        <v>4613</v>
      </c>
      <c r="E865" s="1245"/>
      <c r="F865" s="98"/>
      <c r="G865" s="98"/>
      <c r="H865" s="1087" t="s">
        <v>1138</v>
      </c>
      <c r="I865" s="417"/>
    </row>
    <row r="866" spans="1:9" x14ac:dyDescent="0.3">
      <c r="A866" s="892"/>
      <c r="B866" s="1237"/>
      <c r="C866" s="385" t="s">
        <v>4614</v>
      </c>
      <c r="D866" s="417" t="s">
        <v>4615</v>
      </c>
      <c r="E866" s="1288"/>
      <c r="F866" s="358"/>
      <c r="G866" s="412"/>
      <c r="H866" s="417" t="s">
        <v>1138</v>
      </c>
      <c r="I866" s="417"/>
    </row>
    <row r="867" spans="1:9" x14ac:dyDescent="0.3">
      <c r="A867" s="892"/>
      <c r="B867" s="1237"/>
      <c r="C867" s="98" t="s">
        <v>4616</v>
      </c>
      <c r="D867" s="1087" t="s">
        <v>4617</v>
      </c>
      <c r="E867" s="1297"/>
      <c r="F867" s="98"/>
      <c r="G867" s="98"/>
      <c r="H867" s="1087" t="s">
        <v>748</v>
      </c>
      <c r="I867" s="417"/>
    </row>
    <row r="868" spans="1:9" s="34" customFormat="1" x14ac:dyDescent="0.3">
      <c r="A868" s="75">
        <v>11628</v>
      </c>
      <c r="B868" s="1232">
        <v>0.1</v>
      </c>
      <c r="C868" s="1215" t="s">
        <v>4618</v>
      </c>
      <c r="D868" s="1233" t="s">
        <v>4619</v>
      </c>
      <c r="E868" s="1336">
        <v>1300000</v>
      </c>
      <c r="F868" s="864">
        <v>0.02</v>
      </c>
      <c r="G868" s="1331">
        <f>E868*F868</f>
        <v>26000</v>
      </c>
      <c r="H868" s="1241" t="s">
        <v>510</v>
      </c>
      <c r="I868" s="1088" t="s">
        <v>4122</v>
      </c>
    </row>
    <row r="869" spans="1:9" s="34" customFormat="1" x14ac:dyDescent="0.3">
      <c r="A869" s="75">
        <v>11651</v>
      </c>
      <c r="B869" s="1232">
        <v>0.1</v>
      </c>
      <c r="C869" s="439" t="s">
        <v>4620</v>
      </c>
      <c r="D869" s="590" t="s">
        <v>4109</v>
      </c>
      <c r="E869" s="1336">
        <v>900000</v>
      </c>
      <c r="F869" s="864">
        <v>0.02</v>
      </c>
      <c r="G869" s="1331">
        <f t="shared" ref="G869:G874" si="39">E869*F869</f>
        <v>18000</v>
      </c>
      <c r="H869" s="1241" t="s">
        <v>510</v>
      </c>
      <c r="I869" s="1088" t="s">
        <v>4122</v>
      </c>
    </row>
    <row r="870" spans="1:9" s="34" customFormat="1" x14ac:dyDescent="0.3">
      <c r="A870" s="75">
        <v>11658</v>
      </c>
      <c r="B870" s="1232">
        <v>0.1</v>
      </c>
      <c r="C870" s="283" t="s">
        <v>4621</v>
      </c>
      <c r="D870" s="1253" t="s">
        <v>4109</v>
      </c>
      <c r="E870" s="1336">
        <v>1150000</v>
      </c>
      <c r="F870" s="864">
        <v>0.02</v>
      </c>
      <c r="G870" s="1331">
        <f t="shared" si="39"/>
        <v>23000</v>
      </c>
      <c r="H870" s="1241" t="s">
        <v>2008</v>
      </c>
      <c r="I870" s="1088" t="s">
        <v>4122</v>
      </c>
    </row>
    <row r="871" spans="1:9" s="34" customFormat="1" x14ac:dyDescent="0.3">
      <c r="A871" s="75">
        <v>11674</v>
      </c>
      <c r="B871" s="1232">
        <v>0.1</v>
      </c>
      <c r="C871" s="439" t="s">
        <v>4622</v>
      </c>
      <c r="D871" s="590" t="s">
        <v>4623</v>
      </c>
      <c r="E871" s="1336">
        <v>900000</v>
      </c>
      <c r="F871" s="864">
        <v>0.02</v>
      </c>
      <c r="G871" s="1331">
        <f t="shared" si="39"/>
        <v>18000</v>
      </c>
      <c r="H871" s="1241" t="s">
        <v>523</v>
      </c>
      <c r="I871" s="1088" t="s">
        <v>4122</v>
      </c>
    </row>
    <row r="872" spans="1:9" s="34" customFormat="1" x14ac:dyDescent="0.3">
      <c r="A872" s="75">
        <v>11687</v>
      </c>
      <c r="B872" s="281">
        <v>0.1</v>
      </c>
      <c r="C872" s="587" t="s">
        <v>4624</v>
      </c>
      <c r="D872" s="1170" t="s">
        <v>4109</v>
      </c>
      <c r="E872" s="1337">
        <v>700000</v>
      </c>
      <c r="F872" s="864">
        <v>0.02</v>
      </c>
      <c r="G872" s="1331">
        <f t="shared" si="39"/>
        <v>14000</v>
      </c>
      <c r="H872" s="587" t="s">
        <v>4625</v>
      </c>
      <c r="I872" s="1088" t="s">
        <v>4122</v>
      </c>
    </row>
    <row r="873" spans="1:9" s="34" customFormat="1" x14ac:dyDescent="0.3">
      <c r="A873" s="75">
        <v>11735</v>
      </c>
      <c r="B873" s="123">
        <v>0.1</v>
      </c>
      <c r="C873" s="67" t="s">
        <v>4626</v>
      </c>
      <c r="D873" s="1088" t="s">
        <v>4483</v>
      </c>
      <c r="E873" s="1372">
        <v>1150000</v>
      </c>
      <c r="F873" s="864">
        <v>0.02</v>
      </c>
      <c r="G873" s="1331">
        <f t="shared" si="39"/>
        <v>23000</v>
      </c>
      <c r="H873" s="1088" t="s">
        <v>510</v>
      </c>
      <c r="I873" s="1088"/>
    </row>
    <row r="874" spans="1:9" s="34" customFormat="1" x14ac:dyDescent="0.3">
      <c r="A874" s="75">
        <v>11713</v>
      </c>
      <c r="B874" s="1232">
        <v>0.1</v>
      </c>
      <c r="C874" s="439" t="s">
        <v>4627</v>
      </c>
      <c r="D874" s="590" t="s">
        <v>4109</v>
      </c>
      <c r="E874" s="1336">
        <v>1250000</v>
      </c>
      <c r="F874" s="864">
        <v>0.02</v>
      </c>
      <c r="G874" s="1331">
        <f t="shared" si="39"/>
        <v>25000</v>
      </c>
      <c r="H874" s="1241" t="s">
        <v>527</v>
      </c>
      <c r="I874" s="1088" t="s">
        <v>4122</v>
      </c>
    </row>
    <row r="875" spans="1:9" s="34" customFormat="1" x14ac:dyDescent="0.3">
      <c r="A875" s="2289"/>
      <c r="D875" s="201"/>
      <c r="E875" s="1276"/>
      <c r="G875" s="1332"/>
      <c r="H875" s="201"/>
      <c r="I875" s="201"/>
    </row>
    <row r="876" spans="1:9" s="34" customFormat="1" x14ac:dyDescent="0.3">
      <c r="A876" s="2289"/>
      <c r="D876" s="201"/>
      <c r="E876" s="1276"/>
      <c r="G876" s="1332"/>
      <c r="H876" s="201"/>
      <c r="I876" s="201"/>
    </row>
    <row r="877" spans="1:9" s="34" customFormat="1" x14ac:dyDescent="0.3">
      <c r="A877" s="2289"/>
      <c r="D877" s="1205" t="s">
        <v>3758</v>
      </c>
      <c r="E877" s="1276">
        <f>SUM(E868:E874)</f>
        <v>7350000</v>
      </c>
      <c r="G877" s="1332">
        <f>SUM(G868:G874)</f>
        <v>147000</v>
      </c>
      <c r="H877" s="51"/>
      <c r="I877" s="51"/>
    </row>
    <row r="878" spans="1:9" s="34" customFormat="1" ht="15.6" x14ac:dyDescent="0.3">
      <c r="A878" s="2289"/>
      <c r="D878" s="398" t="s">
        <v>3764</v>
      </c>
      <c r="E878" s="1333">
        <f>G877</f>
        <v>147000</v>
      </c>
      <c r="H878" s="51"/>
      <c r="I878" s="51"/>
    </row>
    <row r="881" spans="1:9" x14ac:dyDescent="0.3">
      <c r="A881" s="3784" t="s">
        <v>4628</v>
      </c>
      <c r="B881" s="3784"/>
      <c r="C881" s="3784"/>
      <c r="D881" s="3784"/>
      <c r="E881" s="3784"/>
      <c r="F881" s="3784"/>
      <c r="G881" s="3784"/>
      <c r="H881" s="3784"/>
      <c r="I881" s="2"/>
    </row>
    <row r="882" spans="1:9" x14ac:dyDescent="0.3">
      <c r="A882" s="3784"/>
      <c r="B882" s="3784"/>
      <c r="C882" s="3784"/>
      <c r="D882" s="3784"/>
      <c r="E882" s="3784"/>
      <c r="F882" s="3784"/>
      <c r="G882" s="3784"/>
      <c r="H882" s="3784"/>
      <c r="I882" s="2"/>
    </row>
    <row r="883" spans="1:9" ht="20.399999999999999" x14ac:dyDescent="0.3">
      <c r="A883" s="265" t="s">
        <v>3751</v>
      </c>
      <c r="B883" s="33" t="s">
        <v>2976</v>
      </c>
      <c r="C883" s="33" t="s">
        <v>3752</v>
      </c>
      <c r="D883" s="1093" t="s">
        <v>4121</v>
      </c>
      <c r="E883" s="63" t="s">
        <v>3754</v>
      </c>
      <c r="F883" s="118" t="s">
        <v>2979</v>
      </c>
      <c r="G883" s="88" t="s">
        <v>2985</v>
      </c>
      <c r="H883" s="266" t="s">
        <v>4208</v>
      </c>
      <c r="I883" s="2"/>
    </row>
    <row r="884" spans="1:9" x14ac:dyDescent="0.3">
      <c r="A884" s="562">
        <v>11536</v>
      </c>
      <c r="B884" s="424">
        <v>0.1</v>
      </c>
      <c r="C884" s="439" t="s">
        <v>4629</v>
      </c>
      <c r="D884" s="1206" t="s">
        <v>4630</v>
      </c>
      <c r="E884" s="1343">
        <v>1700000</v>
      </c>
      <c r="F884" s="313">
        <v>0.03</v>
      </c>
      <c r="G884" s="1354">
        <f>E884*F884</f>
        <v>51000</v>
      </c>
      <c r="H884" s="1283" t="s">
        <v>2008</v>
      </c>
      <c r="I884" s="284" t="s">
        <v>4122</v>
      </c>
    </row>
    <row r="885" spans="1:9" x14ac:dyDescent="0.3">
      <c r="A885" s="653">
        <v>11528</v>
      </c>
      <c r="B885" s="981">
        <v>0.1</v>
      </c>
      <c r="C885" s="283" t="s">
        <v>4631</v>
      </c>
      <c r="D885" s="1206" t="s">
        <v>4109</v>
      </c>
      <c r="E885" s="1344">
        <v>900000</v>
      </c>
      <c r="F885" s="313">
        <v>0.03</v>
      </c>
      <c r="G885" s="1354">
        <f t="shared" ref="G885:G915" si="40">E885*F885</f>
        <v>27000</v>
      </c>
      <c r="H885" s="283" t="s">
        <v>2008</v>
      </c>
      <c r="I885" s="283" t="s">
        <v>4122</v>
      </c>
    </row>
    <row r="886" spans="1:9" x14ac:dyDescent="0.3">
      <c r="A886" s="1010">
        <v>11544</v>
      </c>
      <c r="B886" s="592">
        <v>0.1</v>
      </c>
      <c r="C886" s="732" t="s">
        <v>4632</v>
      </c>
      <c r="D886" s="1159" t="s">
        <v>4109</v>
      </c>
      <c r="E886" s="1345">
        <v>900000</v>
      </c>
      <c r="F886" s="313">
        <v>0.03</v>
      </c>
      <c r="G886" s="1354">
        <f t="shared" si="40"/>
        <v>27000</v>
      </c>
      <c r="H886" s="1283" t="s">
        <v>4234</v>
      </c>
      <c r="I886" s="67" t="s">
        <v>4122</v>
      </c>
    </row>
    <row r="887" spans="1:9" x14ac:dyDescent="0.3">
      <c r="A887" s="2296">
        <v>11545</v>
      </c>
      <c r="B887" s="592">
        <v>0.1</v>
      </c>
      <c r="C887" s="526" t="s">
        <v>4633</v>
      </c>
      <c r="D887" s="1159" t="s">
        <v>4109</v>
      </c>
      <c r="E887" s="1346">
        <v>1000000</v>
      </c>
      <c r="F887" s="313">
        <v>0.03</v>
      </c>
      <c r="G887" s="1354">
        <f t="shared" si="40"/>
        <v>30000</v>
      </c>
      <c r="H887" s="772" t="s">
        <v>1138</v>
      </c>
      <c r="I887" s="1284" t="s">
        <v>4122</v>
      </c>
    </row>
    <row r="888" spans="1:9" x14ac:dyDescent="0.3">
      <c r="A888" s="653">
        <v>11557</v>
      </c>
      <c r="B888" s="281">
        <v>0.1</v>
      </c>
      <c r="C888" s="439" t="s">
        <v>4634</v>
      </c>
      <c r="D888" s="590" t="s">
        <v>4109</v>
      </c>
      <c r="E888" s="1347">
        <v>850000</v>
      </c>
      <c r="F888" s="313">
        <v>0.03</v>
      </c>
      <c r="G888" s="1354">
        <f t="shared" si="40"/>
        <v>25500</v>
      </c>
      <c r="H888" s="350" t="s">
        <v>4588</v>
      </c>
      <c r="I888" s="350" t="s">
        <v>4122</v>
      </c>
    </row>
    <row r="889" spans="1:9" x14ac:dyDescent="0.3">
      <c r="A889" s="562">
        <v>11562</v>
      </c>
      <c r="B889" s="310">
        <v>0.1</v>
      </c>
      <c r="C889" s="439" t="s">
        <v>4635</v>
      </c>
      <c r="D889" s="590" t="s">
        <v>4109</v>
      </c>
      <c r="E889" s="1344">
        <v>1400000</v>
      </c>
      <c r="F889" s="313">
        <v>0.03</v>
      </c>
      <c r="G889" s="1354">
        <f t="shared" si="40"/>
        <v>42000</v>
      </c>
      <c r="H889" s="283" t="s">
        <v>2008</v>
      </c>
      <c r="I889" s="283" t="s">
        <v>4122</v>
      </c>
    </row>
    <row r="890" spans="1:9" x14ac:dyDescent="0.3">
      <c r="A890" s="2294">
        <v>11576</v>
      </c>
      <c r="B890" s="421">
        <v>0.1</v>
      </c>
      <c r="C890" s="439" t="s">
        <v>4636</v>
      </c>
      <c r="D890" s="590" t="s">
        <v>3787</v>
      </c>
      <c r="E890" s="1344">
        <v>1000000</v>
      </c>
      <c r="F890" s="313">
        <v>0.03</v>
      </c>
      <c r="G890" s="1354">
        <f t="shared" si="40"/>
        <v>30000</v>
      </c>
      <c r="H890" s="283" t="s">
        <v>527</v>
      </c>
      <c r="I890" s="283" t="s">
        <v>4122</v>
      </c>
    </row>
    <row r="891" spans="1:9" x14ac:dyDescent="0.3">
      <c r="A891" s="1568">
        <v>11585</v>
      </c>
      <c r="B891" s="199">
        <v>0.1</v>
      </c>
      <c r="C891" s="439" t="s">
        <v>4637</v>
      </c>
      <c r="D891" s="590" t="s">
        <v>4109</v>
      </c>
      <c r="E891" s="1347">
        <v>1000000</v>
      </c>
      <c r="F891" s="313">
        <v>0.03</v>
      </c>
      <c r="G891" s="1354">
        <f t="shared" si="40"/>
        <v>30000</v>
      </c>
      <c r="H891" s="350" t="s">
        <v>527</v>
      </c>
      <c r="I891" s="1285" t="s">
        <v>4122</v>
      </c>
    </row>
    <row r="892" spans="1:9" x14ac:dyDescent="0.3">
      <c r="A892" s="1009">
        <v>11580</v>
      </c>
      <c r="B892" s="82">
        <v>0.1</v>
      </c>
      <c r="C892" s="439" t="s">
        <v>4638</v>
      </c>
      <c r="D892" s="590" t="s">
        <v>4586</v>
      </c>
      <c r="E892" s="1344">
        <v>1200000</v>
      </c>
      <c r="F892" s="313">
        <v>0.03</v>
      </c>
      <c r="G892" s="1354">
        <f t="shared" si="40"/>
        <v>36000</v>
      </c>
      <c r="H892" s="283" t="s">
        <v>2008</v>
      </c>
      <c r="I892" s="772" t="s">
        <v>4122</v>
      </c>
    </row>
    <row r="893" spans="1:9" x14ac:dyDescent="0.3">
      <c r="A893" s="2297">
        <v>11582</v>
      </c>
      <c r="B893" s="199">
        <v>0.1</v>
      </c>
      <c r="C893" s="439" t="s">
        <v>4639</v>
      </c>
      <c r="D893" s="590" t="s">
        <v>4109</v>
      </c>
      <c r="E893" s="1347">
        <v>1200000</v>
      </c>
      <c r="F893" s="313">
        <v>0.03</v>
      </c>
      <c r="G893" s="1354">
        <f t="shared" si="40"/>
        <v>36000</v>
      </c>
      <c r="H893" s="350" t="s">
        <v>4640</v>
      </c>
      <c r="I893" s="1285" t="s">
        <v>4122</v>
      </c>
    </row>
    <row r="894" spans="1:9" x14ac:dyDescent="0.3">
      <c r="A894" s="1009">
        <v>11595</v>
      </c>
      <c r="B894" s="199">
        <v>0.1</v>
      </c>
      <c r="C894" s="693" t="s">
        <v>4641</v>
      </c>
      <c r="D894" s="1134" t="s">
        <v>4109</v>
      </c>
      <c r="E894" s="1348">
        <v>2300000</v>
      </c>
      <c r="F894" s="313">
        <v>0.03</v>
      </c>
      <c r="G894" s="1354">
        <f t="shared" si="40"/>
        <v>69000</v>
      </c>
      <c r="H894" s="120" t="s">
        <v>527</v>
      </c>
      <c r="I894" s="67" t="s">
        <v>4122</v>
      </c>
    </row>
    <row r="895" spans="1:9" x14ac:dyDescent="0.3">
      <c r="A895" s="2298">
        <v>11617</v>
      </c>
      <c r="B895" s="281">
        <v>0.1</v>
      </c>
      <c r="C895" s="1081" t="s">
        <v>4642</v>
      </c>
      <c r="D895" s="1056" t="s">
        <v>4109</v>
      </c>
      <c r="E895" s="1346">
        <v>950000</v>
      </c>
      <c r="F895" s="313">
        <v>0.03</v>
      </c>
      <c r="G895" s="1354">
        <f t="shared" si="40"/>
        <v>28500</v>
      </c>
      <c r="H895" s="286" t="s">
        <v>2008</v>
      </c>
      <c r="I895" s="286" t="s">
        <v>4122</v>
      </c>
    </row>
    <row r="896" spans="1:9" x14ac:dyDescent="0.3">
      <c r="A896" s="653">
        <v>11609</v>
      </c>
      <c r="B896" s="281">
        <v>0.1</v>
      </c>
      <c r="C896" s="439" t="s">
        <v>4643</v>
      </c>
      <c r="D896" s="590" t="s">
        <v>4586</v>
      </c>
      <c r="E896" s="1347">
        <v>850000</v>
      </c>
      <c r="F896" s="313">
        <v>0.03</v>
      </c>
      <c r="G896" s="1354">
        <f t="shared" si="40"/>
        <v>25500</v>
      </c>
      <c r="H896" s="350" t="s">
        <v>527</v>
      </c>
      <c r="I896" s="1285" t="s">
        <v>4122</v>
      </c>
    </row>
    <row r="897" spans="1:9" x14ac:dyDescent="0.3">
      <c r="A897" s="653">
        <v>11624</v>
      </c>
      <c r="B897" s="281">
        <v>0.1</v>
      </c>
      <c r="C897" s="439" t="s">
        <v>4644</v>
      </c>
      <c r="D897" s="1054" t="s">
        <v>4109</v>
      </c>
      <c r="E897" s="1347">
        <v>950000</v>
      </c>
      <c r="F897" s="313">
        <v>0.03</v>
      </c>
      <c r="G897" s="1354">
        <f t="shared" si="40"/>
        <v>28500</v>
      </c>
      <c r="H897" s="350" t="s">
        <v>2073</v>
      </c>
      <c r="I897" s="350" t="s">
        <v>4122</v>
      </c>
    </row>
    <row r="898" spans="1:9" x14ac:dyDescent="0.3">
      <c r="A898" s="65">
        <v>11604</v>
      </c>
      <c r="B898" s="936">
        <v>0.1</v>
      </c>
      <c r="C898" s="350" t="s">
        <v>4645</v>
      </c>
      <c r="D898" s="590" t="s">
        <v>3787</v>
      </c>
      <c r="E898" s="1344">
        <v>960000</v>
      </c>
      <c r="F898" s="313">
        <v>0.03</v>
      </c>
      <c r="G898" s="1354">
        <f t="shared" si="40"/>
        <v>28800</v>
      </c>
      <c r="H898" s="283" t="s">
        <v>527</v>
      </c>
      <c r="I898" s="67" t="s">
        <v>4122</v>
      </c>
    </row>
    <row r="899" spans="1:9" x14ac:dyDescent="0.3">
      <c r="A899" s="1012">
        <v>11642</v>
      </c>
      <c r="B899" s="281">
        <v>0.1</v>
      </c>
      <c r="C899" s="587" t="s">
        <v>4646</v>
      </c>
      <c r="D899" s="1170" t="s">
        <v>4109</v>
      </c>
      <c r="E899" s="1347">
        <v>1100000</v>
      </c>
      <c r="F899" s="313">
        <v>0.03</v>
      </c>
      <c r="G899" s="1354">
        <f t="shared" si="40"/>
        <v>33000</v>
      </c>
      <c r="H899" s="350" t="s">
        <v>2073</v>
      </c>
      <c r="I899" s="1285" t="s">
        <v>4122</v>
      </c>
    </row>
    <row r="900" spans="1:9" x14ac:dyDescent="0.3">
      <c r="A900" s="1013">
        <v>11628</v>
      </c>
      <c r="B900" s="1232">
        <v>0.1</v>
      </c>
      <c r="C900" s="1215" t="s">
        <v>4618</v>
      </c>
      <c r="D900" s="1233" t="s">
        <v>4109</v>
      </c>
      <c r="E900" s="1349">
        <v>1300000</v>
      </c>
      <c r="F900" s="313">
        <v>0.03</v>
      </c>
      <c r="G900" s="1354">
        <f t="shared" si="40"/>
        <v>39000</v>
      </c>
      <c r="H900" s="1286" t="s">
        <v>510</v>
      </c>
      <c r="I900" s="1284" t="s">
        <v>4122</v>
      </c>
    </row>
    <row r="901" spans="1:9" x14ac:dyDescent="0.3">
      <c r="A901" s="1013">
        <v>11645</v>
      </c>
      <c r="B901" s="281">
        <v>0.1</v>
      </c>
      <c r="C901" s="439" t="s">
        <v>4647</v>
      </c>
      <c r="D901" s="590" t="s">
        <v>4109</v>
      </c>
      <c r="E901" s="1347">
        <v>900000</v>
      </c>
      <c r="F901" s="313">
        <v>0.03</v>
      </c>
      <c r="G901" s="1354">
        <f t="shared" si="40"/>
        <v>27000</v>
      </c>
      <c r="H901" s="350" t="s">
        <v>527</v>
      </c>
      <c r="I901" s="1285" t="s">
        <v>4122</v>
      </c>
    </row>
    <row r="902" spans="1:9" x14ac:dyDescent="0.3">
      <c r="A902" s="1013">
        <v>11644</v>
      </c>
      <c r="B902" s="281">
        <v>0.1</v>
      </c>
      <c r="C902" s="439" t="s">
        <v>4648</v>
      </c>
      <c r="D902" s="1054" t="s">
        <v>4586</v>
      </c>
      <c r="E902" s="1347">
        <v>1100000</v>
      </c>
      <c r="F902" s="313">
        <v>0.03</v>
      </c>
      <c r="G902" s="1354">
        <f t="shared" si="40"/>
        <v>33000</v>
      </c>
      <c r="H902" s="350" t="s">
        <v>1138</v>
      </c>
      <c r="I902" s="350" t="s">
        <v>4122</v>
      </c>
    </row>
    <row r="903" spans="1:9" x14ac:dyDescent="0.3">
      <c r="A903" s="1013">
        <v>11651</v>
      </c>
      <c r="B903" s="1242">
        <v>0.1</v>
      </c>
      <c r="C903" s="1243" t="s">
        <v>4620</v>
      </c>
      <c r="D903" s="1196" t="s">
        <v>4649</v>
      </c>
      <c r="E903" s="1350">
        <v>900000</v>
      </c>
      <c r="F903" s="313">
        <v>0.03</v>
      </c>
      <c r="G903" s="1354">
        <f t="shared" si="40"/>
        <v>27000</v>
      </c>
      <c r="H903" s="1287" t="s">
        <v>510</v>
      </c>
      <c r="I903" s="1284" t="s">
        <v>4122</v>
      </c>
    </row>
    <row r="904" spans="1:9" x14ac:dyDescent="0.3">
      <c r="A904" s="1012">
        <v>11653</v>
      </c>
      <c r="B904" s="281">
        <v>0.1</v>
      </c>
      <c r="C904" s="439" t="s">
        <v>4650</v>
      </c>
      <c r="D904" s="590" t="s">
        <v>4109</v>
      </c>
      <c r="E904" s="1344">
        <v>1200000</v>
      </c>
      <c r="F904" s="313">
        <v>0.03</v>
      </c>
      <c r="G904" s="1354">
        <f t="shared" si="40"/>
        <v>36000</v>
      </c>
      <c r="H904" s="283" t="s">
        <v>2008</v>
      </c>
      <c r="I904" s="1284" t="s">
        <v>4122</v>
      </c>
    </row>
    <row r="905" spans="1:9" ht="15.6" x14ac:dyDescent="0.3">
      <c r="A905" s="2299">
        <v>11658</v>
      </c>
      <c r="B905" s="1232">
        <v>0.1</v>
      </c>
      <c r="C905" s="283" t="s">
        <v>4621</v>
      </c>
      <c r="D905" s="1253" t="s">
        <v>4109</v>
      </c>
      <c r="E905" s="1349">
        <v>1150000</v>
      </c>
      <c r="F905" s="313">
        <v>0.03</v>
      </c>
      <c r="G905" s="1354">
        <f t="shared" si="40"/>
        <v>34500</v>
      </c>
      <c r="H905" s="1286" t="s">
        <v>2008</v>
      </c>
      <c r="I905" s="67" t="s">
        <v>4122</v>
      </c>
    </row>
    <row r="906" spans="1:9" x14ac:dyDescent="0.3">
      <c r="A906" s="653">
        <v>11660</v>
      </c>
      <c r="B906" s="281">
        <v>0.1</v>
      </c>
      <c r="C906" s="912" t="s">
        <v>4651</v>
      </c>
      <c r="D906" s="1190" t="s">
        <v>4109</v>
      </c>
      <c r="E906" s="1351">
        <v>1100000</v>
      </c>
      <c r="F906" s="313">
        <v>0.03</v>
      </c>
      <c r="G906" s="1354">
        <f t="shared" si="40"/>
        <v>33000</v>
      </c>
      <c r="H906" s="349" t="s">
        <v>527</v>
      </c>
      <c r="I906" s="1285" t="s">
        <v>4122</v>
      </c>
    </row>
    <row r="907" spans="1:9" x14ac:dyDescent="0.3">
      <c r="A907" s="1012">
        <v>11666</v>
      </c>
      <c r="B907" s="281">
        <v>0.1</v>
      </c>
      <c r="C907" s="1256" t="s">
        <v>4652</v>
      </c>
      <c r="D907" s="590" t="s">
        <v>4109</v>
      </c>
      <c r="E907" s="1347">
        <v>1050000</v>
      </c>
      <c r="F907" s="313">
        <v>0.03</v>
      </c>
      <c r="G907" s="1354">
        <f t="shared" si="40"/>
        <v>31500</v>
      </c>
      <c r="H907" s="350" t="s">
        <v>2073</v>
      </c>
      <c r="I907" s="350" t="s">
        <v>4122</v>
      </c>
    </row>
    <row r="908" spans="1:9" x14ac:dyDescent="0.3">
      <c r="A908" s="75">
        <v>11674</v>
      </c>
      <c r="B908" s="1232">
        <v>0.1</v>
      </c>
      <c r="C908" s="439" t="s">
        <v>4622</v>
      </c>
      <c r="D908" s="590" t="s">
        <v>4649</v>
      </c>
      <c r="E908" s="1349">
        <v>900000</v>
      </c>
      <c r="F908" s="313">
        <v>0.03</v>
      </c>
      <c r="G908" s="1354">
        <f t="shared" si="40"/>
        <v>27000</v>
      </c>
      <c r="H908" s="1286" t="s">
        <v>523</v>
      </c>
      <c r="I908" s="67" t="s">
        <v>4122</v>
      </c>
    </row>
    <row r="909" spans="1:9" x14ac:dyDescent="0.3">
      <c r="A909" s="1012">
        <v>11684</v>
      </c>
      <c r="B909" s="281">
        <v>0.1</v>
      </c>
      <c r="C909" s="439" t="s">
        <v>4653</v>
      </c>
      <c r="D909" s="1054" t="s">
        <v>4109</v>
      </c>
      <c r="E909" s="1337">
        <v>1500000</v>
      </c>
      <c r="F909" s="313">
        <v>0.03</v>
      </c>
      <c r="G909" s="1354">
        <f t="shared" si="40"/>
        <v>45000</v>
      </c>
      <c r="H909" s="350" t="s">
        <v>527</v>
      </c>
      <c r="I909" s="350" t="s">
        <v>4122</v>
      </c>
    </row>
    <row r="910" spans="1:9" ht="15.75" customHeight="1" x14ac:dyDescent="0.3">
      <c r="A910" s="2299">
        <v>11687</v>
      </c>
      <c r="B910" s="313">
        <v>0.1</v>
      </c>
      <c r="C910" s="587" t="s">
        <v>4624</v>
      </c>
      <c r="D910" s="1170" t="s">
        <v>4109</v>
      </c>
      <c r="E910" s="1337">
        <v>700000</v>
      </c>
      <c r="F910" s="313">
        <v>0.03</v>
      </c>
      <c r="G910" s="1354">
        <f t="shared" si="40"/>
        <v>21000</v>
      </c>
      <c r="H910" s="587" t="s">
        <v>4625</v>
      </c>
      <c r="I910" s="1088" t="s">
        <v>4122</v>
      </c>
    </row>
    <row r="911" spans="1:9" x14ac:dyDescent="0.3">
      <c r="A911" s="121">
        <v>11693</v>
      </c>
      <c r="B911" s="281">
        <v>0.1</v>
      </c>
      <c r="C911" s="937" t="s">
        <v>4654</v>
      </c>
      <c r="D911" s="1054" t="s">
        <v>3787</v>
      </c>
      <c r="E911" s="1337">
        <v>900000</v>
      </c>
      <c r="F911" s="313">
        <v>0.03</v>
      </c>
      <c r="G911" s="1354">
        <f t="shared" si="40"/>
        <v>27000</v>
      </c>
      <c r="H911" s="1283" t="s">
        <v>748</v>
      </c>
      <c r="I911" s="1284" t="s">
        <v>4122</v>
      </c>
    </row>
    <row r="912" spans="1:9" x14ac:dyDescent="0.3">
      <c r="A912" s="121">
        <v>11710</v>
      </c>
      <c r="B912" s="281">
        <v>0.1</v>
      </c>
      <c r="C912" s="283" t="s">
        <v>4603</v>
      </c>
      <c r="D912" s="590" t="s">
        <v>4655</v>
      </c>
      <c r="E912" s="1340">
        <v>1000000</v>
      </c>
      <c r="F912" s="313">
        <v>0.03</v>
      </c>
      <c r="G912" s="1354">
        <f t="shared" si="40"/>
        <v>30000</v>
      </c>
      <c r="H912" s="590" t="s">
        <v>2008</v>
      </c>
      <c r="I912" s="1131" t="s">
        <v>4122</v>
      </c>
    </row>
    <row r="913" spans="1:9" x14ac:dyDescent="0.3">
      <c r="A913" s="65">
        <v>11713</v>
      </c>
      <c r="B913" s="1232">
        <v>0.1</v>
      </c>
      <c r="C913" s="439" t="s">
        <v>4627</v>
      </c>
      <c r="D913" s="590" t="s">
        <v>4109</v>
      </c>
      <c r="E913" s="1336">
        <v>1250000</v>
      </c>
      <c r="F913" s="313">
        <v>0.03</v>
      </c>
      <c r="G913" s="1354">
        <f t="shared" si="40"/>
        <v>37500</v>
      </c>
      <c r="H913" s="1241" t="s">
        <v>527</v>
      </c>
      <c r="I913" s="1088" t="s">
        <v>4122</v>
      </c>
    </row>
    <row r="914" spans="1:9" x14ac:dyDescent="0.3">
      <c r="A914" s="65">
        <v>11735</v>
      </c>
      <c r="B914" s="123">
        <v>0.1</v>
      </c>
      <c r="C914" s="67" t="s">
        <v>4626</v>
      </c>
      <c r="D914" s="1088" t="s">
        <v>4586</v>
      </c>
      <c r="E914" s="1372">
        <v>1150000</v>
      </c>
      <c r="F914" s="313">
        <v>0.03</v>
      </c>
      <c r="G914" s="1354">
        <f t="shared" si="40"/>
        <v>34500</v>
      </c>
      <c r="H914" s="1088" t="s">
        <v>510</v>
      </c>
      <c r="I914" s="1088" t="s">
        <v>4122</v>
      </c>
    </row>
    <row r="915" spans="1:9" x14ac:dyDescent="0.3">
      <c r="A915" s="121">
        <v>11732</v>
      </c>
      <c r="B915" s="424">
        <v>0.1</v>
      </c>
      <c r="C915" s="439" t="s">
        <v>4604</v>
      </c>
      <c r="D915" s="1054" t="s">
        <v>3787</v>
      </c>
      <c r="E915" s="1347">
        <v>1200000</v>
      </c>
      <c r="F915" s="313">
        <v>0.03</v>
      </c>
      <c r="G915" s="1354">
        <f t="shared" si="40"/>
        <v>36000</v>
      </c>
      <c r="H915" s="587" t="s">
        <v>523</v>
      </c>
      <c r="I915" s="587" t="s">
        <v>4122</v>
      </c>
    </row>
    <row r="916" spans="1:9" x14ac:dyDescent="0.3">
      <c r="A916" s="2289"/>
      <c r="B916" s="680"/>
      <c r="C916" s="716"/>
      <c r="D916" s="1100"/>
      <c r="E916" s="1352"/>
      <c r="F916" s="499"/>
      <c r="G916" s="1355"/>
      <c r="H916" s="984"/>
      <c r="I916" s="1071"/>
    </row>
    <row r="917" spans="1:9" x14ac:dyDescent="0.3">
      <c r="A917" s="2290"/>
      <c r="B917" s="171"/>
      <c r="C917" s="171"/>
      <c r="D917" s="1136" t="s">
        <v>4264</v>
      </c>
      <c r="E917" s="1353">
        <f>SUM(E884:E915)</f>
        <v>35560000</v>
      </c>
      <c r="F917" s="498"/>
      <c r="G917" s="1356">
        <f>SUM(G884:G915)</f>
        <v>1066800</v>
      </c>
      <c r="H917" s="984"/>
      <c r="I917" s="268"/>
    </row>
    <row r="918" spans="1:9" ht="15.6" x14ac:dyDescent="0.3">
      <c r="A918" s="265"/>
      <c r="B918" s="171"/>
      <c r="C918" s="171"/>
      <c r="D918" s="1137" t="s">
        <v>3764</v>
      </c>
      <c r="E918" s="495">
        <f>G917</f>
        <v>1066800</v>
      </c>
      <c r="F918" s="11"/>
      <c r="G918" s="11"/>
      <c r="H918" s="2"/>
      <c r="I918" s="2"/>
    </row>
    <row r="921" spans="1:9" ht="18" x14ac:dyDescent="0.35">
      <c r="A921" s="3777" t="s">
        <v>4497</v>
      </c>
      <c r="B921" s="3777"/>
      <c r="C921" s="3777"/>
      <c r="D921" s="3777"/>
      <c r="E921" s="3777"/>
      <c r="F921" s="11"/>
    </row>
    <row r="922" spans="1:9" ht="18" x14ac:dyDescent="0.35">
      <c r="A922" s="898" t="s">
        <v>4498</v>
      </c>
      <c r="B922" s="898" t="s">
        <v>3754</v>
      </c>
      <c r="C922" s="898" t="s">
        <v>4499</v>
      </c>
      <c r="D922" s="1197" t="s">
        <v>4500</v>
      </c>
      <c r="E922" s="905" t="s">
        <v>4123</v>
      </c>
      <c r="F922" s="11"/>
    </row>
    <row r="923" spans="1:9" x14ac:dyDescent="0.3">
      <c r="A923" s="2300">
        <v>7243007</v>
      </c>
      <c r="B923" s="1299">
        <v>650000</v>
      </c>
      <c r="C923" s="716" t="s">
        <v>4656</v>
      </c>
      <c r="D923" s="716" t="s">
        <v>4657</v>
      </c>
      <c r="E923" s="716" t="s">
        <v>4658</v>
      </c>
      <c r="F923" s="11"/>
    </row>
    <row r="924" spans="1:9" x14ac:dyDescent="0.3">
      <c r="A924" s="2300">
        <v>7192851</v>
      </c>
      <c r="B924" s="1299" t="s">
        <v>4659</v>
      </c>
      <c r="C924" s="716" t="s">
        <v>4660</v>
      </c>
      <c r="D924" s="716" t="s">
        <v>4661</v>
      </c>
      <c r="E924" s="716" t="s">
        <v>2008</v>
      </c>
      <c r="F924" s="910"/>
    </row>
    <row r="925" spans="1:9" ht="18" x14ac:dyDescent="0.35">
      <c r="A925" s="898"/>
      <c r="B925" s="898"/>
      <c r="C925" s="898"/>
      <c r="D925" s="1197"/>
      <c r="E925" s="907"/>
      <c r="F925" s="11"/>
    </row>
    <row r="926" spans="1:9" ht="18" x14ac:dyDescent="0.35">
      <c r="A926" s="898"/>
      <c r="B926" s="898"/>
      <c r="C926" s="898"/>
      <c r="D926" s="1197"/>
      <c r="E926" s="10"/>
      <c r="F926" s="11"/>
    </row>
    <row r="928" spans="1:9" ht="15.6" x14ac:dyDescent="0.3">
      <c r="A928" s="3720" t="s">
        <v>3064</v>
      </c>
      <c r="B928" s="3720"/>
      <c r="C928" s="79"/>
      <c r="D928" s="1339">
        <f>E917</f>
        <v>35560000</v>
      </c>
    </row>
    <row r="929" spans="1:15" x14ac:dyDescent="0.3">
      <c r="A929" s="3721" t="s">
        <v>3065</v>
      </c>
      <c r="B929" s="3721"/>
      <c r="C929" s="41"/>
      <c r="D929" s="1250">
        <v>5800000</v>
      </c>
    </row>
    <row r="930" spans="1:15" x14ac:dyDescent="0.3">
      <c r="A930" s="3722" t="s">
        <v>3066</v>
      </c>
      <c r="B930" s="3722"/>
      <c r="C930" s="45"/>
      <c r="D930" s="1251">
        <v>3550000</v>
      </c>
    </row>
    <row r="931" spans="1:15" x14ac:dyDescent="0.3">
      <c r="A931" s="3609" t="s">
        <v>3067</v>
      </c>
      <c r="B931" s="3609"/>
      <c r="C931" s="651"/>
      <c r="D931" s="1252">
        <v>4900000</v>
      </c>
    </row>
    <row r="932" spans="1:15" x14ac:dyDescent="0.3">
      <c r="A932" s="3725" t="s">
        <v>3068</v>
      </c>
      <c r="B932" s="3725"/>
      <c r="C932" s="45"/>
      <c r="D932" s="270">
        <v>15480000</v>
      </c>
    </row>
    <row r="933" spans="1:15" x14ac:dyDescent="0.3">
      <c r="A933" s="2234"/>
      <c r="B933" s="43" t="s">
        <v>3070</v>
      </c>
      <c r="C933" s="43"/>
      <c r="D933" s="1157" t="s">
        <v>3133</v>
      </c>
    </row>
    <row r="939" spans="1:15" ht="46.2" x14ac:dyDescent="0.85">
      <c r="A939" s="3788" t="s">
        <v>4662</v>
      </c>
      <c r="B939" s="3788"/>
      <c r="C939" s="3788"/>
      <c r="D939" s="3788"/>
      <c r="E939" s="3788"/>
      <c r="F939" s="3788"/>
      <c r="G939" s="3788"/>
      <c r="H939" s="3788"/>
      <c r="I939" s="3788"/>
      <c r="J939" s="3788"/>
      <c r="O939" s="1"/>
    </row>
    <row r="940" spans="1:15" x14ac:dyDescent="0.3">
      <c r="O940" s="1"/>
    </row>
    <row r="941" spans="1:15" ht="21" x14ac:dyDescent="0.4">
      <c r="A941" s="3789" t="s">
        <v>2972</v>
      </c>
      <c r="B941" s="3789"/>
      <c r="C941" s="3789"/>
      <c r="D941" s="3789"/>
      <c r="E941" s="3789"/>
      <c r="F941" s="3789"/>
      <c r="G941" s="3789"/>
      <c r="H941" s="3789"/>
      <c r="I941" s="3789"/>
      <c r="J941" s="3789"/>
      <c r="K941" s="3642" t="s">
        <v>2973</v>
      </c>
      <c r="L941" s="3642"/>
      <c r="M941" s="3642"/>
      <c r="N941" s="3642"/>
      <c r="O941" s="2"/>
    </row>
    <row r="942" spans="1:15" x14ac:dyDescent="0.3">
      <c r="A942" s="2229" t="s">
        <v>2974</v>
      </c>
      <c r="B942" s="1666" t="s">
        <v>2975</v>
      </c>
      <c r="C942" s="809" t="s">
        <v>3004</v>
      </c>
      <c r="D942" s="1083" t="s">
        <v>2977</v>
      </c>
      <c r="E942" s="805" t="s">
        <v>2978</v>
      </c>
      <c r="F942" s="1666" t="s">
        <v>2979</v>
      </c>
      <c r="G942" s="167" t="s">
        <v>2980</v>
      </c>
      <c r="H942" s="1666" t="s">
        <v>2981</v>
      </c>
      <c r="I942" s="1666" t="s">
        <v>2982</v>
      </c>
      <c r="J942" s="1666" t="s">
        <v>2983</v>
      </c>
      <c r="K942" s="26" t="s">
        <v>2975</v>
      </c>
      <c r="L942" s="26" t="s">
        <v>2977</v>
      </c>
      <c r="M942" s="26" t="s">
        <v>2984</v>
      </c>
      <c r="N942" s="267" t="s">
        <v>2979</v>
      </c>
      <c r="O942" s="268" t="s">
        <v>2985</v>
      </c>
    </row>
    <row r="943" spans="1:15" x14ac:dyDescent="0.3">
      <c r="A943" s="3806" t="s">
        <v>4267</v>
      </c>
      <c r="B943" s="774"/>
      <c r="C943" s="1225"/>
      <c r="D943" s="1294" t="s">
        <v>4663</v>
      </c>
      <c r="E943" s="1247"/>
      <c r="F943" s="704"/>
      <c r="G943" s="1292"/>
      <c r="H943" s="1227"/>
      <c r="I943" s="691" t="s">
        <v>3925</v>
      </c>
      <c r="J943" s="793"/>
      <c r="K943" s="867">
        <v>11795</v>
      </c>
      <c r="L943" s="1468" t="s">
        <v>4664</v>
      </c>
      <c r="M943" s="1466">
        <v>1150000</v>
      </c>
      <c r="N943" s="864">
        <v>0.05</v>
      </c>
      <c r="O943" s="1497">
        <f>M943*N943</f>
        <v>57500</v>
      </c>
    </row>
    <row r="944" spans="1:15" ht="15.6" x14ac:dyDescent="0.3">
      <c r="A944" s="3806"/>
      <c r="B944" s="1240">
        <v>11786</v>
      </c>
      <c r="C944" s="796">
        <v>0.1</v>
      </c>
      <c r="D944" s="439" t="s">
        <v>4665</v>
      </c>
      <c r="E944" s="1501">
        <v>800000</v>
      </c>
      <c r="F944" s="313">
        <v>0.1</v>
      </c>
      <c r="G944" s="1386">
        <f>E944*F944</f>
        <v>80000</v>
      </c>
      <c r="H944" s="1055" t="s">
        <v>582</v>
      </c>
      <c r="I944" s="314" t="s">
        <v>3928</v>
      </c>
      <c r="J944" s="793"/>
      <c r="K944" s="1464">
        <v>11811</v>
      </c>
      <c r="L944" s="1469" t="s">
        <v>4666</v>
      </c>
      <c r="M944" s="1467">
        <v>880000</v>
      </c>
      <c r="N944" s="864">
        <v>0.05</v>
      </c>
      <c r="O944" s="1497">
        <f t="shared" ref="O944:O945" si="41">M944*N944</f>
        <v>44000</v>
      </c>
    </row>
    <row r="945" spans="1:15" x14ac:dyDescent="0.3">
      <c r="A945" s="3806"/>
      <c r="B945" s="619">
        <v>11770</v>
      </c>
      <c r="C945" s="504">
        <v>0.1</v>
      </c>
      <c r="D945" s="1387" t="s">
        <v>4667</v>
      </c>
      <c r="E945" s="1347">
        <v>1800000</v>
      </c>
      <c r="F945" s="281">
        <v>0.1</v>
      </c>
      <c r="G945" s="1386">
        <f t="shared" ref="G945:G946" si="42">E945*F945</f>
        <v>180000</v>
      </c>
      <c r="H945" s="1055" t="s">
        <v>582</v>
      </c>
      <c r="I945" s="314" t="s">
        <v>3928</v>
      </c>
      <c r="J945" s="793"/>
      <c r="K945" s="1464">
        <v>11766</v>
      </c>
      <c r="L945" s="1411" t="s">
        <v>4668</v>
      </c>
      <c r="M945" s="1467">
        <v>1250000</v>
      </c>
      <c r="N945" s="864">
        <v>0.05</v>
      </c>
      <c r="O945" s="1497">
        <f t="shared" si="41"/>
        <v>62500</v>
      </c>
    </row>
    <row r="946" spans="1:15" x14ac:dyDescent="0.3">
      <c r="A946" s="3806"/>
      <c r="B946" s="863">
        <v>11822</v>
      </c>
      <c r="C946" s="370">
        <v>0.1</v>
      </c>
      <c r="D946" s="1411" t="s">
        <v>4669</v>
      </c>
      <c r="E946" s="1347">
        <v>1600000</v>
      </c>
      <c r="F946" s="423">
        <v>0.05</v>
      </c>
      <c r="G946" s="276">
        <f t="shared" si="42"/>
        <v>80000</v>
      </c>
      <c r="H946" s="507" t="s">
        <v>527</v>
      </c>
      <c r="I946" s="306" t="s">
        <v>3925</v>
      </c>
      <c r="J946" s="1711"/>
      <c r="K946" s="1779"/>
      <c r="L946" s="1307"/>
      <c r="M946" s="1779"/>
      <c r="N946" s="1465"/>
      <c r="O946" s="1313"/>
    </row>
    <row r="947" spans="1:15" ht="15" customHeight="1" x14ac:dyDescent="0.3">
      <c r="A947" s="3806"/>
      <c r="B947" s="1665"/>
      <c r="C947" s="1405"/>
      <c r="D947" s="1406"/>
      <c r="E947" s="1407"/>
      <c r="F947" s="768"/>
      <c r="G947" s="1408"/>
      <c r="H947" s="533"/>
      <c r="I947" s="533"/>
      <c r="J947" s="1409"/>
      <c r="K947" s="1665"/>
      <c r="L947" s="1665"/>
      <c r="M947" s="1665"/>
      <c r="N947" s="1779"/>
      <c r="O947" s="1313"/>
    </row>
    <row r="948" spans="1:15" ht="15" customHeight="1" x14ac:dyDescent="0.3">
      <c r="A948" s="3806"/>
      <c r="B948" s="307"/>
      <c r="C948" s="326"/>
      <c r="D948" s="1058"/>
      <c r="E948" s="319"/>
      <c r="F948" s="320"/>
      <c r="G948" s="321"/>
      <c r="H948" s="307"/>
      <c r="I948" s="307"/>
      <c r="J948" s="308"/>
      <c r="K948" s="1780"/>
      <c r="L948" s="1780"/>
      <c r="M948" s="949"/>
      <c r="N948" s="985"/>
      <c r="O948" s="1780"/>
    </row>
    <row r="949" spans="1:15" ht="15" customHeight="1" x14ac:dyDescent="0.3">
      <c r="A949" s="3806"/>
      <c r="B949" s="638"/>
      <c r="C949" s="638"/>
      <c r="D949" s="1171" t="s">
        <v>3000</v>
      </c>
      <c r="E949" s="955">
        <f>SUM(E944:E948)</f>
        <v>4200000</v>
      </c>
      <c r="F949" s="956"/>
      <c r="G949" s="1207">
        <f>SUM(G944:G948)</f>
        <v>340000</v>
      </c>
      <c r="H949" s="1208"/>
      <c r="I949" s="452"/>
      <c r="J949" s="794"/>
      <c r="K949" s="316"/>
      <c r="O949" s="297">
        <f>SUM(O943:O948)</f>
        <v>164000</v>
      </c>
    </row>
    <row r="950" spans="1:15" ht="15" customHeight="1" x14ac:dyDescent="0.3">
      <c r="A950" s="3806"/>
      <c r="B950" s="1210"/>
      <c r="C950" s="1210"/>
      <c r="D950" s="1211" t="s">
        <v>3002</v>
      </c>
      <c r="E950" s="1499">
        <f>G949+O949</f>
        <v>504000</v>
      </c>
      <c r="F950" s="1210"/>
      <c r="G950" s="1213"/>
      <c r="H950" s="840"/>
      <c r="I950" s="840"/>
      <c r="J950" s="843"/>
      <c r="K950" s="895"/>
      <c r="L950" s="3599" t="s">
        <v>3001</v>
      </c>
      <c r="M950" s="3599"/>
      <c r="N950" s="3599"/>
      <c r="O950" s="1536">
        <v>504000</v>
      </c>
    </row>
    <row r="951" spans="1:15" x14ac:dyDescent="0.3">
      <c r="A951" s="2230"/>
      <c r="B951" s="17"/>
      <c r="C951" s="17"/>
      <c r="D951" s="1085"/>
      <c r="E951" s="19"/>
      <c r="F951" s="17"/>
      <c r="G951" s="20"/>
      <c r="H951" s="17"/>
      <c r="I951" s="17"/>
      <c r="J951" s="18"/>
      <c r="O951" s="1"/>
    </row>
    <row r="952" spans="1:15" x14ac:dyDescent="0.3">
      <c r="A952" s="2230"/>
      <c r="B952" s="17"/>
      <c r="C952" s="17"/>
      <c r="D952" s="1085"/>
      <c r="E952" s="19"/>
      <c r="F952" s="17"/>
      <c r="G952" s="20"/>
      <c r="H952" s="17"/>
      <c r="I952" s="17"/>
      <c r="J952" s="18"/>
      <c r="O952" s="1"/>
    </row>
    <row r="953" spans="1:15" ht="21" x14ac:dyDescent="0.4">
      <c r="A953" s="3790" t="s">
        <v>3003</v>
      </c>
      <c r="B953" s="3790"/>
      <c r="C953" s="3790"/>
      <c r="D953" s="3790"/>
      <c r="E953" s="3790"/>
      <c r="F953" s="3790"/>
      <c r="G953" s="3790"/>
      <c r="H953" s="3790"/>
      <c r="I953" s="3790"/>
      <c r="J953" s="3790"/>
      <c r="K953" s="3644" t="s">
        <v>2973</v>
      </c>
      <c r="L953" s="3644"/>
      <c r="M953" s="3644"/>
      <c r="N953" s="3644"/>
      <c r="O953" s="268"/>
    </row>
    <row r="954" spans="1:15" x14ac:dyDescent="0.3">
      <c r="A954" s="2266" t="s">
        <v>2974</v>
      </c>
      <c r="B954" s="1779" t="s">
        <v>2975</v>
      </c>
      <c r="C954" s="1779" t="s">
        <v>3004</v>
      </c>
      <c r="D954" s="1307" t="s">
        <v>2977</v>
      </c>
      <c r="E954" s="832" t="s">
        <v>2978</v>
      </c>
      <c r="F954" s="1779" t="s">
        <v>2979</v>
      </c>
      <c r="G954" s="833" t="s">
        <v>2980</v>
      </c>
      <c r="H954" s="1779" t="s">
        <v>2981</v>
      </c>
      <c r="I954" s="1779" t="s">
        <v>2982</v>
      </c>
      <c r="J954" s="1779" t="s">
        <v>2983</v>
      </c>
      <c r="K954" s="1658" t="s">
        <v>2975</v>
      </c>
      <c r="L954" s="1779" t="s">
        <v>2977</v>
      </c>
      <c r="M954" s="1779" t="s">
        <v>2984</v>
      </c>
      <c r="N954" s="1779" t="s">
        <v>2979</v>
      </c>
      <c r="O954" s="51" t="s">
        <v>2985</v>
      </c>
    </row>
    <row r="955" spans="1:15" ht="25.5" customHeight="1" x14ac:dyDescent="0.3">
      <c r="A955" s="3808" t="s">
        <v>2986</v>
      </c>
      <c r="B955" s="806"/>
      <c r="C955" s="1485"/>
      <c r="D955" s="1291" t="s">
        <v>4670</v>
      </c>
      <c r="E955" s="1486"/>
      <c r="F955" s="1487"/>
      <c r="G955" s="1488"/>
      <c r="H955" s="1489"/>
      <c r="I955" s="621" t="s">
        <v>3925</v>
      </c>
      <c r="J955" s="1490"/>
      <c r="K955" s="1658"/>
      <c r="L955" s="1484"/>
      <c r="M955" s="1779"/>
      <c r="N955" s="1779"/>
      <c r="O955" s="51"/>
    </row>
    <row r="956" spans="1:15" ht="15.75" customHeight="1" x14ac:dyDescent="0.3">
      <c r="A956" s="3808"/>
      <c r="B956" s="806"/>
      <c r="C956" s="1368"/>
      <c r="D956" s="1169" t="s">
        <v>4671</v>
      </c>
      <c r="E956" s="1369"/>
      <c r="F956" s="343"/>
      <c r="G956" s="386"/>
      <c r="H956" s="355"/>
      <c r="I956" s="946" t="s">
        <v>3925</v>
      </c>
      <c r="J956" s="1470"/>
      <c r="K956" s="1240">
        <v>11843</v>
      </c>
      <c r="L956" s="1521" t="s">
        <v>4672</v>
      </c>
      <c r="M956" s="1256">
        <v>1050000</v>
      </c>
      <c r="N956" s="864">
        <v>0.05</v>
      </c>
      <c r="O956" s="1078">
        <f>M956*N956</f>
        <v>52500</v>
      </c>
    </row>
    <row r="957" spans="1:15" ht="15" customHeight="1" x14ac:dyDescent="0.3">
      <c r="A957" s="3808"/>
      <c r="B957" s="1393"/>
      <c r="C957" s="1368"/>
      <c r="D957" s="417" t="s">
        <v>4673</v>
      </c>
      <c r="E957" s="1310"/>
      <c r="F957" s="344"/>
      <c r="G957" s="358"/>
      <c r="H957" s="606"/>
      <c r="I957" s="683" t="s">
        <v>3925</v>
      </c>
      <c r="J957" s="682"/>
      <c r="K957" s="1665"/>
      <c r="L957" s="1665"/>
      <c r="M957" s="1665"/>
      <c r="N957" s="1394"/>
      <c r="O957" s="51"/>
    </row>
    <row r="958" spans="1:15" ht="15" customHeight="1" x14ac:dyDescent="0.3">
      <c r="A958" s="3808"/>
      <c r="B958" s="1393"/>
      <c r="C958" s="1368"/>
      <c r="D958" s="1193" t="s">
        <v>4674</v>
      </c>
      <c r="E958" s="1400"/>
      <c r="F958" s="720"/>
      <c r="G958" s="1401"/>
      <c r="H958" s="328"/>
      <c r="I958" s="1402" t="s">
        <v>3925</v>
      </c>
      <c r="J958" s="1403"/>
      <c r="K958" s="533"/>
      <c r="L958" s="1365"/>
      <c r="M958" s="1366"/>
      <c r="N958" s="1367"/>
      <c r="O958" s="51"/>
    </row>
    <row r="959" spans="1:15" ht="25.5" customHeight="1" x14ac:dyDescent="0.3">
      <c r="A959" s="3808"/>
      <c r="B959" s="1454"/>
      <c r="C959" s="1455"/>
      <c r="D959" s="1294" t="s">
        <v>4675</v>
      </c>
      <c r="E959" s="1456"/>
      <c r="F959" s="1238"/>
      <c r="G959" s="358"/>
      <c r="H959" s="1033"/>
      <c r="I959" s="606" t="s">
        <v>3928</v>
      </c>
      <c r="J959" s="1403"/>
      <c r="K959" s="533"/>
      <c r="L959" s="1365"/>
      <c r="M959" s="1366"/>
      <c r="N959" s="1367"/>
      <c r="O959" s="51"/>
    </row>
    <row r="960" spans="1:15" ht="15.75" customHeight="1" x14ac:dyDescent="0.3">
      <c r="A960" s="3808"/>
      <c r="B960" s="1240">
        <v>11782</v>
      </c>
      <c r="C960" s="370">
        <v>0.1</v>
      </c>
      <c r="D960" s="587" t="s">
        <v>4676</v>
      </c>
      <c r="E960" s="1337">
        <v>1200000</v>
      </c>
      <c r="F960" s="1498">
        <v>0.1</v>
      </c>
      <c r="G960" s="962">
        <f>E960*F960</f>
        <v>120000</v>
      </c>
      <c r="H960" s="733" t="s">
        <v>523</v>
      </c>
      <c r="I960" s="1270" t="s">
        <v>3925</v>
      </c>
      <c r="J960" s="441"/>
      <c r="K960" s="1780"/>
      <c r="L960" s="1780"/>
      <c r="M960" s="1780"/>
      <c r="N960" s="1711"/>
      <c r="O960" s="307"/>
    </row>
    <row r="961" spans="1:15" ht="15" customHeight="1" x14ac:dyDescent="0.3">
      <c r="A961" s="3808"/>
      <c r="B961" s="441">
        <v>11795</v>
      </c>
      <c r="C961" s="370">
        <v>0.1</v>
      </c>
      <c r="D961" s="995" t="s">
        <v>4677</v>
      </c>
      <c r="E961" s="1337">
        <v>1150000</v>
      </c>
      <c r="F961" s="443">
        <v>0.05</v>
      </c>
      <c r="G961" s="962">
        <f t="shared" ref="G961:G964" si="43">E961*F961</f>
        <v>57500</v>
      </c>
      <c r="H961" s="728" t="s">
        <v>582</v>
      </c>
      <c r="I961" s="441" t="s">
        <v>3928</v>
      </c>
      <c r="J961" s="733"/>
      <c r="K961" s="871"/>
      <c r="L961" s="1273"/>
      <c r="M961" s="871"/>
      <c r="N961" s="871"/>
      <c r="O961" s="831"/>
    </row>
    <row r="962" spans="1:15" ht="15.75" customHeight="1" x14ac:dyDescent="0.3">
      <c r="A962" s="3808"/>
      <c r="B962" s="1240">
        <v>11818</v>
      </c>
      <c r="C962" s="370">
        <v>0.1</v>
      </c>
      <c r="D962" s="1256" t="s">
        <v>4678</v>
      </c>
      <c r="E962" s="1502">
        <v>1100000</v>
      </c>
      <c r="F962" s="281">
        <v>0.1</v>
      </c>
      <c r="G962" s="962">
        <f t="shared" si="43"/>
        <v>110000</v>
      </c>
      <c r="H962" s="306" t="s">
        <v>523</v>
      </c>
      <c r="I962" s="1463" t="s">
        <v>3928</v>
      </c>
      <c r="J962" s="441"/>
      <c r="K962" s="986"/>
      <c r="L962" s="1380"/>
      <c r="M962" s="986"/>
      <c r="N962" s="986"/>
      <c r="O962" s="463"/>
    </row>
    <row r="963" spans="1:15" s="511" customFormat="1" ht="15.75" customHeight="1" x14ac:dyDescent="0.3">
      <c r="A963" s="3808"/>
      <c r="B963" s="1240">
        <v>11910</v>
      </c>
      <c r="C963" s="370">
        <v>0.1</v>
      </c>
      <c r="D963" s="439" t="s">
        <v>4679</v>
      </c>
      <c r="E963" s="1503">
        <v>1050000</v>
      </c>
      <c r="F963" s="281">
        <v>0.1</v>
      </c>
      <c r="G963" s="962">
        <f t="shared" si="43"/>
        <v>105000</v>
      </c>
      <c r="H963" s="880" t="s">
        <v>523</v>
      </c>
      <c r="I963" s="330" t="s">
        <v>3928</v>
      </c>
      <c r="J963" s="1491"/>
      <c r="K963" s="1780"/>
      <c r="L963" s="1780"/>
      <c r="M963" s="1780"/>
      <c r="N963" s="1780"/>
      <c r="O963" s="307"/>
    </row>
    <row r="964" spans="1:15" ht="15" customHeight="1" x14ac:dyDescent="0.3">
      <c r="A964" s="3808"/>
      <c r="B964" s="1308">
        <v>11945</v>
      </c>
      <c r="C964" s="370">
        <v>0.1</v>
      </c>
      <c r="D964" s="439" t="s">
        <v>4680</v>
      </c>
      <c r="E964" s="1534">
        <v>1300000</v>
      </c>
      <c r="F964" s="281">
        <v>0.1</v>
      </c>
      <c r="G964" s="962">
        <f t="shared" si="43"/>
        <v>130000</v>
      </c>
      <c r="H964" s="880" t="s">
        <v>523</v>
      </c>
      <c r="I964" s="330" t="s">
        <v>3928</v>
      </c>
      <c r="J964" s="1491"/>
      <c r="K964" s="1780"/>
      <c r="L964" s="1780"/>
      <c r="M964" s="1780"/>
      <c r="N964" s="1780"/>
      <c r="O964" s="294"/>
    </row>
    <row r="965" spans="1:15" ht="15" customHeight="1" x14ac:dyDescent="0.3">
      <c r="A965" s="3808"/>
      <c r="B965" s="1302"/>
      <c r="C965" s="326"/>
      <c r="D965" s="716"/>
      <c r="E965" s="972"/>
      <c r="F965" s="1453"/>
      <c r="G965" s="531"/>
      <c r="H965" s="1404"/>
      <c r="I965" s="533"/>
      <c r="J965" s="1273"/>
      <c r="K965" s="1780"/>
      <c r="L965" s="1780"/>
      <c r="M965" s="1780"/>
      <c r="N965" s="1780"/>
      <c r="O965" s="294"/>
    </row>
    <row r="966" spans="1:15" ht="15" customHeight="1" x14ac:dyDescent="0.3">
      <c r="A966" s="3808"/>
      <c r="B966" s="514"/>
      <c r="C966" s="689"/>
      <c r="D966" s="1171" t="s">
        <v>3000</v>
      </c>
      <c r="E966" s="483">
        <f>SUM(E960:E965)</f>
        <v>5800000</v>
      </c>
      <c r="F966" s="514"/>
      <c r="G966" s="483">
        <f>SUM(G960:G964)</f>
        <v>522500</v>
      </c>
      <c r="H966" s="918"/>
      <c r="I966" s="514"/>
      <c r="J966" s="342"/>
      <c r="K966" s="1471"/>
      <c r="O966" s="1472">
        <f>O956</f>
        <v>52500</v>
      </c>
    </row>
    <row r="967" spans="1:15" ht="15" customHeight="1" x14ac:dyDescent="0.3">
      <c r="A967" s="3808"/>
      <c r="B967" s="840"/>
      <c r="C967" s="815"/>
      <c r="D967" s="1184" t="s">
        <v>3002</v>
      </c>
      <c r="E967" s="518">
        <f>SUM(G966+O966)</f>
        <v>575000</v>
      </c>
      <c r="F967" s="458"/>
      <c r="G967" s="489"/>
      <c r="H967" s="458"/>
      <c r="I967" s="458"/>
      <c r="J967" s="490"/>
      <c r="K967" s="461"/>
      <c r="L967" s="3651" t="s">
        <v>3026</v>
      </c>
      <c r="M967" s="3651"/>
      <c r="N967" s="3651"/>
      <c r="O967" s="1537">
        <v>575000</v>
      </c>
    </row>
    <row r="968" spans="1:15" ht="15.6" x14ac:dyDescent="0.3">
      <c r="A968" s="2267"/>
      <c r="B968" s="825"/>
      <c r="C968" s="464"/>
      <c r="D968" s="1118"/>
      <c r="E968" s="466"/>
      <c r="F968" s="464"/>
      <c r="G968" s="467"/>
      <c r="H968" s="464"/>
      <c r="I968" s="464"/>
      <c r="J968" s="465"/>
      <c r="K968" s="468"/>
      <c r="L968" s="469"/>
      <c r="M968" s="469"/>
      <c r="N968" s="469"/>
      <c r="O968" s="463"/>
    </row>
    <row r="969" spans="1:15" ht="15.6" x14ac:dyDescent="0.3">
      <c r="A969" s="2267"/>
      <c r="B969" s="825"/>
      <c r="C969" s="825"/>
      <c r="D969" s="1172"/>
      <c r="E969" s="827"/>
      <c r="F969" s="825"/>
      <c r="G969" s="828"/>
      <c r="H969" s="825"/>
      <c r="I969" s="825"/>
      <c r="J969" s="826"/>
      <c r="K969" s="829"/>
      <c r="L969" s="830"/>
      <c r="M969" s="830"/>
      <c r="N969" s="830"/>
      <c r="O969" s="831"/>
    </row>
    <row r="970" spans="1:15" ht="21" x14ac:dyDescent="0.4">
      <c r="A970" s="3789" t="s">
        <v>3027</v>
      </c>
      <c r="B970" s="3789"/>
      <c r="C970" s="3789"/>
      <c r="D970" s="3789"/>
      <c r="E970" s="3789"/>
      <c r="F970" s="3789"/>
      <c r="G970" s="3789"/>
      <c r="H970" s="3789"/>
      <c r="I970" s="3789"/>
      <c r="J970" s="3789"/>
      <c r="K970" s="3636" t="s">
        <v>2973</v>
      </c>
      <c r="L970" s="3636"/>
      <c r="M970" s="3636"/>
      <c r="N970" s="3636"/>
      <c r="O970" s="2"/>
    </row>
    <row r="971" spans="1:15" x14ac:dyDescent="0.3">
      <c r="A971" s="2276" t="s">
        <v>2974</v>
      </c>
      <c r="B971" s="1666" t="s">
        <v>2975</v>
      </c>
      <c r="C971" s="1666" t="s">
        <v>3004</v>
      </c>
      <c r="D971" s="1083" t="s">
        <v>2977</v>
      </c>
      <c r="E971" s="32" t="s">
        <v>2978</v>
      </c>
      <c r="F971" s="1666" t="s">
        <v>2979</v>
      </c>
      <c r="G971" s="167" t="s">
        <v>2980</v>
      </c>
      <c r="H971" s="1666" t="s">
        <v>2981</v>
      </c>
      <c r="I971" s="1666" t="s">
        <v>2982</v>
      </c>
      <c r="J971" s="1666" t="s">
        <v>2983</v>
      </c>
      <c r="K971" s="1658" t="s">
        <v>2975</v>
      </c>
      <c r="L971" s="1658" t="s">
        <v>2977</v>
      </c>
      <c r="M971" s="1658" t="s">
        <v>2984</v>
      </c>
      <c r="N971" s="1658" t="s">
        <v>2979</v>
      </c>
      <c r="O971" s="268" t="s">
        <v>2985</v>
      </c>
    </row>
    <row r="972" spans="1:15" x14ac:dyDescent="0.3">
      <c r="A972" s="3807" t="s">
        <v>2986</v>
      </c>
      <c r="B972" s="775"/>
      <c r="C972" s="774"/>
      <c r="D972" s="1478" t="s">
        <v>4681</v>
      </c>
      <c r="E972" s="1481"/>
      <c r="F972" s="1230"/>
      <c r="G972" s="1231"/>
      <c r="H972" s="1371"/>
      <c r="I972" s="355" t="s">
        <v>3928</v>
      </c>
      <c r="J972" s="806"/>
      <c r="K972" s="406"/>
      <c r="L972" s="1658"/>
      <c r="M972" s="1658"/>
      <c r="N972" s="1658"/>
      <c r="O972" s="268"/>
    </row>
    <row r="973" spans="1:15" ht="27" x14ac:dyDescent="0.3">
      <c r="A973" s="3807"/>
      <c r="B973" s="775"/>
      <c r="C973" s="1259">
        <v>0.1</v>
      </c>
      <c r="D973" s="1169" t="s">
        <v>4682</v>
      </c>
      <c r="E973" s="1260"/>
      <c r="F973" s="806"/>
      <c r="G973" s="808"/>
      <c r="H973" s="1399"/>
      <c r="I973" s="806" t="s">
        <v>3928</v>
      </c>
      <c r="J973" s="774"/>
      <c r="K973" s="406"/>
      <c r="L973" s="1658"/>
      <c r="M973" s="1658"/>
      <c r="N973" s="1658"/>
      <c r="O973" s="268"/>
    </row>
    <row r="974" spans="1:15" x14ac:dyDescent="0.3">
      <c r="A974" s="3807"/>
      <c r="B974" s="775"/>
      <c r="C974" s="1259">
        <v>0.1</v>
      </c>
      <c r="D974" s="98" t="s">
        <v>4683</v>
      </c>
      <c r="E974" s="1087"/>
      <c r="F974" s="1245"/>
      <c r="G974" s="98"/>
      <c r="H974" s="98"/>
      <c r="I974" s="1026" t="s">
        <v>3928</v>
      </c>
      <c r="J974" s="606"/>
      <c r="K974" s="406"/>
      <c r="L974" s="1658"/>
      <c r="M974" s="1658"/>
      <c r="N974" s="1658"/>
      <c r="O974" s="268"/>
    </row>
    <row r="975" spans="1:15" x14ac:dyDescent="0.3">
      <c r="A975" s="3807"/>
      <c r="B975" s="775"/>
      <c r="C975" s="1259">
        <v>0.1</v>
      </c>
      <c r="D975" s="729" t="s">
        <v>4684</v>
      </c>
      <c r="E975" s="1417"/>
      <c r="F975" s="1245"/>
      <c r="G975" s="98"/>
      <c r="H975" s="98"/>
      <c r="I975" s="1026" t="s">
        <v>3928</v>
      </c>
      <c r="J975" s="606"/>
      <c r="K975" s="406"/>
      <c r="L975" s="1658"/>
      <c r="M975" s="1658"/>
      <c r="N975" s="1658"/>
      <c r="O975" s="268"/>
    </row>
    <row r="976" spans="1:15" x14ac:dyDescent="0.3">
      <c r="A976" s="3807"/>
      <c r="B976" s="1449">
        <v>11811</v>
      </c>
      <c r="C976" s="864">
        <v>0.1</v>
      </c>
      <c r="D976" s="1170" t="s">
        <v>4666</v>
      </c>
      <c r="E976" s="1504">
        <v>880000</v>
      </c>
      <c r="F976" s="864">
        <v>0.05</v>
      </c>
      <c r="G976" s="866">
        <f>E976*F976</f>
        <v>44000</v>
      </c>
      <c r="H976" s="1388" t="s">
        <v>582</v>
      </c>
      <c r="I976" s="863" t="s">
        <v>3925</v>
      </c>
      <c r="J976" s="863"/>
      <c r="K976" s="406"/>
      <c r="L976" s="1658"/>
      <c r="M976" s="1658"/>
      <c r="N976" s="1658"/>
      <c r="O976" s="268"/>
    </row>
    <row r="977" spans="1:15" x14ac:dyDescent="0.3">
      <c r="A977" s="3807"/>
      <c r="B977" s="1373">
        <v>11812</v>
      </c>
      <c r="C977" s="1418">
        <v>0.1</v>
      </c>
      <c r="D977" s="1170" t="s">
        <v>4685</v>
      </c>
      <c r="E977" s="1504">
        <v>1200000</v>
      </c>
      <c r="F977" s="864">
        <v>0.06</v>
      </c>
      <c r="G977" s="866">
        <f t="shared" ref="G977:G983" si="44">E977*F977</f>
        <v>72000</v>
      </c>
      <c r="H977" s="1233" t="s">
        <v>118</v>
      </c>
      <c r="I977" s="863" t="s">
        <v>3925</v>
      </c>
      <c r="J977" s="863"/>
      <c r="K977" s="406"/>
      <c r="L977" s="1658"/>
      <c r="M977" s="1658"/>
      <c r="N977" s="1658"/>
      <c r="O977" s="268"/>
    </row>
    <row r="978" spans="1:15" ht="15.6" x14ac:dyDescent="0.3">
      <c r="A978" s="3807"/>
      <c r="B978" s="1539">
        <v>11802</v>
      </c>
      <c r="C978" s="1540">
        <v>0.1</v>
      </c>
      <c r="D978" s="1272" t="s">
        <v>4686</v>
      </c>
      <c r="E978" s="1504">
        <v>850000</v>
      </c>
      <c r="F978" s="864">
        <v>0.1</v>
      </c>
      <c r="G978" s="866">
        <f t="shared" si="44"/>
        <v>85000</v>
      </c>
      <c r="H978" s="1388" t="s">
        <v>748</v>
      </c>
      <c r="I978" s="863" t="s">
        <v>3928</v>
      </c>
      <c r="J978" s="863"/>
      <c r="K978" s="406"/>
      <c r="L978" s="1658"/>
      <c r="M978" s="1658"/>
      <c r="N978" s="1658"/>
      <c r="O978" s="268"/>
    </row>
    <row r="979" spans="1:15" ht="15.6" x14ac:dyDescent="0.3">
      <c r="A979" s="3807"/>
      <c r="B979" s="1240">
        <v>11843</v>
      </c>
      <c r="C979" s="864">
        <v>0.1</v>
      </c>
      <c r="D979" s="1447" t="s">
        <v>4687</v>
      </c>
      <c r="E979" s="1505">
        <v>1050000</v>
      </c>
      <c r="F979" s="310">
        <v>0.05</v>
      </c>
      <c r="G979" s="866">
        <f t="shared" si="44"/>
        <v>52500</v>
      </c>
      <c r="H979" s="1253" t="s">
        <v>523</v>
      </c>
      <c r="I979" s="441" t="s">
        <v>3925</v>
      </c>
      <c r="J979" s="863"/>
      <c r="K979" s="406"/>
      <c r="L979" s="1658"/>
      <c r="M979" s="1658"/>
      <c r="N979" s="1658"/>
      <c r="O979" s="268"/>
    </row>
    <row r="980" spans="1:15" x14ac:dyDescent="0.3">
      <c r="A980" s="3807"/>
      <c r="B980" s="863">
        <v>11868</v>
      </c>
      <c r="C980" s="864">
        <v>0.1</v>
      </c>
      <c r="D980" s="1447" t="s">
        <v>4688</v>
      </c>
      <c r="E980" s="1505">
        <v>800000</v>
      </c>
      <c r="F980" s="310">
        <v>0.1</v>
      </c>
      <c r="G980" s="866">
        <f t="shared" si="44"/>
        <v>80000</v>
      </c>
      <c r="H980" s="1253" t="s">
        <v>748</v>
      </c>
      <c r="I980" s="441" t="s">
        <v>4689</v>
      </c>
      <c r="J980" s="863"/>
      <c r="K980" s="406"/>
      <c r="L980" s="1658"/>
      <c r="M980" s="1658"/>
      <c r="N980" s="1658"/>
      <c r="O980" s="268"/>
    </row>
    <row r="981" spans="1:15" x14ac:dyDescent="0.3">
      <c r="A981" s="3807"/>
      <c r="B981" s="863">
        <v>11897</v>
      </c>
      <c r="C981" s="864">
        <v>0.1</v>
      </c>
      <c r="D981" s="1447" t="s">
        <v>4690</v>
      </c>
      <c r="E981" s="1505">
        <v>1000000</v>
      </c>
      <c r="F981" s="310">
        <v>0.1</v>
      </c>
      <c r="G981" s="866">
        <f t="shared" si="44"/>
        <v>100000</v>
      </c>
      <c r="H981" s="1253" t="s">
        <v>748</v>
      </c>
      <c r="I981" s="441" t="s">
        <v>3925</v>
      </c>
      <c r="J981" s="863"/>
      <c r="K981" s="1779"/>
      <c r="L981" s="1658"/>
      <c r="M981" s="1658"/>
      <c r="N981" s="1658"/>
      <c r="O981" s="268"/>
    </row>
    <row r="982" spans="1:15" s="511" customFormat="1" x14ac:dyDescent="0.3">
      <c r="A982" s="3807"/>
      <c r="B982" s="863">
        <v>11930</v>
      </c>
      <c r="C982" s="864">
        <v>0.1</v>
      </c>
      <c r="D982" s="1538" t="s">
        <v>4691</v>
      </c>
      <c r="E982" s="1505">
        <v>1150000</v>
      </c>
      <c r="F982" s="310">
        <v>0.1</v>
      </c>
      <c r="G982" s="866">
        <f t="shared" si="44"/>
        <v>115000</v>
      </c>
      <c r="H982" s="1253" t="s">
        <v>748</v>
      </c>
      <c r="I982" s="441" t="s">
        <v>3928</v>
      </c>
      <c r="J982" s="863"/>
      <c r="K982" s="406"/>
      <c r="L982" s="1658"/>
      <c r="M982" s="1658"/>
      <c r="N982" s="1658"/>
      <c r="O982" s="1071"/>
    </row>
    <row r="983" spans="1:15" s="511" customFormat="1" x14ac:dyDescent="0.3">
      <c r="A983" s="3807"/>
      <c r="B983" s="1060">
        <v>11932</v>
      </c>
      <c r="C983" s="864">
        <v>0.1</v>
      </c>
      <c r="D983" s="1538" t="s">
        <v>4692</v>
      </c>
      <c r="E983" s="1505">
        <v>1200000</v>
      </c>
      <c r="F983" s="310">
        <v>0.1</v>
      </c>
      <c r="G983" s="866">
        <f t="shared" si="44"/>
        <v>120000</v>
      </c>
      <c r="H983" s="1253" t="s">
        <v>748</v>
      </c>
      <c r="I983" s="441" t="s">
        <v>3925</v>
      </c>
      <c r="J983" s="863"/>
      <c r="K983" s="406"/>
      <c r="L983" s="1658"/>
      <c r="M983" s="1658"/>
      <c r="N983" s="1658"/>
      <c r="O983" s="1071"/>
    </row>
    <row r="984" spans="1:15" s="511" customFormat="1" x14ac:dyDescent="0.3">
      <c r="A984" s="3807"/>
      <c r="B984" s="1541"/>
      <c r="C984" s="1542"/>
      <c r="D984" s="1436"/>
      <c r="E984" s="1301"/>
      <c r="F984" s="1018"/>
      <c r="G984" s="941"/>
      <c r="H984" s="1204"/>
      <c r="I984" s="1780"/>
      <c r="J984" s="1779"/>
      <c r="K984" s="406"/>
      <c r="L984" s="1658"/>
      <c r="M984" s="1658"/>
      <c r="N984" s="1658"/>
      <c r="O984" s="1071"/>
    </row>
    <row r="985" spans="1:15" ht="15" customHeight="1" x14ac:dyDescent="0.3">
      <c r="A985" s="3807"/>
      <c r="B985" s="64"/>
      <c r="C985" s="1457"/>
      <c r="D985" s="1173"/>
      <c r="E985" s="1432"/>
      <c r="F985" s="1779"/>
      <c r="G985" s="833"/>
      <c r="H985" s="1385"/>
      <c r="I985" s="1779"/>
      <c r="J985" s="1779"/>
      <c r="K985" s="308"/>
      <c r="L985" s="1303"/>
      <c r="M985" s="1188"/>
      <c r="N985" s="740"/>
      <c r="O985" s="1780"/>
    </row>
    <row r="986" spans="1:15" ht="15" customHeight="1" x14ac:dyDescent="0.3">
      <c r="A986" s="3807"/>
      <c r="B986" s="918"/>
      <c r="C986" s="514"/>
      <c r="D986" s="1116" t="s">
        <v>3000</v>
      </c>
      <c r="E986" s="483">
        <f>SUM(E976:E985)</f>
        <v>8130000</v>
      </c>
      <c r="F986" s="514"/>
      <c r="G986" s="483">
        <f>SUM(G976:G984)</f>
        <v>668500</v>
      </c>
      <c r="H986" s="514"/>
      <c r="I986" s="514"/>
      <c r="J986" s="342"/>
      <c r="K986" s="287"/>
      <c r="L986" s="3602" t="s">
        <v>3026</v>
      </c>
      <c r="M986" s="3602"/>
      <c r="N986" s="3602"/>
      <c r="O986" s="1543">
        <v>668500</v>
      </c>
    </row>
    <row r="987" spans="1:15" ht="15.75" customHeight="1" x14ac:dyDescent="0.3">
      <c r="A987" s="3807"/>
      <c r="B987" s="919"/>
      <c r="C987" s="840"/>
      <c r="D987" s="491" t="s">
        <v>3002</v>
      </c>
      <c r="E987" s="841">
        <f>G986</f>
        <v>668500</v>
      </c>
      <c r="F987" s="840"/>
      <c r="G987" s="842"/>
      <c r="H987" s="840"/>
      <c r="I987" s="840"/>
      <c r="J987" s="843"/>
      <c r="K987" s="287"/>
      <c r="L987" s="844"/>
      <c r="M987" s="844"/>
      <c r="N987" s="844"/>
      <c r="O987" s="294"/>
    </row>
    <row r="988" spans="1:15" ht="15.6" x14ac:dyDescent="0.3">
      <c r="A988" s="2267"/>
      <c r="B988" s="464"/>
      <c r="C988" s="464"/>
      <c r="D988" s="1118"/>
      <c r="E988" s="466"/>
      <c r="F988" s="464"/>
      <c r="G988" s="467"/>
      <c r="H988" s="464"/>
      <c r="I988" s="464"/>
      <c r="J988" s="465"/>
      <c r="K988" s="468"/>
      <c r="L988" s="469"/>
      <c r="M988" s="469"/>
      <c r="N988" s="469"/>
      <c r="O988" s="463"/>
    </row>
    <row r="989" spans="1:15" ht="15.6" x14ac:dyDescent="0.3">
      <c r="A989" s="2267"/>
      <c r="B989" s="825"/>
      <c r="C989" s="825"/>
      <c r="D989" s="1172"/>
      <c r="E989" s="827"/>
      <c r="F989" s="825"/>
      <c r="G989" s="828"/>
      <c r="H989" s="825"/>
      <c r="I989" s="825"/>
      <c r="J989" s="826"/>
      <c r="K989" s="829"/>
      <c r="L989" s="830"/>
      <c r="M989" s="830"/>
      <c r="N989" s="830"/>
      <c r="O989" s="831"/>
    </row>
    <row r="990" spans="1:15" ht="21" x14ac:dyDescent="0.4">
      <c r="A990" s="3791" t="s">
        <v>3042</v>
      </c>
      <c r="B990" s="3791"/>
      <c r="C990" s="3791"/>
      <c r="D990" s="3791"/>
      <c r="E990" s="3791"/>
      <c r="F990" s="3791"/>
      <c r="G990" s="3791"/>
      <c r="H990" s="3791"/>
      <c r="I990" s="3791"/>
      <c r="J990" s="3791"/>
      <c r="K990" s="287"/>
      <c r="L990" s="845"/>
      <c r="M990" s="845"/>
      <c r="N990" s="845"/>
      <c r="O990" s="294"/>
    </row>
    <row r="991" spans="1:15" x14ac:dyDescent="0.3">
      <c r="A991" s="2276" t="s">
        <v>2974</v>
      </c>
      <c r="B991" s="3" t="s">
        <v>2975</v>
      </c>
      <c r="C991" s="3" t="s">
        <v>3004</v>
      </c>
      <c r="D991" s="1086" t="s">
        <v>2977</v>
      </c>
      <c r="E991" s="4" t="s">
        <v>2978</v>
      </c>
      <c r="F991" s="3" t="s">
        <v>2979</v>
      </c>
      <c r="G991" s="5" t="s">
        <v>2980</v>
      </c>
      <c r="H991" s="3" t="s">
        <v>2981</v>
      </c>
      <c r="I991" s="3" t="s">
        <v>2982</v>
      </c>
      <c r="J991" s="23" t="s">
        <v>2983</v>
      </c>
      <c r="K991" s="1779" t="s">
        <v>2975</v>
      </c>
      <c r="L991" s="1779" t="s">
        <v>2977</v>
      </c>
      <c r="M991" s="1779" t="s">
        <v>2984</v>
      </c>
      <c r="N991" s="1779" t="s">
        <v>2979</v>
      </c>
      <c r="O991" s="2" t="s">
        <v>2985</v>
      </c>
    </row>
    <row r="992" spans="1:15" x14ac:dyDescent="0.3">
      <c r="A992" s="2276"/>
      <c r="B992" s="810"/>
      <c r="C992" s="1234"/>
      <c r="D992" s="729" t="s">
        <v>4693</v>
      </c>
      <c r="E992" s="1203"/>
      <c r="F992" s="1230"/>
      <c r="G992" s="1231"/>
      <c r="H992" s="1371"/>
      <c r="I992" s="385" t="s">
        <v>3925</v>
      </c>
      <c r="J992" s="23"/>
      <c r="K992" s="1779"/>
      <c r="L992" s="1779"/>
      <c r="M992" s="1779"/>
      <c r="N992" s="1779"/>
      <c r="O992" s="2"/>
    </row>
    <row r="993" spans="1:15" x14ac:dyDescent="0.3">
      <c r="A993" s="3809" t="s">
        <v>4694</v>
      </c>
      <c r="B993" s="810"/>
      <c r="C993" s="1234"/>
      <c r="D993" s="1334" t="s">
        <v>4695</v>
      </c>
      <c r="E993" s="1376"/>
      <c r="F993" s="806"/>
      <c r="G993" s="1377"/>
      <c r="H993" s="806"/>
      <c r="I993" s="1334" t="s">
        <v>3928</v>
      </c>
      <c r="J993" s="23"/>
      <c r="K993" s="1464">
        <v>11822</v>
      </c>
      <c r="L993" s="1311" t="s">
        <v>4669</v>
      </c>
      <c r="M993" s="1256">
        <v>1600000</v>
      </c>
      <c r="N993" s="864">
        <v>0.05</v>
      </c>
      <c r="O993" s="878">
        <f>M993*N993</f>
        <v>80000</v>
      </c>
    </row>
    <row r="994" spans="1:15" x14ac:dyDescent="0.3">
      <c r="A994" s="3809"/>
      <c r="B994" s="810"/>
      <c r="C994" s="1370"/>
      <c r="D994" s="729" t="s">
        <v>4696</v>
      </c>
      <c r="E994" s="1203"/>
      <c r="F994" s="1230"/>
      <c r="G994" s="1231"/>
      <c r="H994" s="1371"/>
      <c r="I994" s="385" t="s">
        <v>3928</v>
      </c>
      <c r="J994" s="23"/>
      <c r="K994" s="1329">
        <v>11919</v>
      </c>
      <c r="L994" s="1233" t="s">
        <v>4697</v>
      </c>
      <c r="M994" s="1388">
        <v>1400000</v>
      </c>
      <c r="N994" s="864">
        <v>0.04</v>
      </c>
      <c r="O994" s="878">
        <f t="shared" ref="O994:O995" si="45">M994*N994</f>
        <v>56000</v>
      </c>
    </row>
    <row r="995" spans="1:15" x14ac:dyDescent="0.3">
      <c r="A995" s="3809"/>
      <c r="B995" s="810"/>
      <c r="C995" s="1370"/>
      <c r="D995" s="729" t="s">
        <v>4698</v>
      </c>
      <c r="E995" s="1203"/>
      <c r="F995" s="1230"/>
      <c r="G995" s="1231"/>
      <c r="H995" s="1371"/>
      <c r="I995" s="385" t="s">
        <v>3928</v>
      </c>
      <c r="J995" s="23"/>
      <c r="K995" s="863">
        <v>11941</v>
      </c>
      <c r="L995" s="1233" t="s">
        <v>4699</v>
      </c>
      <c r="M995" s="1388">
        <v>1000000</v>
      </c>
      <c r="N995" s="864">
        <v>0.05</v>
      </c>
      <c r="O995" s="878">
        <f t="shared" si="45"/>
        <v>50000</v>
      </c>
    </row>
    <row r="996" spans="1:15" x14ac:dyDescent="0.3">
      <c r="A996" s="3809"/>
      <c r="B996" s="810"/>
      <c r="C996" s="1370"/>
      <c r="D996" s="729" t="s">
        <v>4700</v>
      </c>
      <c r="E996" s="1203"/>
      <c r="F996" s="1230"/>
      <c r="G996" s="1231"/>
      <c r="H996" s="1371"/>
      <c r="I996" s="385" t="s">
        <v>3925</v>
      </c>
      <c r="J996" s="23"/>
      <c r="K996" s="1779"/>
      <c r="L996" s="1779"/>
      <c r="M996" s="1779"/>
      <c r="N996" s="1779"/>
      <c r="O996" s="2"/>
    </row>
    <row r="997" spans="1:15" ht="15.6" x14ac:dyDescent="0.3">
      <c r="A997" s="3809"/>
      <c r="B997" s="1443"/>
      <c r="C997" s="1290"/>
      <c r="D997" s="1289" t="s">
        <v>4701</v>
      </c>
      <c r="E997" s="1235"/>
      <c r="F997" s="355"/>
      <c r="G997" s="386"/>
      <c r="H997" s="385"/>
      <c r="I997" s="385" t="s">
        <v>3925</v>
      </c>
      <c r="J997" s="23"/>
      <c r="K997" s="1779"/>
      <c r="L997" s="1779"/>
      <c r="M997" s="1779"/>
      <c r="N997" s="1779"/>
      <c r="O997" s="2"/>
    </row>
    <row r="998" spans="1:15" ht="27" x14ac:dyDescent="0.3">
      <c r="A998" s="3809"/>
      <c r="B998" s="1443"/>
      <c r="C998" s="1290"/>
      <c r="D998" s="729" t="s">
        <v>4702</v>
      </c>
      <c r="E998" s="1235"/>
      <c r="F998" s="355"/>
      <c r="G998" s="386"/>
      <c r="H998" s="385"/>
      <c r="I998" s="385" t="s">
        <v>3928</v>
      </c>
      <c r="J998" s="1711"/>
      <c r="K998" s="1779"/>
      <c r="L998" s="1779"/>
      <c r="M998" s="1779"/>
      <c r="N998" s="1779"/>
      <c r="O998" s="2"/>
    </row>
    <row r="999" spans="1:15" s="511" customFormat="1" x14ac:dyDescent="0.3">
      <c r="A999" s="3809"/>
      <c r="B999" s="1373">
        <v>11761</v>
      </c>
      <c r="C999" s="426">
        <v>0.1</v>
      </c>
      <c r="D999" s="590" t="s">
        <v>4703</v>
      </c>
      <c r="E999" s="1506">
        <v>1000000</v>
      </c>
      <c r="F999" s="310">
        <v>0.1</v>
      </c>
      <c r="G999" s="602">
        <f>E999*F999</f>
        <v>100000</v>
      </c>
      <c r="H999" s="587" t="s">
        <v>527</v>
      </c>
      <c r="I999" s="587" t="s">
        <v>3925</v>
      </c>
      <c r="J999" s="118"/>
      <c r="K999" s="1779"/>
      <c r="L999" s="1779"/>
      <c r="M999" s="1779"/>
      <c r="N999" s="1779"/>
      <c r="O999" s="51"/>
    </row>
    <row r="1000" spans="1:15" s="511" customFormat="1" x14ac:dyDescent="0.3">
      <c r="A1000" s="3809"/>
      <c r="B1000" s="1449">
        <v>11766</v>
      </c>
      <c r="C1000" s="424">
        <v>0.1</v>
      </c>
      <c r="D1000" s="439" t="s">
        <v>4704</v>
      </c>
      <c r="E1000" s="1505">
        <v>1250000</v>
      </c>
      <c r="F1000" s="310">
        <v>0.05</v>
      </c>
      <c r="G1000" s="602">
        <f t="shared" ref="G1000:G1003" si="46">E1000*F1000</f>
        <v>62500</v>
      </c>
      <c r="H1000" s="1253" t="s">
        <v>4705</v>
      </c>
      <c r="I1000" s="587" t="s">
        <v>3925</v>
      </c>
      <c r="J1000" s="118"/>
      <c r="K1000" s="1779"/>
      <c r="L1000" s="1779"/>
      <c r="M1000" s="1779"/>
      <c r="N1000" s="1779"/>
      <c r="O1000" s="51"/>
    </row>
    <row r="1001" spans="1:15" s="511" customFormat="1" ht="15.6" x14ac:dyDescent="0.3">
      <c r="A1001" s="3809"/>
      <c r="B1001" s="1494">
        <v>11783</v>
      </c>
      <c r="C1001" s="281">
        <v>0.1</v>
      </c>
      <c r="D1001" s="937" t="s">
        <v>4706</v>
      </c>
      <c r="E1001" s="1505">
        <v>650000</v>
      </c>
      <c r="F1001" s="310">
        <v>0.1</v>
      </c>
      <c r="G1001" s="602">
        <f t="shared" si="46"/>
        <v>65000</v>
      </c>
      <c r="H1001" s="1253" t="s">
        <v>4707</v>
      </c>
      <c r="I1001" s="587" t="s">
        <v>3925</v>
      </c>
      <c r="J1001" s="118"/>
      <c r="K1001" s="1779"/>
      <c r="L1001" s="1779"/>
      <c r="M1001" s="1779"/>
      <c r="N1001" s="1779"/>
      <c r="O1001" s="51"/>
    </row>
    <row r="1002" spans="1:15" ht="15.75" customHeight="1" x14ac:dyDescent="0.3">
      <c r="A1002" s="3809"/>
      <c r="B1002" s="1495">
        <v>11846</v>
      </c>
      <c r="C1002" s="592">
        <v>0.1</v>
      </c>
      <c r="D1002" s="1458" t="s">
        <v>4708</v>
      </c>
      <c r="E1002" s="1337">
        <v>1500000</v>
      </c>
      <c r="F1002" s="310">
        <v>0.1</v>
      </c>
      <c r="G1002" s="602">
        <f t="shared" si="46"/>
        <v>150000</v>
      </c>
      <c r="H1002" s="587" t="s">
        <v>527</v>
      </c>
      <c r="I1002" s="587" t="s">
        <v>3928</v>
      </c>
      <c r="J1002" s="1711"/>
      <c r="K1002" s="1780"/>
      <c r="L1002" s="1780"/>
      <c r="M1002" s="1780"/>
      <c r="N1002" s="1780"/>
      <c r="O1002" s="307"/>
    </row>
    <row r="1003" spans="1:15" ht="15.75" customHeight="1" x14ac:dyDescent="0.3">
      <c r="A1003" s="3809"/>
      <c r="B1003" s="1496">
        <v>11896</v>
      </c>
      <c r="C1003" s="310">
        <v>0.1</v>
      </c>
      <c r="D1003" s="1474" t="s">
        <v>4709</v>
      </c>
      <c r="E1003" s="1506">
        <v>1100000</v>
      </c>
      <c r="F1003" s="310">
        <v>0.06</v>
      </c>
      <c r="G1003" s="602">
        <f t="shared" si="46"/>
        <v>66000</v>
      </c>
      <c r="H1003" s="587" t="s">
        <v>118</v>
      </c>
      <c r="I1003" s="587" t="s">
        <v>3928</v>
      </c>
      <c r="J1003" s="1711"/>
      <c r="K1003" s="1780"/>
      <c r="L1003" s="1780"/>
      <c r="M1003" s="1780"/>
      <c r="N1003" s="1780"/>
      <c r="O1003" s="307"/>
    </row>
    <row r="1004" spans="1:15" ht="15.75" customHeight="1" x14ac:dyDescent="0.3">
      <c r="A1004" s="3809"/>
      <c r="B1004" s="1442"/>
      <c r="C1004" s="1473"/>
      <c r="D1004" s="1188"/>
      <c r="E1004" s="971"/>
      <c r="F1004" s="1780"/>
      <c r="G1004" s="967"/>
      <c r="H1004" s="970"/>
      <c r="I1004" s="970"/>
      <c r="J1004" s="1711"/>
      <c r="K1004" s="1780"/>
      <c r="L1004" s="1780"/>
      <c r="M1004" s="1780"/>
      <c r="N1004" s="1780"/>
      <c r="O1004" s="307"/>
    </row>
    <row r="1005" spans="1:15" ht="15.75" customHeight="1" x14ac:dyDescent="0.3">
      <c r="A1005" s="3809"/>
      <c r="B1005" s="1442"/>
      <c r="C1005" s="1473"/>
      <c r="D1005" s="1188"/>
      <c r="E1005" s="971"/>
      <c r="F1005" s="1780"/>
      <c r="G1005" s="967"/>
      <c r="H1005" s="970"/>
      <c r="I1005" s="970"/>
      <c r="J1005" s="1711"/>
      <c r="K1005" s="1780"/>
      <c r="L1005" s="1780"/>
      <c r="M1005" s="1780"/>
      <c r="N1005" s="1780"/>
      <c r="O1005" s="307"/>
    </row>
    <row r="1006" spans="1:15" ht="15" customHeight="1" x14ac:dyDescent="0.3">
      <c r="A1006" s="3809"/>
      <c r="B1006" s="918"/>
      <c r="C1006" s="514"/>
      <c r="D1006" s="1171" t="s">
        <v>3000</v>
      </c>
      <c r="E1006" s="483">
        <f>SUM(E999:E1004)</f>
        <v>5500000</v>
      </c>
      <c r="F1006" s="514"/>
      <c r="G1006" s="483">
        <f>SUM(G999:G1003)</f>
        <v>443500</v>
      </c>
      <c r="H1006" s="514"/>
      <c r="I1006" s="514"/>
      <c r="J1006" s="856"/>
      <c r="K1006" s="287"/>
      <c r="O1006" s="848">
        <f>SUM(O993:O996)</f>
        <v>186000</v>
      </c>
    </row>
    <row r="1007" spans="1:15" ht="15" customHeight="1" x14ac:dyDescent="0.3">
      <c r="A1007" s="3809"/>
      <c r="B1007" s="919"/>
      <c r="C1007" s="840"/>
      <c r="D1007" s="1182" t="s">
        <v>3002</v>
      </c>
      <c r="E1007" s="841">
        <f>G1006+O1006</f>
        <v>629500</v>
      </c>
      <c r="F1007" s="840"/>
      <c r="G1007" s="842"/>
      <c r="H1007" s="840"/>
      <c r="I1007" s="840"/>
      <c r="J1007" s="857"/>
      <c r="K1007" s="287"/>
      <c r="L1007" s="3590" t="s">
        <v>3026</v>
      </c>
      <c r="M1007" s="3590"/>
      <c r="N1007" s="3590"/>
      <c r="O1007" s="1544">
        <v>629500</v>
      </c>
    </row>
    <row r="1008" spans="1:15" ht="15.6" x14ac:dyDescent="0.3">
      <c r="A1008" s="2267"/>
      <c r="B1008" s="464"/>
      <c r="C1008" s="464"/>
      <c r="D1008" s="1118"/>
      <c r="E1008" s="466"/>
      <c r="F1008" s="464"/>
      <c r="G1008" s="467"/>
      <c r="H1008" s="464"/>
      <c r="I1008" s="464"/>
      <c r="J1008" s="465"/>
      <c r="K1008" s="468"/>
      <c r="L1008" s="469"/>
      <c r="M1008" s="469"/>
      <c r="N1008" s="469"/>
      <c r="O1008" s="463"/>
    </row>
    <row r="1009" spans="1:15" ht="15.6" x14ac:dyDescent="0.3">
      <c r="A1009" s="2267"/>
      <c r="B1009" s="825"/>
      <c r="C1009" s="825"/>
      <c r="D1009" s="1172"/>
      <c r="E1009" s="827"/>
      <c r="F1009" s="825"/>
      <c r="G1009" s="828"/>
      <c r="H1009" s="825"/>
      <c r="I1009" s="825"/>
      <c r="J1009" s="826"/>
      <c r="K1009" s="829"/>
      <c r="L1009" s="830"/>
      <c r="M1009" s="830"/>
      <c r="N1009" s="830"/>
      <c r="O1009" s="831"/>
    </row>
    <row r="1010" spans="1:15" ht="21" x14ac:dyDescent="0.4">
      <c r="A1010" s="3791" t="s">
        <v>3054</v>
      </c>
      <c r="B1010" s="3791"/>
      <c r="C1010" s="3791"/>
      <c r="D1010" s="3791"/>
      <c r="E1010" s="3791"/>
      <c r="F1010" s="3791"/>
      <c r="G1010" s="3791"/>
      <c r="H1010" s="3791"/>
      <c r="I1010" s="3791"/>
      <c r="J1010" s="3791"/>
      <c r="K1010" s="287"/>
      <c r="L1010" s="845"/>
      <c r="M1010" s="845"/>
      <c r="N1010" s="845"/>
      <c r="O1010" s="294"/>
    </row>
    <row r="1011" spans="1:15" x14ac:dyDescent="0.3">
      <c r="A1011" s="2276" t="s">
        <v>2974</v>
      </c>
      <c r="B1011" s="3" t="s">
        <v>2975</v>
      </c>
      <c r="C1011" s="3" t="s">
        <v>3004</v>
      </c>
      <c r="D1011" s="1086" t="s">
        <v>2977</v>
      </c>
      <c r="E1011" s="4" t="s">
        <v>2978</v>
      </c>
      <c r="F1011" s="3" t="s">
        <v>2979</v>
      </c>
      <c r="G1011" s="5" t="s">
        <v>2980</v>
      </c>
      <c r="H1011" s="3" t="s">
        <v>2981</v>
      </c>
      <c r="I1011" s="3" t="s">
        <v>2982</v>
      </c>
      <c r="J1011" s="23" t="s">
        <v>2983</v>
      </c>
      <c r="K1011" s="1779" t="s">
        <v>2975</v>
      </c>
      <c r="L1011" s="1779" t="s">
        <v>2977</v>
      </c>
      <c r="M1011" s="1779" t="s">
        <v>2984</v>
      </c>
      <c r="N1011" s="1779" t="s">
        <v>2979</v>
      </c>
      <c r="O1011" s="2" t="s">
        <v>2985</v>
      </c>
    </row>
    <row r="1012" spans="1:15" x14ac:dyDescent="0.3">
      <c r="A1012" s="3809" t="s">
        <v>4710</v>
      </c>
      <c r="B1012" s="1449">
        <v>11876</v>
      </c>
      <c r="C1012" s="1325">
        <v>0.1</v>
      </c>
      <c r="D1012" s="1233" t="s">
        <v>4711</v>
      </c>
      <c r="E1012" s="1507">
        <v>850000</v>
      </c>
      <c r="F1012" s="864">
        <v>0.1</v>
      </c>
      <c r="G1012" s="1450">
        <f>E1012*F1012</f>
        <v>85000</v>
      </c>
      <c r="H1012" s="863" t="s">
        <v>4712</v>
      </c>
      <c r="I1012" s="1233" t="s">
        <v>3925</v>
      </c>
      <c r="J1012" s="118"/>
      <c r="K1012" s="1779"/>
      <c r="L1012" s="1779"/>
      <c r="M1012" s="1779"/>
      <c r="N1012" s="1779"/>
      <c r="O1012" s="2"/>
    </row>
    <row r="1013" spans="1:15" x14ac:dyDescent="0.3">
      <c r="A1013" s="3809"/>
      <c r="B1013" s="1449">
        <v>11886</v>
      </c>
      <c r="C1013" s="1451">
        <v>0.1</v>
      </c>
      <c r="D1013" s="590" t="s">
        <v>4713</v>
      </c>
      <c r="E1013" s="1508">
        <v>1050000</v>
      </c>
      <c r="F1013" s="310">
        <v>0.1</v>
      </c>
      <c r="G1013" s="1450">
        <f t="shared" ref="G1013:G1018" si="47">E1013*F1013</f>
        <v>105000</v>
      </c>
      <c r="H1013" s="587" t="s">
        <v>4712</v>
      </c>
      <c r="I1013" s="587" t="s">
        <v>3928</v>
      </c>
      <c r="J1013" s="118"/>
      <c r="K1013" s="1779"/>
      <c r="L1013" s="1779"/>
      <c r="M1013" s="1779"/>
      <c r="N1013" s="1779"/>
      <c r="O1013" s="2"/>
    </row>
    <row r="1014" spans="1:15" x14ac:dyDescent="0.3">
      <c r="A1014" s="3809"/>
      <c r="B1014" s="863">
        <v>11919</v>
      </c>
      <c r="C1014" s="1328">
        <v>0.09</v>
      </c>
      <c r="D1014" s="439" t="s">
        <v>4714</v>
      </c>
      <c r="E1014" s="1509">
        <v>1400000</v>
      </c>
      <c r="F1014" s="310">
        <v>0.04</v>
      </c>
      <c r="G1014" s="1450">
        <f t="shared" si="47"/>
        <v>56000</v>
      </c>
      <c r="H1014" s="1253" t="s">
        <v>527</v>
      </c>
      <c r="I1014" s="587" t="s">
        <v>4715</v>
      </c>
      <c r="J1014" s="23"/>
      <c r="K1014" s="1779"/>
      <c r="L1014" s="1779"/>
      <c r="M1014" s="1779"/>
      <c r="N1014" s="1779"/>
      <c r="O1014" s="2"/>
    </row>
    <row r="1015" spans="1:15" x14ac:dyDescent="0.3">
      <c r="A1015" s="3809"/>
      <c r="B1015" s="863">
        <v>11926</v>
      </c>
      <c r="C1015" s="1328">
        <v>0.1</v>
      </c>
      <c r="D1015" s="439" t="s">
        <v>4716</v>
      </c>
      <c r="E1015" s="1509">
        <v>920000</v>
      </c>
      <c r="F1015" s="310">
        <v>0.1</v>
      </c>
      <c r="G1015" s="1450">
        <f t="shared" si="47"/>
        <v>92000</v>
      </c>
      <c r="H1015" s="1253" t="s">
        <v>4712</v>
      </c>
      <c r="I1015" s="587" t="s">
        <v>3928</v>
      </c>
      <c r="J1015" s="118"/>
      <c r="K1015" s="1779"/>
      <c r="L1015" s="1779"/>
      <c r="M1015" s="1779"/>
      <c r="N1015" s="1779"/>
      <c r="O1015" s="51"/>
    </row>
    <row r="1016" spans="1:15" s="511" customFormat="1" x14ac:dyDescent="0.3">
      <c r="A1016" s="3809"/>
      <c r="B1016" s="863">
        <v>11944</v>
      </c>
      <c r="C1016" s="322">
        <v>0.1</v>
      </c>
      <c r="D1016" s="1185" t="s">
        <v>4717</v>
      </c>
      <c r="E1016" s="1347">
        <v>1050000</v>
      </c>
      <c r="F1016" s="310">
        <v>0.1</v>
      </c>
      <c r="G1016" s="1450">
        <f t="shared" ref="G1016" si="48">E1016*F1016</f>
        <v>105000</v>
      </c>
      <c r="H1016" s="587" t="s">
        <v>4712</v>
      </c>
      <c r="I1016" s="587" t="s">
        <v>3928</v>
      </c>
      <c r="J1016" s="118"/>
      <c r="K1016" s="1779"/>
      <c r="L1016" s="1779"/>
      <c r="M1016" s="1779"/>
      <c r="N1016" s="1779"/>
      <c r="O1016" s="51"/>
    </row>
    <row r="1017" spans="1:15" x14ac:dyDescent="0.3">
      <c r="A1017" s="3809"/>
      <c r="B1017" s="863">
        <v>11941</v>
      </c>
      <c r="C1017" s="1328">
        <v>0.1</v>
      </c>
      <c r="D1017" s="439" t="s">
        <v>4718</v>
      </c>
      <c r="E1017" s="1509">
        <v>1000000</v>
      </c>
      <c r="F1017" s="310">
        <v>0.05</v>
      </c>
      <c r="G1017" s="1450">
        <f t="shared" si="47"/>
        <v>50000</v>
      </c>
      <c r="H1017" s="1253" t="s">
        <v>527</v>
      </c>
      <c r="I1017" s="587" t="s">
        <v>3928</v>
      </c>
      <c r="J1017" s="1711"/>
      <c r="K1017" s="1779"/>
      <c r="L1017" s="1779"/>
      <c r="M1017" s="1779"/>
      <c r="N1017" s="1779"/>
      <c r="O1017" s="51"/>
    </row>
    <row r="1018" spans="1:15" ht="15.6" x14ac:dyDescent="0.3">
      <c r="A1018" s="3809"/>
      <c r="B1018" s="1240">
        <v>11949</v>
      </c>
      <c r="C1018" s="1328">
        <v>0.08</v>
      </c>
      <c r="D1018" s="439" t="s">
        <v>4719</v>
      </c>
      <c r="E1018" s="1509">
        <v>1050000</v>
      </c>
      <c r="F1018" s="310">
        <v>0.08</v>
      </c>
      <c r="G1018" s="1450">
        <f t="shared" si="47"/>
        <v>84000</v>
      </c>
      <c r="H1018" s="1253" t="s">
        <v>4712</v>
      </c>
      <c r="I1018" s="587" t="s">
        <v>3928</v>
      </c>
      <c r="J1018" s="118"/>
      <c r="K1018" s="1779"/>
      <c r="L1018" s="1779"/>
      <c r="M1018" s="1779"/>
      <c r="N1018" s="1779"/>
      <c r="O1018" s="51"/>
    </row>
    <row r="1019" spans="1:15" ht="15.75" customHeight="1" x14ac:dyDescent="0.3">
      <c r="A1019" s="3809"/>
      <c r="B1019" s="1390"/>
      <c r="C1019" s="985"/>
      <c r="D1019" s="1201"/>
      <c r="E1019" s="319"/>
      <c r="F1019" s="1780"/>
      <c r="G1019" s="1475"/>
      <c r="H1019" s="970"/>
      <c r="I1019" s="970"/>
      <c r="J1019" s="1711"/>
      <c r="K1019" s="1780"/>
      <c r="L1019" s="1780"/>
      <c r="M1019" s="1780"/>
      <c r="N1019" s="1780"/>
      <c r="O1019" s="307"/>
    </row>
    <row r="1020" spans="1:15" ht="15" customHeight="1" x14ac:dyDescent="0.3">
      <c r="A1020" s="3809"/>
      <c r="B1020" s="307"/>
      <c r="C1020" s="1391"/>
      <c r="D1020" s="1188"/>
      <c r="E1020" s="972"/>
      <c r="F1020" s="320"/>
      <c r="G1020" s="298"/>
      <c r="H1020" s="307"/>
      <c r="I1020" s="307"/>
      <c r="J1020" s="1711"/>
      <c r="K1020" s="1780"/>
      <c r="L1020" s="1780"/>
      <c r="M1020" s="1780"/>
      <c r="N1020" s="1780"/>
      <c r="O1020" s="294"/>
    </row>
    <row r="1021" spans="1:15" ht="15" customHeight="1" x14ac:dyDescent="0.3">
      <c r="A1021" s="3809"/>
      <c r="B1021" s="514"/>
      <c r="C1021" s="918"/>
      <c r="D1021" s="1116" t="s">
        <v>3000</v>
      </c>
      <c r="E1021" s="483">
        <f>SUM(E1012:E1018)</f>
        <v>7320000</v>
      </c>
      <c r="F1021" s="514"/>
      <c r="G1021" s="483">
        <f>SUM(G1012:G1018)</f>
        <v>577000</v>
      </c>
      <c r="H1021" s="514"/>
      <c r="I1021" s="514"/>
      <c r="J1021" s="856"/>
      <c r="K1021" s="287"/>
      <c r="L1021" s="3590" t="s">
        <v>3026</v>
      </c>
      <c r="M1021" s="3590"/>
      <c r="N1021" s="3590"/>
      <c r="O1021" s="760">
        <v>577000</v>
      </c>
    </row>
    <row r="1022" spans="1:15" ht="15" customHeight="1" x14ac:dyDescent="0.3">
      <c r="A1022" s="3809"/>
      <c r="B1022" s="1392"/>
      <c r="C1022" s="840"/>
      <c r="D1022" s="1182" t="s">
        <v>3002</v>
      </c>
      <c r="E1022" s="841">
        <f>G1021</f>
        <v>577000</v>
      </c>
      <c r="F1022" s="840"/>
      <c r="G1022" s="842"/>
      <c r="H1022" s="840"/>
      <c r="I1022" s="840"/>
      <c r="J1022" s="857"/>
      <c r="K1022" s="287"/>
      <c r="L1022" s="968"/>
      <c r="M1022" s="968"/>
      <c r="N1022" s="968"/>
      <c r="O1022" s="294"/>
    </row>
    <row r="1023" spans="1:15" ht="15.6" x14ac:dyDescent="0.3">
      <c r="A1023" s="2267"/>
      <c r="B1023" s="825"/>
      <c r="C1023" s="825"/>
      <c r="D1023" s="1172"/>
      <c r="E1023" s="827"/>
      <c r="F1023" s="825"/>
      <c r="G1023" s="828"/>
      <c r="H1023" s="825"/>
      <c r="I1023" s="825"/>
      <c r="J1023" s="826"/>
      <c r="K1023" s="829"/>
      <c r="L1023" s="830"/>
      <c r="M1023" s="830"/>
      <c r="N1023" s="830"/>
      <c r="O1023" s="831"/>
    </row>
    <row r="1024" spans="1:15" ht="15.6" x14ac:dyDescent="0.3">
      <c r="A1024" s="2267"/>
      <c r="B1024" s="825"/>
      <c r="C1024" s="825"/>
      <c r="D1024" s="1172"/>
      <c r="E1024" s="827"/>
      <c r="F1024" s="825"/>
      <c r="G1024" s="828"/>
      <c r="H1024" s="825"/>
      <c r="I1024" s="825"/>
      <c r="J1024" s="826"/>
      <c r="K1024" s="829"/>
      <c r="L1024" s="830"/>
      <c r="M1024" s="830"/>
      <c r="N1024" s="830"/>
      <c r="O1024" s="831"/>
    </row>
    <row r="1025" spans="1:15" x14ac:dyDescent="0.3">
      <c r="A1025" s="90"/>
      <c r="E1025" s="91"/>
      <c r="G1025" s="92"/>
      <c r="H1025" s="1028"/>
    </row>
    <row r="1026" spans="1:15" x14ac:dyDescent="0.3">
      <c r="A1026" s="3792" t="s">
        <v>4720</v>
      </c>
      <c r="B1026" s="3792"/>
      <c r="C1026" s="3792"/>
      <c r="D1026" s="3792"/>
      <c r="E1026" s="3792"/>
      <c r="F1026" s="3792"/>
      <c r="G1026" s="3792"/>
      <c r="H1026" s="3792"/>
    </row>
    <row r="1027" spans="1:15" x14ac:dyDescent="0.3">
      <c r="A1027" s="3792"/>
      <c r="B1027" s="3792"/>
      <c r="C1027" s="3792"/>
      <c r="D1027" s="3792"/>
      <c r="E1027" s="3792"/>
      <c r="F1027" s="3792"/>
      <c r="G1027" s="3792"/>
      <c r="H1027" s="3792"/>
      <c r="J1027" s="511"/>
      <c r="K1027" s="511"/>
      <c r="L1027" s="511"/>
      <c r="M1027" s="511"/>
      <c r="N1027" s="511"/>
      <c r="O1027" s="511"/>
    </row>
    <row r="1028" spans="1:15" ht="20.399999999999999" x14ac:dyDescent="0.3">
      <c r="A1028" s="271" t="s">
        <v>3751</v>
      </c>
      <c r="B1028" s="860" t="s">
        <v>2976</v>
      </c>
      <c r="C1028" s="176" t="s">
        <v>3752</v>
      </c>
      <c r="D1028" s="1127" t="s">
        <v>3753</v>
      </c>
      <c r="E1028" s="405" t="s">
        <v>3754</v>
      </c>
      <c r="F1028" s="1779" t="s">
        <v>2979</v>
      </c>
      <c r="G1028" s="657" t="s">
        <v>2985</v>
      </c>
      <c r="H1028" s="94" t="s">
        <v>4123</v>
      </c>
      <c r="I1028" s="2"/>
      <c r="J1028" s="511"/>
      <c r="K1028" s="511"/>
      <c r="L1028" s="511"/>
      <c r="M1028" s="511"/>
      <c r="N1028" s="511"/>
      <c r="O1028" s="511"/>
    </row>
    <row r="1029" spans="1:15" x14ac:dyDescent="0.3">
      <c r="A1029" s="892"/>
      <c r="B1029" s="1482"/>
      <c r="C1029" s="729" t="s">
        <v>4721</v>
      </c>
      <c r="D1029" s="1203" t="s">
        <v>4722</v>
      </c>
      <c r="E1029" s="1230"/>
      <c r="F1029" s="1231"/>
      <c r="G1029" s="600"/>
      <c r="H1029" s="385" t="s">
        <v>748</v>
      </c>
      <c r="I1029" s="385"/>
      <c r="J1029" s="511"/>
      <c r="K1029" s="511"/>
      <c r="L1029" s="511"/>
      <c r="M1029" s="511"/>
      <c r="N1029" s="511"/>
      <c r="O1029" s="511"/>
    </row>
    <row r="1030" spans="1:15" ht="27" x14ac:dyDescent="0.3">
      <c r="A1030" s="892"/>
      <c r="B1030" s="1477"/>
      <c r="C1030" s="1478" t="s">
        <v>4723</v>
      </c>
      <c r="D1030" s="1480" t="s">
        <v>4724</v>
      </c>
      <c r="E1030" s="1479"/>
      <c r="F1030" s="1413"/>
      <c r="G1030" s="412"/>
      <c r="H1030" s="417" t="s">
        <v>527</v>
      </c>
      <c r="I1030" s="1026"/>
      <c r="J1030" s="511"/>
      <c r="K1030" s="511"/>
      <c r="L1030" s="511"/>
      <c r="M1030" s="511"/>
      <c r="N1030" s="511"/>
      <c r="O1030" s="511"/>
    </row>
    <row r="1031" spans="1:15" x14ac:dyDescent="0.3">
      <c r="A1031" s="127"/>
      <c r="B1031" s="1370"/>
      <c r="C1031" s="729" t="s">
        <v>4725</v>
      </c>
      <c r="D1031" s="417" t="s">
        <v>4726</v>
      </c>
      <c r="E1031" s="1415"/>
      <c r="F1031" s="358"/>
      <c r="G1031" s="412"/>
      <c r="H1031" s="1416" t="s">
        <v>748</v>
      </c>
      <c r="I1031" s="385"/>
      <c r="J1031" s="511"/>
      <c r="K1031" s="511"/>
      <c r="L1031" s="511"/>
      <c r="M1031" s="511"/>
      <c r="N1031" s="511"/>
      <c r="O1031" s="511"/>
    </row>
    <row r="1032" spans="1:15" x14ac:dyDescent="0.3">
      <c r="A1032" s="1414"/>
      <c r="B1032" s="720"/>
      <c r="C1032" s="1395" t="s">
        <v>4727</v>
      </c>
      <c r="D1032" s="1193" t="s">
        <v>4728</v>
      </c>
      <c r="E1032" s="1288"/>
      <c r="F1032" s="358"/>
      <c r="G1032" s="412"/>
      <c r="H1032" s="417" t="s">
        <v>748</v>
      </c>
      <c r="I1032" s="1166"/>
      <c r="J1032" s="511"/>
      <c r="K1032" s="511"/>
      <c r="L1032" s="511"/>
      <c r="M1032" s="511"/>
      <c r="N1032" s="511"/>
      <c r="O1032" s="511"/>
    </row>
    <row r="1033" spans="1:15" x14ac:dyDescent="0.3">
      <c r="A1033" s="892"/>
      <c r="B1033" s="730"/>
      <c r="C1033" s="729" t="s">
        <v>4567</v>
      </c>
      <c r="D1033" s="1203" t="s">
        <v>4729</v>
      </c>
      <c r="E1033" s="1230"/>
      <c r="F1033" s="1231"/>
      <c r="G1033" s="600"/>
      <c r="H1033" s="385" t="s">
        <v>527</v>
      </c>
      <c r="I1033" s="385"/>
      <c r="J1033" s="511"/>
      <c r="K1033" s="511"/>
      <c r="L1033" s="511"/>
      <c r="M1033" s="511"/>
      <c r="N1033" s="511"/>
      <c r="O1033" s="511"/>
    </row>
    <row r="1034" spans="1:15" x14ac:dyDescent="0.3">
      <c r="A1034" s="892"/>
      <c r="B1034" s="344"/>
      <c r="C1034" s="729" t="s">
        <v>4730</v>
      </c>
      <c r="D1034" s="1378" t="s">
        <v>4125</v>
      </c>
      <c r="E1034" s="1288"/>
      <c r="F1034" s="387"/>
      <c r="G1034" s="606"/>
      <c r="H1034" s="1379" t="s">
        <v>527</v>
      </c>
      <c r="I1034" s="385"/>
      <c r="J1034" s="511"/>
      <c r="K1034" s="511"/>
      <c r="L1034" s="511"/>
      <c r="M1034" s="511"/>
      <c r="N1034" s="511"/>
      <c r="O1034" s="511"/>
    </row>
    <row r="1035" spans="1:15" x14ac:dyDescent="0.3">
      <c r="A1035" s="2301"/>
      <c r="B1035" s="704"/>
      <c r="C1035" s="1381" t="s">
        <v>4731</v>
      </c>
      <c r="D1035" s="1382" t="s">
        <v>4125</v>
      </c>
      <c r="E1035" s="1383"/>
      <c r="F1035" s="1384"/>
      <c r="G1035" s="691"/>
      <c r="H1035" s="1166" t="s">
        <v>748</v>
      </c>
      <c r="I1035" s="779"/>
      <c r="J1035" s="511"/>
      <c r="K1035" s="511"/>
      <c r="L1035" s="511"/>
      <c r="M1035" s="511"/>
      <c r="N1035" s="511"/>
      <c r="O1035" s="511"/>
    </row>
    <row r="1036" spans="1:15" x14ac:dyDescent="0.3">
      <c r="A1036" s="2301"/>
      <c r="B1036" s="344"/>
      <c r="C1036" s="1412" t="s">
        <v>4732</v>
      </c>
      <c r="D1036" s="1203" t="s">
        <v>4733</v>
      </c>
      <c r="E1036" s="1288"/>
      <c r="F1036" s="1413"/>
      <c r="G1036" s="412"/>
      <c r="H1036" s="417" t="s">
        <v>523</v>
      </c>
      <c r="I1036" s="1166"/>
      <c r="J1036" s="511"/>
      <c r="K1036" s="511"/>
      <c r="L1036" s="511"/>
      <c r="M1036" s="511"/>
      <c r="N1036" s="511"/>
      <c r="O1036" s="511"/>
    </row>
    <row r="1037" spans="1:15" ht="27" x14ac:dyDescent="0.3">
      <c r="A1037" s="2301"/>
      <c r="B1037" s="344"/>
      <c r="C1037" s="1433" t="s">
        <v>4734</v>
      </c>
      <c r="D1037" s="921" t="s">
        <v>4735</v>
      </c>
      <c r="E1037" s="1434"/>
      <c r="F1037" s="1231"/>
      <c r="G1037" s="600"/>
      <c r="H1037" s="385" t="s">
        <v>527</v>
      </c>
      <c r="I1037" s="385"/>
      <c r="J1037" s="511"/>
      <c r="K1037" s="511"/>
      <c r="L1037" s="511"/>
      <c r="M1037" s="511"/>
      <c r="N1037" s="511"/>
      <c r="O1037" s="511"/>
    </row>
    <row r="1038" spans="1:15" s="511" customFormat="1" x14ac:dyDescent="0.3">
      <c r="A1038" s="653">
        <v>11770</v>
      </c>
      <c r="B1038" s="281">
        <v>0.1</v>
      </c>
      <c r="C1038" s="1256" t="s">
        <v>4736</v>
      </c>
      <c r="D1038" s="1256" t="s">
        <v>4109</v>
      </c>
      <c r="E1038" s="1347">
        <v>1800000</v>
      </c>
      <c r="F1038" s="310">
        <v>0.05</v>
      </c>
      <c r="G1038" s="519">
        <f>E1038*F1038</f>
        <v>90000</v>
      </c>
      <c r="H1038" s="587" t="s">
        <v>582</v>
      </c>
      <c r="I1038" s="587" t="s">
        <v>3503</v>
      </c>
    </row>
    <row r="1039" spans="1:15" s="511" customFormat="1" x14ac:dyDescent="0.3">
      <c r="A1039" s="653">
        <v>11786</v>
      </c>
      <c r="B1039" s="281">
        <v>0.1</v>
      </c>
      <c r="C1039" s="1256" t="s">
        <v>4737</v>
      </c>
      <c r="D1039" s="590" t="s">
        <v>4109</v>
      </c>
      <c r="E1039" s="1347">
        <v>800000</v>
      </c>
      <c r="F1039" s="310">
        <v>0.05</v>
      </c>
      <c r="G1039" s="519">
        <f t="shared" ref="G1039:G1052" si="49">E1039*F1039</f>
        <v>40000</v>
      </c>
      <c r="H1039" s="587" t="s">
        <v>2008</v>
      </c>
      <c r="I1039" s="587" t="s">
        <v>4122</v>
      </c>
    </row>
    <row r="1040" spans="1:15" s="511" customFormat="1" x14ac:dyDescent="0.3">
      <c r="A1040" s="653">
        <v>11795</v>
      </c>
      <c r="B1040" s="313">
        <v>0.1</v>
      </c>
      <c r="C1040" s="526" t="s">
        <v>4738</v>
      </c>
      <c r="D1040" s="1159" t="s">
        <v>4109</v>
      </c>
      <c r="E1040" s="1340">
        <v>1150000</v>
      </c>
      <c r="F1040" s="310">
        <v>0.05</v>
      </c>
      <c r="G1040" s="519">
        <f t="shared" si="49"/>
        <v>57500</v>
      </c>
      <c r="H1040" s="590" t="s">
        <v>4739</v>
      </c>
      <c r="I1040" s="587" t="s">
        <v>4122</v>
      </c>
    </row>
    <row r="1041" spans="1:15" s="511" customFormat="1" x14ac:dyDescent="0.3">
      <c r="A1041" s="653">
        <v>11802</v>
      </c>
      <c r="B1041" s="281">
        <v>0.1</v>
      </c>
      <c r="C1041" s="1256" t="s">
        <v>4740</v>
      </c>
      <c r="D1041" s="590" t="s">
        <v>4109</v>
      </c>
      <c r="E1041" s="1510">
        <v>850000</v>
      </c>
      <c r="F1041" s="310">
        <v>0.05</v>
      </c>
      <c r="G1041" s="519">
        <f t="shared" si="49"/>
        <v>42500</v>
      </c>
      <c r="H1041" s="997" t="s">
        <v>748</v>
      </c>
      <c r="I1041" s="997" t="s">
        <v>4122</v>
      </c>
    </row>
    <row r="1042" spans="1:15" s="511" customFormat="1" x14ac:dyDescent="0.3">
      <c r="A1042" s="653">
        <v>11818</v>
      </c>
      <c r="B1042" s="281">
        <v>0.1</v>
      </c>
      <c r="C1042" s="1256" t="s">
        <v>4741</v>
      </c>
      <c r="D1042" s="590" t="s">
        <v>4109</v>
      </c>
      <c r="E1042" s="1505">
        <v>1100000</v>
      </c>
      <c r="F1042" s="310">
        <v>0.05</v>
      </c>
      <c r="G1042" s="519">
        <f t="shared" si="49"/>
        <v>55000</v>
      </c>
      <c r="H1042" s="590" t="s">
        <v>523</v>
      </c>
      <c r="I1042" s="997" t="s">
        <v>4122</v>
      </c>
    </row>
    <row r="1043" spans="1:15" s="511" customFormat="1" ht="15.6" x14ac:dyDescent="0.3">
      <c r="A1043" s="2302">
        <v>11846</v>
      </c>
      <c r="B1043" s="281">
        <v>0.1</v>
      </c>
      <c r="C1043" s="1448" t="s">
        <v>4742</v>
      </c>
      <c r="D1043" s="1056" t="s">
        <v>4109</v>
      </c>
      <c r="E1043" s="1511">
        <v>1500000</v>
      </c>
      <c r="F1043" s="310">
        <v>0.05</v>
      </c>
      <c r="G1043" s="519">
        <f t="shared" si="49"/>
        <v>75000</v>
      </c>
      <c r="H1043" s="590" t="s">
        <v>527</v>
      </c>
      <c r="I1043" s="1056" t="s">
        <v>4122</v>
      </c>
    </row>
    <row r="1044" spans="1:15" s="511" customFormat="1" x14ac:dyDescent="0.3">
      <c r="A1044" s="653">
        <v>11910</v>
      </c>
      <c r="B1044" s="1328">
        <v>0.1</v>
      </c>
      <c r="C1044" s="1256" t="s">
        <v>4743</v>
      </c>
      <c r="D1044" s="1190" t="s">
        <v>3787</v>
      </c>
      <c r="E1044" s="1535">
        <v>1050000</v>
      </c>
      <c r="F1044" s="310">
        <v>0.05</v>
      </c>
      <c r="G1044" s="519">
        <f t="shared" ref="G1044" si="50">E1044*F1044</f>
        <v>52500</v>
      </c>
      <c r="H1044" s="590" t="s">
        <v>4744</v>
      </c>
      <c r="I1044" s="1056" t="s">
        <v>4122</v>
      </c>
    </row>
    <row r="1045" spans="1:15" s="511" customFormat="1" x14ac:dyDescent="0.3">
      <c r="A1045" s="653">
        <v>11886</v>
      </c>
      <c r="B1045" s="1328">
        <v>0.1</v>
      </c>
      <c r="C1045" s="1256" t="s">
        <v>4745</v>
      </c>
      <c r="D1045" s="590" t="s">
        <v>4109</v>
      </c>
      <c r="E1045" s="1340">
        <v>1050000</v>
      </c>
      <c r="F1045" s="310">
        <v>0.05</v>
      </c>
      <c r="G1045" s="519">
        <f t="shared" si="49"/>
        <v>52500</v>
      </c>
      <c r="H1045" s="590" t="s">
        <v>2037</v>
      </c>
      <c r="I1045" s="1056" t="s">
        <v>4122</v>
      </c>
    </row>
    <row r="1046" spans="1:15" s="511" customFormat="1" x14ac:dyDescent="0.3">
      <c r="A1046" s="653">
        <v>11896</v>
      </c>
      <c r="B1046" s="1328">
        <v>0.1</v>
      </c>
      <c r="C1046" s="1559" t="s">
        <v>4746</v>
      </c>
      <c r="D1046" s="1190" t="s">
        <v>4109</v>
      </c>
      <c r="E1046" s="1535">
        <v>1100000</v>
      </c>
      <c r="F1046" s="310">
        <v>0.05</v>
      </c>
      <c r="G1046" s="519">
        <f t="shared" si="49"/>
        <v>55000</v>
      </c>
      <c r="H1046" s="590" t="s">
        <v>527</v>
      </c>
      <c r="I1046" s="1056" t="s">
        <v>4122</v>
      </c>
    </row>
    <row r="1047" spans="1:15" s="511" customFormat="1" x14ac:dyDescent="0.3">
      <c r="A1047" s="653">
        <v>11926</v>
      </c>
      <c r="B1047" s="1328">
        <v>0.1</v>
      </c>
      <c r="C1047" s="1256" t="s">
        <v>4747</v>
      </c>
      <c r="D1047" s="1190" t="s">
        <v>4748</v>
      </c>
      <c r="E1047" s="1535">
        <v>920000</v>
      </c>
      <c r="F1047" s="310">
        <v>0.05</v>
      </c>
      <c r="G1047" s="519">
        <f t="shared" si="49"/>
        <v>46000</v>
      </c>
      <c r="H1047" s="590" t="s">
        <v>2037</v>
      </c>
      <c r="I1047" s="1056" t="s">
        <v>4122</v>
      </c>
    </row>
    <row r="1048" spans="1:15" s="511" customFormat="1" x14ac:dyDescent="0.3">
      <c r="A1048" s="653">
        <v>11930</v>
      </c>
      <c r="B1048" s="1328">
        <v>0.1</v>
      </c>
      <c r="C1048" s="1256" t="s">
        <v>4749</v>
      </c>
      <c r="D1048" s="1190" t="s">
        <v>3787</v>
      </c>
      <c r="E1048" s="1347">
        <v>1150000</v>
      </c>
      <c r="F1048" s="310">
        <v>0.05</v>
      </c>
      <c r="G1048" s="519">
        <f t="shared" si="49"/>
        <v>57500</v>
      </c>
      <c r="H1048" s="587" t="s">
        <v>748</v>
      </c>
      <c r="I1048" s="1133" t="s">
        <v>4122</v>
      </c>
    </row>
    <row r="1049" spans="1:15" s="511" customFormat="1" x14ac:dyDescent="0.3">
      <c r="A1049" s="653">
        <v>11944</v>
      </c>
      <c r="B1049" s="1328">
        <v>0.1</v>
      </c>
      <c r="C1049" s="912" t="s">
        <v>4750</v>
      </c>
      <c r="D1049" s="1054" t="s">
        <v>4109</v>
      </c>
      <c r="E1049" s="1347">
        <v>1050000</v>
      </c>
      <c r="F1049" s="310">
        <v>0.05</v>
      </c>
      <c r="G1049" s="519">
        <f t="shared" ref="G1049" si="51">E1049*F1049</f>
        <v>52500</v>
      </c>
      <c r="H1049" s="587" t="s">
        <v>2037</v>
      </c>
      <c r="I1049" s="1133" t="s">
        <v>4122</v>
      </c>
    </row>
    <row r="1050" spans="1:15" s="511" customFormat="1" x14ac:dyDescent="0.3">
      <c r="A1050" s="653">
        <v>11941</v>
      </c>
      <c r="B1050" s="1328">
        <v>0.1</v>
      </c>
      <c r="C1050" s="439" t="s">
        <v>4751</v>
      </c>
      <c r="D1050" s="1054" t="s">
        <v>4109</v>
      </c>
      <c r="E1050" s="1347">
        <v>1000000</v>
      </c>
      <c r="F1050" s="310">
        <v>0.05</v>
      </c>
      <c r="G1050" s="519">
        <f t="shared" si="49"/>
        <v>50000</v>
      </c>
      <c r="H1050" s="587" t="s">
        <v>2037</v>
      </c>
      <c r="I1050" s="969" t="s">
        <v>4122</v>
      </c>
    </row>
    <row r="1051" spans="1:15" s="511" customFormat="1" x14ac:dyDescent="0.3">
      <c r="A1051" s="653">
        <v>11949</v>
      </c>
      <c r="B1051" s="1328">
        <v>0.08</v>
      </c>
      <c r="C1051" s="1557" t="s">
        <v>4752</v>
      </c>
      <c r="D1051" s="1054" t="s">
        <v>4109</v>
      </c>
      <c r="E1051" s="1347">
        <v>1050000</v>
      </c>
      <c r="F1051" s="310">
        <v>0.04</v>
      </c>
      <c r="G1051" s="519">
        <f t="shared" si="49"/>
        <v>42000</v>
      </c>
      <c r="H1051" s="1558" t="s">
        <v>2037</v>
      </c>
      <c r="I1051" s="587" t="s">
        <v>4122</v>
      </c>
    </row>
    <row r="1052" spans="1:15" s="511" customFormat="1" x14ac:dyDescent="0.3">
      <c r="A1052" s="653">
        <v>11945</v>
      </c>
      <c r="B1052" s="1328">
        <v>0.1</v>
      </c>
      <c r="C1052" s="439" t="s">
        <v>4680</v>
      </c>
      <c r="D1052" s="1109" t="s">
        <v>4109</v>
      </c>
      <c r="E1052" s="1317">
        <v>1300000</v>
      </c>
      <c r="F1052" s="304">
        <v>0.05</v>
      </c>
      <c r="G1052" s="519">
        <f t="shared" si="49"/>
        <v>65000</v>
      </c>
      <c r="H1052" s="1110" t="s">
        <v>523</v>
      </c>
      <c r="I1052" s="441" t="s">
        <v>4122</v>
      </c>
    </row>
    <row r="1053" spans="1:15" s="511" customFormat="1" x14ac:dyDescent="0.3">
      <c r="A1053" s="2273"/>
      <c r="B1053" s="1435"/>
      <c r="C1053" s="1239"/>
      <c r="D1053" s="1520"/>
      <c r="E1053" s="1519"/>
      <c r="F1053" s="1516"/>
      <c r="G1053" s="390"/>
      <c r="H1053" s="1111"/>
      <c r="I1053" s="1780"/>
    </row>
    <row r="1054" spans="1:15" s="511" customFormat="1" x14ac:dyDescent="0.3">
      <c r="A1054" s="2273"/>
      <c r="B1054" s="1435"/>
      <c r="C1054" s="1239"/>
      <c r="D1054" s="1515"/>
      <c r="E1054" s="320"/>
      <c r="F1054" s="1516"/>
      <c r="G1054" s="390"/>
      <c r="H1054" s="1111"/>
      <c r="I1054" s="1780"/>
    </row>
    <row r="1055" spans="1:15" x14ac:dyDescent="0.3">
      <c r="A1055" s="2271"/>
      <c r="B1055" s="1375"/>
      <c r="C1055" s="895"/>
      <c r="D1055" s="1205" t="s">
        <v>3758</v>
      </c>
      <c r="E1055" s="1017">
        <f>SUM(E1038:E1052)</f>
        <v>16870000</v>
      </c>
      <c r="F1055" s="942"/>
      <c r="G1055" s="414">
        <f>SUM(G1038:G1052)</f>
        <v>833000</v>
      </c>
      <c r="H1055" s="1517"/>
      <c r="I1055" s="1195"/>
      <c r="J1055" s="511"/>
      <c r="K1055" s="511"/>
      <c r="L1055" s="511"/>
      <c r="M1055" s="511"/>
      <c r="N1055" s="511"/>
      <c r="O1055" s="511"/>
    </row>
    <row r="1056" spans="1:15" ht="15.6" x14ac:dyDescent="0.3">
      <c r="A1056" s="46"/>
      <c r="B1056" s="977"/>
      <c r="C1056" s="1021"/>
      <c r="D1056" s="398" t="s">
        <v>3764</v>
      </c>
      <c r="E1056" s="1546">
        <f>G1055</f>
        <v>833000</v>
      </c>
      <c r="F1056" s="979"/>
      <c r="G1056" s="980"/>
      <c r="H1056" s="1050"/>
      <c r="I1056" s="1518"/>
    </row>
    <row r="1057" spans="1:9" x14ac:dyDescent="0.3">
      <c r="E1057" s="603"/>
    </row>
    <row r="1058" spans="1:9" x14ac:dyDescent="0.3">
      <c r="E1058" s="603"/>
    </row>
    <row r="1059" spans="1:9" x14ac:dyDescent="0.3">
      <c r="A1059" s="3792" t="s">
        <v>4753</v>
      </c>
      <c r="B1059" s="3792"/>
      <c r="C1059" s="3792"/>
      <c r="D1059" s="3792"/>
      <c r="E1059" s="3792"/>
      <c r="F1059" s="3792"/>
      <c r="G1059" s="3792"/>
      <c r="H1059" s="3792"/>
    </row>
    <row r="1060" spans="1:9" x14ac:dyDescent="0.3">
      <c r="A1060" s="3792"/>
      <c r="B1060" s="3792"/>
      <c r="C1060" s="3792"/>
      <c r="D1060" s="3792"/>
      <c r="E1060" s="3792"/>
      <c r="F1060" s="3792"/>
      <c r="G1060" s="3792"/>
      <c r="H1060" s="3792"/>
    </row>
    <row r="1061" spans="1:9" ht="20.399999999999999" x14ac:dyDescent="0.3">
      <c r="A1061" s="271" t="s">
        <v>3751</v>
      </c>
      <c r="B1061" s="860" t="s">
        <v>2976</v>
      </c>
      <c r="C1061" s="890" t="s">
        <v>3752</v>
      </c>
      <c r="D1061" s="1127" t="s">
        <v>3753</v>
      </c>
      <c r="E1061" s="862" t="s">
        <v>3754</v>
      </c>
      <c r="F1061" s="406" t="s">
        <v>2979</v>
      </c>
      <c r="G1061" s="407" t="s">
        <v>2985</v>
      </c>
      <c r="H1061" s="697" t="s">
        <v>4123</v>
      </c>
      <c r="I1061" s="268"/>
    </row>
    <row r="1062" spans="1:9" ht="20.399999999999999" x14ac:dyDescent="0.3">
      <c r="A1062" s="892"/>
      <c r="B1062" s="1482"/>
      <c r="C1062" s="1000" t="s">
        <v>4693</v>
      </c>
      <c r="D1062" s="891" t="s">
        <v>4754</v>
      </c>
      <c r="E1062" s="893"/>
      <c r="F1062" s="775"/>
      <c r="G1062" s="894"/>
      <c r="H1062" s="781"/>
      <c r="I1062" s="1335"/>
    </row>
    <row r="1063" spans="1:9" x14ac:dyDescent="0.3">
      <c r="A1063" s="127"/>
      <c r="B1063" s="1237"/>
      <c r="C1063" s="385" t="s">
        <v>4755</v>
      </c>
      <c r="D1063" s="1169" t="s">
        <v>4756</v>
      </c>
      <c r="E1063" s="1434"/>
      <c r="F1063" s="409"/>
      <c r="G1063" s="600"/>
      <c r="H1063" s="385" t="s">
        <v>523</v>
      </c>
      <c r="I1063" s="1087"/>
    </row>
    <row r="1064" spans="1:9" x14ac:dyDescent="0.3">
      <c r="A1064" s="1414"/>
      <c r="B1064" s="1444"/>
      <c r="C1064" s="1395" t="s">
        <v>4757</v>
      </c>
      <c r="D1064" s="1445" t="s">
        <v>4754</v>
      </c>
      <c r="E1064" s="1446"/>
      <c r="F1064" s="409"/>
      <c r="G1064" s="600"/>
      <c r="H1064" s="385" t="s">
        <v>523</v>
      </c>
      <c r="I1064" s="1087"/>
    </row>
    <row r="1065" spans="1:9" x14ac:dyDescent="0.3">
      <c r="A1065" s="1831"/>
      <c r="B1065" s="1237"/>
      <c r="C1065" s="729" t="s">
        <v>4758</v>
      </c>
      <c r="D1065" s="417" t="s">
        <v>4759</v>
      </c>
      <c r="E1065" s="1362"/>
      <c r="F1065" s="806"/>
      <c r="G1065" s="1363"/>
      <c r="H1065" s="1364" t="s">
        <v>523</v>
      </c>
      <c r="I1065" s="1087"/>
    </row>
    <row r="1066" spans="1:9" x14ac:dyDescent="0.3">
      <c r="A1066" s="2303"/>
      <c r="B1066" s="1237"/>
      <c r="C1066" s="729" t="s">
        <v>4608</v>
      </c>
      <c r="D1066" s="1371" t="s">
        <v>4760</v>
      </c>
      <c r="E1066" s="1288"/>
      <c r="F1066" s="387"/>
      <c r="G1066" s="606"/>
      <c r="H1066" s="417" t="s">
        <v>2008</v>
      </c>
      <c r="I1066" s="1087"/>
    </row>
    <row r="1067" spans="1:9" x14ac:dyDescent="0.3">
      <c r="A1067" s="2303"/>
      <c r="B1067" s="1237"/>
      <c r="C1067" s="98" t="s">
        <v>4761</v>
      </c>
      <c r="D1067" s="1087" t="s">
        <v>4762</v>
      </c>
      <c r="E1067" s="1297"/>
      <c r="F1067" s="98"/>
      <c r="G1067" s="98"/>
      <c r="H1067" s="1087" t="s">
        <v>523</v>
      </c>
      <c r="I1067" s="1087"/>
    </row>
    <row r="1068" spans="1:9" x14ac:dyDescent="0.3">
      <c r="A1068" s="2303"/>
      <c r="B1068" s="1237"/>
      <c r="C1068" s="385" t="s">
        <v>4763</v>
      </c>
      <c r="D1068" s="1396" t="s">
        <v>4764</v>
      </c>
      <c r="E1068" s="1296"/>
      <c r="F1068" s="409"/>
      <c r="G1068" s="600"/>
      <c r="H1068" s="385" t="s">
        <v>527</v>
      </c>
      <c r="I1068" s="1087"/>
    </row>
    <row r="1069" spans="1:9" x14ac:dyDescent="0.3">
      <c r="A1069" s="1831"/>
      <c r="B1069" s="1237"/>
      <c r="C1069" s="385" t="s">
        <v>4765</v>
      </c>
      <c r="D1069" s="1396" t="s">
        <v>4754</v>
      </c>
      <c r="E1069" s="1296"/>
      <c r="F1069" s="409"/>
      <c r="G1069" s="600"/>
      <c r="H1069" s="385" t="s">
        <v>527</v>
      </c>
      <c r="I1069" s="1087"/>
    </row>
    <row r="1070" spans="1:9" s="511" customFormat="1" x14ac:dyDescent="0.3">
      <c r="A1070" s="170">
        <v>11761</v>
      </c>
      <c r="B1070" s="123">
        <v>0.1</v>
      </c>
      <c r="C1070" s="67" t="s">
        <v>4766</v>
      </c>
      <c r="D1070" s="1088" t="s">
        <v>4109</v>
      </c>
      <c r="E1070" s="1372">
        <v>1000000</v>
      </c>
      <c r="F1070" s="123">
        <v>0.04</v>
      </c>
      <c r="G1070" s="1500">
        <f>E1070*F1070</f>
        <v>40000</v>
      </c>
      <c r="H1070" s="1088" t="s">
        <v>527</v>
      </c>
      <c r="I1070" s="1088" t="s">
        <v>4122</v>
      </c>
    </row>
    <row r="1071" spans="1:9" s="511" customFormat="1" x14ac:dyDescent="0.3">
      <c r="A1071" s="170">
        <v>11766</v>
      </c>
      <c r="B1071" s="123">
        <v>0.1</v>
      </c>
      <c r="C1071" s="439" t="s">
        <v>4767</v>
      </c>
      <c r="D1071" s="1088" t="s">
        <v>4109</v>
      </c>
      <c r="E1071" s="1372">
        <v>1250000</v>
      </c>
      <c r="F1071" s="123">
        <v>0.04</v>
      </c>
      <c r="G1071" s="1500">
        <f t="shared" ref="G1071:G1082" si="52">E1071*F1071</f>
        <v>50000</v>
      </c>
      <c r="H1071" s="1088" t="s">
        <v>527</v>
      </c>
      <c r="I1071" s="1088" t="s">
        <v>4768</v>
      </c>
    </row>
    <row r="1072" spans="1:9" s="511" customFormat="1" x14ac:dyDescent="0.3">
      <c r="A1072" s="170">
        <v>11783</v>
      </c>
      <c r="B1072" s="1397">
        <v>0.1</v>
      </c>
      <c r="C1072" s="67" t="s">
        <v>4769</v>
      </c>
      <c r="D1072" s="1088" t="s">
        <v>4109</v>
      </c>
      <c r="E1072" s="1372">
        <v>650000</v>
      </c>
      <c r="F1072" s="123">
        <v>0.04</v>
      </c>
      <c r="G1072" s="1500">
        <f t="shared" si="52"/>
        <v>26000</v>
      </c>
      <c r="H1072" s="1088" t="s">
        <v>527</v>
      </c>
      <c r="I1072" s="1088" t="s">
        <v>4122</v>
      </c>
    </row>
    <row r="1073" spans="1:15" s="511" customFormat="1" x14ac:dyDescent="0.3">
      <c r="A1073" s="170">
        <v>11782</v>
      </c>
      <c r="B1073" s="1232">
        <v>0.1</v>
      </c>
      <c r="C1073" s="1081" t="s">
        <v>4607</v>
      </c>
      <c r="D1073" s="1253" t="s">
        <v>4109</v>
      </c>
      <c r="E1073" s="1336">
        <v>1200000</v>
      </c>
      <c r="F1073" s="123">
        <v>0.04</v>
      </c>
      <c r="G1073" s="1500">
        <f t="shared" si="52"/>
        <v>48000</v>
      </c>
      <c r="H1073" s="1241" t="s">
        <v>523</v>
      </c>
      <c r="I1073" s="1088" t="s">
        <v>4122</v>
      </c>
    </row>
    <row r="1074" spans="1:15" s="511" customFormat="1" x14ac:dyDescent="0.3">
      <c r="A1074" s="75">
        <v>11811</v>
      </c>
      <c r="B1074" s="1232">
        <v>0.1</v>
      </c>
      <c r="C1074" s="587" t="s">
        <v>4770</v>
      </c>
      <c r="D1074" s="1170" t="s">
        <v>4109</v>
      </c>
      <c r="E1074" s="1337">
        <v>880000</v>
      </c>
      <c r="F1074" s="123">
        <v>0.04</v>
      </c>
      <c r="G1074" s="1500">
        <f t="shared" si="52"/>
        <v>35200</v>
      </c>
      <c r="H1074" s="587" t="s">
        <v>748</v>
      </c>
      <c r="I1074" s="1088" t="s">
        <v>4771</v>
      </c>
      <c r="J1074" s="34"/>
      <c r="K1074" s="34"/>
      <c r="L1074" s="34"/>
      <c r="M1074" s="34"/>
      <c r="N1074" s="34"/>
      <c r="O1074" s="34"/>
    </row>
    <row r="1075" spans="1:15" s="511" customFormat="1" x14ac:dyDescent="0.3">
      <c r="A1075" s="75">
        <v>11812</v>
      </c>
      <c r="B1075" s="1232">
        <v>0.1</v>
      </c>
      <c r="C1075" s="587" t="s">
        <v>4772</v>
      </c>
      <c r="D1075" s="1410" t="s">
        <v>4109</v>
      </c>
      <c r="E1075" s="1337">
        <v>1200000</v>
      </c>
      <c r="F1075" s="123">
        <v>0.04</v>
      </c>
      <c r="G1075" s="1500">
        <f t="shared" si="52"/>
        <v>48000</v>
      </c>
      <c r="H1075" s="587" t="s">
        <v>748</v>
      </c>
      <c r="I1075" s="1088" t="s">
        <v>4122</v>
      </c>
      <c r="J1075" s="34"/>
      <c r="K1075" s="34"/>
      <c r="L1075" s="34"/>
      <c r="M1075" s="34"/>
      <c r="N1075" s="34"/>
      <c r="O1075" s="34"/>
    </row>
    <row r="1076" spans="1:15" s="511" customFormat="1" ht="15.6" x14ac:dyDescent="0.3">
      <c r="A1076" s="2299" t="s">
        <v>4773</v>
      </c>
      <c r="B1076" s="281">
        <v>0.1</v>
      </c>
      <c r="C1076" s="439" t="s">
        <v>4774</v>
      </c>
      <c r="D1076" s="590" t="s">
        <v>4109</v>
      </c>
      <c r="E1076" s="1336">
        <v>1600000</v>
      </c>
      <c r="F1076" s="123">
        <v>0.04</v>
      </c>
      <c r="G1076" s="1500">
        <f t="shared" si="52"/>
        <v>64000</v>
      </c>
      <c r="H1076" s="1241" t="s">
        <v>2008</v>
      </c>
      <c r="I1076" s="1088" t="s">
        <v>4122</v>
      </c>
      <c r="J1076" s="34"/>
      <c r="K1076" s="34"/>
      <c r="L1076" s="34"/>
      <c r="M1076" s="34"/>
      <c r="N1076" s="34"/>
      <c r="O1076" s="34"/>
    </row>
    <row r="1077" spans="1:15" s="511" customFormat="1" x14ac:dyDescent="0.3">
      <c r="A1077" s="75">
        <v>11843</v>
      </c>
      <c r="B1077" s="1232">
        <v>0.1</v>
      </c>
      <c r="C1077" s="587" t="s">
        <v>4775</v>
      </c>
      <c r="D1077" s="1410" t="s">
        <v>4109</v>
      </c>
      <c r="E1077" s="1337">
        <v>1050000</v>
      </c>
      <c r="F1077" s="123">
        <v>0.04</v>
      </c>
      <c r="G1077" s="1500">
        <f t="shared" si="52"/>
        <v>42000</v>
      </c>
      <c r="H1077" s="587" t="s">
        <v>1138</v>
      </c>
      <c r="I1077" s="1088" t="s">
        <v>4122</v>
      </c>
      <c r="J1077" s="34"/>
      <c r="K1077" s="34"/>
      <c r="L1077" s="34"/>
      <c r="M1077" s="34"/>
      <c r="N1077" s="34"/>
      <c r="O1077" s="34"/>
    </row>
    <row r="1078" spans="1:15" s="511" customFormat="1" x14ac:dyDescent="0.3">
      <c r="A1078" s="170">
        <v>11868</v>
      </c>
      <c r="B1078" s="1452">
        <v>0.1</v>
      </c>
      <c r="C1078" s="969" t="s">
        <v>4776</v>
      </c>
      <c r="D1078" s="1410" t="s">
        <v>4109</v>
      </c>
      <c r="E1078" s="1337">
        <v>800000</v>
      </c>
      <c r="F1078" s="123">
        <v>0.04</v>
      </c>
      <c r="G1078" s="1500">
        <f t="shared" si="52"/>
        <v>32000</v>
      </c>
      <c r="H1078" s="587" t="s">
        <v>748</v>
      </c>
      <c r="I1078" s="1088" t="s">
        <v>4122</v>
      </c>
      <c r="J1078" s="34"/>
      <c r="K1078" s="34"/>
      <c r="L1078" s="34"/>
      <c r="M1078" s="34"/>
      <c r="N1078" s="34"/>
      <c r="O1078" s="34"/>
    </row>
    <row r="1079" spans="1:15" s="511" customFormat="1" x14ac:dyDescent="0.3">
      <c r="A1079" s="2304">
        <v>11876</v>
      </c>
      <c r="B1079" s="1232">
        <v>0.1</v>
      </c>
      <c r="C1079" s="587" t="s">
        <v>4777</v>
      </c>
      <c r="D1079" s="1462" t="s">
        <v>4109</v>
      </c>
      <c r="E1079" s="1337">
        <v>850000</v>
      </c>
      <c r="F1079" s="123">
        <v>0.04</v>
      </c>
      <c r="G1079" s="1500">
        <f t="shared" si="52"/>
        <v>34000</v>
      </c>
      <c r="H1079" s="587" t="s">
        <v>2037</v>
      </c>
      <c r="I1079" s="1088" t="s">
        <v>4122</v>
      </c>
      <c r="J1079" s="34"/>
      <c r="K1079" s="34"/>
      <c r="L1079" s="34"/>
      <c r="M1079" s="34"/>
      <c r="N1079" s="34"/>
      <c r="O1079" s="34"/>
    </row>
    <row r="1080" spans="1:15" s="511" customFormat="1" x14ac:dyDescent="0.3">
      <c r="A1080" s="2304">
        <v>11897</v>
      </c>
      <c r="B1080" s="1232">
        <v>0.1</v>
      </c>
      <c r="C1080" s="587" t="s">
        <v>4778</v>
      </c>
      <c r="D1080" s="1170" t="s">
        <v>4109</v>
      </c>
      <c r="E1080" s="1506">
        <v>1000000</v>
      </c>
      <c r="F1080" s="123">
        <v>0.04</v>
      </c>
      <c r="G1080" s="1500">
        <f t="shared" si="52"/>
        <v>40000</v>
      </c>
      <c r="H1080" s="587" t="s">
        <v>748</v>
      </c>
      <c r="I1080" s="1088" t="s">
        <v>4122</v>
      </c>
      <c r="J1080" s="34"/>
      <c r="K1080" s="34"/>
      <c r="L1080" s="34"/>
      <c r="M1080" s="34"/>
      <c r="N1080" s="34"/>
      <c r="O1080" s="34"/>
    </row>
    <row r="1081" spans="1:15" s="511" customFormat="1" x14ac:dyDescent="0.3">
      <c r="A1081" s="83">
        <v>11919</v>
      </c>
      <c r="B1081" s="1526">
        <v>0.09</v>
      </c>
      <c r="C1081" s="1514" t="s">
        <v>4779</v>
      </c>
      <c r="D1081" s="1170" t="s">
        <v>4109</v>
      </c>
      <c r="E1081" s="1506">
        <v>1400000</v>
      </c>
      <c r="F1081" s="123">
        <v>0.03</v>
      </c>
      <c r="G1081" s="1500">
        <f t="shared" si="52"/>
        <v>42000</v>
      </c>
      <c r="H1081" s="587" t="s">
        <v>4780</v>
      </c>
      <c r="I1081" s="1088" t="s">
        <v>4122</v>
      </c>
      <c r="J1081" s="34"/>
      <c r="K1081" s="34"/>
      <c r="L1081" s="34"/>
      <c r="M1081" s="34"/>
      <c r="N1081" s="34"/>
      <c r="O1081" s="34"/>
    </row>
    <row r="1082" spans="1:15" s="511" customFormat="1" x14ac:dyDescent="0.3">
      <c r="A1082" s="75">
        <v>11932</v>
      </c>
      <c r="B1082" s="1232">
        <v>0.1</v>
      </c>
      <c r="C1082" s="587" t="s">
        <v>4781</v>
      </c>
      <c r="D1082" s="1170" t="s">
        <v>4109</v>
      </c>
      <c r="E1082" s="1506">
        <v>1200000</v>
      </c>
      <c r="F1082" s="123">
        <v>0.04</v>
      </c>
      <c r="G1082" s="1500">
        <f t="shared" si="52"/>
        <v>48000</v>
      </c>
      <c r="H1082" s="587" t="s">
        <v>748</v>
      </c>
      <c r="I1082" s="1088" t="s">
        <v>4122</v>
      </c>
      <c r="J1082" s="34"/>
      <c r="K1082" s="34"/>
      <c r="L1082" s="34"/>
      <c r="M1082" s="34"/>
      <c r="N1082" s="34"/>
      <c r="O1082" s="34"/>
    </row>
    <row r="1083" spans="1:15" s="511" customFormat="1" x14ac:dyDescent="0.3">
      <c r="A1083" s="1617"/>
      <c r="B1083" s="1219"/>
      <c r="C1083" s="970"/>
      <c r="D1083" s="1173"/>
      <c r="E1083" s="1512"/>
      <c r="F1083" s="376"/>
      <c r="G1083" s="740"/>
      <c r="H1083" s="970"/>
      <c r="I1083" s="201"/>
      <c r="J1083" s="34"/>
      <c r="K1083" s="34"/>
      <c r="L1083" s="34"/>
      <c r="M1083" s="34"/>
      <c r="N1083" s="34"/>
      <c r="O1083" s="34"/>
    </row>
    <row r="1084" spans="1:15" s="511" customFormat="1" x14ac:dyDescent="0.3">
      <c r="A1084" s="39"/>
      <c r="B1084" s="1460"/>
      <c r="C1084" s="1306"/>
      <c r="D1084" s="1461"/>
      <c r="E1084" s="1459"/>
      <c r="F1084" s="376"/>
      <c r="G1084" s="740"/>
      <c r="H1084" s="970"/>
      <c r="I1084" s="201"/>
      <c r="J1084" s="34"/>
      <c r="K1084" s="34"/>
      <c r="L1084" s="34"/>
      <c r="M1084" s="34"/>
      <c r="N1084" s="34"/>
      <c r="O1084" s="34"/>
    </row>
    <row r="1085" spans="1:15" x14ac:dyDescent="0.3">
      <c r="A1085" s="2289"/>
      <c r="B1085" s="34"/>
      <c r="C1085" s="34"/>
      <c r="D1085" s="1205" t="s">
        <v>3758</v>
      </c>
      <c r="E1085" s="1276">
        <f>SUM(E1070:E1083)</f>
        <v>14080000</v>
      </c>
      <c r="F1085" s="34"/>
      <c r="G1085" s="1483">
        <f>SUM(G1070:G1083)</f>
        <v>549200</v>
      </c>
      <c r="H1085" s="51"/>
      <c r="I1085" s="51"/>
      <c r="J1085" s="34"/>
      <c r="K1085" s="34"/>
      <c r="L1085" s="34"/>
      <c r="M1085" s="34"/>
      <c r="N1085" s="34"/>
      <c r="O1085" s="34"/>
    </row>
    <row r="1086" spans="1:15" ht="15.6" x14ac:dyDescent="0.3">
      <c r="A1086" s="2289"/>
      <c r="B1086" s="34"/>
      <c r="C1086" s="1483"/>
      <c r="D1086" s="398" t="s">
        <v>3764</v>
      </c>
      <c r="E1086" s="1545">
        <f>G1085</f>
        <v>549200</v>
      </c>
      <c r="F1086" s="34"/>
      <c r="G1086" s="34"/>
      <c r="H1086" s="51"/>
      <c r="I1086" s="51"/>
      <c r="J1086" s="34"/>
      <c r="K1086" s="34"/>
      <c r="L1086" s="34"/>
      <c r="M1086" s="34"/>
      <c r="N1086" s="34"/>
      <c r="O1086" s="34"/>
    </row>
    <row r="1089" spans="1:9" x14ac:dyDescent="0.3">
      <c r="A1089" s="3817" t="s">
        <v>4782</v>
      </c>
      <c r="B1089" s="3817"/>
      <c r="C1089" s="3817"/>
      <c r="D1089" s="3817"/>
      <c r="E1089" s="3817"/>
      <c r="F1089" s="3817"/>
      <c r="G1089" s="3817"/>
      <c r="H1089" s="3817"/>
      <c r="I1089" s="2"/>
    </row>
    <row r="1090" spans="1:9" x14ac:dyDescent="0.3">
      <c r="A1090" s="3817"/>
      <c r="B1090" s="3817"/>
      <c r="C1090" s="3817"/>
      <c r="D1090" s="3817"/>
      <c r="E1090" s="3817"/>
      <c r="F1090" s="3817"/>
      <c r="G1090" s="3817"/>
      <c r="H1090" s="3817"/>
      <c r="I1090" s="2"/>
    </row>
    <row r="1091" spans="1:9" ht="20.399999999999999" x14ac:dyDescent="0.3">
      <c r="A1091" s="265" t="s">
        <v>3751</v>
      </c>
      <c r="B1091" s="33" t="s">
        <v>2976</v>
      </c>
      <c r="C1091" s="33" t="s">
        <v>3752</v>
      </c>
      <c r="D1091" s="1093" t="s">
        <v>4121</v>
      </c>
      <c r="E1091" s="63" t="s">
        <v>3754</v>
      </c>
      <c r="F1091" s="118" t="s">
        <v>2979</v>
      </c>
      <c r="G1091" s="88" t="s">
        <v>2985</v>
      </c>
      <c r="H1091" s="266" t="s">
        <v>4208</v>
      </c>
      <c r="I1091" s="2"/>
    </row>
    <row r="1092" spans="1:9" s="511" customFormat="1" ht="15.6" x14ac:dyDescent="0.3">
      <c r="A1092" s="2299">
        <v>11766</v>
      </c>
      <c r="B1092" s="123">
        <v>0.1</v>
      </c>
      <c r="C1092" s="439" t="s">
        <v>4767</v>
      </c>
      <c r="D1092" s="1088" t="s">
        <v>4109</v>
      </c>
      <c r="E1092" s="1372">
        <v>1250000</v>
      </c>
      <c r="F1092" s="864">
        <v>0.03</v>
      </c>
      <c r="G1092" s="1331">
        <f>E1092*F1092</f>
        <v>37500</v>
      </c>
      <c r="H1092" s="1088" t="s">
        <v>527</v>
      </c>
      <c r="I1092" s="1088" t="s">
        <v>4122</v>
      </c>
    </row>
    <row r="1093" spans="1:9" s="511" customFormat="1" x14ac:dyDescent="0.3">
      <c r="A1093" s="653">
        <v>11761</v>
      </c>
      <c r="B1093" s="123">
        <v>0.1</v>
      </c>
      <c r="C1093" s="67" t="s">
        <v>4766</v>
      </c>
      <c r="D1093" s="1088" t="s">
        <v>4109</v>
      </c>
      <c r="E1093" s="1372">
        <v>1000000</v>
      </c>
      <c r="F1093" s="864">
        <v>0.03</v>
      </c>
      <c r="G1093" s="1331">
        <f t="shared" ref="G1093:G1119" si="53">E1093*F1093</f>
        <v>30000</v>
      </c>
      <c r="H1093" s="1088" t="s">
        <v>527</v>
      </c>
      <c r="I1093" s="283" t="s">
        <v>4122</v>
      </c>
    </row>
    <row r="1094" spans="1:9" s="511" customFormat="1" x14ac:dyDescent="0.3">
      <c r="A1094" s="1010">
        <v>11786</v>
      </c>
      <c r="B1094" s="123">
        <v>0.1</v>
      </c>
      <c r="C1094" s="1081" t="s">
        <v>4783</v>
      </c>
      <c r="D1094" s="1159" t="s">
        <v>4109</v>
      </c>
      <c r="E1094" s="1345">
        <v>800000</v>
      </c>
      <c r="F1094" s="864">
        <v>0.03</v>
      </c>
      <c r="G1094" s="1331">
        <f t="shared" si="53"/>
        <v>24000</v>
      </c>
      <c r="H1094" s="1283" t="s">
        <v>582</v>
      </c>
      <c r="I1094" s="67" t="s">
        <v>4122</v>
      </c>
    </row>
    <row r="1095" spans="1:9" s="511" customFormat="1" x14ac:dyDescent="0.3">
      <c r="A1095" s="2296">
        <v>11770</v>
      </c>
      <c r="B1095" s="194">
        <v>0.1</v>
      </c>
      <c r="C1095" s="439" t="s">
        <v>4736</v>
      </c>
      <c r="D1095" s="590" t="s">
        <v>4109</v>
      </c>
      <c r="E1095" s="1344">
        <v>1800000</v>
      </c>
      <c r="F1095" s="864">
        <v>0.03</v>
      </c>
      <c r="G1095" s="1331">
        <f t="shared" si="53"/>
        <v>54000</v>
      </c>
      <c r="H1095" s="772" t="s">
        <v>582</v>
      </c>
      <c r="I1095" s="1284" t="s">
        <v>4122</v>
      </c>
    </row>
    <row r="1096" spans="1:9" s="511" customFormat="1" x14ac:dyDescent="0.3">
      <c r="A1096" s="653">
        <v>11795</v>
      </c>
      <c r="B1096" s="423">
        <v>0.1</v>
      </c>
      <c r="C1096" s="439" t="s">
        <v>4784</v>
      </c>
      <c r="D1096" s="590" t="s">
        <v>4109</v>
      </c>
      <c r="E1096" s="1340">
        <v>1150000</v>
      </c>
      <c r="F1096" s="864">
        <v>0.03</v>
      </c>
      <c r="G1096" s="1331">
        <f t="shared" si="53"/>
        <v>34500</v>
      </c>
      <c r="H1096" s="590" t="s">
        <v>4739</v>
      </c>
      <c r="I1096" s="1132" t="s">
        <v>4122</v>
      </c>
    </row>
    <row r="1097" spans="1:9" s="511" customFormat="1" ht="15.6" x14ac:dyDescent="0.3">
      <c r="A1097" s="2299">
        <v>11783</v>
      </c>
      <c r="B1097" s="1398">
        <v>0.1</v>
      </c>
      <c r="C1097" s="67" t="s">
        <v>4769</v>
      </c>
      <c r="D1097" s="1088" t="s">
        <v>4109</v>
      </c>
      <c r="E1097" s="1372">
        <v>650000</v>
      </c>
      <c r="F1097" s="864">
        <v>0.03</v>
      </c>
      <c r="G1097" s="1331">
        <f t="shared" si="53"/>
        <v>19500</v>
      </c>
      <c r="H1097" s="1088" t="s">
        <v>527</v>
      </c>
      <c r="I1097" s="283" t="s">
        <v>4122</v>
      </c>
    </row>
    <row r="1098" spans="1:9" s="511" customFormat="1" x14ac:dyDescent="0.3">
      <c r="A1098" s="2294">
        <v>11782</v>
      </c>
      <c r="B1098" s="1232">
        <v>0.1</v>
      </c>
      <c r="C1098" s="1081" t="s">
        <v>4607</v>
      </c>
      <c r="D1098" s="1389" t="s">
        <v>4109</v>
      </c>
      <c r="E1098" s="1547">
        <v>1200000</v>
      </c>
      <c r="F1098" s="864">
        <v>0.03</v>
      </c>
      <c r="G1098" s="1331">
        <f t="shared" si="53"/>
        <v>36000</v>
      </c>
      <c r="H1098" s="1241" t="s">
        <v>523</v>
      </c>
      <c r="I1098" s="283" t="s">
        <v>4122</v>
      </c>
    </row>
    <row r="1099" spans="1:9" s="511" customFormat="1" x14ac:dyDescent="0.3">
      <c r="A1099" s="1568">
        <v>11802</v>
      </c>
      <c r="B1099" s="1232">
        <v>0.1</v>
      </c>
      <c r="C1099" s="439" t="s">
        <v>4785</v>
      </c>
      <c r="D1099" s="590" t="s">
        <v>4109</v>
      </c>
      <c r="E1099" s="1347">
        <v>850000</v>
      </c>
      <c r="F1099" s="864">
        <v>0.03</v>
      </c>
      <c r="G1099" s="1331">
        <f t="shared" si="53"/>
        <v>25500</v>
      </c>
      <c r="H1099" s="350" t="s">
        <v>748</v>
      </c>
      <c r="I1099" s="1285" t="s">
        <v>4122</v>
      </c>
    </row>
    <row r="1100" spans="1:9" s="511" customFormat="1" x14ac:dyDescent="0.3">
      <c r="A1100" s="1009">
        <v>11811</v>
      </c>
      <c r="B1100" s="1232">
        <v>0.1</v>
      </c>
      <c r="C1100" s="587" t="s">
        <v>4770</v>
      </c>
      <c r="D1100" s="590" t="s">
        <v>4109</v>
      </c>
      <c r="E1100" s="1344">
        <v>880000</v>
      </c>
      <c r="F1100" s="864">
        <v>0.03</v>
      </c>
      <c r="G1100" s="1331">
        <f t="shared" si="53"/>
        <v>26400</v>
      </c>
      <c r="H1100" s="283" t="s">
        <v>748</v>
      </c>
      <c r="I1100" s="772" t="s">
        <v>4122</v>
      </c>
    </row>
    <row r="1101" spans="1:9" s="511" customFormat="1" x14ac:dyDescent="0.3">
      <c r="A1101" s="2297">
        <v>11812</v>
      </c>
      <c r="B1101" s="1232">
        <v>0.1</v>
      </c>
      <c r="C1101" s="587" t="s">
        <v>4772</v>
      </c>
      <c r="D1101" s="590" t="s">
        <v>4109</v>
      </c>
      <c r="E1101" s="1347">
        <v>1200000</v>
      </c>
      <c r="F1101" s="864">
        <v>0.03</v>
      </c>
      <c r="G1101" s="1331">
        <f t="shared" si="53"/>
        <v>36000</v>
      </c>
      <c r="H1101" s="350" t="s">
        <v>748</v>
      </c>
      <c r="I1101" s="1285" t="s">
        <v>4122</v>
      </c>
    </row>
    <row r="1102" spans="1:9" s="511" customFormat="1" ht="15.6" x14ac:dyDescent="0.3">
      <c r="A1102" s="1991" t="s">
        <v>4773</v>
      </c>
      <c r="B1102" s="421">
        <v>0.1</v>
      </c>
      <c r="C1102" s="439" t="s">
        <v>4774</v>
      </c>
      <c r="D1102" s="590" t="s">
        <v>4109</v>
      </c>
      <c r="E1102" s="1336">
        <v>1600000</v>
      </c>
      <c r="F1102" s="864">
        <v>0.03</v>
      </c>
      <c r="G1102" s="1331">
        <f t="shared" si="53"/>
        <v>48000</v>
      </c>
      <c r="H1102" s="1241" t="s">
        <v>2008</v>
      </c>
      <c r="I1102" s="1088" t="s">
        <v>4122</v>
      </c>
    </row>
    <row r="1103" spans="1:9" s="511" customFormat="1" x14ac:dyDescent="0.3">
      <c r="A1103" s="2305">
        <v>11818</v>
      </c>
      <c r="B1103" s="421">
        <v>0.1</v>
      </c>
      <c r="C1103" s="1256" t="s">
        <v>4786</v>
      </c>
      <c r="D1103" s="590" t="s">
        <v>4109</v>
      </c>
      <c r="E1103" s="1505">
        <v>1100000</v>
      </c>
      <c r="F1103" s="864">
        <v>0.03</v>
      </c>
      <c r="G1103" s="1331">
        <f t="shared" si="53"/>
        <v>33000</v>
      </c>
      <c r="H1103" s="590" t="s">
        <v>523</v>
      </c>
      <c r="I1103" s="1056" t="s">
        <v>4122</v>
      </c>
    </row>
    <row r="1104" spans="1:9" s="511" customFormat="1" x14ac:dyDescent="0.3">
      <c r="A1104" s="653">
        <v>11846</v>
      </c>
      <c r="B1104" s="281">
        <v>0.1</v>
      </c>
      <c r="C1104" s="1447" t="s">
        <v>4742</v>
      </c>
      <c r="D1104" s="1054" t="s">
        <v>4109</v>
      </c>
      <c r="E1104" s="1340">
        <v>1500000</v>
      </c>
      <c r="F1104" s="864">
        <v>0.03</v>
      </c>
      <c r="G1104" s="1331">
        <f t="shared" si="53"/>
        <v>45000</v>
      </c>
      <c r="H1104" s="590" t="s">
        <v>527</v>
      </c>
      <c r="I1104" s="1056" t="s">
        <v>4122</v>
      </c>
    </row>
    <row r="1105" spans="1:9" s="511" customFormat="1" x14ac:dyDescent="0.3">
      <c r="A1105" s="561">
        <v>11843</v>
      </c>
      <c r="B1105" s="1232">
        <v>0.1</v>
      </c>
      <c r="C1105" s="587" t="s">
        <v>4775</v>
      </c>
      <c r="D1105" s="1410" t="s">
        <v>4109</v>
      </c>
      <c r="E1105" s="1337">
        <v>1050000</v>
      </c>
      <c r="F1105" s="864">
        <v>0.03</v>
      </c>
      <c r="G1105" s="1331">
        <f t="shared" si="53"/>
        <v>31500</v>
      </c>
      <c r="H1105" s="587" t="s">
        <v>1138</v>
      </c>
      <c r="I1105" s="1088" t="s">
        <v>4122</v>
      </c>
    </row>
    <row r="1106" spans="1:9" s="511" customFormat="1" x14ac:dyDescent="0.3">
      <c r="A1106" s="65">
        <v>11868</v>
      </c>
      <c r="B1106" s="936">
        <v>0.1</v>
      </c>
      <c r="C1106" s="350" t="s">
        <v>4787</v>
      </c>
      <c r="D1106" s="590" t="s">
        <v>4109</v>
      </c>
      <c r="E1106" s="1344">
        <v>800000</v>
      </c>
      <c r="F1106" s="864">
        <v>0.03</v>
      </c>
      <c r="G1106" s="1331">
        <f t="shared" si="53"/>
        <v>24000</v>
      </c>
      <c r="H1106" s="283" t="s">
        <v>748</v>
      </c>
      <c r="I1106" s="67" t="s">
        <v>4122</v>
      </c>
    </row>
    <row r="1107" spans="1:9" s="511" customFormat="1" x14ac:dyDescent="0.3">
      <c r="A1107" s="1013">
        <v>11876</v>
      </c>
      <c r="B1107" s="1452">
        <v>0.1</v>
      </c>
      <c r="C1107" s="969" t="s">
        <v>4777</v>
      </c>
      <c r="D1107" s="1410" t="s">
        <v>4109</v>
      </c>
      <c r="E1107" s="1337">
        <v>850000</v>
      </c>
      <c r="F1107" s="864">
        <v>0.03</v>
      </c>
      <c r="G1107" s="1331">
        <f t="shared" si="53"/>
        <v>25500</v>
      </c>
      <c r="H1107" s="587" t="s">
        <v>2037</v>
      </c>
      <c r="I1107" s="1088" t="s">
        <v>4122</v>
      </c>
    </row>
    <row r="1108" spans="1:9" s="511" customFormat="1" x14ac:dyDescent="0.3">
      <c r="A1108" s="196">
        <v>11897</v>
      </c>
      <c r="B1108" s="1232">
        <v>0.1</v>
      </c>
      <c r="C1108" s="587" t="s">
        <v>4778</v>
      </c>
      <c r="D1108" s="1410" t="s">
        <v>4109</v>
      </c>
      <c r="E1108" s="1506">
        <v>1000000</v>
      </c>
      <c r="F1108" s="864">
        <v>0.03</v>
      </c>
      <c r="G1108" s="1331">
        <f t="shared" ref="G1108:G1109" si="54">E1108*F1108</f>
        <v>30000</v>
      </c>
      <c r="H1108" s="587" t="s">
        <v>748</v>
      </c>
      <c r="I1108" s="1088" t="s">
        <v>4122</v>
      </c>
    </row>
    <row r="1109" spans="1:9" s="511" customFormat="1" x14ac:dyDescent="0.3">
      <c r="A1109" s="121">
        <v>11910</v>
      </c>
      <c r="B1109" s="1328">
        <v>0.1</v>
      </c>
      <c r="C1109" s="1256" t="s">
        <v>4743</v>
      </c>
      <c r="D1109" s="1190" t="s">
        <v>4109</v>
      </c>
      <c r="E1109" s="1535">
        <v>1050000</v>
      </c>
      <c r="F1109" s="864">
        <v>0.03</v>
      </c>
      <c r="G1109" s="1331">
        <f t="shared" si="54"/>
        <v>31500</v>
      </c>
      <c r="H1109" s="590" t="s">
        <v>4744</v>
      </c>
      <c r="I1109" s="1056" t="s">
        <v>4122</v>
      </c>
    </row>
    <row r="1110" spans="1:9" s="511" customFormat="1" x14ac:dyDescent="0.3">
      <c r="A1110" s="121">
        <v>11886</v>
      </c>
      <c r="B1110" s="281">
        <v>0.1</v>
      </c>
      <c r="C1110" s="1256" t="s">
        <v>4745</v>
      </c>
      <c r="D1110" s="1054" t="s">
        <v>4109</v>
      </c>
      <c r="E1110" s="1340">
        <v>1050000</v>
      </c>
      <c r="F1110" s="864">
        <v>0.03</v>
      </c>
      <c r="G1110" s="1331">
        <f t="shared" si="53"/>
        <v>31500</v>
      </c>
      <c r="H1110" s="590" t="s">
        <v>2037</v>
      </c>
      <c r="I1110" s="1056" t="s">
        <v>4122</v>
      </c>
    </row>
    <row r="1111" spans="1:9" s="511" customFormat="1" x14ac:dyDescent="0.3">
      <c r="A1111" s="121">
        <v>11896</v>
      </c>
      <c r="B1111" s="281">
        <v>0.1</v>
      </c>
      <c r="C1111" s="1256" t="s">
        <v>4746</v>
      </c>
      <c r="D1111" s="1190" t="s">
        <v>4109</v>
      </c>
      <c r="E1111" s="1535">
        <v>1100000</v>
      </c>
      <c r="F1111" s="864">
        <v>0.03</v>
      </c>
      <c r="G1111" s="1331">
        <f t="shared" si="53"/>
        <v>33000</v>
      </c>
      <c r="H1111" s="590" t="s">
        <v>527</v>
      </c>
      <c r="I1111" s="1285" t="s">
        <v>4122</v>
      </c>
    </row>
    <row r="1112" spans="1:9" s="511" customFormat="1" x14ac:dyDescent="0.3">
      <c r="A1112" s="2306">
        <v>11919</v>
      </c>
      <c r="B1112" s="1526">
        <v>0.09</v>
      </c>
      <c r="C1112" s="1514" t="s">
        <v>4779</v>
      </c>
      <c r="D1112" s="1170" t="s">
        <v>4109</v>
      </c>
      <c r="E1112" s="1506">
        <v>1400000</v>
      </c>
      <c r="F1112" s="864">
        <v>0.03</v>
      </c>
      <c r="G1112" s="1331">
        <f t="shared" si="53"/>
        <v>42000</v>
      </c>
      <c r="H1112" s="587" t="s">
        <v>4780</v>
      </c>
      <c r="I1112" s="1088" t="s">
        <v>4122</v>
      </c>
    </row>
    <row r="1113" spans="1:9" s="511" customFormat="1" ht="15.6" x14ac:dyDescent="0.3">
      <c r="A1113" s="1991">
        <v>11926</v>
      </c>
      <c r="B1113" s="1328">
        <v>0.1</v>
      </c>
      <c r="C1113" s="1256" t="s">
        <v>4788</v>
      </c>
      <c r="D1113" s="1190" t="s">
        <v>4109</v>
      </c>
      <c r="E1113" s="1535">
        <v>920000</v>
      </c>
      <c r="F1113" s="864">
        <v>0.03</v>
      </c>
      <c r="G1113" s="1331">
        <f t="shared" si="53"/>
        <v>27600</v>
      </c>
      <c r="H1113" s="590" t="s">
        <v>2037</v>
      </c>
      <c r="I1113" s="1056" t="s">
        <v>4122</v>
      </c>
    </row>
    <row r="1114" spans="1:9" s="511" customFormat="1" x14ac:dyDescent="0.3">
      <c r="A1114" s="561">
        <v>11944</v>
      </c>
      <c r="B1114" s="1328">
        <v>0.1</v>
      </c>
      <c r="C1114" s="912" t="s">
        <v>4750</v>
      </c>
      <c r="D1114" s="1054" t="s">
        <v>4109</v>
      </c>
      <c r="E1114" s="1347">
        <v>1050000</v>
      </c>
      <c r="F1114" s="864">
        <v>0.03</v>
      </c>
      <c r="G1114" s="1331">
        <f t="shared" si="53"/>
        <v>31500</v>
      </c>
      <c r="H1114" s="587" t="s">
        <v>2037</v>
      </c>
      <c r="I1114" s="1133" t="s">
        <v>4122</v>
      </c>
    </row>
    <row r="1115" spans="1:9" s="511" customFormat="1" x14ac:dyDescent="0.3">
      <c r="A1115" s="1012">
        <v>11932</v>
      </c>
      <c r="B1115" s="1232">
        <v>0.1</v>
      </c>
      <c r="C1115" s="587" t="s">
        <v>4789</v>
      </c>
      <c r="D1115" s="1170" t="s">
        <v>4109</v>
      </c>
      <c r="E1115" s="1556">
        <v>1200000</v>
      </c>
      <c r="F1115" s="864">
        <v>0.03</v>
      </c>
      <c r="G1115" s="1331">
        <f t="shared" si="53"/>
        <v>36000</v>
      </c>
      <c r="H1115" s="969" t="s">
        <v>748</v>
      </c>
      <c r="I1115" s="422" t="s">
        <v>4122</v>
      </c>
    </row>
    <row r="1116" spans="1:9" s="511" customFormat="1" x14ac:dyDescent="0.3">
      <c r="A1116" s="170">
        <v>11930</v>
      </c>
      <c r="B1116" s="981">
        <v>0.1</v>
      </c>
      <c r="C1116" s="1474" t="s">
        <v>4749</v>
      </c>
      <c r="D1116" s="1163" t="s">
        <v>4109</v>
      </c>
      <c r="E1116" s="1347">
        <v>1150000</v>
      </c>
      <c r="F1116" s="864">
        <v>0.03</v>
      </c>
      <c r="G1116" s="1331">
        <f t="shared" si="53"/>
        <v>34500</v>
      </c>
      <c r="H1116" s="587" t="s">
        <v>748</v>
      </c>
      <c r="I1116" s="587" t="s">
        <v>3503</v>
      </c>
    </row>
    <row r="1117" spans="1:9" s="511" customFormat="1" x14ac:dyDescent="0.3">
      <c r="A1117" s="75">
        <v>11941</v>
      </c>
      <c r="B1117" s="281">
        <v>0.1</v>
      </c>
      <c r="C1117" s="439" t="s">
        <v>4751</v>
      </c>
      <c r="D1117" s="1109" t="s">
        <v>4109</v>
      </c>
      <c r="E1117" s="1347">
        <v>1000000</v>
      </c>
      <c r="F1117" s="864">
        <v>0.03</v>
      </c>
      <c r="G1117" s="1331">
        <f t="shared" si="53"/>
        <v>30000</v>
      </c>
      <c r="H1117" s="587" t="s">
        <v>2037</v>
      </c>
      <c r="I1117" s="587" t="s">
        <v>4122</v>
      </c>
    </row>
    <row r="1118" spans="1:9" s="511" customFormat="1" x14ac:dyDescent="0.3">
      <c r="A1118" s="75">
        <v>11949</v>
      </c>
      <c r="B1118" s="281">
        <v>0.08</v>
      </c>
      <c r="C1118" s="439" t="s">
        <v>4752</v>
      </c>
      <c r="D1118" s="1109" t="s">
        <v>4109</v>
      </c>
      <c r="E1118" s="1347">
        <v>1050000</v>
      </c>
      <c r="F1118" s="864">
        <v>0.03</v>
      </c>
      <c r="G1118" s="1331">
        <f t="shared" si="53"/>
        <v>31500</v>
      </c>
      <c r="H1118" s="587" t="s">
        <v>2037</v>
      </c>
      <c r="I1118" s="587" t="s">
        <v>4122</v>
      </c>
    </row>
    <row r="1119" spans="1:9" x14ac:dyDescent="0.3">
      <c r="A1119" s="121">
        <v>11945</v>
      </c>
      <c r="B1119" s="281">
        <v>0.1</v>
      </c>
      <c r="C1119" s="439" t="s">
        <v>4680</v>
      </c>
      <c r="D1119" s="1109" t="s">
        <v>4109</v>
      </c>
      <c r="E1119" s="668">
        <v>1300000</v>
      </c>
      <c r="F1119" s="864">
        <v>0.03</v>
      </c>
      <c r="G1119" s="1331">
        <f t="shared" si="53"/>
        <v>39000</v>
      </c>
      <c r="H1119" s="590" t="s">
        <v>523</v>
      </c>
      <c r="I1119" s="441"/>
    </row>
    <row r="1120" spans="1:9" x14ac:dyDescent="0.3">
      <c r="A1120" s="2289"/>
      <c r="B1120" s="913"/>
      <c r="C1120" s="716"/>
      <c r="D1120" s="1517"/>
      <c r="E1120" s="1548"/>
      <c r="F1120" s="376"/>
      <c r="G1120" s="740"/>
      <c r="H1120" s="1058"/>
      <c r="I1120" s="1780"/>
    </row>
    <row r="1121" spans="1:9" x14ac:dyDescent="0.3">
      <c r="A1121" s="2289"/>
      <c r="B1121" s="913"/>
      <c r="C1121" s="716"/>
      <c r="D1121" s="1517"/>
      <c r="E1121" s="1548"/>
      <c r="F1121" s="376"/>
      <c r="G1121" s="740"/>
      <c r="H1121" s="1058"/>
      <c r="I1121" s="1780"/>
    </row>
    <row r="1122" spans="1:9" x14ac:dyDescent="0.3">
      <c r="A1122" s="2290"/>
      <c r="B1122" s="171"/>
      <c r="C1122" s="173"/>
      <c r="D1122" s="1524" t="s">
        <v>4264</v>
      </c>
      <c r="E1122" s="1549">
        <f>SUM(E1092:E1120)</f>
        <v>30950000</v>
      </c>
      <c r="F1122" s="11"/>
      <c r="G1122" s="1523">
        <f>SUM(G1092:G1119)</f>
        <v>928500</v>
      </c>
      <c r="H1122" s="51"/>
      <c r="I1122" s="2"/>
    </row>
    <row r="1123" spans="1:9" ht="17.399999999999999" x14ac:dyDescent="0.3">
      <c r="A1123" s="265"/>
      <c r="B1123" s="171"/>
      <c r="C1123" s="171"/>
      <c r="D1123" s="1522" t="s">
        <v>3764</v>
      </c>
      <c r="E1123" s="1525">
        <f>G1122</f>
        <v>928500</v>
      </c>
      <c r="F1123" s="171"/>
      <c r="G1123" s="171"/>
      <c r="H1123" s="795"/>
      <c r="I1123" s="795"/>
    </row>
    <row r="1126" spans="1:9" ht="18" x14ac:dyDescent="0.35">
      <c r="A1126" s="3777" t="s">
        <v>4497</v>
      </c>
      <c r="B1126" s="3777"/>
      <c r="C1126" s="3777"/>
      <c r="D1126" s="3777"/>
      <c r="E1126" s="3777"/>
      <c r="F1126" s="11"/>
    </row>
    <row r="1127" spans="1:9" ht="18" x14ac:dyDescent="0.35">
      <c r="A1127" s="1428" t="s">
        <v>4498</v>
      </c>
      <c r="B1127" s="1428" t="s">
        <v>3754</v>
      </c>
      <c r="C1127" t="s">
        <v>4499</v>
      </c>
      <c r="D1127" s="1429" t="s">
        <v>4500</v>
      </c>
      <c r="E1127" s="1430" t="s">
        <v>4123</v>
      </c>
      <c r="F1127" s="11"/>
    </row>
    <row r="1128" spans="1:9" ht="15.6" x14ac:dyDescent="0.3">
      <c r="A1128" s="2307">
        <v>11761</v>
      </c>
      <c r="B1128" s="1528">
        <v>1000000</v>
      </c>
      <c r="C1128" s="11" t="s">
        <v>4790</v>
      </c>
      <c r="D1128" s="1426" t="s">
        <v>4791</v>
      </c>
      <c r="E1128" s="1426" t="s">
        <v>4658</v>
      </c>
      <c r="F1128" s="117"/>
    </row>
    <row r="1129" spans="1:9" ht="15.6" x14ac:dyDescent="0.3">
      <c r="A1129" s="2307"/>
      <c r="B1129" s="1528">
        <v>650000</v>
      </c>
      <c r="C1129" s="11" t="s">
        <v>4792</v>
      </c>
      <c r="D1129" s="1426" t="s">
        <v>4793</v>
      </c>
      <c r="E1129" s="1426" t="s">
        <v>4658</v>
      </c>
      <c r="F1129" s="117"/>
    </row>
    <row r="1130" spans="1:9" ht="27" customHeight="1" x14ac:dyDescent="0.35">
      <c r="A1130" s="2307"/>
      <c r="B1130" s="1528">
        <v>1200000</v>
      </c>
      <c r="C1130" s="11" t="s">
        <v>4794</v>
      </c>
      <c r="D1130" s="1426" t="s">
        <v>4795</v>
      </c>
      <c r="E1130" s="1426" t="s">
        <v>2073</v>
      </c>
      <c r="F1130" s="117"/>
    </row>
    <row r="1131" spans="1:9" ht="15.6" x14ac:dyDescent="0.3">
      <c r="A1131" s="2307">
        <v>7251112</v>
      </c>
      <c r="B1131" s="1299" t="s">
        <v>2074</v>
      </c>
      <c r="C1131" s="11" t="s">
        <v>4796</v>
      </c>
      <c r="D1131" s="1426" t="s">
        <v>4797</v>
      </c>
      <c r="E1131" s="1426" t="s">
        <v>2073</v>
      </c>
      <c r="F1131" s="117"/>
    </row>
    <row r="1132" spans="1:9" ht="15.6" x14ac:dyDescent="0.3">
      <c r="A1132" s="2307">
        <v>7259782</v>
      </c>
      <c r="B1132" s="1299">
        <v>1500000</v>
      </c>
      <c r="C1132" s="11" t="s">
        <v>4798</v>
      </c>
      <c r="D1132" s="1426" t="s">
        <v>4799</v>
      </c>
      <c r="E1132" s="1426" t="s">
        <v>4658</v>
      </c>
      <c r="F1132" s="117"/>
    </row>
    <row r="1133" spans="1:9" ht="15.6" x14ac:dyDescent="0.3">
      <c r="A1133" s="2307">
        <v>7247532</v>
      </c>
      <c r="B1133" s="1299" t="s">
        <v>4800</v>
      </c>
      <c r="C1133" s="11" t="s">
        <v>4801</v>
      </c>
      <c r="D1133" s="1426" t="s">
        <v>4802</v>
      </c>
      <c r="E1133" s="1426" t="s">
        <v>2073</v>
      </c>
      <c r="F1133" s="117"/>
    </row>
    <row r="1134" spans="1:9" ht="15.6" x14ac:dyDescent="0.3">
      <c r="A1134" s="2307"/>
      <c r="B1134" s="1299" t="s">
        <v>2074</v>
      </c>
      <c r="C1134" s="11" t="s">
        <v>4803</v>
      </c>
      <c r="D1134" s="716" t="s">
        <v>4804</v>
      </c>
      <c r="E1134" s="716" t="s">
        <v>4805</v>
      </c>
      <c r="F1134" s="1531"/>
    </row>
    <row r="1135" spans="1:9" ht="18" x14ac:dyDescent="0.35">
      <c r="A1135" s="2307">
        <v>7267637</v>
      </c>
      <c r="B1135" s="1299" t="s">
        <v>4806</v>
      </c>
      <c r="C1135" s="11" t="s">
        <v>4807</v>
      </c>
      <c r="D1135" s="11" t="s">
        <v>4808</v>
      </c>
      <c r="E1135" s="1529" t="s">
        <v>2073</v>
      </c>
      <c r="F1135" s="117"/>
    </row>
    <row r="1136" spans="1:9" ht="15.6" x14ac:dyDescent="0.3">
      <c r="A1136" s="2307">
        <v>7269261</v>
      </c>
      <c r="B1136" s="1530">
        <v>920000</v>
      </c>
      <c r="C1136" s="11" t="s">
        <v>4809</v>
      </c>
      <c r="D1136" s="11" t="s">
        <v>4810</v>
      </c>
      <c r="E1136" s="11" t="s">
        <v>4805</v>
      </c>
      <c r="F1136" s="117"/>
    </row>
    <row r="1137" spans="1:15" ht="18" x14ac:dyDescent="0.35">
      <c r="B1137" s="1527"/>
      <c r="D1137"/>
    </row>
    <row r="1139" spans="1:15" x14ac:dyDescent="0.3">
      <c r="A1139" s="3720" t="s">
        <v>3064</v>
      </c>
      <c r="B1139" s="3720"/>
      <c r="C1139" s="79"/>
      <c r="D1139" s="1249">
        <f>E1122</f>
        <v>30950000</v>
      </c>
    </row>
    <row r="1140" spans="1:15" x14ac:dyDescent="0.3">
      <c r="A1140" s="3721" t="s">
        <v>3065</v>
      </c>
      <c r="B1140" s="3721"/>
      <c r="C1140" s="41"/>
      <c r="D1140" s="1437">
        <v>3500000</v>
      </c>
    </row>
    <row r="1141" spans="1:15" x14ac:dyDescent="0.3">
      <c r="A1141" s="3722" t="s">
        <v>3066</v>
      </c>
      <c r="B1141" s="3722"/>
      <c r="C1141" s="45"/>
      <c r="D1141" s="1438">
        <v>4100000</v>
      </c>
    </row>
    <row r="1142" spans="1:15" x14ac:dyDescent="0.3">
      <c r="A1142" s="3609" t="s">
        <v>3067</v>
      </c>
      <c r="B1142" s="3609"/>
      <c r="C1142" s="651"/>
      <c r="D1142" s="1252">
        <v>4550000</v>
      </c>
    </row>
    <row r="1143" spans="1:15" x14ac:dyDescent="0.3">
      <c r="A1143" s="3725" t="s">
        <v>3068</v>
      </c>
      <c r="B1143" s="3725"/>
      <c r="C1143" s="45"/>
      <c r="D1143" s="270">
        <v>15300000</v>
      </c>
    </row>
    <row r="1144" spans="1:15" x14ac:dyDescent="0.3">
      <c r="A1144" s="3797" t="s">
        <v>3099</v>
      </c>
      <c r="B1144" s="3797"/>
      <c r="C1144" s="1513"/>
      <c r="D1144" s="729">
        <v>5150000</v>
      </c>
    </row>
    <row r="1145" spans="1:15" x14ac:dyDescent="0.3">
      <c r="A1145" s="2234"/>
      <c r="B1145" s="43" t="s">
        <v>3070</v>
      </c>
      <c r="C1145" s="43"/>
      <c r="D1145" s="1157"/>
    </row>
    <row r="1151" spans="1:15" ht="46.2" x14ac:dyDescent="0.85">
      <c r="A1151" s="3674" t="s">
        <v>4811</v>
      </c>
      <c r="B1151" s="3674"/>
      <c r="C1151" s="3674"/>
      <c r="D1151" s="3674"/>
      <c r="E1151" s="3674"/>
      <c r="F1151" s="3674"/>
      <c r="G1151" s="3674"/>
      <c r="H1151" s="3674"/>
      <c r="I1151" s="3674"/>
      <c r="J1151" s="3674"/>
      <c r="O1151" s="1"/>
    </row>
    <row r="1152" spans="1:15" x14ac:dyDescent="0.3">
      <c r="O1152" s="1"/>
    </row>
    <row r="1153" spans="1:29" ht="21" x14ac:dyDescent="0.4">
      <c r="A1153" s="3787" t="s">
        <v>2972</v>
      </c>
      <c r="B1153" s="3787"/>
      <c r="C1153" s="3787"/>
      <c r="D1153" s="3787"/>
      <c r="E1153" s="3787"/>
      <c r="F1153" s="3787"/>
      <c r="G1153" s="3787"/>
      <c r="H1153" s="3787"/>
      <c r="I1153" s="3787"/>
      <c r="J1153" s="3787"/>
      <c r="K1153" s="3642" t="s">
        <v>2973</v>
      </c>
      <c r="L1153" s="3642"/>
      <c r="M1153" s="3642"/>
      <c r="N1153" s="3642"/>
      <c r="O1153" s="2"/>
    </row>
    <row r="1154" spans="1:29" x14ac:dyDescent="0.3">
      <c r="A1154" s="2229" t="s">
        <v>2974</v>
      </c>
      <c r="B1154" s="1666" t="s">
        <v>2975</v>
      </c>
      <c r="C1154" s="809" t="s">
        <v>3004</v>
      </c>
      <c r="D1154" s="1083" t="s">
        <v>2977</v>
      </c>
      <c r="E1154" s="805" t="s">
        <v>2978</v>
      </c>
      <c r="F1154" s="1666" t="s">
        <v>2979</v>
      </c>
      <c r="G1154" s="167" t="s">
        <v>2980</v>
      </c>
      <c r="H1154" s="1666" t="s">
        <v>2981</v>
      </c>
      <c r="I1154" s="1666" t="s">
        <v>2982</v>
      </c>
      <c r="J1154" s="1666" t="s">
        <v>2983</v>
      </c>
      <c r="K1154" s="26" t="s">
        <v>2975</v>
      </c>
      <c r="L1154" s="26" t="s">
        <v>2977</v>
      </c>
      <c r="M1154" s="26" t="s">
        <v>2984</v>
      </c>
      <c r="N1154" s="267" t="s">
        <v>2979</v>
      </c>
      <c r="O1154" s="268" t="s">
        <v>2985</v>
      </c>
    </row>
    <row r="1155" spans="1:29" ht="27" x14ac:dyDescent="0.3">
      <c r="A1155" s="3798" t="s">
        <v>4812</v>
      </c>
      <c r="B1155" s="1224"/>
      <c r="C1155" s="702"/>
      <c r="D1155" s="1169" t="s">
        <v>4813</v>
      </c>
      <c r="E1155" s="1648"/>
      <c r="F1155" s="720"/>
      <c r="G1155" s="721"/>
      <c r="H1155" s="621"/>
      <c r="I1155" s="621" t="s">
        <v>3928</v>
      </c>
      <c r="J1155" s="1300"/>
      <c r="K1155" s="863">
        <v>12139</v>
      </c>
      <c r="L1155" s="995" t="s">
        <v>4814</v>
      </c>
      <c r="M1155" s="1684">
        <v>1100000</v>
      </c>
      <c r="N1155" s="864">
        <v>0.05</v>
      </c>
      <c r="O1155" s="1695">
        <f>M1155*N1155</f>
        <v>55000</v>
      </c>
    </row>
    <row r="1156" spans="1:29" ht="27" x14ac:dyDescent="0.3">
      <c r="A1156" s="3798"/>
      <c r="B1156" s="1224"/>
      <c r="C1156" s="702"/>
      <c r="D1156" s="1169" t="s">
        <v>4815</v>
      </c>
      <c r="E1156" s="1648"/>
      <c r="F1156" s="720"/>
      <c r="G1156" s="721"/>
      <c r="H1156" s="621"/>
      <c r="I1156" s="621" t="s">
        <v>3928</v>
      </c>
      <c r="J1156" s="1300"/>
      <c r="K1156" s="863">
        <v>11981</v>
      </c>
      <c r="L1156" s="1170" t="s">
        <v>4816</v>
      </c>
      <c r="M1156" s="1685">
        <v>1100000</v>
      </c>
      <c r="N1156" s="1696">
        <v>0.05</v>
      </c>
      <c r="O1156" s="1695">
        <f t="shared" ref="O1156:O1159" si="55">M1156*N1156</f>
        <v>55000</v>
      </c>
    </row>
    <row r="1157" spans="1:29" s="1293" customFormat="1" ht="27" x14ac:dyDescent="0.3">
      <c r="A1157" s="3798"/>
      <c r="B1157" s="1224"/>
      <c r="C1157" s="806"/>
      <c r="D1157" s="1601" t="s">
        <v>4817</v>
      </c>
      <c r="E1157" s="302"/>
      <c r="F1157" s="344"/>
      <c r="G1157" s="387"/>
      <c r="H1157" s="606"/>
      <c r="I1157" s="606" t="s">
        <v>3925</v>
      </c>
      <c r="J1157" s="1300"/>
      <c r="K1157" s="1476">
        <v>12057</v>
      </c>
      <c r="L1157" s="1256" t="s">
        <v>4818</v>
      </c>
      <c r="M1157" s="1622">
        <v>1400000</v>
      </c>
      <c r="N1157" s="310">
        <v>0.04</v>
      </c>
      <c r="O1157" s="1695">
        <f t="shared" si="55"/>
        <v>56000</v>
      </c>
      <c r="P1157" s="511"/>
      <c r="Q1157" s="511"/>
      <c r="R1157" s="511"/>
      <c r="S1157" s="511"/>
      <c r="T1157" s="511"/>
      <c r="U1157" s="511"/>
      <c r="V1157" s="511"/>
      <c r="W1157" s="511"/>
      <c r="X1157" s="511"/>
      <c r="Y1157" s="511"/>
      <c r="Z1157" s="511"/>
      <c r="AA1157" s="511"/>
      <c r="AB1157" s="511"/>
      <c r="AC1157" s="511"/>
    </row>
    <row r="1158" spans="1:29" x14ac:dyDescent="0.3">
      <c r="A1158" s="3798"/>
      <c r="B1158" s="1224"/>
      <c r="C1158" s="806"/>
      <c r="D1158" s="729" t="s">
        <v>4819</v>
      </c>
      <c r="E1158" s="1592"/>
      <c r="F1158" s="344"/>
      <c r="G1158" s="387"/>
      <c r="H1158" s="606"/>
      <c r="I1158" s="606" t="s">
        <v>3928</v>
      </c>
      <c r="J1158" s="335"/>
      <c r="K1158" s="1686">
        <v>12007</v>
      </c>
      <c r="L1158" s="1621" t="s">
        <v>4820</v>
      </c>
      <c r="M1158" s="1623">
        <v>1350000</v>
      </c>
      <c r="N1158" s="443">
        <v>0.04</v>
      </c>
      <c r="O1158" s="1695">
        <f t="shared" si="55"/>
        <v>54000</v>
      </c>
    </row>
    <row r="1159" spans="1:29" ht="15.6" x14ac:dyDescent="0.3">
      <c r="A1159" s="3798"/>
      <c r="B1159" s="1224"/>
      <c r="C1159" s="702"/>
      <c r="D1159" s="1169" t="s">
        <v>4821</v>
      </c>
      <c r="E1159" s="1599"/>
      <c r="F1159" s="344"/>
      <c r="G1159" s="387"/>
      <c r="H1159" s="606"/>
      <c r="I1159" s="606" t="s">
        <v>3928</v>
      </c>
      <c r="J1159" s="335"/>
      <c r="K1159" s="1240">
        <v>12113</v>
      </c>
      <c r="L1159" s="443" t="s">
        <v>4822</v>
      </c>
      <c r="M1159" s="1624">
        <v>1730000</v>
      </c>
      <c r="N1159" s="322">
        <v>0.05</v>
      </c>
      <c r="O1159" s="1695">
        <f t="shared" si="55"/>
        <v>86500</v>
      </c>
    </row>
    <row r="1160" spans="1:29" x14ac:dyDescent="0.3">
      <c r="A1160" s="3798"/>
      <c r="B1160" s="868">
        <v>12036</v>
      </c>
      <c r="C1160" s="370">
        <v>0.1</v>
      </c>
      <c r="D1160" s="1411" t="s">
        <v>4823</v>
      </c>
      <c r="E1160" s="1508">
        <v>1150000</v>
      </c>
      <c r="F1160" s="281">
        <v>0.05</v>
      </c>
      <c r="G1160" s="276">
        <f>E1160*F1160</f>
        <v>57500</v>
      </c>
      <c r="H1160" s="306" t="s">
        <v>748</v>
      </c>
      <c r="I1160" s="306" t="s">
        <v>3928</v>
      </c>
      <c r="J1160" s="335"/>
      <c r="K1160" s="1681"/>
      <c r="L1160" s="1680"/>
      <c r="M1160" s="1682"/>
      <c r="N1160" s="376"/>
      <c r="O1160" s="941"/>
      <c r="P1160" s="1204"/>
    </row>
    <row r="1161" spans="1:29" x14ac:dyDescent="0.3">
      <c r="A1161" s="3798"/>
      <c r="B1161" s="863">
        <v>12037</v>
      </c>
      <c r="C1161" s="818">
        <v>0.1</v>
      </c>
      <c r="D1161" s="1600" t="s">
        <v>4824</v>
      </c>
      <c r="E1161" s="1347">
        <v>1100000</v>
      </c>
      <c r="F1161" s="281">
        <v>0.1</v>
      </c>
      <c r="G1161" s="276">
        <f t="shared" ref="G1161:G1163" si="56">E1161*F1161</f>
        <v>110000</v>
      </c>
      <c r="H1161" s="306" t="s">
        <v>582</v>
      </c>
      <c r="I1161" s="306" t="s">
        <v>3928</v>
      </c>
      <c r="J1161" s="335"/>
      <c r="K1161" s="406"/>
      <c r="L1161" s="1659"/>
      <c r="M1161" s="1660"/>
      <c r="N1161" s="1643"/>
      <c r="O1161" s="1620"/>
    </row>
    <row r="1162" spans="1:29" s="511" customFormat="1" ht="15.6" x14ac:dyDescent="0.3">
      <c r="A1162" s="3798"/>
      <c r="B1162" s="863">
        <v>12140</v>
      </c>
      <c r="C1162" s="818">
        <v>0.1</v>
      </c>
      <c r="D1162" s="1170" t="s">
        <v>4825</v>
      </c>
      <c r="E1162" s="1351">
        <v>1000000</v>
      </c>
      <c r="F1162" s="281">
        <v>0.1</v>
      </c>
      <c r="G1162" s="276">
        <f t="shared" si="56"/>
        <v>100000</v>
      </c>
      <c r="H1162" s="619" t="s">
        <v>582</v>
      </c>
      <c r="I1162" s="619" t="s">
        <v>3925</v>
      </c>
      <c r="J1162" s="335"/>
      <c r="K1162" s="1390"/>
      <c r="L1162" s="1643"/>
      <c r="M1162" s="1679"/>
      <c r="N1162" s="985"/>
      <c r="O1162" s="1620"/>
    </row>
    <row r="1163" spans="1:29" ht="15.6" x14ac:dyDescent="0.3">
      <c r="A1163" s="3798"/>
      <c r="B1163" s="306">
        <v>12146</v>
      </c>
      <c r="C1163" s="370">
        <v>0.1</v>
      </c>
      <c r="D1163" s="1662" t="s">
        <v>4826</v>
      </c>
      <c r="E1163" s="1347">
        <v>1300000</v>
      </c>
      <c r="F1163" s="281">
        <v>0.1</v>
      </c>
      <c r="G1163" s="276">
        <f t="shared" si="56"/>
        <v>130000</v>
      </c>
      <c r="H1163" s="306" t="s">
        <v>582</v>
      </c>
      <c r="I1163" s="306" t="s">
        <v>3925</v>
      </c>
      <c r="J1163" s="1780"/>
      <c r="K1163" s="1390"/>
      <c r="L1163" s="1643"/>
      <c r="M1163" s="1679"/>
      <c r="N1163" s="985"/>
      <c r="O1163" s="1780"/>
    </row>
    <row r="1164" spans="1:29" x14ac:dyDescent="0.3">
      <c r="A1164" s="3798"/>
      <c r="B1164" s="307"/>
      <c r="C1164" s="326"/>
      <c r="D1164" s="1173"/>
      <c r="E1164" s="1633"/>
      <c r="F1164" s="768"/>
      <c r="G1164" s="1319"/>
      <c r="H1164" s="533"/>
      <c r="I1164" s="533"/>
      <c r="J1164" s="646"/>
      <c r="K1164" s="1780"/>
      <c r="L1164" s="1780"/>
      <c r="M1164" s="949"/>
      <c r="N1164" s="985"/>
      <c r="O1164" s="1780"/>
    </row>
    <row r="1165" spans="1:29" x14ac:dyDescent="0.3">
      <c r="A1165" s="3798"/>
      <c r="B1165" s="307"/>
      <c r="C1165" s="326"/>
      <c r="D1165" s="1651"/>
      <c r="E1165" s="1632"/>
      <c r="F1165" s="320"/>
      <c r="G1165" s="321"/>
      <c r="H1165" s="662"/>
      <c r="I1165" s="315"/>
      <c r="J1165" s="951"/>
      <c r="K1165" s="1780"/>
      <c r="L1165" s="1780"/>
      <c r="M1165" s="949"/>
      <c r="N1165" s="985"/>
      <c r="O1165" s="1780"/>
    </row>
    <row r="1166" spans="1:29" x14ac:dyDescent="0.3">
      <c r="A1166" s="3798"/>
      <c r="B1166" s="638"/>
      <c r="C1166" s="638"/>
      <c r="D1166" s="1171" t="s">
        <v>3000</v>
      </c>
      <c r="E1166" s="1634">
        <f>SUM(E1160:E1164)</f>
        <v>4550000</v>
      </c>
      <c r="F1166" s="956"/>
      <c r="G1166" s="1207">
        <f>SUM(G1160:G1164)</f>
        <v>397500</v>
      </c>
      <c r="H1166" s="1208"/>
      <c r="I1166" s="452"/>
      <c r="J1166" s="794"/>
      <c r="K1166" s="316"/>
      <c r="L1166" s="3599" t="s">
        <v>3001</v>
      </c>
      <c r="M1166" s="3599"/>
      <c r="N1166" s="3599"/>
      <c r="O1166" s="1726">
        <f>SUM(O1155:O1159)</f>
        <v>306500</v>
      </c>
    </row>
    <row r="1167" spans="1:29" ht="15.6" x14ac:dyDescent="0.3">
      <c r="A1167" s="3798"/>
      <c r="B1167" s="1210"/>
      <c r="C1167" s="1210"/>
      <c r="D1167" s="1211" t="s">
        <v>3002</v>
      </c>
      <c r="E1167" s="1499">
        <f>G1166+O1166</f>
        <v>704000</v>
      </c>
      <c r="F1167" s="1210"/>
      <c r="G1167" s="1213"/>
      <c r="H1167" s="840"/>
      <c r="I1167" s="840"/>
      <c r="J1167" s="843"/>
      <c r="K1167" s="895"/>
      <c r="L1167" s="895"/>
      <c r="M1167" s="895"/>
      <c r="N1167" s="895"/>
      <c r="O1167" s="430"/>
    </row>
    <row r="1168" spans="1:29" x14ac:dyDescent="0.3">
      <c r="A1168" s="2230"/>
      <c r="B1168" s="17"/>
      <c r="C1168" s="17"/>
      <c r="D1168" s="1085"/>
      <c r="E1168" s="19"/>
      <c r="F1168" s="17"/>
      <c r="G1168" s="20"/>
      <c r="H1168" s="17"/>
      <c r="I1168" s="17"/>
      <c r="J1168" s="18"/>
      <c r="O1168" s="1"/>
    </row>
    <row r="1169" spans="1:15" x14ac:dyDescent="0.3">
      <c r="A1169" s="2230"/>
      <c r="B1169" s="17"/>
      <c r="C1169" s="17"/>
      <c r="D1169" s="1085"/>
      <c r="E1169" s="19"/>
      <c r="F1169" s="17"/>
      <c r="G1169" s="20"/>
      <c r="H1169" s="17"/>
      <c r="I1169" s="17"/>
      <c r="J1169" s="18"/>
      <c r="O1169" s="1"/>
    </row>
    <row r="1170" spans="1:15" ht="21" x14ac:dyDescent="0.4">
      <c r="A1170" s="3786" t="s">
        <v>3003</v>
      </c>
      <c r="B1170" s="3786"/>
      <c r="C1170" s="3786"/>
      <c r="D1170" s="3786"/>
      <c r="E1170" s="3786"/>
      <c r="F1170" s="3786"/>
      <c r="G1170" s="3786"/>
      <c r="H1170" s="3786"/>
      <c r="I1170" s="3786"/>
      <c r="J1170" s="3786"/>
      <c r="K1170" s="3644" t="s">
        <v>2973</v>
      </c>
      <c r="L1170" s="3644"/>
      <c r="M1170" s="3644"/>
      <c r="N1170" s="3644"/>
      <c r="O1170" s="268"/>
    </row>
    <row r="1171" spans="1:15" x14ac:dyDescent="0.3">
      <c r="A1171" s="2308" t="s">
        <v>2974</v>
      </c>
      <c r="B1171" s="64" t="s">
        <v>2975</v>
      </c>
      <c r="C1171" s="1658" t="s">
        <v>3004</v>
      </c>
      <c r="D1171" s="1492" t="s">
        <v>2977</v>
      </c>
      <c r="E1171" s="1613" t="s">
        <v>2978</v>
      </c>
      <c r="F1171" s="1658" t="s">
        <v>2979</v>
      </c>
      <c r="G1171" s="1614" t="s">
        <v>2980</v>
      </c>
      <c r="H1171" s="1658" t="s">
        <v>2981</v>
      </c>
      <c r="I1171" s="1658" t="s">
        <v>2982</v>
      </c>
      <c r="J1171" s="1779" t="s">
        <v>2983</v>
      </c>
      <c r="K1171" s="1658" t="s">
        <v>2975</v>
      </c>
      <c r="L1171" s="1779" t="s">
        <v>2977</v>
      </c>
      <c r="M1171" s="1779" t="s">
        <v>2984</v>
      </c>
      <c r="N1171" s="1779" t="s">
        <v>2979</v>
      </c>
      <c r="O1171" s="51" t="s">
        <v>2985</v>
      </c>
    </row>
    <row r="1172" spans="1:15" ht="27" x14ac:dyDescent="0.3">
      <c r="A1172" s="3625" t="s">
        <v>4544</v>
      </c>
      <c r="B1172" s="1234"/>
      <c r="C1172" s="702"/>
      <c r="D1172" s="729" t="s">
        <v>4827</v>
      </c>
      <c r="E1172" s="1310"/>
      <c r="F1172" s="344"/>
      <c r="G1172" s="358"/>
      <c r="H1172" s="606"/>
      <c r="I1172" s="683" t="s">
        <v>3928</v>
      </c>
      <c r="J1172" s="1541"/>
      <c r="K1172" s="1658"/>
      <c r="L1172" s="1484"/>
      <c r="M1172" s="1779"/>
      <c r="N1172" s="1779"/>
      <c r="O1172" s="51"/>
    </row>
    <row r="1173" spans="1:15" x14ac:dyDescent="0.3">
      <c r="A1173" s="3625"/>
      <c r="B1173" s="1234"/>
      <c r="C1173" s="806"/>
      <c r="D1173" s="417" t="s">
        <v>4828</v>
      </c>
      <c r="E1173" s="1310"/>
      <c r="F1173" s="344"/>
      <c r="G1173" s="1609"/>
      <c r="H1173" s="606"/>
      <c r="I1173" s="683" t="s">
        <v>3928</v>
      </c>
      <c r="J1173" s="1612"/>
      <c r="K1173" s="1658"/>
      <c r="L1173" s="1484"/>
      <c r="M1173" s="1779"/>
      <c r="N1173" s="1779"/>
      <c r="O1173" s="51"/>
    </row>
    <row r="1174" spans="1:15" x14ac:dyDescent="0.3">
      <c r="A1174" s="3625"/>
      <c r="B1174" s="1611"/>
      <c r="C1174" s="806"/>
      <c r="D1174" s="926" t="s">
        <v>4829</v>
      </c>
      <c r="E1174" s="600"/>
      <c r="F1174" s="355"/>
      <c r="G1174" s="386"/>
      <c r="H1174" s="355"/>
      <c r="I1174" s="355" t="s">
        <v>3925</v>
      </c>
      <c r="J1174" s="308"/>
      <c r="K1174" s="1658"/>
      <c r="L1174" s="1484"/>
      <c r="M1174" s="1779"/>
      <c r="N1174" s="1779"/>
      <c r="O1174" s="51"/>
    </row>
    <row r="1175" spans="1:15" x14ac:dyDescent="0.3">
      <c r="A1175" s="3625"/>
      <c r="B1175" s="1611"/>
      <c r="C1175" s="806"/>
      <c r="D1175" s="729" t="s">
        <v>4830</v>
      </c>
      <c r="E1175" s="1610"/>
      <c r="F1175" s="1238"/>
      <c r="G1175" s="358"/>
      <c r="H1175" s="1033"/>
      <c r="I1175" s="606" t="s">
        <v>3925</v>
      </c>
      <c r="J1175" s="530"/>
      <c r="K1175" s="1658"/>
      <c r="L1175" s="1484"/>
      <c r="M1175" s="1779"/>
      <c r="N1175" s="1779"/>
      <c r="O1175" s="51"/>
    </row>
    <row r="1176" spans="1:15" x14ac:dyDescent="0.3">
      <c r="A1176" s="3625"/>
      <c r="B1176" s="1393"/>
      <c r="C1176" s="1485"/>
      <c r="D1176" s="1478" t="s">
        <v>4831</v>
      </c>
      <c r="E1176" s="1584"/>
      <c r="F1176" s="720"/>
      <c r="G1176" s="1488"/>
      <c r="H1176" s="328"/>
      <c r="I1176" s="329" t="s">
        <v>3925</v>
      </c>
      <c r="J1176" s="1273"/>
      <c r="K1176" s="1658"/>
      <c r="L1176" s="1484"/>
      <c r="M1176" s="1779"/>
      <c r="N1176" s="1779"/>
      <c r="O1176" s="51"/>
    </row>
    <row r="1177" spans="1:15" x14ac:dyDescent="0.3">
      <c r="A1177" s="3625"/>
      <c r="B1177" s="1603">
        <v>11995</v>
      </c>
      <c r="C1177" s="1604">
        <v>0.1</v>
      </c>
      <c r="D1177" s="1159" t="s">
        <v>4832</v>
      </c>
      <c r="E1177" s="1626">
        <v>1500000</v>
      </c>
      <c r="F1177" s="281">
        <v>0.05</v>
      </c>
      <c r="G1177" s="1344">
        <f>E1177*F1177</f>
        <v>75000</v>
      </c>
      <c r="H1177" s="306" t="s">
        <v>748</v>
      </c>
      <c r="I1177" s="338" t="s">
        <v>3928</v>
      </c>
      <c r="J1177" s="1409"/>
      <c r="K1177" s="1658"/>
      <c r="L1177" s="1484"/>
      <c r="M1177" s="1779"/>
      <c r="N1177" s="1779"/>
      <c r="O1177" s="51"/>
    </row>
    <row r="1178" spans="1:15" s="511" customFormat="1" x14ac:dyDescent="0.3">
      <c r="A1178" s="3625"/>
      <c r="B1178" s="863">
        <v>12102</v>
      </c>
      <c r="C1178" s="370">
        <v>0.1</v>
      </c>
      <c r="D1178" s="439" t="s">
        <v>4833</v>
      </c>
      <c r="E1178" s="1340">
        <v>1600000</v>
      </c>
      <c r="F1178" s="281">
        <v>0.1</v>
      </c>
      <c r="G1178" s="1344">
        <f t="shared" ref="G1178:G1183" si="57">E1178*F1178</f>
        <v>160000</v>
      </c>
      <c r="H1178" s="880" t="s">
        <v>2073</v>
      </c>
      <c r="I1178" s="306" t="s">
        <v>3925</v>
      </c>
      <c r="J1178" s="1409"/>
      <c r="K1178" s="1658"/>
      <c r="L1178" s="1484"/>
      <c r="M1178" s="1779"/>
      <c r="N1178" s="1779"/>
      <c r="O1178" s="51"/>
    </row>
    <row r="1179" spans="1:15" s="511" customFormat="1" x14ac:dyDescent="0.3">
      <c r="A1179" s="3625"/>
      <c r="B1179" s="863">
        <v>12123</v>
      </c>
      <c r="C1179" s="370">
        <v>0.1</v>
      </c>
      <c r="D1179" s="1256" t="s">
        <v>4834</v>
      </c>
      <c r="E1179" s="1337">
        <v>1400000</v>
      </c>
      <c r="F1179" s="281">
        <v>0.05</v>
      </c>
      <c r="G1179" s="1344">
        <f t="shared" si="57"/>
        <v>70000</v>
      </c>
      <c r="H1179" s="306" t="s">
        <v>748</v>
      </c>
      <c r="I1179" s="1463" t="s">
        <v>3928</v>
      </c>
      <c r="J1179" s="1409"/>
      <c r="K1179" s="1658"/>
      <c r="L1179" s="1484"/>
      <c r="M1179" s="1779"/>
      <c r="N1179" s="1779"/>
      <c r="O1179" s="51"/>
    </row>
    <row r="1180" spans="1:15" s="511" customFormat="1" x14ac:dyDescent="0.3">
      <c r="A1180" s="3625"/>
      <c r="B1180" s="863">
        <v>12139</v>
      </c>
      <c r="C1180" s="370">
        <v>0.1</v>
      </c>
      <c r="D1180" s="995" t="s">
        <v>4814</v>
      </c>
      <c r="E1180" s="1337">
        <v>1100000</v>
      </c>
      <c r="F1180" s="281">
        <v>0.05</v>
      </c>
      <c r="G1180" s="1344">
        <f t="shared" si="57"/>
        <v>55000</v>
      </c>
      <c r="H1180" s="441" t="s">
        <v>582</v>
      </c>
      <c r="I1180" s="441" t="s">
        <v>3925</v>
      </c>
      <c r="J1180" s="1409"/>
      <c r="K1180" s="1658"/>
      <c r="L1180" s="1484"/>
      <c r="M1180" s="1779"/>
      <c r="N1180" s="1779"/>
      <c r="O1180" s="51"/>
    </row>
    <row r="1181" spans="1:15" s="511" customFormat="1" ht="16.8" x14ac:dyDescent="0.4">
      <c r="A1181" s="3625"/>
      <c r="B1181" s="1690">
        <v>12151</v>
      </c>
      <c r="C1181" s="370">
        <v>0.1</v>
      </c>
      <c r="D1181" s="439" t="s">
        <v>4835</v>
      </c>
      <c r="E1181" s="1340">
        <v>1400000</v>
      </c>
      <c r="F1181" s="281">
        <v>0.1</v>
      </c>
      <c r="G1181" s="1344">
        <f t="shared" si="57"/>
        <v>140000</v>
      </c>
      <c r="H1181" s="1663" t="s">
        <v>2073</v>
      </c>
      <c r="I1181" s="619" t="s">
        <v>3928</v>
      </c>
      <c r="J1181" s="1409"/>
      <c r="K1181" s="1658"/>
      <c r="L1181" s="1484"/>
      <c r="M1181" s="1779"/>
      <c r="N1181" s="1779"/>
      <c r="O1181" s="51"/>
    </row>
    <row r="1182" spans="1:15" s="511" customFormat="1" x14ac:dyDescent="0.3">
      <c r="A1182" s="3625"/>
      <c r="B1182" s="863">
        <v>12155</v>
      </c>
      <c r="C1182" s="370">
        <v>0.1</v>
      </c>
      <c r="D1182" s="439" t="s">
        <v>4836</v>
      </c>
      <c r="E1182" s="1337">
        <v>1250000</v>
      </c>
      <c r="F1182" s="281">
        <v>0.1</v>
      </c>
      <c r="G1182" s="1344">
        <f t="shared" si="57"/>
        <v>125000</v>
      </c>
      <c r="H1182" s="330" t="s">
        <v>2073</v>
      </c>
      <c r="I1182" s="331" t="s">
        <v>3928</v>
      </c>
      <c r="J1182" s="1409"/>
      <c r="K1182" s="1658"/>
      <c r="L1182" s="1484"/>
      <c r="M1182" s="1779"/>
      <c r="N1182" s="1779"/>
      <c r="O1182" s="51"/>
    </row>
    <row r="1183" spans="1:15" ht="25.5" customHeight="1" x14ac:dyDescent="0.3">
      <c r="A1183" s="3625"/>
      <c r="B1183" s="1240">
        <v>12164</v>
      </c>
      <c r="C1183" s="1691">
        <v>0.1</v>
      </c>
      <c r="D1183" s="439" t="s">
        <v>4837</v>
      </c>
      <c r="E1183" s="1337">
        <v>1200000</v>
      </c>
      <c r="F1183" s="281">
        <v>0.1</v>
      </c>
      <c r="G1183" s="1344">
        <f t="shared" si="57"/>
        <v>120000</v>
      </c>
      <c r="H1183" s="306" t="s">
        <v>523</v>
      </c>
      <c r="I1183" s="338" t="s">
        <v>3925</v>
      </c>
      <c r="J1183" s="1780"/>
      <c r="K1183" s="1780"/>
      <c r="L1183" s="1780"/>
      <c r="M1183" s="1589"/>
      <c r="N1183" s="986"/>
      <c r="O1183" s="463"/>
    </row>
    <row r="1184" spans="1:15" ht="15" customHeight="1" x14ac:dyDescent="0.3">
      <c r="A1184" s="3625"/>
      <c r="B1184" s="1390"/>
      <c r="C1184" s="820"/>
      <c r="D1184" s="1239"/>
      <c r="E1184" s="1629"/>
      <c r="F1184" s="768"/>
      <c r="G1184" s="531"/>
      <c r="H1184" s="711"/>
      <c r="I1184" s="529"/>
      <c r="J1184" s="1273"/>
      <c r="K1184" s="1016"/>
      <c r="L1184" s="1263"/>
      <c r="M1184" s="986"/>
      <c r="N1184" s="986"/>
      <c r="O1184" s="463"/>
    </row>
    <row r="1185" spans="1:17" ht="15" customHeight="1" x14ac:dyDescent="0.3">
      <c r="A1185" s="3625"/>
      <c r="B1185" s="1390"/>
      <c r="C1185" s="820"/>
      <c r="D1185" s="1239"/>
      <c r="E1185" s="1629"/>
      <c r="F1185" s="768"/>
      <c r="G1185" s="531"/>
      <c r="H1185" s="711"/>
      <c r="I1185" s="529"/>
      <c r="J1185" s="1273"/>
      <c r="K1185" s="1016"/>
      <c r="L1185" s="1263"/>
      <c r="M1185" s="986"/>
      <c r="N1185" s="986"/>
      <c r="O1185" s="463"/>
    </row>
    <row r="1186" spans="1:17" ht="15" customHeight="1" x14ac:dyDescent="0.3">
      <c r="A1186" s="3625"/>
      <c r="B1186" s="514"/>
      <c r="C1186" s="689"/>
      <c r="D1186" s="1171" t="s">
        <v>3000</v>
      </c>
      <c r="E1186" s="1631">
        <f>SUM(E1177:E1185)</f>
        <v>9450000</v>
      </c>
      <c r="F1186" s="514"/>
      <c r="G1186" s="483">
        <f>SUM(G1177:G1183)</f>
        <v>745000</v>
      </c>
      <c r="H1186" s="918"/>
      <c r="I1186" s="514"/>
      <c r="J1186" s="342"/>
      <c r="K1186" s="1471"/>
      <c r="L1186" s="3651" t="s">
        <v>3026</v>
      </c>
      <c r="M1186" s="3651"/>
      <c r="N1186" s="3651"/>
      <c r="O1186" s="1472"/>
    </row>
    <row r="1187" spans="1:17" ht="15" customHeight="1" x14ac:dyDescent="0.3">
      <c r="A1187" s="3625"/>
      <c r="B1187" s="840"/>
      <c r="C1187" s="815"/>
      <c r="D1187" s="1184" t="s">
        <v>3002</v>
      </c>
      <c r="E1187" s="518">
        <f>G1186</f>
        <v>745000</v>
      </c>
      <c r="F1187" s="458"/>
      <c r="G1187" s="489"/>
      <c r="H1187" s="458"/>
      <c r="I1187" s="458"/>
      <c r="J1187" s="490"/>
      <c r="K1187" s="461"/>
      <c r="L1187" s="965"/>
      <c r="M1187" s="965"/>
      <c r="N1187" s="965"/>
      <c r="O1187" s="463"/>
    </row>
    <row r="1188" spans="1:17" ht="15.6" x14ac:dyDescent="0.3">
      <c r="A1188" s="2267"/>
      <c r="B1188" s="825"/>
      <c r="C1188" s="464"/>
      <c r="D1188" s="1118"/>
      <c r="E1188" s="466"/>
      <c r="F1188" s="464"/>
      <c r="G1188" s="467"/>
      <c r="H1188" s="464"/>
      <c r="I1188" s="464"/>
      <c r="J1188" s="465"/>
      <c r="K1188" s="468"/>
      <c r="L1188" s="469"/>
      <c r="M1188" s="469"/>
      <c r="N1188" s="469"/>
      <c r="O1188" s="463"/>
    </row>
    <row r="1189" spans="1:17" ht="15.6" x14ac:dyDescent="0.3">
      <c r="A1189" s="2267"/>
      <c r="B1189" s="825"/>
      <c r="C1189" s="825"/>
      <c r="D1189" s="1172"/>
      <c r="E1189" s="827"/>
      <c r="F1189" s="825"/>
      <c r="G1189" s="828"/>
      <c r="H1189" s="825"/>
      <c r="I1189" s="825"/>
      <c r="J1189" s="826"/>
      <c r="K1189" s="829"/>
      <c r="L1189" s="830"/>
      <c r="M1189" s="830"/>
      <c r="N1189" s="830"/>
      <c r="O1189" s="831"/>
    </row>
    <row r="1190" spans="1:17" ht="21" x14ac:dyDescent="0.4">
      <c r="A1190" s="3787" t="s">
        <v>3027</v>
      </c>
      <c r="B1190" s="3787"/>
      <c r="C1190" s="3787"/>
      <c r="D1190" s="3787"/>
      <c r="E1190" s="3787"/>
      <c r="F1190" s="3787"/>
      <c r="G1190" s="3787"/>
      <c r="H1190" s="3787"/>
      <c r="I1190" s="3787"/>
      <c r="J1190" s="3787"/>
      <c r="K1190" s="3636" t="s">
        <v>2973</v>
      </c>
      <c r="L1190" s="3636"/>
      <c r="M1190" s="3636"/>
      <c r="N1190" s="3636"/>
      <c r="O1190" s="2"/>
    </row>
    <row r="1191" spans="1:17" x14ac:dyDescent="0.3">
      <c r="A1191" s="2276" t="s">
        <v>2974</v>
      </c>
      <c r="B1191" s="1666" t="s">
        <v>2975</v>
      </c>
      <c r="C1191" s="1666" t="s">
        <v>3004</v>
      </c>
      <c r="D1191" s="1083" t="s">
        <v>2977</v>
      </c>
      <c r="E1191" s="32" t="s">
        <v>2978</v>
      </c>
      <c r="F1191" s="1666" t="s">
        <v>2979</v>
      </c>
      <c r="G1191" s="167" t="s">
        <v>2980</v>
      </c>
      <c r="H1191" s="1666" t="s">
        <v>2981</v>
      </c>
      <c r="I1191" s="1666" t="s">
        <v>2982</v>
      </c>
      <c r="J1191" s="1666" t="s">
        <v>2983</v>
      </c>
      <c r="K1191" s="1658" t="s">
        <v>2975</v>
      </c>
      <c r="L1191" s="1658" t="s">
        <v>2977</v>
      </c>
      <c r="M1191" s="1658" t="s">
        <v>2984</v>
      </c>
      <c r="N1191" s="1658" t="s">
        <v>2979</v>
      </c>
      <c r="O1191" s="268" t="s">
        <v>2985</v>
      </c>
    </row>
    <row r="1192" spans="1:17" ht="27" x14ac:dyDescent="0.3">
      <c r="A1192" s="3799" t="s">
        <v>4267</v>
      </c>
      <c r="B1192" s="774"/>
      <c r="C1192" s="1224"/>
      <c r="D1192" s="1291" t="s">
        <v>4838</v>
      </c>
      <c r="E1192" s="1668"/>
      <c r="F1192" s="1669"/>
      <c r="G1192" s="1670"/>
      <c r="H1192" s="1371"/>
      <c r="I1192" s="481" t="s">
        <v>3928</v>
      </c>
      <c r="J1192" s="809"/>
      <c r="K1192" s="1658"/>
      <c r="L1192" s="406"/>
      <c r="M1192" s="406"/>
      <c r="N1192" s="1658"/>
      <c r="O1192" s="268"/>
    </row>
    <row r="1193" spans="1:17" x14ac:dyDescent="0.3">
      <c r="A1193" s="3799"/>
      <c r="B1193" s="774"/>
      <c r="C1193" s="1224"/>
      <c r="D1193" s="1289" t="s">
        <v>4839</v>
      </c>
      <c r="E1193" s="1481"/>
      <c r="F1193" s="1230"/>
      <c r="G1193" s="1231"/>
      <c r="H1193" s="1371"/>
      <c r="I1193" s="355" t="s">
        <v>3928</v>
      </c>
      <c r="J1193" s="809"/>
      <c r="K1193" s="863">
        <v>12036</v>
      </c>
      <c r="L1193" s="1625" t="s">
        <v>4823</v>
      </c>
      <c r="M1193" s="608">
        <v>1150000</v>
      </c>
      <c r="N1193" s="1693">
        <v>0.05</v>
      </c>
      <c r="O1193" s="1694">
        <f>M1193*N1193</f>
        <v>57500</v>
      </c>
      <c r="P1193" s="511"/>
      <c r="Q1193" s="511"/>
    </row>
    <row r="1194" spans="1:17" x14ac:dyDescent="0.3">
      <c r="A1194" s="3799"/>
      <c r="B1194" s="774"/>
      <c r="C1194" s="1561"/>
      <c r="D1194" s="1169" t="s">
        <v>4840</v>
      </c>
      <c r="E1194" s="1562"/>
      <c r="F1194" s="806"/>
      <c r="G1194" s="808"/>
      <c r="H1194" s="1399"/>
      <c r="I1194" s="806" t="s">
        <v>4841</v>
      </c>
      <c r="J1194" s="809"/>
      <c r="K1194" s="863">
        <v>11995</v>
      </c>
      <c r="L1194" s="1056" t="s">
        <v>4832</v>
      </c>
      <c r="M1194" s="1605">
        <v>1500000</v>
      </c>
      <c r="N1194" s="1693">
        <v>0.05</v>
      </c>
      <c r="O1194" s="1694">
        <f t="shared" ref="O1194:O1196" si="58">M1194*N1194</f>
        <v>75000</v>
      </c>
      <c r="P1194" s="307"/>
      <c r="Q1194" s="511"/>
    </row>
    <row r="1195" spans="1:17" x14ac:dyDescent="0.3">
      <c r="A1195" s="3799"/>
      <c r="B1195" s="867">
        <v>11969</v>
      </c>
      <c r="C1195" s="1325">
        <v>0.1</v>
      </c>
      <c r="D1195" s="1474" t="s">
        <v>4842</v>
      </c>
      <c r="E1195" s="1635">
        <v>900000</v>
      </c>
      <c r="F1195" s="310">
        <v>0.05</v>
      </c>
      <c r="G1195" s="1692">
        <f>E1195*F1195</f>
        <v>45000</v>
      </c>
      <c r="H1195" s="1253" t="s">
        <v>527</v>
      </c>
      <c r="I1195" s="441" t="s">
        <v>3925</v>
      </c>
      <c r="J1195" s="118"/>
      <c r="K1195" s="863">
        <v>12123</v>
      </c>
      <c r="L1195" s="1447" t="s">
        <v>4834</v>
      </c>
      <c r="M1195" s="620">
        <v>1400000</v>
      </c>
      <c r="N1195" s="1693">
        <v>0.05</v>
      </c>
      <c r="O1195" s="1694">
        <f t="shared" si="58"/>
        <v>70000</v>
      </c>
      <c r="P1195" s="307"/>
      <c r="Q1195" s="511"/>
    </row>
    <row r="1196" spans="1:17" x14ac:dyDescent="0.3">
      <c r="A1196" s="3799"/>
      <c r="B1196" s="863">
        <v>11981</v>
      </c>
      <c r="C1196" s="1451">
        <v>0.1</v>
      </c>
      <c r="D1196" s="1170" t="s">
        <v>4816</v>
      </c>
      <c r="E1196" s="1504">
        <v>1100000</v>
      </c>
      <c r="F1196" s="310">
        <v>0.05</v>
      </c>
      <c r="G1196" s="1692">
        <f t="shared" ref="G1196:G1202" si="59">E1196*F1196</f>
        <v>55000</v>
      </c>
      <c r="H1196" s="1388" t="s">
        <v>582</v>
      </c>
      <c r="I1196" s="863" t="s">
        <v>3925</v>
      </c>
      <c r="J1196" s="1779"/>
      <c r="K1196" s="1686">
        <v>12074</v>
      </c>
      <c r="L1196" s="1081" t="s">
        <v>4843</v>
      </c>
      <c r="M1196" s="1687">
        <v>1100000</v>
      </c>
      <c r="N1196" s="1693">
        <v>0.05</v>
      </c>
      <c r="O1196" s="1694">
        <f t="shared" si="58"/>
        <v>55000</v>
      </c>
      <c r="P1196" s="511"/>
      <c r="Q1196" s="511"/>
    </row>
    <row r="1197" spans="1:17" ht="15.6" x14ac:dyDescent="0.3">
      <c r="A1197" s="3799"/>
      <c r="B1197" s="1240">
        <v>12060</v>
      </c>
      <c r="C1197" s="1418">
        <v>0.1</v>
      </c>
      <c r="D1197" s="1566" t="s">
        <v>4844</v>
      </c>
      <c r="E1197" s="1636">
        <v>700000</v>
      </c>
      <c r="F1197" s="310">
        <v>0.06</v>
      </c>
      <c r="G1197" s="1692">
        <f t="shared" si="59"/>
        <v>42000</v>
      </c>
      <c r="H1197" s="1233" t="s">
        <v>118</v>
      </c>
      <c r="I1197" s="863" t="s">
        <v>3925</v>
      </c>
      <c r="J1197" s="1779"/>
      <c r="K1197" s="1449">
        <v>12126</v>
      </c>
      <c r="L1197" s="1468" t="s">
        <v>4845</v>
      </c>
      <c r="M1197" s="1687">
        <v>700000</v>
      </c>
      <c r="N1197" s="1693">
        <v>0.05</v>
      </c>
      <c r="O1197" s="1694">
        <f>M1197*N1197</f>
        <v>35000</v>
      </c>
    </row>
    <row r="1198" spans="1:17" x14ac:dyDescent="0.3">
      <c r="A1198" s="3799"/>
      <c r="B1198" s="863">
        <v>12057</v>
      </c>
      <c r="C1198" s="1697">
        <v>0.08</v>
      </c>
      <c r="D1198" s="1256" t="s">
        <v>4846</v>
      </c>
      <c r="E1198" s="1505">
        <v>1400000</v>
      </c>
      <c r="F1198" s="310">
        <v>0.04</v>
      </c>
      <c r="G1198" s="1692">
        <f t="shared" si="59"/>
        <v>56000</v>
      </c>
      <c r="H1198" s="1253" t="s">
        <v>582</v>
      </c>
      <c r="I1198" s="441" t="s">
        <v>3925</v>
      </c>
      <c r="J1198" s="1779"/>
      <c r="K1198" s="406"/>
      <c r="L1198" s="1658"/>
      <c r="M1198" s="1658"/>
      <c r="N1198" s="1658"/>
      <c r="O1198" s="268"/>
    </row>
    <row r="1199" spans="1:17" s="511" customFormat="1" x14ac:dyDescent="0.3">
      <c r="A1199" s="3799"/>
      <c r="B1199" s="1607">
        <v>12112</v>
      </c>
      <c r="C1199" s="1451">
        <v>0.1</v>
      </c>
      <c r="D1199" s="912" t="s">
        <v>4847</v>
      </c>
      <c r="E1199" s="1505">
        <v>730000</v>
      </c>
      <c r="F1199" s="310">
        <v>0.1</v>
      </c>
      <c r="G1199" s="1692">
        <f t="shared" si="59"/>
        <v>73000</v>
      </c>
      <c r="H1199" s="1253" t="s">
        <v>748</v>
      </c>
      <c r="I1199" s="441" t="s">
        <v>3928</v>
      </c>
      <c r="J1199" s="1779"/>
      <c r="K1199" s="406"/>
      <c r="L1199" s="1658"/>
      <c r="M1199" s="1658"/>
      <c r="N1199" s="1658"/>
      <c r="O1199" s="1071"/>
    </row>
    <row r="1200" spans="1:17" x14ac:dyDescent="0.3">
      <c r="A1200" s="3799"/>
      <c r="B1200" s="1603">
        <v>12127</v>
      </c>
      <c r="C1200" s="1667">
        <v>0.1</v>
      </c>
      <c r="D1200" s="1559" t="s">
        <v>4848</v>
      </c>
      <c r="E1200" s="1635">
        <v>1200000</v>
      </c>
      <c r="F1200" s="592">
        <v>0.1</v>
      </c>
      <c r="G1200" s="1692">
        <f t="shared" si="59"/>
        <v>120000</v>
      </c>
      <c r="H1200" s="1253" t="s">
        <v>748</v>
      </c>
      <c r="I1200" s="441" t="s">
        <v>3928</v>
      </c>
      <c r="J1200" s="1779"/>
      <c r="K1200" s="406"/>
      <c r="L1200" s="1658"/>
      <c r="M1200" s="1658"/>
      <c r="N1200" s="1658"/>
      <c r="O1200" s="848">
        <f>SUM(O1193:O1197)</f>
        <v>292500</v>
      </c>
    </row>
    <row r="1201" spans="1:15" x14ac:dyDescent="0.3">
      <c r="A1201" s="3799"/>
      <c r="B1201" s="863">
        <v>12154</v>
      </c>
      <c r="C1201" s="864">
        <v>0.1</v>
      </c>
      <c r="D1201" s="439" t="s">
        <v>4849</v>
      </c>
      <c r="E1201" s="1340">
        <v>1250000</v>
      </c>
      <c r="F1201" s="310">
        <v>0.1</v>
      </c>
      <c r="G1201" s="1707">
        <f t="shared" si="59"/>
        <v>125000</v>
      </c>
      <c r="H1201" s="1653" t="s">
        <v>748</v>
      </c>
      <c r="I1201" s="441" t="s">
        <v>3928</v>
      </c>
      <c r="J1201" s="1779"/>
      <c r="K1201" s="406"/>
      <c r="L1201" s="1658"/>
      <c r="M1201" s="1658"/>
      <c r="N1201" s="1658"/>
      <c r="O1201" s="268"/>
    </row>
    <row r="1202" spans="1:15" x14ac:dyDescent="0.3">
      <c r="A1202" s="3799"/>
      <c r="B1202" s="1607">
        <v>12195</v>
      </c>
      <c r="C1202" s="864">
        <v>0.1</v>
      </c>
      <c r="D1202" s="439" t="s">
        <v>4850</v>
      </c>
      <c r="E1202" s="1340">
        <v>1200000</v>
      </c>
      <c r="F1202" s="310">
        <v>0.1</v>
      </c>
      <c r="G1202" s="1707">
        <f t="shared" si="59"/>
        <v>120000</v>
      </c>
      <c r="H1202" s="1253" t="s">
        <v>748</v>
      </c>
      <c r="I1202" s="440" t="s">
        <v>3928</v>
      </c>
      <c r="J1202" s="1779"/>
      <c r="K1202" s="1779"/>
      <c r="L1202" s="1779"/>
      <c r="M1202" s="1779"/>
      <c r="N1202" s="1779"/>
      <c r="O1202" s="2"/>
    </row>
    <row r="1203" spans="1:15" x14ac:dyDescent="0.3">
      <c r="A1203" s="3799"/>
      <c r="B1203" s="1665"/>
      <c r="C1203" s="1216"/>
      <c r="D1203" s="716"/>
      <c r="E1203" s="1628"/>
      <c r="F1203" s="376"/>
      <c r="G1203" s="1710"/>
      <c r="H1203" s="1204"/>
      <c r="I1203" s="308"/>
      <c r="J1203" s="1779"/>
      <c r="K1203" s="1779"/>
      <c r="L1203" s="1779"/>
      <c r="M1203" s="1779"/>
      <c r="N1203" s="1779"/>
      <c r="O1203" s="2"/>
    </row>
    <row r="1204" spans="1:15" x14ac:dyDescent="0.3">
      <c r="A1204" s="3799"/>
      <c r="B1204" s="514"/>
      <c r="C1204" s="514"/>
      <c r="D1204" s="1116" t="s">
        <v>3000</v>
      </c>
      <c r="E1204" s="1631">
        <f>SUM(E1195:E1202)</f>
        <v>8480000</v>
      </c>
      <c r="F1204" s="514"/>
      <c r="G1204" s="483">
        <f>SUM(G1195:G1202)</f>
        <v>636000</v>
      </c>
      <c r="H1204" s="514"/>
      <c r="I1204" s="514"/>
      <c r="J1204" s="342"/>
      <c r="K1204" s="287"/>
      <c r="L1204" s="3602" t="s">
        <v>3026</v>
      </c>
      <c r="M1204" s="3602"/>
      <c r="N1204" s="3602"/>
      <c r="O1204" s="1727">
        <v>928500</v>
      </c>
    </row>
    <row r="1205" spans="1:15" ht="15.6" x14ac:dyDescent="0.3">
      <c r="A1205" s="3799"/>
      <c r="B1205" s="840"/>
      <c r="C1205" s="840"/>
      <c r="D1205" s="491" t="s">
        <v>3002</v>
      </c>
      <c r="E1205" s="841">
        <f>SUM(G1204+O1200)</f>
        <v>928500</v>
      </c>
      <c r="F1205" s="840"/>
      <c r="G1205" s="842"/>
      <c r="H1205" s="840"/>
      <c r="I1205" s="840"/>
      <c r="J1205" s="843"/>
      <c r="K1205" s="287"/>
      <c r="L1205" s="844"/>
      <c r="M1205" s="844"/>
      <c r="N1205" s="844"/>
      <c r="O1205" s="294"/>
    </row>
    <row r="1206" spans="1:15" ht="15.6" x14ac:dyDescent="0.3">
      <c r="A1206" s="2267"/>
      <c r="B1206" s="464"/>
      <c r="C1206" s="464"/>
      <c r="D1206" s="1118"/>
      <c r="E1206" s="466"/>
      <c r="F1206" s="464"/>
      <c r="G1206" s="467"/>
      <c r="H1206" s="464"/>
      <c r="I1206" s="464"/>
      <c r="J1206" s="465"/>
      <c r="K1206" s="468"/>
      <c r="L1206" s="469"/>
      <c r="M1206" s="469"/>
      <c r="N1206" s="469"/>
      <c r="O1206" s="463"/>
    </row>
    <row r="1207" spans="1:15" ht="15.6" x14ac:dyDescent="0.3">
      <c r="A1207" s="2267"/>
      <c r="B1207" s="825"/>
      <c r="C1207" s="825"/>
      <c r="D1207" s="1172"/>
      <c r="E1207" s="827"/>
      <c r="F1207" s="825"/>
      <c r="G1207" s="828"/>
      <c r="H1207" s="825"/>
      <c r="I1207" s="825"/>
      <c r="J1207" s="826"/>
      <c r="K1207" s="829"/>
      <c r="L1207" s="830"/>
      <c r="M1207" s="830"/>
      <c r="N1207" s="830"/>
      <c r="O1207" s="831"/>
    </row>
    <row r="1208" spans="1:15" ht="21" x14ac:dyDescent="0.4">
      <c r="A1208" s="3796" t="s">
        <v>3042</v>
      </c>
      <c r="B1208" s="3796"/>
      <c r="C1208" s="3796"/>
      <c r="D1208" s="3796"/>
      <c r="E1208" s="3796"/>
      <c r="F1208" s="3796"/>
      <c r="G1208" s="3796"/>
      <c r="H1208" s="3796"/>
      <c r="I1208" s="3796"/>
      <c r="J1208" s="3796"/>
      <c r="K1208" s="287"/>
      <c r="L1208" s="845"/>
      <c r="M1208" s="845"/>
      <c r="N1208" s="845"/>
      <c r="O1208" s="294"/>
    </row>
    <row r="1209" spans="1:15" x14ac:dyDescent="0.3">
      <c r="A1209" s="2276" t="s">
        <v>2974</v>
      </c>
      <c r="B1209" s="3" t="s">
        <v>2975</v>
      </c>
      <c r="C1209" s="3" t="s">
        <v>3004</v>
      </c>
      <c r="D1209" s="1086" t="s">
        <v>2977</v>
      </c>
      <c r="E1209" s="4" t="s">
        <v>2978</v>
      </c>
      <c r="F1209" s="3" t="s">
        <v>2979</v>
      </c>
      <c r="G1209" s="5" t="s">
        <v>2980</v>
      </c>
      <c r="H1209" s="3" t="s">
        <v>2981</v>
      </c>
      <c r="I1209" s="3" t="s">
        <v>2982</v>
      </c>
      <c r="J1209" s="23" t="s">
        <v>2983</v>
      </c>
      <c r="K1209" s="1779" t="s">
        <v>2975</v>
      </c>
      <c r="L1209" s="1779" t="s">
        <v>2977</v>
      </c>
      <c r="M1209" s="1779" t="s">
        <v>2984</v>
      </c>
      <c r="N1209" s="1779" t="s">
        <v>2979</v>
      </c>
      <c r="O1209" s="2" t="s">
        <v>2985</v>
      </c>
    </row>
    <row r="1210" spans="1:15" x14ac:dyDescent="0.3">
      <c r="A1210" s="3625" t="s">
        <v>4267</v>
      </c>
      <c r="B1210" s="810"/>
      <c r="C1210" s="1606"/>
      <c r="D1210" s="1334" t="s">
        <v>4851</v>
      </c>
      <c r="E1210" s="1675"/>
      <c r="F1210" s="806"/>
      <c r="G1210" s="808"/>
      <c r="H1210" s="806"/>
      <c r="I1210" s="1334" t="s">
        <v>3925</v>
      </c>
      <c r="J1210" s="118"/>
      <c r="K1210" s="863">
        <v>11969</v>
      </c>
      <c r="L1210" s="1081" t="s">
        <v>4852</v>
      </c>
      <c r="M1210" s="863">
        <v>900000</v>
      </c>
      <c r="N1210" s="864">
        <v>0.05</v>
      </c>
      <c r="O1210" s="878">
        <f>M1210*N1210</f>
        <v>45000</v>
      </c>
    </row>
    <row r="1211" spans="1:15" x14ac:dyDescent="0.3">
      <c r="A1211" s="3625"/>
      <c r="B1211" s="810"/>
      <c r="C1211" s="1606"/>
      <c r="D1211" s="926" t="s">
        <v>4853</v>
      </c>
      <c r="E1211" s="1597"/>
      <c r="F1211" s="355"/>
      <c r="G1211" s="386"/>
      <c r="H1211" s="385"/>
      <c r="I1211" s="385" t="s">
        <v>4495</v>
      </c>
      <c r="J1211" s="118"/>
      <c r="K1211" s="1779"/>
      <c r="L1211" s="1779"/>
      <c r="M1211" s="1779"/>
      <c r="N1211" s="1779"/>
      <c r="O1211" s="2"/>
    </row>
    <row r="1212" spans="1:15" x14ac:dyDescent="0.3">
      <c r="A1212" s="3625"/>
      <c r="B1212" s="810"/>
      <c r="C1212" s="1606"/>
      <c r="D1212" s="926" t="s">
        <v>4854</v>
      </c>
      <c r="E1212" s="600"/>
      <c r="F1212" s="481"/>
      <c r="G1212" s="386"/>
      <c r="H1212" s="385"/>
      <c r="I1212" s="385" t="s">
        <v>3928</v>
      </c>
      <c r="J1212" s="118"/>
      <c r="K1212" s="1779"/>
      <c r="L1212" s="1779"/>
      <c r="M1212" s="1779"/>
      <c r="N1212" s="1779"/>
      <c r="O1212" s="2"/>
    </row>
    <row r="1213" spans="1:15" x14ac:dyDescent="0.3">
      <c r="A1213" s="3625"/>
      <c r="B1213" s="810"/>
      <c r="C1213" s="1571"/>
      <c r="D1213" s="926" t="s">
        <v>4855</v>
      </c>
      <c r="E1213" s="1235"/>
      <c r="F1213" s="355"/>
      <c r="G1213" s="386"/>
      <c r="H1213" s="385"/>
      <c r="I1213" s="385" t="s">
        <v>3925</v>
      </c>
      <c r="J1213" s="1711"/>
      <c r="K1213" s="1780"/>
      <c r="L1213" s="1779"/>
      <c r="M1213" s="1779"/>
      <c r="N1213" s="1779"/>
      <c r="O1213" s="2"/>
    </row>
    <row r="1214" spans="1:15" x14ac:dyDescent="0.3">
      <c r="A1214" s="3625"/>
      <c r="B1214" s="810"/>
      <c r="C1214" s="1672"/>
      <c r="D1214" s="1294" t="s">
        <v>4856</v>
      </c>
      <c r="E1214" s="1456"/>
      <c r="F1214" s="1230"/>
      <c r="G1214" s="386"/>
      <c r="H1214" s="1371"/>
      <c r="I1214" s="385" t="s">
        <v>3928</v>
      </c>
      <c r="J1214" s="1711"/>
      <c r="K1214" s="1780"/>
      <c r="L1214" s="1779"/>
      <c r="M1214" s="1779"/>
      <c r="N1214" s="1779"/>
      <c r="O1214" s="2"/>
    </row>
    <row r="1215" spans="1:15" ht="27" x14ac:dyDescent="0.3">
      <c r="A1215" s="3625"/>
      <c r="B1215" s="1671"/>
      <c r="C1215" s="409"/>
      <c r="D1215" s="921" t="s">
        <v>4857</v>
      </c>
      <c r="E1215" s="600"/>
      <c r="F1215" s="481"/>
      <c r="G1215" s="386"/>
      <c r="H1215" s="385"/>
      <c r="I1215" s="385" t="s">
        <v>3925</v>
      </c>
      <c r="J1215" s="1711"/>
      <c r="K1215" s="1780"/>
      <c r="L1215" s="1779"/>
      <c r="M1215" s="1779"/>
      <c r="N1215" s="1779"/>
      <c r="O1215" s="2"/>
    </row>
    <row r="1216" spans="1:15" x14ac:dyDescent="0.3">
      <c r="A1216" s="3625"/>
      <c r="B1216" s="1449">
        <v>12007</v>
      </c>
      <c r="C1216" s="1698">
        <v>0.08</v>
      </c>
      <c r="D1216" s="1673" t="s">
        <v>4858</v>
      </c>
      <c r="E1216" s="1674">
        <v>1350000</v>
      </c>
      <c r="F1216" s="1718">
        <v>0.04</v>
      </c>
      <c r="G1216" s="1699">
        <f>E1216*F1216</f>
        <v>54000</v>
      </c>
      <c r="H1216" s="969" t="s">
        <v>4859</v>
      </c>
      <c r="I1216" s="969" t="s">
        <v>3925</v>
      </c>
      <c r="J1216" s="1711"/>
      <c r="K1216" s="1780"/>
      <c r="L1216" s="326"/>
      <c r="M1216" s="1493"/>
      <c r="N1216" s="1779"/>
      <c r="O1216" s="2"/>
    </row>
    <row r="1217" spans="1:15" x14ac:dyDescent="0.3">
      <c r="A1217" s="3625"/>
      <c r="B1217" s="867">
        <v>12074</v>
      </c>
      <c r="C1217" s="592">
        <v>0.1</v>
      </c>
      <c r="D1217" s="1022" t="s">
        <v>4843</v>
      </c>
      <c r="E1217" s="1343">
        <v>1100000</v>
      </c>
      <c r="F1217" s="592">
        <v>0.05</v>
      </c>
      <c r="G1217" s="1699">
        <f t="shared" ref="G1217:G1221" si="60">E1217*F1217</f>
        <v>55000</v>
      </c>
      <c r="H1217" s="1253" t="s">
        <v>1138</v>
      </c>
      <c r="I1217" s="587" t="s">
        <v>3928</v>
      </c>
      <c r="J1217" s="1594"/>
      <c r="K1217" s="1780"/>
      <c r="L1217" s="326"/>
      <c r="M1217" s="1493"/>
      <c r="N1217" s="1779"/>
      <c r="O1217" s="2"/>
    </row>
    <row r="1218" spans="1:15" x14ac:dyDescent="0.3">
      <c r="A1218" s="3625"/>
      <c r="B1218" s="867">
        <v>12089</v>
      </c>
      <c r="C1218" s="592">
        <v>0.1</v>
      </c>
      <c r="D1218" s="439" t="s">
        <v>4860</v>
      </c>
      <c r="E1218" s="1344">
        <v>900000</v>
      </c>
      <c r="F1218" s="592">
        <v>0.1</v>
      </c>
      <c r="G1218" s="1699">
        <f t="shared" si="60"/>
        <v>90000</v>
      </c>
      <c r="H1218" s="1389" t="s">
        <v>527</v>
      </c>
      <c r="I1218" s="997" t="s">
        <v>3928</v>
      </c>
      <c r="J1218" s="1594"/>
      <c r="K1218" s="1780"/>
      <c r="L1218" s="326"/>
      <c r="M1218" s="1493"/>
      <c r="N1218" s="1779"/>
      <c r="O1218" s="2"/>
    </row>
    <row r="1219" spans="1:15" x14ac:dyDescent="0.3">
      <c r="A1219" s="3625"/>
      <c r="B1219" s="863">
        <v>12108</v>
      </c>
      <c r="C1219" s="443">
        <v>0.1</v>
      </c>
      <c r="D1219" s="1022" t="s">
        <v>4861</v>
      </c>
      <c r="E1219" s="1556">
        <v>1000000</v>
      </c>
      <c r="F1219" s="592">
        <v>0.06</v>
      </c>
      <c r="G1219" s="1699">
        <f t="shared" si="60"/>
        <v>60000</v>
      </c>
      <c r="H1219" s="587" t="s">
        <v>732</v>
      </c>
      <c r="I1219" s="587" t="s">
        <v>3925</v>
      </c>
      <c r="J1219" s="1594"/>
      <c r="K1219" s="1780"/>
      <c r="L1219" s="326"/>
      <c r="M1219" s="1493"/>
      <c r="N1219" s="1779"/>
      <c r="O1219" s="2"/>
    </row>
    <row r="1220" spans="1:15" ht="15.6" x14ac:dyDescent="0.3">
      <c r="A1220" s="3625"/>
      <c r="B1220" s="1618">
        <v>12113</v>
      </c>
      <c r="C1220" s="443">
        <v>0.1</v>
      </c>
      <c r="D1220" s="1474" t="s">
        <v>4862</v>
      </c>
      <c r="E1220" s="1506">
        <v>1730000</v>
      </c>
      <c r="F1220" s="592">
        <v>0.05</v>
      </c>
      <c r="G1220" s="1699">
        <f t="shared" si="60"/>
        <v>86500</v>
      </c>
      <c r="H1220" s="587" t="s">
        <v>582</v>
      </c>
      <c r="I1220" s="587" t="s">
        <v>3928</v>
      </c>
      <c r="J1220" s="1594"/>
      <c r="K1220" s="1780"/>
      <c r="L1220" s="326"/>
      <c r="M1220" s="1493"/>
      <c r="N1220" s="1779"/>
      <c r="O1220" s="2"/>
    </row>
    <row r="1221" spans="1:15" x14ac:dyDescent="0.3">
      <c r="A1221" s="3625"/>
      <c r="B1221" s="867">
        <v>12114</v>
      </c>
      <c r="C1221" s="592">
        <v>0.1</v>
      </c>
      <c r="D1221" s="1179" t="s">
        <v>4863</v>
      </c>
      <c r="E1221" s="1506">
        <v>900000</v>
      </c>
      <c r="F1221" s="592">
        <v>0.1</v>
      </c>
      <c r="G1221" s="1699">
        <f t="shared" si="60"/>
        <v>90000</v>
      </c>
      <c r="H1221" s="587" t="s">
        <v>527</v>
      </c>
      <c r="I1221" s="587" t="s">
        <v>3925</v>
      </c>
      <c r="J1221" s="1594"/>
      <c r="K1221" s="1780"/>
      <c r="L1221" s="326"/>
      <c r="M1221" s="1493"/>
      <c r="N1221" s="1779"/>
      <c r="O1221" s="2"/>
    </row>
    <row r="1222" spans="1:15" x14ac:dyDescent="0.3">
      <c r="A1222" s="3620"/>
      <c r="B1222" s="863">
        <v>12181</v>
      </c>
      <c r="C1222" s="310">
        <v>0.1</v>
      </c>
      <c r="D1222" s="995" t="s">
        <v>4864</v>
      </c>
      <c r="E1222" s="1641">
        <v>1250000</v>
      </c>
      <c r="F1222" s="310">
        <v>0.1</v>
      </c>
      <c r="G1222" s="1699">
        <f>E1222*F1222</f>
        <v>125000</v>
      </c>
      <c r="H1222" s="587" t="s">
        <v>527</v>
      </c>
      <c r="I1222" s="587" t="s">
        <v>3928</v>
      </c>
      <c r="J1222" s="1594"/>
      <c r="K1222" s="1780"/>
      <c r="L1222" s="326"/>
      <c r="M1222" s="1493"/>
      <c r="N1222" s="1779"/>
      <c r="O1222" s="2"/>
    </row>
    <row r="1223" spans="1:15" s="511" customFormat="1" x14ac:dyDescent="0.3">
      <c r="A1223" s="3620"/>
      <c r="B1223" s="867">
        <v>12176</v>
      </c>
      <c r="C1223" s="310">
        <v>0.1</v>
      </c>
      <c r="D1223" s="1256" t="s">
        <v>4865</v>
      </c>
      <c r="E1223" s="1506">
        <v>1000000</v>
      </c>
      <c r="F1223" s="310">
        <v>0.05</v>
      </c>
      <c r="G1223" s="1699">
        <f>E1223*F1223</f>
        <v>50000</v>
      </c>
      <c r="H1223" s="587" t="s">
        <v>4234</v>
      </c>
      <c r="I1223" s="587" t="s">
        <v>3928</v>
      </c>
      <c r="J1223" s="1594"/>
      <c r="K1223" s="1780"/>
      <c r="L1223" s="326"/>
      <c r="M1223" s="1493"/>
      <c r="N1223" s="1779"/>
      <c r="O1223" s="51"/>
    </row>
    <row r="1224" spans="1:15" ht="15.75" customHeight="1" x14ac:dyDescent="0.3">
      <c r="A1224" s="3620"/>
      <c r="B1224" s="1240">
        <v>12194</v>
      </c>
      <c r="C1224" s="322">
        <v>0.1</v>
      </c>
      <c r="D1224" s="587" t="s">
        <v>4866</v>
      </c>
      <c r="E1224" s="1641">
        <v>950000</v>
      </c>
      <c r="F1224" s="310">
        <v>0.05</v>
      </c>
      <c r="G1224" s="1699">
        <f>E1224*F1224</f>
        <v>47500</v>
      </c>
      <c r="H1224" s="587" t="s">
        <v>2037</v>
      </c>
      <c r="I1224" s="587" t="s">
        <v>3925</v>
      </c>
      <c r="J1224" s="1711"/>
      <c r="K1224" s="1780"/>
      <c r="L1224" s="1780"/>
      <c r="M1224" s="1780"/>
      <c r="N1224" s="1780"/>
      <c r="O1224" s="1728">
        <v>45000</v>
      </c>
    </row>
    <row r="1225" spans="1:15" ht="15" customHeight="1" x14ac:dyDescent="0.3">
      <c r="A1225" s="3625"/>
      <c r="B1225" s="533"/>
      <c r="C1225" s="643"/>
      <c r="D1225" s="1201"/>
      <c r="E1225" s="1637"/>
      <c r="F1225" s="320"/>
      <c r="G1225" s="298"/>
      <c r="H1225" s="307"/>
      <c r="I1225" s="307"/>
      <c r="J1225" s="1711"/>
      <c r="K1225" s="1780"/>
      <c r="L1225" s="1780"/>
      <c r="M1225" s="1780"/>
      <c r="N1225" s="1780"/>
      <c r="O1225" s="294"/>
    </row>
    <row r="1226" spans="1:15" ht="15" customHeight="1" x14ac:dyDescent="0.3">
      <c r="A1226" s="3625"/>
      <c r="B1226" s="1581"/>
      <c r="C1226" s="1579"/>
      <c r="D1226" s="1171" t="s">
        <v>3000</v>
      </c>
      <c r="E1226" s="1631">
        <f>SUM(E1216:E1224)</f>
        <v>10180000</v>
      </c>
      <c r="F1226" s="514"/>
      <c r="G1226" s="483">
        <f>SUM(G1216:G1224)</f>
        <v>658000</v>
      </c>
      <c r="H1226" s="514"/>
      <c r="I1226" s="514"/>
      <c r="J1226" s="856"/>
      <c r="K1226" s="287"/>
      <c r="L1226" s="3590" t="s">
        <v>3026</v>
      </c>
      <c r="M1226" s="3590"/>
      <c r="N1226" s="3590"/>
      <c r="O1226" s="841">
        <v>703000</v>
      </c>
    </row>
    <row r="1227" spans="1:15" ht="15" customHeight="1" x14ac:dyDescent="0.3">
      <c r="A1227" s="3625"/>
      <c r="B1227" s="919"/>
      <c r="C1227" s="840"/>
      <c r="D1227" s="1182" t="s">
        <v>3002</v>
      </c>
      <c r="E1227" s="841">
        <f>SUM(G1226+O1226)</f>
        <v>1361000</v>
      </c>
      <c r="F1227" s="840"/>
      <c r="G1227" s="842"/>
      <c r="H1227" s="840"/>
      <c r="I1227" s="840"/>
      <c r="J1227" s="857"/>
      <c r="K1227" s="287"/>
      <c r="L1227" s="968"/>
      <c r="M1227" s="968"/>
      <c r="N1227" s="968"/>
      <c r="O1227" s="294"/>
    </row>
    <row r="1228" spans="1:15" ht="15.6" x14ac:dyDescent="0.3">
      <c r="A1228" s="2267"/>
      <c r="B1228" s="464"/>
      <c r="C1228" s="464"/>
      <c r="D1228" s="1118"/>
      <c r="E1228" s="466"/>
      <c r="F1228" s="464"/>
      <c r="G1228" s="467"/>
      <c r="H1228" s="464"/>
      <c r="I1228" s="464"/>
      <c r="J1228" s="465"/>
      <c r="K1228" s="468"/>
      <c r="L1228" s="469"/>
      <c r="M1228" s="469"/>
      <c r="N1228" s="469"/>
      <c r="O1228" s="463"/>
    </row>
    <row r="1229" spans="1:15" ht="15.6" x14ac:dyDescent="0.3">
      <c r="A1229" s="2267"/>
      <c r="B1229" s="825"/>
      <c r="C1229" s="825"/>
      <c r="D1229" s="1172"/>
      <c r="E1229" s="827"/>
      <c r="F1229" s="825"/>
      <c r="G1229" s="828"/>
      <c r="H1229" s="825"/>
      <c r="I1229" s="825"/>
      <c r="J1229" s="826"/>
      <c r="K1229" s="829"/>
      <c r="L1229" s="830"/>
      <c r="M1229" s="830"/>
      <c r="N1229" s="830"/>
      <c r="O1229" s="831"/>
    </row>
    <row r="1230" spans="1:15" ht="21" x14ac:dyDescent="0.4">
      <c r="A1230" s="3796" t="s">
        <v>3054</v>
      </c>
      <c r="B1230" s="3796"/>
      <c r="C1230" s="3796"/>
      <c r="D1230" s="3796"/>
      <c r="E1230" s="3796"/>
      <c r="F1230" s="3796"/>
      <c r="G1230" s="3796"/>
      <c r="H1230" s="3796"/>
      <c r="I1230" s="3796"/>
      <c r="J1230" s="3796"/>
      <c r="K1230" s="287"/>
      <c r="L1230" s="845"/>
      <c r="M1230" s="845"/>
      <c r="N1230" s="845"/>
      <c r="O1230" s="294"/>
    </row>
    <row r="1231" spans="1:15" x14ac:dyDescent="0.3">
      <c r="A1231" s="2276" t="s">
        <v>2974</v>
      </c>
      <c r="B1231" s="3" t="s">
        <v>2975</v>
      </c>
      <c r="C1231" s="3" t="s">
        <v>3004</v>
      </c>
      <c r="D1231" s="1086" t="s">
        <v>2977</v>
      </c>
      <c r="E1231" s="4" t="s">
        <v>2978</v>
      </c>
      <c r="F1231" s="3" t="s">
        <v>2979</v>
      </c>
      <c r="G1231" s="5" t="s">
        <v>2980</v>
      </c>
      <c r="H1231" s="3" t="s">
        <v>2981</v>
      </c>
      <c r="I1231" s="3" t="s">
        <v>2982</v>
      </c>
      <c r="J1231" s="23" t="s">
        <v>2983</v>
      </c>
      <c r="K1231" s="1779" t="s">
        <v>2975</v>
      </c>
      <c r="L1231" s="1779" t="s">
        <v>2977</v>
      </c>
      <c r="M1231" s="1779" t="s">
        <v>2984</v>
      </c>
      <c r="N1231" s="1779" t="s">
        <v>2979</v>
      </c>
      <c r="O1231" s="2" t="s">
        <v>2985</v>
      </c>
    </row>
    <row r="1232" spans="1:15" x14ac:dyDescent="0.3">
      <c r="A1232" s="2276"/>
      <c r="B1232" s="806"/>
      <c r="C1232" s="1671"/>
      <c r="D1232" s="1478" t="s">
        <v>4867</v>
      </c>
      <c r="E1232" s="1650"/>
      <c r="F1232" s="409"/>
      <c r="G1232" s="1551"/>
      <c r="H1232" s="385"/>
      <c r="I1232" s="1709" t="s">
        <v>3925</v>
      </c>
      <c r="J1232" s="23"/>
      <c r="K1232" s="1779"/>
      <c r="L1232" s="1081" t="s">
        <v>4868</v>
      </c>
      <c r="M1232" s="863">
        <v>950000</v>
      </c>
      <c r="N1232" s="864">
        <v>0.05</v>
      </c>
      <c r="O1232" s="878">
        <f>M1232*N1232</f>
        <v>47500</v>
      </c>
    </row>
    <row r="1233" spans="1:15" ht="27" x14ac:dyDescent="0.3">
      <c r="A1233" s="3625" t="s">
        <v>2986</v>
      </c>
      <c r="B1233" s="1591"/>
      <c r="C1233" s="1290"/>
      <c r="D1233" s="1291" t="s">
        <v>4869</v>
      </c>
      <c r="E1233" s="1592"/>
      <c r="F1233" s="409"/>
      <c r="G1233" s="1377"/>
      <c r="H1233" s="385"/>
      <c r="I1233" s="385" t="s">
        <v>3928</v>
      </c>
      <c r="J1233" s="1711"/>
      <c r="K1233" s="1779"/>
      <c r="L1233" s="1779"/>
      <c r="M1233" s="1779"/>
      <c r="N1233" s="1779"/>
      <c r="O1233" s="2"/>
    </row>
    <row r="1234" spans="1:15" x14ac:dyDescent="0.3">
      <c r="A1234" s="3625"/>
      <c r="B1234" s="775"/>
      <c r="C1234" s="810"/>
      <c r="D1234" s="729" t="s">
        <v>4870</v>
      </c>
      <c r="E1234" s="1550"/>
      <c r="F1234" s="409"/>
      <c r="G1234" s="1551"/>
      <c r="H1234" s="1371"/>
      <c r="I1234" s="385" t="s">
        <v>3925</v>
      </c>
      <c r="J1234" s="23"/>
      <c r="K1234" s="1779"/>
      <c r="L1234" s="1779"/>
      <c r="M1234" s="1779"/>
      <c r="N1234" s="1779"/>
      <c r="O1234" s="2"/>
    </row>
    <row r="1235" spans="1:15" x14ac:dyDescent="0.3">
      <c r="A1235" s="3625"/>
      <c r="B1235" s="1449">
        <v>11965</v>
      </c>
      <c r="C1235" s="322">
        <v>0.1</v>
      </c>
      <c r="D1235" s="1185" t="s">
        <v>4871</v>
      </c>
      <c r="E1235" s="1347">
        <v>1200000</v>
      </c>
      <c r="F1235" s="310">
        <v>0.05</v>
      </c>
      <c r="G1235" s="1450">
        <f>E1235*F1235</f>
        <v>60000</v>
      </c>
      <c r="H1235" s="587" t="s">
        <v>4872</v>
      </c>
      <c r="I1235" s="587" t="s">
        <v>3925</v>
      </c>
      <c r="J1235" s="118"/>
      <c r="K1235" s="1779"/>
      <c r="L1235" s="1779"/>
      <c r="M1235" s="1779"/>
      <c r="N1235" s="1779"/>
      <c r="O1235" s="2"/>
    </row>
    <row r="1236" spans="1:15" x14ac:dyDescent="0.3">
      <c r="A1236" s="3625"/>
      <c r="B1236" s="863">
        <v>11978</v>
      </c>
      <c r="C1236" s="1451">
        <v>0.1</v>
      </c>
      <c r="D1236" s="590" t="s">
        <v>4873</v>
      </c>
      <c r="E1236" s="1508">
        <v>1150000</v>
      </c>
      <c r="F1236" s="310">
        <v>0.1</v>
      </c>
      <c r="G1236" s="1450">
        <f t="shared" ref="G1236:G1239" si="61">E1236*F1236</f>
        <v>115000</v>
      </c>
      <c r="H1236" s="587" t="s">
        <v>2037</v>
      </c>
      <c r="I1236" s="587" t="s">
        <v>3925</v>
      </c>
      <c r="J1236" s="118"/>
      <c r="K1236" s="1779"/>
      <c r="L1236" s="1779"/>
      <c r="M1236" s="1779"/>
      <c r="N1236" s="1779"/>
      <c r="O1236" s="2"/>
    </row>
    <row r="1237" spans="1:15" x14ac:dyDescent="0.3">
      <c r="A1237" s="3625"/>
      <c r="B1237" s="1568">
        <v>11985</v>
      </c>
      <c r="C1237" s="1328">
        <v>0.1</v>
      </c>
      <c r="D1237" s="439" t="s">
        <v>4874</v>
      </c>
      <c r="E1237" s="1509">
        <v>870000</v>
      </c>
      <c r="F1237" s="310">
        <v>0.06</v>
      </c>
      <c r="G1237" s="1450">
        <f t="shared" si="61"/>
        <v>52200</v>
      </c>
      <c r="H1237" s="1253" t="s">
        <v>732</v>
      </c>
      <c r="I1237" s="587" t="s">
        <v>3928</v>
      </c>
      <c r="J1237" s="118"/>
      <c r="K1237" s="1779"/>
      <c r="L1237" s="1779"/>
      <c r="M1237" s="1779"/>
      <c r="N1237" s="1779"/>
      <c r="O1237" s="2"/>
    </row>
    <row r="1238" spans="1:15" x14ac:dyDescent="0.3">
      <c r="A1238" s="3625"/>
      <c r="B1238" s="863">
        <v>11997</v>
      </c>
      <c r="C1238" s="1328">
        <v>0.1</v>
      </c>
      <c r="D1238" s="526" t="s">
        <v>4875</v>
      </c>
      <c r="E1238" s="1509">
        <v>1000000</v>
      </c>
      <c r="F1238" s="310">
        <v>0.1</v>
      </c>
      <c r="G1238" s="1450">
        <f t="shared" si="61"/>
        <v>100000</v>
      </c>
      <c r="H1238" s="1253" t="s">
        <v>2037</v>
      </c>
      <c r="I1238" s="587" t="s">
        <v>3928</v>
      </c>
      <c r="J1238" s="1711"/>
      <c r="K1238" s="1779"/>
      <c r="L1238" s="1779"/>
      <c r="M1238" s="1779"/>
      <c r="N1238" s="1779"/>
      <c r="O1238" s="51"/>
    </row>
    <row r="1239" spans="1:15" s="511" customFormat="1" x14ac:dyDescent="0.3">
      <c r="A1239" s="3625"/>
      <c r="B1239" s="1607">
        <v>12156</v>
      </c>
      <c r="C1239" s="1328">
        <v>0.1</v>
      </c>
      <c r="D1239" s="1256" t="s">
        <v>4876</v>
      </c>
      <c r="E1239" s="1508">
        <v>1050000</v>
      </c>
      <c r="F1239" s="310">
        <v>0.1</v>
      </c>
      <c r="G1239" s="1450">
        <f t="shared" si="61"/>
        <v>105000</v>
      </c>
      <c r="H1239" s="587" t="s">
        <v>2037</v>
      </c>
      <c r="I1239" s="587" t="s">
        <v>3928</v>
      </c>
      <c r="J1239" s="1711"/>
      <c r="K1239" s="1779"/>
      <c r="L1239" s="1779"/>
      <c r="M1239" s="1779"/>
      <c r="N1239" s="1779"/>
      <c r="O1239" s="51"/>
    </row>
    <row r="1240" spans="1:15" ht="15" customHeight="1" x14ac:dyDescent="0.3">
      <c r="A1240" s="3625"/>
      <c r="B1240" s="307"/>
      <c r="C1240" s="1391"/>
      <c r="D1240" s="1201"/>
      <c r="E1240" s="1628"/>
      <c r="F1240" s="320"/>
      <c r="G1240" s="298"/>
      <c r="H1240" s="307"/>
      <c r="I1240" s="307"/>
      <c r="J1240" s="1711"/>
      <c r="K1240" s="1780"/>
      <c r="L1240" s="1780"/>
      <c r="M1240" s="1780"/>
      <c r="N1240" s="1780"/>
      <c r="O1240" s="294"/>
    </row>
    <row r="1241" spans="1:15" ht="15" customHeight="1" x14ac:dyDescent="0.3">
      <c r="A1241" s="3625"/>
      <c r="B1241" s="514"/>
      <c r="C1241" s="918"/>
      <c r="D1241" s="1116" t="s">
        <v>3000</v>
      </c>
      <c r="E1241" s="1631">
        <f>SUM(E1235:E1239)</f>
        <v>5270000</v>
      </c>
      <c r="F1241" s="514"/>
      <c r="G1241" s="483">
        <f>SUM(G1235:G1239)</f>
        <v>432200</v>
      </c>
      <c r="H1241" s="514"/>
      <c r="I1241" s="514"/>
      <c r="J1241" s="856"/>
      <c r="K1241" s="287"/>
      <c r="L1241" s="3590" t="s">
        <v>3026</v>
      </c>
      <c r="M1241" s="3590"/>
      <c r="N1241" s="3590"/>
      <c r="O1241" s="848">
        <f>O1232</f>
        <v>47500</v>
      </c>
    </row>
    <row r="1242" spans="1:15" ht="15" customHeight="1" x14ac:dyDescent="0.3">
      <c r="A1242" s="3625"/>
      <c r="B1242" s="1392"/>
      <c r="C1242" s="840"/>
      <c r="D1242" s="1182" t="s">
        <v>3002</v>
      </c>
      <c r="E1242" s="841">
        <f>G1241+O1241</f>
        <v>479700</v>
      </c>
      <c r="F1242" s="840"/>
      <c r="G1242" s="842"/>
      <c r="H1242" s="840"/>
      <c r="I1242" s="840"/>
      <c r="J1242" s="857"/>
      <c r="K1242" s="287"/>
      <c r="L1242" s="968"/>
      <c r="M1242" s="968"/>
      <c r="N1242" s="968"/>
      <c r="O1242" s="294"/>
    </row>
    <row r="1243" spans="1:15" ht="15.6" x14ac:dyDescent="0.3">
      <c r="A1243" s="2267"/>
      <c r="B1243" s="825"/>
      <c r="C1243" s="825"/>
      <c r="D1243" s="1172"/>
      <c r="E1243" s="827"/>
      <c r="F1243" s="825"/>
      <c r="G1243" s="828"/>
      <c r="H1243" s="825"/>
      <c r="I1243" s="825"/>
      <c r="J1243" s="826"/>
      <c r="K1243" s="829"/>
      <c r="L1243" s="830"/>
      <c r="M1243" s="830"/>
      <c r="N1243" s="830"/>
      <c r="O1243" s="831"/>
    </row>
    <row r="1244" spans="1:15" ht="15.6" x14ac:dyDescent="0.3">
      <c r="A1244" s="2267"/>
      <c r="B1244" s="825"/>
      <c r="C1244" s="825"/>
      <c r="D1244" s="1172"/>
      <c r="E1244" s="827"/>
      <c r="F1244" s="825"/>
      <c r="G1244" s="828"/>
      <c r="H1244" s="825"/>
      <c r="I1244" s="825"/>
      <c r="J1244" s="826"/>
      <c r="K1244" s="829"/>
      <c r="L1244" s="830"/>
      <c r="M1244" s="830"/>
      <c r="N1244" s="830"/>
      <c r="O1244" s="831"/>
    </row>
    <row r="1245" spans="1:15" x14ac:dyDescent="0.3">
      <c r="A1245" s="90"/>
      <c r="E1245" s="91"/>
      <c r="G1245" s="92"/>
      <c r="H1245" s="1028"/>
    </row>
    <row r="1246" spans="1:15" x14ac:dyDescent="0.3">
      <c r="A1246" s="3810" t="s">
        <v>4877</v>
      </c>
      <c r="B1246" s="3810"/>
      <c r="C1246" s="3810"/>
      <c r="D1246" s="3810"/>
      <c r="E1246" s="3810"/>
      <c r="F1246" s="3810"/>
      <c r="G1246" s="3810"/>
      <c r="H1246" s="3810"/>
    </row>
    <row r="1247" spans="1:15" x14ac:dyDescent="0.3">
      <c r="A1247" s="3810"/>
      <c r="B1247" s="3810"/>
      <c r="C1247" s="3810"/>
      <c r="D1247" s="3810"/>
      <c r="E1247" s="3810"/>
      <c r="F1247" s="3810"/>
      <c r="G1247" s="3810"/>
      <c r="H1247" s="3810"/>
      <c r="J1247" s="511"/>
      <c r="K1247" s="511"/>
      <c r="L1247" s="511"/>
      <c r="M1247" s="511"/>
      <c r="N1247" s="511"/>
      <c r="O1247" s="511"/>
    </row>
    <row r="1248" spans="1:15" ht="20.399999999999999" x14ac:dyDescent="0.3">
      <c r="A1248" s="271" t="s">
        <v>3751</v>
      </c>
      <c r="B1248" s="860" t="s">
        <v>2976</v>
      </c>
      <c r="C1248" s="176" t="s">
        <v>3752</v>
      </c>
      <c r="D1248" s="1127" t="s">
        <v>3753</v>
      </c>
      <c r="E1248" s="405" t="s">
        <v>3754</v>
      </c>
      <c r="F1248" s="1658" t="s">
        <v>2979</v>
      </c>
      <c r="G1248" s="657" t="s">
        <v>2985</v>
      </c>
      <c r="H1248" s="94" t="s">
        <v>4123</v>
      </c>
      <c r="I1248" s="2"/>
      <c r="J1248" s="511"/>
      <c r="K1248" s="511"/>
      <c r="L1248" s="511"/>
      <c r="M1248" s="511"/>
      <c r="N1248" s="511"/>
      <c r="O1248" s="511"/>
    </row>
    <row r="1249" spans="1:15" ht="27" x14ac:dyDescent="0.3">
      <c r="A1249" s="892"/>
      <c r="B1249" s="344"/>
      <c r="C1249" s="729" t="s">
        <v>4878</v>
      </c>
      <c r="D1249" s="1683" t="s">
        <v>4879</v>
      </c>
      <c r="E1249" s="1650"/>
      <c r="F1249" s="1231"/>
      <c r="G1249" s="600"/>
      <c r="H1249" s="385" t="s">
        <v>582</v>
      </c>
      <c r="I1249" s="1645"/>
      <c r="J1249" s="511"/>
      <c r="K1249" s="511"/>
      <c r="L1249" s="511"/>
      <c r="M1249" s="511"/>
      <c r="N1249" s="511"/>
      <c r="O1249" s="511"/>
    </row>
    <row r="1250" spans="1:15" ht="27" x14ac:dyDescent="0.3">
      <c r="A1250" s="892"/>
      <c r="B1250" s="1482"/>
      <c r="C1250" s="729" t="s">
        <v>4880</v>
      </c>
      <c r="D1250" s="1203" t="s">
        <v>4881</v>
      </c>
      <c r="E1250" s="1676"/>
      <c r="F1250" s="1231"/>
      <c r="G1250" s="600"/>
      <c r="H1250" s="385" t="s">
        <v>748</v>
      </c>
      <c r="I1250" s="1645"/>
      <c r="J1250" s="511"/>
      <c r="K1250" s="511"/>
      <c r="L1250" s="511"/>
      <c r="M1250" s="511"/>
      <c r="N1250" s="511"/>
      <c r="O1250" s="511"/>
    </row>
    <row r="1251" spans="1:15" ht="27" x14ac:dyDescent="0.3">
      <c r="A1251" s="361"/>
      <c r="B1251" s="344"/>
      <c r="C1251" s="729" t="s">
        <v>4882</v>
      </c>
      <c r="D1251" s="1480" t="s">
        <v>4883</v>
      </c>
      <c r="E1251" s="1650"/>
      <c r="F1251" s="1231"/>
      <c r="G1251" s="600"/>
      <c r="H1251" s="385" t="s">
        <v>582</v>
      </c>
      <c r="I1251" s="1645"/>
      <c r="J1251" s="511"/>
      <c r="K1251" s="511"/>
      <c r="L1251" s="511"/>
      <c r="M1251" s="511"/>
      <c r="N1251" s="511"/>
      <c r="O1251" s="511"/>
    </row>
    <row r="1252" spans="1:15" x14ac:dyDescent="0.3">
      <c r="A1252" s="892"/>
      <c r="B1252" s="720"/>
      <c r="C1252" s="1291" t="s">
        <v>4884</v>
      </c>
      <c r="D1252" s="1203" t="s">
        <v>4186</v>
      </c>
      <c r="E1252" s="1230"/>
      <c r="F1252" s="1231"/>
      <c r="G1252" s="600"/>
      <c r="H1252" s="385" t="s">
        <v>527</v>
      </c>
      <c r="I1252" s="1578"/>
      <c r="J1252" s="511"/>
      <c r="K1252" s="511"/>
      <c r="L1252" s="511"/>
      <c r="M1252" s="511"/>
      <c r="N1252" s="511"/>
      <c r="O1252" s="511"/>
    </row>
    <row r="1253" spans="1:15" x14ac:dyDescent="0.3">
      <c r="A1253" s="892"/>
      <c r="B1253" s="1482"/>
      <c r="C1253" s="729" t="s">
        <v>4885</v>
      </c>
      <c r="D1253" s="1203" t="s">
        <v>4886</v>
      </c>
      <c r="E1253" s="1230"/>
      <c r="F1253" s="1231"/>
      <c r="G1253" s="600"/>
      <c r="H1253" s="385" t="s">
        <v>523</v>
      </c>
      <c r="I1253" s="2"/>
      <c r="J1253" s="511"/>
      <c r="K1253" s="511"/>
      <c r="L1253" s="511"/>
      <c r="M1253" s="511"/>
      <c r="N1253" s="511"/>
      <c r="O1253" s="511"/>
    </row>
    <row r="1254" spans="1:15" x14ac:dyDescent="0.3">
      <c r="A1254" s="892"/>
      <c r="B1254" s="344"/>
      <c r="C1254" s="1289" t="s">
        <v>4887</v>
      </c>
      <c r="D1254" s="1289" t="s">
        <v>4888</v>
      </c>
      <c r="E1254" s="1596"/>
      <c r="F1254" s="409"/>
      <c r="G1254" s="1597"/>
      <c r="H1254" s="1151" t="s">
        <v>582</v>
      </c>
      <c r="I1254" s="2"/>
      <c r="J1254" s="511"/>
      <c r="K1254" s="511"/>
      <c r="L1254" s="511"/>
      <c r="M1254" s="511"/>
      <c r="N1254" s="511"/>
      <c r="O1254" s="511"/>
    </row>
    <row r="1255" spans="1:15" ht="27" x14ac:dyDescent="0.3">
      <c r="A1255" s="892"/>
      <c r="B1255" s="1482"/>
      <c r="C1255" s="729" t="s">
        <v>4889</v>
      </c>
      <c r="D1255" s="1590" t="s">
        <v>4890</v>
      </c>
      <c r="E1255" s="1230"/>
      <c r="F1255" s="1231"/>
      <c r="G1255" s="600"/>
      <c r="H1255" s="385" t="s">
        <v>2037</v>
      </c>
      <c r="I1255" s="2"/>
      <c r="J1255" s="511"/>
      <c r="K1255" s="511"/>
      <c r="L1255" s="511"/>
      <c r="M1255" s="511"/>
      <c r="N1255" s="511"/>
      <c r="O1255" s="511"/>
    </row>
    <row r="1256" spans="1:15" x14ac:dyDescent="0.3">
      <c r="A1256" s="892"/>
      <c r="B1256" s="344"/>
      <c r="C1256" s="729" t="s">
        <v>4891</v>
      </c>
      <c r="D1256" s="1560" t="s">
        <v>4892</v>
      </c>
      <c r="E1256" s="1296"/>
      <c r="F1256" s="386"/>
      <c r="G1256" s="355"/>
      <c r="H1256" s="385" t="s">
        <v>2008</v>
      </c>
      <c r="I1256" s="1552"/>
      <c r="J1256" s="511"/>
      <c r="K1256" s="511"/>
      <c r="L1256" s="511"/>
      <c r="M1256" s="511"/>
      <c r="N1256" s="511"/>
      <c r="O1256" s="511"/>
    </row>
    <row r="1257" spans="1:15" x14ac:dyDescent="0.3">
      <c r="A1257" s="892"/>
      <c r="B1257" s="344"/>
      <c r="C1257" s="729" t="s">
        <v>4785</v>
      </c>
      <c r="D1257" s="1203" t="s">
        <v>4893</v>
      </c>
      <c r="E1257" s="1230"/>
      <c r="F1257" s="409"/>
      <c r="G1257" s="600"/>
      <c r="H1257" s="385" t="s">
        <v>1138</v>
      </c>
      <c r="I1257" s="970"/>
      <c r="J1257" s="511"/>
      <c r="K1257" s="511"/>
      <c r="L1257" s="511"/>
      <c r="M1257" s="511"/>
      <c r="N1257" s="511"/>
      <c r="O1257" s="511"/>
    </row>
    <row r="1258" spans="1:15" x14ac:dyDescent="0.3">
      <c r="A1258" s="892"/>
      <c r="B1258" s="1563"/>
      <c r="C1258" s="1564" t="s">
        <v>4894</v>
      </c>
      <c r="D1258" s="1371" t="s">
        <v>4888</v>
      </c>
      <c r="E1258" s="1288"/>
      <c r="F1258" s="387"/>
      <c r="G1258" s="606"/>
      <c r="H1258" s="417" t="s">
        <v>523</v>
      </c>
      <c r="I1258" s="970"/>
      <c r="J1258" s="511"/>
      <c r="K1258" s="511"/>
      <c r="L1258" s="511"/>
      <c r="M1258" s="511"/>
      <c r="N1258" s="511"/>
      <c r="O1258" s="511"/>
    </row>
    <row r="1259" spans="1:15" x14ac:dyDescent="0.3">
      <c r="A1259" s="892"/>
      <c r="B1259" s="344"/>
      <c r="C1259" s="1289" t="s">
        <v>4895</v>
      </c>
      <c r="D1259" s="1203" t="s">
        <v>4896</v>
      </c>
      <c r="E1259" s="1288"/>
      <c r="F1259" s="358"/>
      <c r="G1259" s="412"/>
      <c r="H1259" s="417" t="s">
        <v>748</v>
      </c>
      <c r="I1259" s="1058"/>
      <c r="J1259" s="511"/>
      <c r="K1259" s="511"/>
      <c r="L1259" s="511"/>
      <c r="M1259" s="511"/>
      <c r="N1259" s="511"/>
      <c r="O1259" s="511"/>
    </row>
    <row r="1260" spans="1:15" x14ac:dyDescent="0.3">
      <c r="A1260" s="892"/>
      <c r="B1260" s="1477"/>
      <c r="C1260" s="1289" t="s">
        <v>4897</v>
      </c>
      <c r="D1260" s="417" t="s">
        <v>4898</v>
      </c>
      <c r="E1260" s="1288"/>
      <c r="F1260" s="358"/>
      <c r="G1260" s="1574"/>
      <c r="H1260" s="417" t="s">
        <v>527</v>
      </c>
      <c r="I1260" s="1176"/>
      <c r="J1260" s="511"/>
      <c r="K1260" s="511"/>
      <c r="L1260" s="511"/>
      <c r="M1260" s="511"/>
      <c r="N1260" s="511"/>
      <c r="O1260" s="511"/>
    </row>
    <row r="1261" spans="1:15" x14ac:dyDescent="0.3">
      <c r="A1261" s="892"/>
      <c r="B1261" s="344"/>
      <c r="C1261" s="1289" t="s">
        <v>4899</v>
      </c>
      <c r="D1261" s="417" t="s">
        <v>4900</v>
      </c>
      <c r="E1261" s="1583"/>
      <c r="F1261" s="1413"/>
      <c r="G1261" s="412"/>
      <c r="H1261" s="417" t="s">
        <v>527</v>
      </c>
      <c r="I1261" s="1176"/>
      <c r="J1261" s="511"/>
      <c r="K1261" s="511"/>
      <c r="L1261" s="511"/>
      <c r="M1261" s="511"/>
      <c r="N1261" s="511"/>
      <c r="O1261" s="511"/>
    </row>
    <row r="1262" spans="1:15" x14ac:dyDescent="0.3">
      <c r="A1262" s="170">
        <v>11985</v>
      </c>
      <c r="B1262" s="281">
        <v>0.1</v>
      </c>
      <c r="C1262" s="1474" t="s">
        <v>4901</v>
      </c>
      <c r="D1262" s="1056" t="s">
        <v>4902</v>
      </c>
      <c r="E1262" s="1511">
        <v>870000</v>
      </c>
      <c r="F1262" s="1718">
        <v>0.02</v>
      </c>
      <c r="G1262" s="1704">
        <f>E1262*F1262</f>
        <v>17400</v>
      </c>
      <c r="H1262" s="590" t="s">
        <v>2037</v>
      </c>
      <c r="I1262" s="1132" t="s">
        <v>4122</v>
      </c>
      <c r="J1262" s="511"/>
      <c r="K1262" s="511"/>
      <c r="L1262" s="511"/>
      <c r="M1262" s="511"/>
      <c r="N1262" s="511"/>
      <c r="O1262" s="511"/>
    </row>
    <row r="1263" spans="1:15" x14ac:dyDescent="0.3">
      <c r="A1263" s="170">
        <v>11995</v>
      </c>
      <c r="B1263" s="749">
        <v>0.1</v>
      </c>
      <c r="C1263" s="1109" t="s">
        <v>4903</v>
      </c>
      <c r="D1263" s="1253" t="s">
        <v>4109</v>
      </c>
      <c r="E1263" s="1340">
        <v>1500000</v>
      </c>
      <c r="F1263" s="281">
        <v>0.06</v>
      </c>
      <c r="G1263" s="1704">
        <f t="shared" ref="G1263:G1276" si="62">E1263*F1263</f>
        <v>90000</v>
      </c>
      <c r="H1263" s="1054" t="s">
        <v>523</v>
      </c>
      <c r="I1263" s="1132" t="s">
        <v>4122</v>
      </c>
      <c r="J1263" s="511"/>
      <c r="K1263" s="511"/>
      <c r="L1263" s="511"/>
      <c r="M1263" s="511"/>
      <c r="N1263" s="511"/>
      <c r="O1263" s="511"/>
    </row>
    <row r="1264" spans="1:15" x14ac:dyDescent="0.3">
      <c r="A1264" s="562">
        <v>11997</v>
      </c>
      <c r="B1264" s="281">
        <v>0.1</v>
      </c>
      <c r="C1264" s="1701" t="s">
        <v>4904</v>
      </c>
      <c r="D1264" s="1700" t="s">
        <v>3787</v>
      </c>
      <c r="E1264" s="1337">
        <v>1000000</v>
      </c>
      <c r="F1264" s="281">
        <v>0.06</v>
      </c>
      <c r="G1264" s="1704">
        <f t="shared" si="62"/>
        <v>60000</v>
      </c>
      <c r="H1264" s="798" t="s">
        <v>2037</v>
      </c>
      <c r="I1264" s="969" t="s">
        <v>3503</v>
      </c>
      <c r="J1264" s="511"/>
      <c r="K1264" s="511"/>
      <c r="L1264" s="511"/>
      <c r="M1264" s="511"/>
      <c r="N1264" s="511"/>
      <c r="O1264" s="511"/>
    </row>
    <row r="1265" spans="1:15" x14ac:dyDescent="0.3">
      <c r="A1265" s="562">
        <v>12036</v>
      </c>
      <c r="B1265" s="421">
        <v>0.1</v>
      </c>
      <c r="C1265" s="1702" t="s">
        <v>4905</v>
      </c>
      <c r="D1265" s="590" t="s">
        <v>4109</v>
      </c>
      <c r="E1265" s="1347">
        <v>1150000</v>
      </c>
      <c r="F1265" s="281">
        <v>0.06</v>
      </c>
      <c r="G1265" s="1704">
        <f t="shared" si="62"/>
        <v>69000</v>
      </c>
      <c r="H1265" s="1133" t="s">
        <v>2008</v>
      </c>
      <c r="I1265" s="997" t="s">
        <v>4122</v>
      </c>
      <c r="J1265" s="511"/>
      <c r="K1265" s="511"/>
      <c r="L1265" s="511"/>
      <c r="M1265" s="511"/>
      <c r="N1265" s="511"/>
      <c r="O1265" s="511"/>
    </row>
    <row r="1266" spans="1:15" x14ac:dyDescent="0.3">
      <c r="A1266" s="562">
        <v>12037</v>
      </c>
      <c r="B1266" s="421">
        <v>0.1</v>
      </c>
      <c r="C1266" s="1558" t="s">
        <v>4906</v>
      </c>
      <c r="D1266" s="590" t="s">
        <v>4109</v>
      </c>
      <c r="E1266" s="1347">
        <v>1100000</v>
      </c>
      <c r="F1266" s="281">
        <v>0.06</v>
      </c>
      <c r="G1266" s="1704">
        <f t="shared" si="62"/>
        <v>66000</v>
      </c>
      <c r="H1266" s="1285" t="s">
        <v>582</v>
      </c>
      <c r="I1266" s="1285" t="s">
        <v>4122</v>
      </c>
      <c r="J1266" s="511"/>
      <c r="K1266" s="511"/>
      <c r="L1266" s="511"/>
      <c r="M1266" s="511"/>
      <c r="N1266" s="511"/>
      <c r="O1266" s="511"/>
    </row>
    <row r="1267" spans="1:15" x14ac:dyDescent="0.3">
      <c r="A1267" s="562">
        <v>12074</v>
      </c>
      <c r="B1267" s="281">
        <v>0.1</v>
      </c>
      <c r="C1267" s="998" t="s">
        <v>4907</v>
      </c>
      <c r="D1267" s="590" t="s">
        <v>4109</v>
      </c>
      <c r="E1267" s="1340">
        <v>1100000</v>
      </c>
      <c r="F1267" s="281">
        <v>0.06</v>
      </c>
      <c r="G1267" s="1704">
        <f t="shared" si="62"/>
        <v>66000</v>
      </c>
      <c r="H1267" s="1054" t="s">
        <v>527</v>
      </c>
      <c r="I1267" s="1285" t="s">
        <v>4122</v>
      </c>
      <c r="J1267" s="511"/>
      <c r="K1267" s="511"/>
      <c r="L1267" s="511"/>
      <c r="M1267" s="511"/>
      <c r="N1267" s="511"/>
      <c r="O1267" s="511"/>
    </row>
    <row r="1268" spans="1:15" x14ac:dyDescent="0.3">
      <c r="A1268" s="562">
        <v>12089</v>
      </c>
      <c r="B1268" s="281">
        <v>0.1</v>
      </c>
      <c r="C1268" s="998" t="s">
        <v>4908</v>
      </c>
      <c r="D1268" s="590" t="s">
        <v>4109</v>
      </c>
      <c r="E1268" s="1347">
        <v>900000</v>
      </c>
      <c r="F1268" s="281">
        <v>0.06</v>
      </c>
      <c r="G1268" s="1704">
        <f t="shared" si="62"/>
        <v>54000</v>
      </c>
      <c r="H1268" s="1131" t="s">
        <v>527</v>
      </c>
      <c r="I1268" s="1615" t="s">
        <v>4122</v>
      </c>
      <c r="J1268" s="511"/>
      <c r="K1268" s="511"/>
      <c r="L1268" s="511"/>
      <c r="M1268" s="511"/>
      <c r="N1268" s="511"/>
      <c r="O1268" s="511"/>
    </row>
    <row r="1269" spans="1:15" x14ac:dyDescent="0.3">
      <c r="A1269" s="562">
        <v>12123</v>
      </c>
      <c r="B1269" s="281">
        <v>0.1</v>
      </c>
      <c r="C1269" s="1702" t="s">
        <v>4909</v>
      </c>
      <c r="D1269" s="590" t="s">
        <v>4109</v>
      </c>
      <c r="E1269" s="1340">
        <v>1400000</v>
      </c>
      <c r="F1269" s="281">
        <v>0.06</v>
      </c>
      <c r="G1269" s="1704">
        <f t="shared" si="62"/>
        <v>84000</v>
      </c>
      <c r="H1269" s="1054" t="s">
        <v>523</v>
      </c>
      <c r="I1269" s="1615" t="s">
        <v>4122</v>
      </c>
      <c r="J1269" s="511"/>
      <c r="K1269" s="511"/>
      <c r="L1269" s="511"/>
      <c r="M1269" s="511"/>
      <c r="N1269" s="511"/>
      <c r="O1269" s="511"/>
    </row>
    <row r="1270" spans="1:15" x14ac:dyDescent="0.3">
      <c r="A1270" s="562">
        <v>12113</v>
      </c>
      <c r="B1270" s="281">
        <v>0.1</v>
      </c>
      <c r="C1270" s="1662" t="s">
        <v>4910</v>
      </c>
      <c r="D1270" s="590" t="s">
        <v>4109</v>
      </c>
      <c r="E1270" s="1713">
        <v>1730000</v>
      </c>
      <c r="F1270" s="313">
        <v>0.06</v>
      </c>
      <c r="G1270" s="1704">
        <f t="shared" si="62"/>
        <v>103800</v>
      </c>
      <c r="H1270" s="798" t="s">
        <v>527</v>
      </c>
      <c r="I1270" s="798" t="s">
        <v>4122</v>
      </c>
      <c r="J1270" s="511"/>
      <c r="K1270" s="511"/>
      <c r="L1270" s="511"/>
      <c r="M1270" s="511"/>
      <c r="N1270" s="511"/>
      <c r="O1270" s="511"/>
    </row>
    <row r="1271" spans="1:15" x14ac:dyDescent="0.3">
      <c r="A1271" s="562">
        <v>12112</v>
      </c>
      <c r="B1271" s="1616">
        <v>0.1</v>
      </c>
      <c r="C1271" s="1703" t="s">
        <v>4911</v>
      </c>
      <c r="D1271" s="1109" t="s">
        <v>4109</v>
      </c>
      <c r="E1271" s="1347">
        <v>730000</v>
      </c>
      <c r="F1271" s="281">
        <v>0.06</v>
      </c>
      <c r="G1271" s="413">
        <f t="shared" si="62"/>
        <v>43800</v>
      </c>
      <c r="H1271" s="587" t="s">
        <v>748</v>
      </c>
      <c r="I1271" s="1615" t="s">
        <v>4122</v>
      </c>
      <c r="J1271" s="511"/>
      <c r="K1271" s="511"/>
      <c r="L1271" s="511"/>
      <c r="M1271" s="511"/>
      <c r="N1271" s="511"/>
      <c r="O1271" s="511"/>
    </row>
    <row r="1272" spans="1:15" x14ac:dyDescent="0.3">
      <c r="A1272" s="562">
        <v>12127</v>
      </c>
      <c r="B1272" s="281">
        <v>0.1</v>
      </c>
      <c r="C1272" s="439" t="s">
        <v>4912</v>
      </c>
      <c r="D1272" s="1110" t="s">
        <v>4109</v>
      </c>
      <c r="E1272" s="1347">
        <v>1200000</v>
      </c>
      <c r="F1272" s="281">
        <v>0.06</v>
      </c>
      <c r="G1272" s="413">
        <f t="shared" si="62"/>
        <v>72000</v>
      </c>
      <c r="H1272" s="587" t="s">
        <v>748</v>
      </c>
      <c r="I1272" s="798" t="s">
        <v>4122</v>
      </c>
      <c r="J1272" s="511"/>
      <c r="K1272" s="511"/>
      <c r="L1272" s="511"/>
      <c r="M1272" s="511"/>
      <c r="N1272" s="511"/>
      <c r="O1272" s="511"/>
    </row>
    <row r="1273" spans="1:15" x14ac:dyDescent="0.3">
      <c r="A1273" s="562">
        <v>12151</v>
      </c>
      <c r="B1273" s="981">
        <v>0.1</v>
      </c>
      <c r="C1273" s="1474" t="s">
        <v>4913</v>
      </c>
      <c r="D1273" s="1115" t="s">
        <v>3787</v>
      </c>
      <c r="E1273" s="1340">
        <v>1400000</v>
      </c>
      <c r="F1273" s="281">
        <v>0.06</v>
      </c>
      <c r="G1273" s="413">
        <f t="shared" si="62"/>
        <v>84000</v>
      </c>
      <c r="H1273" s="590" t="s">
        <v>4744</v>
      </c>
      <c r="I1273" s="1131" t="s">
        <v>4122</v>
      </c>
      <c r="J1273" s="511"/>
      <c r="K1273" s="511"/>
      <c r="L1273" s="511"/>
      <c r="M1273" s="511"/>
      <c r="N1273" s="511"/>
      <c r="O1273" s="511"/>
    </row>
    <row r="1274" spans="1:15" x14ac:dyDescent="0.3">
      <c r="A1274" s="562">
        <v>12155</v>
      </c>
      <c r="B1274" s="981">
        <v>0.1</v>
      </c>
      <c r="C1274" s="439" t="s">
        <v>4914</v>
      </c>
      <c r="D1274" s="1109" t="s">
        <v>3787</v>
      </c>
      <c r="E1274" s="1347">
        <v>1250000</v>
      </c>
      <c r="F1274" s="281">
        <v>0.06</v>
      </c>
      <c r="G1274" s="413">
        <f t="shared" si="62"/>
        <v>75000</v>
      </c>
      <c r="H1274" s="587" t="s">
        <v>523</v>
      </c>
      <c r="I1274" s="798" t="s">
        <v>4122</v>
      </c>
      <c r="J1274" s="511"/>
      <c r="K1274" s="511"/>
      <c r="L1274" s="511"/>
      <c r="M1274" s="511"/>
      <c r="N1274" s="511"/>
      <c r="O1274" s="511"/>
    </row>
    <row r="1275" spans="1:15" x14ac:dyDescent="0.3">
      <c r="A1275" s="562">
        <v>12154</v>
      </c>
      <c r="B1275" s="981">
        <v>0.1</v>
      </c>
      <c r="C1275" s="912" t="s">
        <v>4915</v>
      </c>
      <c r="D1275" s="1109" t="s">
        <v>3787</v>
      </c>
      <c r="E1275" s="1347">
        <v>1250000</v>
      </c>
      <c r="F1275" s="281">
        <v>0.06</v>
      </c>
      <c r="G1275" s="413">
        <f t="shared" si="62"/>
        <v>75000</v>
      </c>
      <c r="H1275" s="587" t="s">
        <v>748</v>
      </c>
      <c r="I1275" s="798" t="s">
        <v>4122</v>
      </c>
      <c r="J1275" s="511"/>
      <c r="K1275" s="511"/>
      <c r="L1275" s="511"/>
      <c r="M1275" s="511"/>
      <c r="N1275" s="511"/>
      <c r="O1275" s="511"/>
    </row>
    <row r="1276" spans="1:15" x14ac:dyDescent="0.3">
      <c r="A1276" s="562">
        <v>12156</v>
      </c>
      <c r="B1276" s="981">
        <v>0.1</v>
      </c>
      <c r="C1276" s="439" t="s">
        <v>4916</v>
      </c>
      <c r="D1276" s="1162" t="s">
        <v>4109</v>
      </c>
      <c r="E1276" s="1347">
        <v>1050000</v>
      </c>
      <c r="F1276" s="281">
        <v>0.06</v>
      </c>
      <c r="G1276" s="413">
        <f t="shared" si="62"/>
        <v>63000</v>
      </c>
      <c r="H1276" s="587" t="s">
        <v>2037</v>
      </c>
      <c r="I1276" s="1131" t="s">
        <v>4122</v>
      </c>
      <c r="J1276" s="511"/>
      <c r="K1276" s="511"/>
      <c r="L1276" s="511"/>
      <c r="M1276" s="511"/>
      <c r="N1276" s="511"/>
      <c r="O1276" s="511"/>
    </row>
    <row r="1277" spans="1:15" x14ac:dyDescent="0.3">
      <c r="A1277" s="1595">
        <v>12181</v>
      </c>
      <c r="B1277" s="1577">
        <v>0.1</v>
      </c>
      <c r="C1277" s="1239" t="s">
        <v>4917</v>
      </c>
      <c r="D1277" s="1582" t="s">
        <v>4918</v>
      </c>
      <c r="E1277" s="1630">
        <v>1250000</v>
      </c>
      <c r="F1277" s="1305">
        <v>0.06</v>
      </c>
      <c r="G1277" s="1714">
        <f>E1277*F1277</f>
        <v>75000</v>
      </c>
      <c r="H1277" s="1306" t="s">
        <v>527</v>
      </c>
      <c r="I1277" s="1598"/>
      <c r="J1277" s="511"/>
      <c r="K1277" s="511"/>
      <c r="L1277" s="511"/>
      <c r="M1277" s="511"/>
      <c r="N1277" s="511"/>
      <c r="O1277" s="511"/>
    </row>
    <row r="1278" spans="1:15" x14ac:dyDescent="0.3">
      <c r="A1278" s="562">
        <v>12176</v>
      </c>
      <c r="B1278" s="281">
        <v>0.1</v>
      </c>
      <c r="C1278" s="439" t="s">
        <v>4919</v>
      </c>
      <c r="D1278" s="1054" t="s">
        <v>4109</v>
      </c>
      <c r="E1278" s="1347">
        <v>1000000</v>
      </c>
      <c r="F1278" s="426">
        <v>0.06</v>
      </c>
      <c r="G1278" s="1704">
        <f>E1278*F1278</f>
        <v>60000</v>
      </c>
      <c r="H1278" s="587" t="s">
        <v>527</v>
      </c>
      <c r="I1278" s="1615" t="s">
        <v>4122</v>
      </c>
      <c r="J1278" s="511"/>
      <c r="K1278" s="511"/>
      <c r="L1278" s="511"/>
      <c r="M1278" s="511"/>
      <c r="N1278" s="511"/>
      <c r="O1278" s="511"/>
    </row>
    <row r="1279" spans="1:15" x14ac:dyDescent="0.3">
      <c r="A1279" s="1595">
        <v>12195</v>
      </c>
      <c r="B1279" s="1712">
        <v>0.1</v>
      </c>
      <c r="C1279" s="716" t="s">
        <v>4920</v>
      </c>
      <c r="D1279" s="1164" t="s">
        <v>4918</v>
      </c>
      <c r="E1279" s="1639">
        <v>1200000</v>
      </c>
      <c r="F1279" s="1720">
        <v>0.06</v>
      </c>
      <c r="G1279" s="494">
        <f>E1279*F1279</f>
        <v>72000</v>
      </c>
      <c r="H1279" s="970" t="s">
        <v>748</v>
      </c>
      <c r="I1279" s="970"/>
    </row>
    <row r="1280" spans="1:15" x14ac:dyDescent="0.3">
      <c r="A1280" s="2295"/>
      <c r="B1280" s="1435"/>
      <c r="C1280" s="1239"/>
      <c r="D1280" s="1582"/>
      <c r="E1280" s="1639"/>
      <c r="F1280" s="941"/>
      <c r="G1280" s="494"/>
      <c r="H1280" s="970"/>
      <c r="I1280" s="970"/>
    </row>
    <row r="1281" spans="1:15" x14ac:dyDescent="0.3">
      <c r="A1281" s="2271"/>
      <c r="B1281" s="1375"/>
      <c r="C1281" s="895"/>
      <c r="D1281" s="1582" t="s">
        <v>3758</v>
      </c>
      <c r="E1281" s="1640">
        <f>SUM(E1262:E1279)</f>
        <v>21080000</v>
      </c>
      <c r="F1281" s="942"/>
      <c r="G1281" s="414">
        <f>SUM(G1262:G1279)</f>
        <v>1230000</v>
      </c>
      <c r="H1281" s="1058"/>
      <c r="I1281" s="1195"/>
      <c r="J1281" s="511"/>
      <c r="K1281" s="511"/>
      <c r="L1281" s="511"/>
      <c r="M1281" s="511"/>
      <c r="N1281" s="511"/>
      <c r="O1281" s="511"/>
    </row>
    <row r="1282" spans="1:15" ht="18" x14ac:dyDescent="0.35">
      <c r="A1282" s="46"/>
      <c r="B1282" s="977"/>
      <c r="C1282" s="1021"/>
      <c r="D1282" s="398" t="s">
        <v>3764</v>
      </c>
      <c r="E1282" s="1717">
        <f>G1281</f>
        <v>1230000</v>
      </c>
      <c r="F1282" s="979"/>
      <c r="G1282" s="980"/>
      <c r="H1282" s="1050"/>
      <c r="I1282" s="1077"/>
    </row>
    <row r="1283" spans="1:15" x14ac:dyDescent="0.3">
      <c r="E1283" s="603"/>
    </row>
    <row r="1284" spans="1:15" x14ac:dyDescent="0.3">
      <c r="E1284" s="603"/>
    </row>
    <row r="1285" spans="1:15" x14ac:dyDescent="0.3">
      <c r="A1285" s="3810" t="s">
        <v>4921</v>
      </c>
      <c r="B1285" s="3810"/>
      <c r="C1285" s="3810"/>
      <c r="D1285" s="3810"/>
      <c r="E1285" s="3810"/>
      <c r="F1285" s="3810"/>
      <c r="G1285" s="3810"/>
      <c r="H1285" s="3810"/>
    </row>
    <row r="1286" spans="1:15" x14ac:dyDescent="0.3">
      <c r="A1286" s="3810"/>
      <c r="B1286" s="3810"/>
      <c r="C1286" s="3810"/>
      <c r="D1286" s="3810"/>
      <c r="E1286" s="3810"/>
      <c r="F1286" s="3810"/>
      <c r="G1286" s="3810"/>
      <c r="H1286" s="3810"/>
    </row>
    <row r="1287" spans="1:15" ht="20.399999999999999" x14ac:dyDescent="0.3">
      <c r="A1287" s="271" t="s">
        <v>3751</v>
      </c>
      <c r="B1287" s="860" t="s">
        <v>2976</v>
      </c>
      <c r="C1287" s="890" t="s">
        <v>3752</v>
      </c>
      <c r="D1287" s="1127" t="s">
        <v>3753</v>
      </c>
      <c r="E1287" s="862" t="s">
        <v>3754</v>
      </c>
      <c r="F1287" s="406" t="s">
        <v>2979</v>
      </c>
      <c r="G1287" s="407" t="s">
        <v>2985</v>
      </c>
      <c r="H1287" s="697" t="s">
        <v>4123</v>
      </c>
      <c r="I1287" s="268"/>
    </row>
    <row r="1288" spans="1:15" x14ac:dyDescent="0.3">
      <c r="A1288" s="892"/>
      <c r="B1288" s="1482"/>
      <c r="C1288" s="1708" t="s">
        <v>4922</v>
      </c>
      <c r="D1288" s="1445" t="s">
        <v>4923</v>
      </c>
      <c r="E1288" s="1677"/>
      <c r="F1288" s="409"/>
      <c r="G1288" s="600"/>
      <c r="H1288" s="385" t="s">
        <v>2037</v>
      </c>
      <c r="I1288" s="1335"/>
    </row>
    <row r="1289" spans="1:15" x14ac:dyDescent="0.3">
      <c r="A1289" s="892"/>
      <c r="B1289" s="1482"/>
      <c r="C1289" s="385" t="s">
        <v>4924</v>
      </c>
      <c r="D1289" s="1169" t="s">
        <v>4754</v>
      </c>
      <c r="E1289" s="1677"/>
      <c r="F1289" s="1670"/>
      <c r="G1289" s="600"/>
      <c r="H1289" s="385" t="s">
        <v>527</v>
      </c>
      <c r="I1289" s="1087"/>
    </row>
    <row r="1290" spans="1:15" x14ac:dyDescent="0.3">
      <c r="A1290" s="892"/>
      <c r="B1290" s="1482"/>
      <c r="C1290" s="1151" t="s">
        <v>4925</v>
      </c>
      <c r="D1290" s="1445" t="s">
        <v>4926</v>
      </c>
      <c r="E1290" s="1434"/>
      <c r="F1290" s="409"/>
      <c r="G1290" s="600"/>
      <c r="H1290" s="385" t="s">
        <v>527</v>
      </c>
      <c r="I1290" s="1335"/>
    </row>
    <row r="1291" spans="1:15" x14ac:dyDescent="0.3">
      <c r="A1291" s="892"/>
      <c r="B1291" s="1482"/>
      <c r="C1291" s="385" t="s">
        <v>4927</v>
      </c>
      <c r="D1291" s="1396" t="s">
        <v>4928</v>
      </c>
      <c r="E1291" s="1296"/>
      <c r="F1291" s="409"/>
      <c r="G1291" s="600"/>
      <c r="H1291" s="385" t="s">
        <v>582</v>
      </c>
      <c r="I1291" s="1087"/>
    </row>
    <row r="1292" spans="1:15" x14ac:dyDescent="0.3">
      <c r="A1292" s="892"/>
      <c r="B1292" s="1482"/>
      <c r="C1292" s="110" t="s">
        <v>4929</v>
      </c>
      <c r="D1292" s="1099" t="s">
        <v>4754</v>
      </c>
      <c r="E1292" s="1565"/>
      <c r="F1292" s="98"/>
      <c r="G1292" s="98"/>
      <c r="H1292" s="1087" t="s">
        <v>2037</v>
      </c>
      <c r="I1292" s="1335"/>
    </row>
    <row r="1293" spans="1:15" x14ac:dyDescent="0.3">
      <c r="A1293" s="892"/>
      <c r="B1293" s="1237"/>
      <c r="C1293" s="385" t="s">
        <v>4930</v>
      </c>
      <c r="D1293" s="1169" t="s">
        <v>4931</v>
      </c>
      <c r="E1293" s="1296"/>
      <c r="F1293" s="409"/>
      <c r="G1293" s="600"/>
      <c r="H1293" s="385" t="s">
        <v>523</v>
      </c>
      <c r="I1293" s="1087"/>
    </row>
    <row r="1294" spans="1:15" x14ac:dyDescent="0.3">
      <c r="A1294" s="892"/>
      <c r="B1294" s="1237"/>
      <c r="C1294" s="1289" t="s">
        <v>4932</v>
      </c>
      <c r="D1294" s="1570" t="s">
        <v>4933</v>
      </c>
      <c r="E1294" s="1297"/>
      <c r="F1294" s="98"/>
      <c r="G1294" s="98"/>
      <c r="H1294" s="1087" t="s">
        <v>527</v>
      </c>
      <c r="I1294" s="1087"/>
    </row>
    <row r="1295" spans="1:15" x14ac:dyDescent="0.3">
      <c r="A1295" s="892"/>
      <c r="B1295" s="1237"/>
      <c r="C1295" s="1289" t="s">
        <v>4934</v>
      </c>
      <c r="D1295" s="1396" t="s">
        <v>4244</v>
      </c>
      <c r="E1295" s="1434"/>
      <c r="F1295" s="409"/>
      <c r="G1295" s="600"/>
      <c r="H1295" s="385" t="s">
        <v>523</v>
      </c>
      <c r="I1295" s="1087"/>
    </row>
    <row r="1296" spans="1:15" x14ac:dyDescent="0.3">
      <c r="A1296" s="892"/>
      <c r="B1296" s="1237"/>
      <c r="C1296" s="1294" t="s">
        <v>4935</v>
      </c>
      <c r="D1296" s="1585" t="s">
        <v>4898</v>
      </c>
      <c r="E1296" s="1434"/>
      <c r="F1296" s="409"/>
      <c r="G1296" s="600"/>
      <c r="H1296" s="385" t="s">
        <v>523</v>
      </c>
      <c r="I1296" s="1087"/>
    </row>
    <row r="1297" spans="1:16" x14ac:dyDescent="0.3">
      <c r="A1297" s="892"/>
      <c r="B1297" s="1237"/>
      <c r="C1297" s="1587" t="s">
        <v>4936</v>
      </c>
      <c r="D1297" s="1169" t="s">
        <v>4937</v>
      </c>
      <c r="E1297" s="1434"/>
      <c r="F1297" s="409"/>
      <c r="G1297" s="600"/>
      <c r="H1297" s="385" t="s">
        <v>527</v>
      </c>
      <c r="I1297" s="1099"/>
    </row>
    <row r="1298" spans="1:16" ht="15.6" x14ac:dyDescent="0.3">
      <c r="A1298" s="1991">
        <v>11965</v>
      </c>
      <c r="B1298" s="122">
        <v>0.1</v>
      </c>
      <c r="C1298" s="587" t="s">
        <v>4938</v>
      </c>
      <c r="D1298" s="1170" t="s">
        <v>4109</v>
      </c>
      <c r="E1298" s="1337">
        <v>1200000</v>
      </c>
      <c r="F1298" s="322">
        <v>0.05</v>
      </c>
      <c r="G1298" s="519">
        <f t="shared" ref="G1298:G1312" si="63">E1298*F1298</f>
        <v>60000</v>
      </c>
      <c r="H1298" s="587" t="s">
        <v>2037</v>
      </c>
      <c r="I1298" s="1089" t="s">
        <v>4122</v>
      </c>
    </row>
    <row r="1299" spans="1:16" ht="15.6" x14ac:dyDescent="0.3">
      <c r="A1299" s="1991">
        <v>11981</v>
      </c>
      <c r="B1299" s="1232">
        <v>0.1</v>
      </c>
      <c r="C1299" s="439" t="s">
        <v>4939</v>
      </c>
      <c r="D1299" s="1088" t="s">
        <v>4109</v>
      </c>
      <c r="E1299" s="1372">
        <v>1100000</v>
      </c>
      <c r="F1299" s="322">
        <v>0.05</v>
      </c>
      <c r="G1299" s="519">
        <f t="shared" si="63"/>
        <v>55000</v>
      </c>
      <c r="H1299" s="1088" t="s">
        <v>748</v>
      </c>
      <c r="I1299" s="1088" t="s">
        <v>4122</v>
      </c>
    </row>
    <row r="1300" spans="1:16" x14ac:dyDescent="0.3">
      <c r="A1300" s="83">
        <v>11969</v>
      </c>
      <c r="B1300" s="1526">
        <v>0.1</v>
      </c>
      <c r="C1300" s="997" t="s">
        <v>4723</v>
      </c>
      <c r="D1300" s="1566" t="s">
        <v>4109</v>
      </c>
      <c r="E1300" s="1641">
        <v>900000</v>
      </c>
      <c r="F1300" s="322">
        <v>0.05</v>
      </c>
      <c r="G1300" s="519">
        <f t="shared" si="63"/>
        <v>45000</v>
      </c>
      <c r="H1300" s="587" t="s">
        <v>748</v>
      </c>
      <c r="I1300" s="1088" t="s">
        <v>4122</v>
      </c>
      <c r="J1300" s="34"/>
    </row>
    <row r="1301" spans="1:16" x14ac:dyDescent="0.3">
      <c r="A1301" s="75">
        <v>11978</v>
      </c>
      <c r="B1301" s="1232">
        <v>0.1</v>
      </c>
      <c r="C1301" s="587" t="s">
        <v>4940</v>
      </c>
      <c r="D1301" s="1170" t="s">
        <v>4109</v>
      </c>
      <c r="E1301" s="1506">
        <v>1150000</v>
      </c>
      <c r="F1301" s="322">
        <v>0.05</v>
      </c>
      <c r="G1301" s="519">
        <f t="shared" si="63"/>
        <v>57500</v>
      </c>
      <c r="H1301" s="587" t="s">
        <v>2037</v>
      </c>
      <c r="I1301" s="1088" t="s">
        <v>4122</v>
      </c>
      <c r="J1301" s="34"/>
    </row>
    <row r="1302" spans="1:16" x14ac:dyDescent="0.3">
      <c r="A1302" s="75">
        <v>12007</v>
      </c>
      <c r="B1302" s="1655">
        <v>0.08</v>
      </c>
      <c r="C1302" s="969" t="s">
        <v>4941</v>
      </c>
      <c r="D1302" s="1170" t="s">
        <v>4109</v>
      </c>
      <c r="E1302" s="1506">
        <v>1350000</v>
      </c>
      <c r="F1302" s="1715">
        <v>0.04</v>
      </c>
      <c r="G1302" s="519">
        <f t="shared" si="63"/>
        <v>54000</v>
      </c>
      <c r="H1302" s="587" t="s">
        <v>527</v>
      </c>
      <c r="I1302" s="1088" t="s">
        <v>4122</v>
      </c>
      <c r="J1302" s="34"/>
    </row>
    <row r="1303" spans="1:16" x14ac:dyDescent="0.3">
      <c r="A1303" s="170">
        <v>12060</v>
      </c>
      <c r="B1303" s="1593">
        <v>0.1</v>
      </c>
      <c r="C1303" s="587" t="s">
        <v>4942</v>
      </c>
      <c r="D1303" s="1410" t="s">
        <v>4109</v>
      </c>
      <c r="E1303" s="1506">
        <v>700000</v>
      </c>
      <c r="F1303" s="322">
        <v>0.05</v>
      </c>
      <c r="G1303" s="519">
        <f t="shared" si="63"/>
        <v>35000</v>
      </c>
      <c r="H1303" s="587" t="s">
        <v>748</v>
      </c>
      <c r="I1303" s="1088" t="s">
        <v>4122</v>
      </c>
      <c r="J1303" s="34"/>
    </row>
    <row r="1304" spans="1:16" x14ac:dyDescent="0.3">
      <c r="A1304" s="75">
        <v>12057</v>
      </c>
      <c r="B1304" s="1688">
        <v>0.08</v>
      </c>
      <c r="C1304" s="1474" t="s">
        <v>4943</v>
      </c>
      <c r="D1304" s="1462" t="s">
        <v>4109</v>
      </c>
      <c r="E1304" s="1506">
        <v>1400000</v>
      </c>
      <c r="F1304" s="1715">
        <v>0.04</v>
      </c>
      <c r="G1304" s="519">
        <f t="shared" si="63"/>
        <v>56000</v>
      </c>
      <c r="H1304" s="587" t="s">
        <v>4944</v>
      </c>
      <c r="I1304" s="1088" t="s">
        <v>4122</v>
      </c>
      <c r="J1304" s="511"/>
    </row>
    <row r="1305" spans="1:16" ht="15.6" x14ac:dyDescent="0.3">
      <c r="A1305" s="1992">
        <v>12108</v>
      </c>
      <c r="B1305" s="1608">
        <v>0.1</v>
      </c>
      <c r="C1305" s="995" t="s">
        <v>4945</v>
      </c>
      <c r="D1305" s="1170" t="s">
        <v>4109</v>
      </c>
      <c r="E1305" s="1506">
        <v>1000000</v>
      </c>
      <c r="F1305" s="322">
        <v>0.05</v>
      </c>
      <c r="G1305" s="519">
        <f t="shared" si="63"/>
        <v>50000</v>
      </c>
      <c r="H1305" s="587" t="s">
        <v>527</v>
      </c>
      <c r="I1305" s="1088" t="s">
        <v>4122</v>
      </c>
      <c r="J1305" s="511"/>
    </row>
    <row r="1306" spans="1:16" ht="15.6" x14ac:dyDescent="0.3">
      <c r="A1306" s="1992">
        <v>12114</v>
      </c>
      <c r="B1306" s="1608">
        <v>0.1</v>
      </c>
      <c r="C1306" s="439" t="s">
        <v>4946</v>
      </c>
      <c r="D1306" s="1170" t="s">
        <v>4109</v>
      </c>
      <c r="E1306" s="1506">
        <v>900000</v>
      </c>
      <c r="F1306" s="322">
        <v>0.05</v>
      </c>
      <c r="G1306" s="519">
        <f t="shared" si="63"/>
        <v>45000</v>
      </c>
      <c r="H1306" s="587" t="s">
        <v>527</v>
      </c>
      <c r="I1306" s="1088" t="s">
        <v>4122</v>
      </c>
      <c r="J1306" s="511"/>
    </row>
    <row r="1307" spans="1:16" ht="16.8" x14ac:dyDescent="0.4">
      <c r="A1307" s="2309">
        <v>12102</v>
      </c>
      <c r="B1307" s="1652">
        <v>0.1</v>
      </c>
      <c r="C1307" s="1474" t="s">
        <v>4947</v>
      </c>
      <c r="D1307" s="1653" t="s">
        <v>4109</v>
      </c>
      <c r="E1307" s="1678">
        <v>1600000</v>
      </c>
      <c r="F1307" s="322">
        <v>0.05</v>
      </c>
      <c r="G1307" s="519">
        <f t="shared" si="63"/>
        <v>80000</v>
      </c>
      <c r="H1307" s="1241" t="s">
        <v>523</v>
      </c>
      <c r="I1307" s="1088" t="s">
        <v>4122</v>
      </c>
      <c r="J1307" s="511"/>
    </row>
    <row r="1308" spans="1:16" s="511" customFormat="1" ht="27" x14ac:dyDescent="0.3">
      <c r="A1308" s="1991">
        <v>12140</v>
      </c>
      <c r="B1308" s="1232">
        <v>0.1</v>
      </c>
      <c r="C1308" s="995" t="s">
        <v>4948</v>
      </c>
      <c r="D1308" s="1170" t="s">
        <v>4109</v>
      </c>
      <c r="E1308" s="1337">
        <v>1000000</v>
      </c>
      <c r="F1308" s="322">
        <v>0.05</v>
      </c>
      <c r="G1308" s="519">
        <f t="shared" si="63"/>
        <v>50000</v>
      </c>
      <c r="H1308" s="587" t="s">
        <v>582</v>
      </c>
      <c r="I1308" s="1088" t="s">
        <v>4122</v>
      </c>
    </row>
    <row r="1309" spans="1:16" s="511" customFormat="1" ht="16.8" x14ac:dyDescent="0.4">
      <c r="A1309" s="2310">
        <v>12139</v>
      </c>
      <c r="B1309" s="1232">
        <v>0.1</v>
      </c>
      <c r="C1309" s="439" t="s">
        <v>4949</v>
      </c>
      <c r="D1309" s="590" t="s">
        <v>4109</v>
      </c>
      <c r="E1309" s="1336">
        <v>1100000</v>
      </c>
      <c r="F1309" s="322">
        <v>0.05</v>
      </c>
      <c r="G1309" s="519">
        <f t="shared" si="63"/>
        <v>55000</v>
      </c>
      <c r="H1309" s="1241" t="s">
        <v>523</v>
      </c>
      <c r="I1309" s="1088" t="s">
        <v>4122</v>
      </c>
    </row>
    <row r="1310" spans="1:16" x14ac:dyDescent="0.3">
      <c r="A1310" s="75">
        <v>12146</v>
      </c>
      <c r="B1310" s="1232">
        <v>0.1</v>
      </c>
      <c r="C1310" s="995" t="s">
        <v>4950</v>
      </c>
      <c r="D1310" s="1170" t="s">
        <v>4109</v>
      </c>
      <c r="E1310" s="1337">
        <v>1300000</v>
      </c>
      <c r="F1310" s="322">
        <v>0.05</v>
      </c>
      <c r="G1310" s="519">
        <f t="shared" si="63"/>
        <v>65000</v>
      </c>
      <c r="H1310" s="587" t="s">
        <v>582</v>
      </c>
      <c r="I1310" s="1088" t="s">
        <v>4122</v>
      </c>
      <c r="J1310" s="511"/>
    </row>
    <row r="1311" spans="1:16" x14ac:dyDescent="0.3">
      <c r="A1311" s="1617">
        <v>12164</v>
      </c>
      <c r="B1311" s="1219">
        <v>0.1</v>
      </c>
      <c r="C1311" s="1654" t="s">
        <v>4951</v>
      </c>
      <c r="D1311" s="1366" t="s">
        <v>4952</v>
      </c>
      <c r="E1311" s="1642">
        <v>1200000</v>
      </c>
      <c r="F1311" s="985">
        <v>0.05</v>
      </c>
      <c r="G1311" s="740">
        <f t="shared" si="63"/>
        <v>60000</v>
      </c>
      <c r="H1311" s="970" t="s">
        <v>523</v>
      </c>
      <c r="I1311" s="201"/>
      <c r="J1311" s="511"/>
    </row>
    <row r="1312" spans="1:16" x14ac:dyDescent="0.3">
      <c r="A1312" s="39">
        <v>12194</v>
      </c>
      <c r="B1312" s="1661">
        <v>0.1</v>
      </c>
      <c r="C1312" s="1201" t="s">
        <v>4953</v>
      </c>
      <c r="D1312" s="1461" t="s">
        <v>3192</v>
      </c>
      <c r="E1312" s="1627">
        <v>950000</v>
      </c>
      <c r="F1312" s="985">
        <v>0.05</v>
      </c>
      <c r="G1312" s="740">
        <f t="shared" si="63"/>
        <v>47500</v>
      </c>
      <c r="H1312" s="970" t="s">
        <v>527</v>
      </c>
      <c r="I1312" s="201"/>
      <c r="J1312" s="34"/>
      <c r="K1312" s="34"/>
      <c r="L1312" s="34"/>
      <c r="M1312" s="34"/>
      <c r="N1312" s="34"/>
      <c r="O1312" s="34"/>
      <c r="P1312" s="511"/>
    </row>
    <row r="1313" spans="1:16" x14ac:dyDescent="0.3">
      <c r="A1313" s="39"/>
      <c r="B1313" s="1661"/>
      <c r="C1313" s="1201"/>
      <c r="D1313" s="1461"/>
      <c r="E1313" s="1627"/>
      <c r="F1313" s="985"/>
      <c r="G1313" s="740"/>
      <c r="H1313" s="970"/>
      <c r="I1313" s="201"/>
      <c r="J1313" s="34"/>
      <c r="K1313" s="34"/>
      <c r="L1313" s="34"/>
      <c r="M1313" s="34"/>
      <c r="N1313" s="34"/>
      <c r="O1313" s="34"/>
      <c r="P1313" s="511"/>
    </row>
    <row r="1314" spans="1:16" x14ac:dyDescent="0.3">
      <c r="A1314" s="2289"/>
      <c r="B1314" s="1576"/>
      <c r="C1314" s="1576"/>
      <c r="D1314" s="1582" t="s">
        <v>3758</v>
      </c>
      <c r="E1314" s="1338">
        <f>SUM(E1298:E1312)</f>
        <v>16850000</v>
      </c>
      <c r="F1314" s="34"/>
      <c r="G1314" s="1483">
        <f>SUM(G1298:G1312)</f>
        <v>815000</v>
      </c>
      <c r="H1314" s="51"/>
      <c r="I1314" s="51"/>
      <c r="J1314" s="34"/>
      <c r="K1314" s="34"/>
      <c r="L1314" s="34"/>
      <c r="M1314" s="34"/>
      <c r="N1314" s="34"/>
      <c r="O1314" s="34"/>
    </row>
    <row r="1315" spans="1:16" ht="18" x14ac:dyDescent="0.35">
      <c r="A1315" s="2289"/>
      <c r="B1315" s="34"/>
      <c r="C1315" s="1483"/>
      <c r="D1315" s="398" t="s">
        <v>3764</v>
      </c>
      <c r="E1315" s="1716">
        <f>G1314</f>
        <v>815000</v>
      </c>
      <c r="F1315" s="34"/>
      <c r="G1315" s="34"/>
      <c r="H1315" s="51"/>
      <c r="I1315" s="51"/>
      <c r="J1315" s="34"/>
      <c r="K1315" s="34"/>
      <c r="L1315" s="34"/>
      <c r="M1315" s="34"/>
      <c r="N1315" s="34"/>
      <c r="O1315" s="34"/>
    </row>
    <row r="1318" spans="1:16" x14ac:dyDescent="0.3">
      <c r="A1318" s="3811" t="s">
        <v>4954</v>
      </c>
      <c r="B1318" s="3811"/>
      <c r="C1318" s="3811"/>
      <c r="D1318" s="3811"/>
      <c r="E1318" s="3811"/>
      <c r="F1318" s="3811"/>
      <c r="G1318" s="3811"/>
      <c r="H1318" s="3812"/>
      <c r="I1318" s="2"/>
    </row>
    <row r="1319" spans="1:16" x14ac:dyDescent="0.3">
      <c r="A1319" s="3811"/>
      <c r="B1319" s="3811"/>
      <c r="C1319" s="3811"/>
      <c r="D1319" s="3811"/>
      <c r="E1319" s="3811"/>
      <c r="F1319" s="3811"/>
      <c r="G1319" s="3813"/>
      <c r="H1319" s="3814"/>
      <c r="I1319" s="2"/>
    </row>
    <row r="1320" spans="1:16" ht="20.399999999999999" x14ac:dyDescent="0.3">
      <c r="A1320" s="265" t="s">
        <v>3751</v>
      </c>
      <c r="B1320" s="33" t="s">
        <v>2976</v>
      </c>
      <c r="C1320" s="33" t="s">
        <v>3752</v>
      </c>
      <c r="D1320" s="1093" t="s">
        <v>4121</v>
      </c>
      <c r="E1320" s="63" t="s">
        <v>3754</v>
      </c>
      <c r="F1320" s="118" t="s">
        <v>2979</v>
      </c>
      <c r="G1320" s="88" t="s">
        <v>2985</v>
      </c>
      <c r="H1320" s="266" t="s">
        <v>4208</v>
      </c>
      <c r="I1320" s="2"/>
    </row>
    <row r="1321" spans="1:16" ht="15.6" x14ac:dyDescent="0.3">
      <c r="A1321" s="2299">
        <v>11965</v>
      </c>
      <c r="B1321" s="123">
        <v>0.1</v>
      </c>
      <c r="C1321" s="439" t="s">
        <v>4938</v>
      </c>
      <c r="D1321" s="1088" t="s">
        <v>3787</v>
      </c>
      <c r="E1321" s="1372">
        <v>1200000</v>
      </c>
      <c r="F1321" s="864">
        <v>0.03</v>
      </c>
      <c r="G1321" s="1331">
        <f t="shared" ref="G1321:G1353" si="64">E1321*F1321</f>
        <v>36000</v>
      </c>
      <c r="H1321" s="1088" t="s">
        <v>2037</v>
      </c>
      <c r="I1321" s="1088" t="s">
        <v>3503</v>
      </c>
      <c r="J1321" s="511"/>
      <c r="K1321" s="511"/>
      <c r="L1321" s="511"/>
      <c r="M1321" s="511"/>
      <c r="N1321" s="511"/>
      <c r="O1321" s="511"/>
      <c r="P1321" s="511"/>
    </row>
    <row r="1322" spans="1:16" x14ac:dyDescent="0.3">
      <c r="A1322" s="653">
        <v>11969</v>
      </c>
      <c r="B1322" s="1232">
        <v>0.1</v>
      </c>
      <c r="C1322" s="587" t="s">
        <v>4723</v>
      </c>
      <c r="D1322" s="1170" t="s">
        <v>3787</v>
      </c>
      <c r="E1322" s="1506">
        <v>900000</v>
      </c>
      <c r="F1322" s="1719">
        <v>0.03</v>
      </c>
      <c r="G1322" s="1722">
        <f t="shared" si="64"/>
        <v>27000</v>
      </c>
      <c r="H1322" s="587" t="s">
        <v>748</v>
      </c>
      <c r="I1322" s="283" t="s">
        <v>3503</v>
      </c>
      <c r="J1322" s="511"/>
      <c r="K1322" s="511"/>
      <c r="L1322" s="511"/>
      <c r="M1322" s="511"/>
      <c r="N1322" s="511"/>
      <c r="O1322" s="511"/>
      <c r="P1322" s="511"/>
    </row>
    <row r="1323" spans="1:16" x14ac:dyDescent="0.3">
      <c r="A1323" s="2311">
        <v>11985</v>
      </c>
      <c r="B1323" s="313">
        <v>0.1</v>
      </c>
      <c r="C1323" s="1474" t="s">
        <v>4901</v>
      </c>
      <c r="D1323" s="1054" t="s">
        <v>4109</v>
      </c>
      <c r="E1323" s="1340">
        <v>870000</v>
      </c>
      <c r="F1323" s="1719">
        <v>0.03</v>
      </c>
      <c r="G1323" s="1722">
        <f t="shared" si="64"/>
        <v>26100</v>
      </c>
      <c r="H1323" s="590" t="s">
        <v>2037</v>
      </c>
      <c r="I1323" s="67" t="s">
        <v>4122</v>
      </c>
      <c r="J1323" s="511"/>
      <c r="K1323" s="511"/>
      <c r="L1323" s="511"/>
      <c r="M1323" s="511"/>
      <c r="N1323" s="511"/>
      <c r="O1323" s="511"/>
      <c r="P1323" s="511"/>
    </row>
    <row r="1324" spans="1:16" x14ac:dyDescent="0.3">
      <c r="A1324" s="2284">
        <v>11978</v>
      </c>
      <c r="B1324" s="1232">
        <v>0.1</v>
      </c>
      <c r="C1324" s="587" t="s">
        <v>4940</v>
      </c>
      <c r="D1324" s="1410" t="s">
        <v>4109</v>
      </c>
      <c r="E1324" s="1506">
        <v>1150000</v>
      </c>
      <c r="F1324" s="1719">
        <v>0.03</v>
      </c>
      <c r="G1324" s="1722">
        <f t="shared" si="64"/>
        <v>34500</v>
      </c>
      <c r="H1324" s="587" t="s">
        <v>2037</v>
      </c>
      <c r="I1324" s="1284" t="s">
        <v>4122</v>
      </c>
      <c r="J1324" s="511"/>
      <c r="K1324" s="511"/>
      <c r="L1324" s="511"/>
      <c r="M1324" s="511"/>
      <c r="N1324" s="511"/>
      <c r="O1324" s="511"/>
      <c r="P1324" s="511"/>
    </row>
    <row r="1325" spans="1:16" x14ac:dyDescent="0.3">
      <c r="A1325" s="653">
        <v>11981</v>
      </c>
      <c r="B1325" s="1232">
        <v>0.1</v>
      </c>
      <c r="C1325" s="439" t="s">
        <v>4955</v>
      </c>
      <c r="D1325" s="1567" t="s">
        <v>4109</v>
      </c>
      <c r="E1325" s="1372">
        <v>1100000</v>
      </c>
      <c r="F1325" s="1719">
        <v>0.03</v>
      </c>
      <c r="G1325" s="1722">
        <f t="shared" si="64"/>
        <v>33000</v>
      </c>
      <c r="H1325" s="1088" t="s">
        <v>748</v>
      </c>
      <c r="I1325" s="1132" t="s">
        <v>4122</v>
      </c>
      <c r="J1325" s="511"/>
      <c r="K1325" s="511"/>
      <c r="L1325" s="511"/>
      <c r="M1325" s="511"/>
      <c r="N1325" s="511"/>
      <c r="O1325" s="511"/>
      <c r="P1325" s="511"/>
    </row>
    <row r="1326" spans="1:16" ht="15.6" x14ac:dyDescent="0.3">
      <c r="A1326" s="2312">
        <v>11995</v>
      </c>
      <c r="B1326" s="281">
        <v>0.1</v>
      </c>
      <c r="C1326" s="590" t="s">
        <v>4903</v>
      </c>
      <c r="D1326" s="1206" t="s">
        <v>3787</v>
      </c>
      <c r="E1326" s="1340">
        <v>1500000</v>
      </c>
      <c r="F1326" s="1719">
        <v>0.03</v>
      </c>
      <c r="G1326" s="1722">
        <f t="shared" si="64"/>
        <v>45000</v>
      </c>
      <c r="H1326" s="590" t="s">
        <v>523</v>
      </c>
      <c r="I1326" s="283" t="s">
        <v>4122</v>
      </c>
      <c r="J1326" s="511"/>
      <c r="K1326" s="511"/>
      <c r="L1326" s="511"/>
      <c r="M1326" s="511"/>
      <c r="N1326" s="511"/>
      <c r="O1326" s="511"/>
      <c r="P1326" s="511"/>
    </row>
    <row r="1327" spans="1:16" x14ac:dyDescent="0.3">
      <c r="A1327" s="562">
        <v>11997</v>
      </c>
      <c r="B1327" s="281">
        <v>0.1</v>
      </c>
      <c r="C1327" s="1256" t="s">
        <v>4956</v>
      </c>
      <c r="D1327" s="1572" t="s">
        <v>3787</v>
      </c>
      <c r="E1327" s="1337">
        <v>1000000</v>
      </c>
      <c r="F1327" s="1719">
        <v>0.03</v>
      </c>
      <c r="G1327" s="1722">
        <f t="shared" si="64"/>
        <v>30000</v>
      </c>
      <c r="H1327" s="587" t="s">
        <v>2037</v>
      </c>
      <c r="I1327" s="283" t="s">
        <v>4122</v>
      </c>
      <c r="J1327" s="511"/>
      <c r="K1327" s="511"/>
      <c r="L1327" s="511"/>
      <c r="M1327" s="511"/>
      <c r="N1327" s="511"/>
      <c r="O1327" s="511"/>
      <c r="P1327" s="511"/>
    </row>
    <row r="1328" spans="1:16" x14ac:dyDescent="0.3">
      <c r="A1328" s="1568">
        <v>12007</v>
      </c>
      <c r="B1328" s="1656">
        <v>0.08</v>
      </c>
      <c r="C1328" s="969" t="s">
        <v>4941</v>
      </c>
      <c r="D1328" s="1170" t="s">
        <v>4109</v>
      </c>
      <c r="E1328" s="1506">
        <v>1350000</v>
      </c>
      <c r="F1328" s="1721">
        <v>0.02</v>
      </c>
      <c r="G1328" s="1722">
        <f t="shared" si="64"/>
        <v>27000</v>
      </c>
      <c r="H1328" s="587" t="s">
        <v>527</v>
      </c>
      <c r="I1328" s="772" t="s">
        <v>4122</v>
      </c>
      <c r="J1328" s="511"/>
      <c r="K1328" s="511"/>
      <c r="L1328" s="511"/>
      <c r="M1328" s="511"/>
      <c r="N1328" s="511"/>
      <c r="O1328" s="511"/>
      <c r="P1328" s="511"/>
    </row>
    <row r="1329" spans="1:16" ht="15.6" x14ac:dyDescent="0.3">
      <c r="A1329" s="2313">
        <v>12036</v>
      </c>
      <c r="B1329" s="1232">
        <v>0.1</v>
      </c>
      <c r="C1329" s="1586" t="s">
        <v>4957</v>
      </c>
      <c r="D1329" s="1054" t="s">
        <v>4109</v>
      </c>
      <c r="E1329" s="1336">
        <v>1150000</v>
      </c>
      <c r="F1329" s="1719">
        <v>0.03</v>
      </c>
      <c r="G1329" s="1722">
        <f t="shared" si="64"/>
        <v>34500</v>
      </c>
      <c r="H1329" s="1241" t="s">
        <v>1485</v>
      </c>
      <c r="I1329" s="1088" t="s">
        <v>4122</v>
      </c>
      <c r="J1329" s="511"/>
      <c r="K1329" s="511"/>
      <c r="L1329" s="511"/>
      <c r="M1329" s="511"/>
      <c r="N1329" s="511"/>
      <c r="O1329" s="511"/>
      <c r="P1329" s="511"/>
    </row>
    <row r="1330" spans="1:16" x14ac:dyDescent="0.3">
      <c r="A1330" s="2314">
        <v>12037</v>
      </c>
      <c r="B1330" s="313">
        <v>0.1</v>
      </c>
      <c r="C1330" s="969" t="s">
        <v>4906</v>
      </c>
      <c r="D1330" s="1162" t="s">
        <v>4109</v>
      </c>
      <c r="E1330" s="1347">
        <v>1100000</v>
      </c>
      <c r="F1330" s="1719">
        <v>0.03</v>
      </c>
      <c r="G1330" s="1722">
        <f t="shared" si="64"/>
        <v>33000</v>
      </c>
      <c r="H1330" s="350" t="s">
        <v>582</v>
      </c>
      <c r="I1330" s="1056" t="s">
        <v>4122</v>
      </c>
      <c r="J1330" s="511"/>
      <c r="K1330" s="511"/>
      <c r="L1330" s="511"/>
      <c r="M1330" s="511"/>
      <c r="N1330" s="511"/>
      <c r="O1330" s="511"/>
      <c r="P1330" s="511"/>
    </row>
    <row r="1331" spans="1:16" ht="15.6" x14ac:dyDescent="0.3">
      <c r="A1331" s="1991">
        <v>12060</v>
      </c>
      <c r="B1331" s="1232">
        <v>0.1</v>
      </c>
      <c r="C1331" s="587" t="s">
        <v>4942</v>
      </c>
      <c r="D1331" s="1410" t="s">
        <v>4109</v>
      </c>
      <c r="E1331" s="1506">
        <v>700000</v>
      </c>
      <c r="F1331" s="1719">
        <v>0.03</v>
      </c>
      <c r="G1331" s="1722">
        <f t="shared" si="64"/>
        <v>21000</v>
      </c>
      <c r="H1331" s="587" t="s">
        <v>748</v>
      </c>
      <c r="I1331" s="1088" t="s">
        <v>4122</v>
      </c>
      <c r="J1331" s="511"/>
      <c r="K1331" s="511"/>
      <c r="L1331" s="511"/>
      <c r="M1331" s="511"/>
      <c r="N1331" s="511"/>
      <c r="O1331" s="511"/>
      <c r="P1331" s="511"/>
    </row>
    <row r="1332" spans="1:16" x14ac:dyDescent="0.3">
      <c r="A1332" s="653">
        <v>12057</v>
      </c>
      <c r="B1332" s="1655">
        <v>0.08</v>
      </c>
      <c r="C1332" s="1256" t="s">
        <v>4943</v>
      </c>
      <c r="D1332" s="1410" t="s">
        <v>4109</v>
      </c>
      <c r="E1332" s="1506">
        <v>1400000</v>
      </c>
      <c r="F1332" s="1721">
        <v>0.02</v>
      </c>
      <c r="G1332" s="1722">
        <f t="shared" si="64"/>
        <v>28000</v>
      </c>
      <c r="H1332" s="587" t="s">
        <v>4944</v>
      </c>
      <c r="I1332" s="1088" t="s">
        <v>4122</v>
      </c>
      <c r="J1332" s="511"/>
      <c r="K1332" s="511"/>
      <c r="L1332" s="511"/>
      <c r="M1332" s="511"/>
      <c r="N1332" s="511"/>
      <c r="O1332" s="511"/>
      <c r="P1332" s="511"/>
    </row>
    <row r="1333" spans="1:16" x14ac:dyDescent="0.3">
      <c r="A1333" s="561">
        <v>12074</v>
      </c>
      <c r="B1333" s="281">
        <v>0.1</v>
      </c>
      <c r="C1333" s="439" t="s">
        <v>4958</v>
      </c>
      <c r="D1333" s="590" t="s">
        <v>4109</v>
      </c>
      <c r="E1333" s="1341">
        <v>1100000</v>
      </c>
      <c r="F1333" s="1719">
        <v>0.03</v>
      </c>
      <c r="G1333" s="1722">
        <f t="shared" si="64"/>
        <v>33000</v>
      </c>
      <c r="H1333" s="590" t="s">
        <v>527</v>
      </c>
      <c r="I1333" s="1088" t="s">
        <v>4122</v>
      </c>
      <c r="J1333" s="511"/>
      <c r="K1333" s="511"/>
      <c r="L1333" s="511"/>
      <c r="M1333" s="511"/>
      <c r="N1333" s="511"/>
      <c r="O1333" s="511"/>
      <c r="P1333" s="511"/>
    </row>
    <row r="1334" spans="1:16" x14ac:dyDescent="0.3">
      <c r="A1334" s="2315">
        <v>12089</v>
      </c>
      <c r="B1334" s="281">
        <v>0.1</v>
      </c>
      <c r="C1334" s="439" t="s">
        <v>4908</v>
      </c>
      <c r="D1334" s="590" t="s">
        <v>4109</v>
      </c>
      <c r="E1334" s="1508">
        <v>900000</v>
      </c>
      <c r="F1334" s="1719">
        <v>0.03</v>
      </c>
      <c r="G1334" s="1722">
        <f t="shared" si="64"/>
        <v>27000</v>
      </c>
      <c r="H1334" s="587" t="s">
        <v>527</v>
      </c>
      <c r="I1334" s="67" t="s">
        <v>4122</v>
      </c>
      <c r="J1334" s="511"/>
      <c r="K1334" s="511"/>
      <c r="L1334" s="511"/>
      <c r="M1334" s="511"/>
      <c r="N1334" s="511"/>
      <c r="O1334" s="511"/>
      <c r="P1334" s="511"/>
    </row>
    <row r="1335" spans="1:16" x14ac:dyDescent="0.3">
      <c r="A1335" s="121">
        <v>12102</v>
      </c>
      <c r="B1335" s="1580">
        <v>0.1</v>
      </c>
      <c r="C1335" s="1474" t="s">
        <v>4947</v>
      </c>
      <c r="D1335" s="1206" t="s">
        <v>4109</v>
      </c>
      <c r="E1335" s="1336">
        <v>1600000</v>
      </c>
      <c r="F1335" s="1719">
        <v>0.03</v>
      </c>
      <c r="G1335" s="1722">
        <f t="shared" si="64"/>
        <v>48000</v>
      </c>
      <c r="H1335" s="1241" t="s">
        <v>523</v>
      </c>
      <c r="I1335" s="1088" t="s">
        <v>4122</v>
      </c>
      <c r="J1335" s="511"/>
      <c r="K1335" s="511"/>
      <c r="L1335" s="511"/>
      <c r="M1335" s="511"/>
      <c r="N1335" s="511"/>
      <c r="O1335" s="511"/>
      <c r="P1335" s="511"/>
    </row>
    <row r="1336" spans="1:16" ht="15.6" x14ac:dyDescent="0.3">
      <c r="A1336" s="1991">
        <v>12108</v>
      </c>
      <c r="B1336" s="421">
        <v>0.1</v>
      </c>
      <c r="C1336" s="995" t="s">
        <v>4945</v>
      </c>
      <c r="D1336" s="1170" t="s">
        <v>4109</v>
      </c>
      <c r="E1336" s="1506">
        <v>1000000</v>
      </c>
      <c r="F1336" s="1719">
        <v>0.03</v>
      </c>
      <c r="G1336" s="1722">
        <f t="shared" si="64"/>
        <v>30000</v>
      </c>
      <c r="H1336" s="587" t="s">
        <v>527</v>
      </c>
      <c r="I1336" s="1056" t="s">
        <v>4122</v>
      </c>
      <c r="J1336" s="511"/>
      <c r="K1336" s="511"/>
      <c r="L1336" s="511"/>
      <c r="M1336" s="511"/>
      <c r="N1336" s="511"/>
      <c r="O1336" s="511"/>
      <c r="P1336" s="511"/>
    </row>
    <row r="1337" spans="1:16" x14ac:dyDescent="0.3">
      <c r="A1337" s="121">
        <v>12113</v>
      </c>
      <c r="B1337" s="421">
        <v>0.1</v>
      </c>
      <c r="C1337" s="1170" t="s">
        <v>4910</v>
      </c>
      <c r="D1337" s="1054" t="s">
        <v>4109</v>
      </c>
      <c r="E1337" s="1347">
        <v>1730000</v>
      </c>
      <c r="F1337" s="1719">
        <v>0.03</v>
      </c>
      <c r="G1337" s="1722">
        <f t="shared" si="64"/>
        <v>51900</v>
      </c>
      <c r="H1337" s="587" t="s">
        <v>527</v>
      </c>
      <c r="I1337" s="798" t="s">
        <v>4122</v>
      </c>
      <c r="J1337" s="511"/>
      <c r="K1337" s="511"/>
      <c r="L1337" s="511"/>
      <c r="M1337" s="511"/>
      <c r="N1337" s="511"/>
      <c r="O1337" s="511"/>
      <c r="P1337" s="511"/>
    </row>
    <row r="1338" spans="1:16" x14ac:dyDescent="0.3">
      <c r="A1338" s="121">
        <v>12112</v>
      </c>
      <c r="B1338" s="749">
        <v>0.1</v>
      </c>
      <c r="C1338" s="912" t="s">
        <v>4911</v>
      </c>
      <c r="D1338" s="1190" t="s">
        <v>4109</v>
      </c>
      <c r="E1338" s="1508">
        <v>730000</v>
      </c>
      <c r="F1338" s="1719">
        <v>0.03</v>
      </c>
      <c r="G1338" s="1722">
        <f t="shared" si="64"/>
        <v>21900</v>
      </c>
      <c r="H1338" s="587" t="s">
        <v>748</v>
      </c>
      <c r="I1338" s="1088" t="s">
        <v>4122</v>
      </c>
      <c r="J1338" s="511"/>
      <c r="K1338" s="511"/>
      <c r="L1338" s="511"/>
      <c r="M1338" s="511"/>
      <c r="N1338" s="511"/>
      <c r="O1338" s="511"/>
      <c r="P1338" s="511"/>
    </row>
    <row r="1339" spans="1:16" x14ac:dyDescent="0.3">
      <c r="A1339" s="2315">
        <v>12114</v>
      </c>
      <c r="B1339" s="1593">
        <v>0.1</v>
      </c>
      <c r="C1339" s="439" t="s">
        <v>4946</v>
      </c>
      <c r="D1339" s="1170" t="s">
        <v>4109</v>
      </c>
      <c r="E1339" s="1506">
        <v>900000</v>
      </c>
      <c r="F1339" s="1719">
        <v>0.03</v>
      </c>
      <c r="G1339" s="1722">
        <f t="shared" si="64"/>
        <v>27000</v>
      </c>
      <c r="H1339" s="587" t="s">
        <v>527</v>
      </c>
      <c r="I1339" s="1088" t="s">
        <v>4122</v>
      </c>
      <c r="J1339" s="511"/>
      <c r="K1339" s="511"/>
      <c r="L1339" s="511"/>
      <c r="M1339" s="511"/>
      <c r="N1339" s="511"/>
      <c r="O1339" s="511"/>
      <c r="P1339" s="511"/>
    </row>
    <row r="1340" spans="1:16" x14ac:dyDescent="0.3">
      <c r="A1340" s="653">
        <v>12123</v>
      </c>
      <c r="B1340" s="421">
        <v>0.1</v>
      </c>
      <c r="C1340" s="1256" t="s">
        <v>4909</v>
      </c>
      <c r="D1340" s="1054" t="s">
        <v>4109</v>
      </c>
      <c r="E1340" s="1649">
        <v>1400000</v>
      </c>
      <c r="F1340" s="1719">
        <v>0.03</v>
      </c>
      <c r="G1340" s="1722">
        <f t="shared" si="64"/>
        <v>42000</v>
      </c>
      <c r="H1340" s="590" t="s">
        <v>523</v>
      </c>
      <c r="I1340" s="1615" t="s">
        <v>4122</v>
      </c>
      <c r="J1340" s="511"/>
      <c r="K1340" s="511"/>
      <c r="L1340" s="511"/>
      <c r="M1340" s="511"/>
      <c r="N1340" s="511"/>
      <c r="O1340" s="511"/>
      <c r="P1340" s="511"/>
    </row>
    <row r="1341" spans="1:16" ht="15.6" x14ac:dyDescent="0.3">
      <c r="A1341" s="1992">
        <v>12127</v>
      </c>
      <c r="B1341" s="313">
        <v>0.1</v>
      </c>
      <c r="C1341" s="526" t="s">
        <v>4912</v>
      </c>
      <c r="D1341" s="1054" t="s">
        <v>4109</v>
      </c>
      <c r="E1341" s="1347">
        <v>1200000</v>
      </c>
      <c r="F1341" s="1719">
        <v>0.03</v>
      </c>
      <c r="G1341" s="1722">
        <f t="shared" si="64"/>
        <v>36000</v>
      </c>
      <c r="H1341" s="587" t="s">
        <v>748</v>
      </c>
      <c r="I1341" s="798" t="s">
        <v>4122</v>
      </c>
      <c r="J1341" s="511"/>
      <c r="K1341" s="511"/>
      <c r="L1341" s="511"/>
      <c r="M1341" s="511"/>
      <c r="N1341" s="511"/>
      <c r="O1341" s="511"/>
      <c r="P1341" s="511"/>
    </row>
    <row r="1342" spans="1:16" x14ac:dyDescent="0.3">
      <c r="A1342" s="653">
        <v>12139</v>
      </c>
      <c r="B1342" s="281">
        <v>0.1</v>
      </c>
      <c r="C1342" s="439" t="s">
        <v>4949</v>
      </c>
      <c r="D1342" s="590" t="s">
        <v>4109</v>
      </c>
      <c r="E1342" s="1705">
        <v>1100000</v>
      </c>
      <c r="F1342" s="1719">
        <v>0.03</v>
      </c>
      <c r="G1342" s="1722">
        <f t="shared" si="64"/>
        <v>33000</v>
      </c>
      <c r="H1342" s="1241" t="s">
        <v>523</v>
      </c>
      <c r="I1342" s="1088" t="s">
        <v>3503</v>
      </c>
      <c r="J1342" s="511"/>
      <c r="K1342" s="511"/>
      <c r="L1342" s="511"/>
      <c r="M1342" s="511"/>
      <c r="N1342" s="511"/>
      <c r="O1342" s="511"/>
      <c r="P1342" s="511"/>
    </row>
    <row r="1343" spans="1:16" ht="15.6" x14ac:dyDescent="0.3">
      <c r="A1343" s="2299">
        <v>12140</v>
      </c>
      <c r="B1343" s="313">
        <v>0.1</v>
      </c>
      <c r="C1343" s="526" t="s">
        <v>4959</v>
      </c>
      <c r="D1343" s="1282" t="s">
        <v>4109</v>
      </c>
      <c r="E1343" s="1706">
        <v>1000000</v>
      </c>
      <c r="F1343" s="1719">
        <v>0.03</v>
      </c>
      <c r="G1343" s="1722">
        <f t="shared" si="64"/>
        <v>30000</v>
      </c>
      <c r="H1343" s="349" t="s">
        <v>582</v>
      </c>
      <c r="I1343" s="1285" t="s">
        <v>4122</v>
      </c>
      <c r="J1343" s="511"/>
      <c r="K1343" s="511"/>
      <c r="L1343" s="511"/>
      <c r="M1343" s="511"/>
      <c r="N1343" s="511"/>
      <c r="O1343" s="511"/>
      <c r="P1343" s="511"/>
    </row>
    <row r="1344" spans="1:16" x14ac:dyDescent="0.3">
      <c r="A1344" s="653">
        <v>12146</v>
      </c>
      <c r="B1344" s="1232">
        <v>0.1</v>
      </c>
      <c r="C1344" s="995" t="s">
        <v>4950</v>
      </c>
      <c r="D1344" s="1170" t="s">
        <v>4109</v>
      </c>
      <c r="E1344" s="1337">
        <v>1300000</v>
      </c>
      <c r="F1344" s="1719">
        <v>0.03</v>
      </c>
      <c r="G1344" s="1722">
        <f t="shared" si="64"/>
        <v>39000</v>
      </c>
      <c r="H1344" s="587" t="s">
        <v>582</v>
      </c>
      <c r="I1344" s="1285" t="s">
        <v>4122</v>
      </c>
      <c r="J1344" s="511"/>
      <c r="K1344" s="511"/>
      <c r="L1344" s="511"/>
      <c r="M1344" s="511"/>
      <c r="N1344" s="511"/>
      <c r="O1344" s="511"/>
      <c r="P1344" s="511"/>
    </row>
    <row r="1345" spans="1:16" x14ac:dyDescent="0.3">
      <c r="A1345" s="653">
        <v>12151</v>
      </c>
      <c r="B1345" s="281">
        <v>0.1</v>
      </c>
      <c r="C1345" s="1256" t="s">
        <v>4913</v>
      </c>
      <c r="D1345" s="590" t="s">
        <v>4109</v>
      </c>
      <c r="E1345" s="1340">
        <v>1400000</v>
      </c>
      <c r="F1345" s="1719">
        <v>0.03</v>
      </c>
      <c r="G1345" s="1722">
        <f t="shared" si="64"/>
        <v>42000</v>
      </c>
      <c r="H1345" s="590" t="s">
        <v>4744</v>
      </c>
      <c r="I1345" s="1285" t="s">
        <v>4122</v>
      </c>
      <c r="J1345" s="511"/>
      <c r="K1345" s="511"/>
      <c r="L1345" s="511"/>
      <c r="M1345" s="511"/>
      <c r="N1345" s="511"/>
      <c r="O1345" s="511"/>
      <c r="P1345" s="511"/>
    </row>
    <row r="1346" spans="1:16" x14ac:dyDescent="0.3">
      <c r="A1346" s="653">
        <v>12155</v>
      </c>
      <c r="B1346" s="981">
        <v>0.1</v>
      </c>
      <c r="C1346" s="439" t="s">
        <v>4960</v>
      </c>
      <c r="D1346" s="590" t="s">
        <v>4109</v>
      </c>
      <c r="E1346" s="1508">
        <v>1250000</v>
      </c>
      <c r="F1346" s="1719">
        <v>0.03</v>
      </c>
      <c r="G1346" s="1722">
        <f t="shared" si="64"/>
        <v>37500</v>
      </c>
      <c r="H1346" s="587" t="s">
        <v>523</v>
      </c>
      <c r="I1346" s="798" t="s">
        <v>4122</v>
      </c>
      <c r="J1346" s="511"/>
      <c r="K1346" s="511"/>
      <c r="L1346" s="511"/>
      <c r="M1346" s="511"/>
      <c r="N1346" s="511"/>
      <c r="O1346" s="511"/>
      <c r="P1346" s="511"/>
    </row>
    <row r="1347" spans="1:16" x14ac:dyDescent="0.3">
      <c r="A1347" s="65">
        <v>12154</v>
      </c>
      <c r="B1347" s="981">
        <v>0.1</v>
      </c>
      <c r="C1347" s="912" t="s">
        <v>4961</v>
      </c>
      <c r="D1347" s="1190" t="s">
        <v>4109</v>
      </c>
      <c r="E1347" s="1508">
        <v>1250000</v>
      </c>
      <c r="F1347" s="1719">
        <v>0.03</v>
      </c>
      <c r="G1347" s="1722">
        <f t="shared" si="64"/>
        <v>37500</v>
      </c>
      <c r="H1347" s="587" t="s">
        <v>748</v>
      </c>
      <c r="I1347" s="798" t="s">
        <v>4122</v>
      </c>
      <c r="J1347" s="511"/>
      <c r="K1347" s="511"/>
      <c r="L1347" s="511"/>
      <c r="M1347" s="511"/>
      <c r="N1347" s="511"/>
      <c r="O1347" s="511"/>
      <c r="P1347" s="511"/>
    </row>
    <row r="1348" spans="1:16" x14ac:dyDescent="0.3">
      <c r="A1348" s="65">
        <v>12176</v>
      </c>
      <c r="B1348" s="281">
        <v>0.1</v>
      </c>
      <c r="C1348" s="439" t="s">
        <v>4919</v>
      </c>
      <c r="D1348" s="1054" t="s">
        <v>4109</v>
      </c>
      <c r="E1348" s="1347">
        <v>1000000</v>
      </c>
      <c r="F1348" s="1719">
        <v>0.03</v>
      </c>
      <c r="G1348" s="1722">
        <f t="shared" si="64"/>
        <v>30000</v>
      </c>
      <c r="H1348" s="587" t="s">
        <v>527</v>
      </c>
      <c r="I1348" s="1615" t="s">
        <v>4122</v>
      </c>
      <c r="J1348" s="511"/>
      <c r="K1348" s="511"/>
      <c r="L1348" s="511"/>
      <c r="M1348" s="511"/>
      <c r="N1348" s="511"/>
      <c r="O1348" s="511"/>
      <c r="P1348" s="511"/>
    </row>
    <row r="1349" spans="1:16" x14ac:dyDescent="0.3">
      <c r="A1349" s="2315">
        <v>12156</v>
      </c>
      <c r="B1349" s="981">
        <v>0.1</v>
      </c>
      <c r="C1349" s="439" t="s">
        <v>4962</v>
      </c>
      <c r="D1349" s="1054" t="s">
        <v>4109</v>
      </c>
      <c r="E1349" s="1508">
        <v>1050000</v>
      </c>
      <c r="F1349" s="1719">
        <v>0.03</v>
      </c>
      <c r="G1349" s="1722">
        <f t="shared" si="64"/>
        <v>31500</v>
      </c>
      <c r="H1349" s="587" t="s">
        <v>2037</v>
      </c>
      <c r="I1349" s="798" t="s">
        <v>4122</v>
      </c>
      <c r="J1349" s="511"/>
      <c r="K1349" s="511"/>
      <c r="L1349" s="511"/>
      <c r="M1349" s="511"/>
      <c r="N1349" s="511"/>
      <c r="O1349" s="511"/>
      <c r="P1349" s="511"/>
    </row>
    <row r="1350" spans="1:16" x14ac:dyDescent="0.3">
      <c r="A1350" s="170">
        <v>12164</v>
      </c>
      <c r="B1350" s="1580">
        <v>0.1</v>
      </c>
      <c r="C1350" s="1557" t="s">
        <v>4951</v>
      </c>
      <c r="D1350" s="1566" t="s">
        <v>4109</v>
      </c>
      <c r="E1350" s="1342">
        <v>1200000</v>
      </c>
      <c r="F1350" s="1719">
        <v>0.03</v>
      </c>
      <c r="G1350" s="1722">
        <f t="shared" si="64"/>
        <v>36000</v>
      </c>
      <c r="H1350" s="587" t="s">
        <v>523</v>
      </c>
      <c r="I1350" s="798" t="s">
        <v>4122</v>
      </c>
      <c r="J1350" s="511"/>
      <c r="K1350" s="511"/>
      <c r="L1350" s="511"/>
      <c r="M1350" s="511"/>
      <c r="N1350" s="511"/>
      <c r="O1350" s="511"/>
      <c r="P1350" s="511"/>
    </row>
    <row r="1351" spans="1:16" ht="27" x14ac:dyDescent="0.3">
      <c r="A1351" s="121">
        <v>12181</v>
      </c>
      <c r="B1351" s="281">
        <v>0.1</v>
      </c>
      <c r="C1351" s="439" t="s">
        <v>4963</v>
      </c>
      <c r="D1351" s="1190" t="s">
        <v>4109</v>
      </c>
      <c r="E1351" s="1508">
        <v>1250000</v>
      </c>
      <c r="F1351" s="1719">
        <v>0.03</v>
      </c>
      <c r="G1351" s="1722">
        <f t="shared" si="64"/>
        <v>37500</v>
      </c>
      <c r="H1351" s="587" t="s">
        <v>527</v>
      </c>
      <c r="I1351" s="798" t="s">
        <v>4122</v>
      </c>
      <c r="J1351" s="511"/>
      <c r="K1351" s="511"/>
      <c r="L1351" s="511"/>
      <c r="M1351" s="511"/>
      <c r="N1351" s="511"/>
      <c r="O1351" s="511"/>
      <c r="P1351" s="511"/>
    </row>
    <row r="1352" spans="1:16" ht="15.6" x14ac:dyDescent="0.3">
      <c r="A1352" s="1991">
        <v>12195</v>
      </c>
      <c r="B1352" s="281">
        <v>0.1</v>
      </c>
      <c r="C1352" s="439" t="s">
        <v>4920</v>
      </c>
      <c r="D1352" s="1190" t="s">
        <v>4109</v>
      </c>
      <c r="E1352" s="1508">
        <v>1200000</v>
      </c>
      <c r="F1352" s="1719">
        <v>0.03</v>
      </c>
      <c r="G1352" s="1704">
        <f t="shared" si="64"/>
        <v>36000</v>
      </c>
      <c r="H1352" s="587" t="s">
        <v>748</v>
      </c>
      <c r="I1352" s="1615" t="s">
        <v>4122</v>
      </c>
      <c r="J1352" s="511"/>
      <c r="K1352" s="511"/>
      <c r="L1352" s="511"/>
      <c r="M1352" s="511"/>
      <c r="N1352" s="511"/>
      <c r="O1352" s="511"/>
      <c r="P1352" s="511"/>
    </row>
    <row r="1353" spans="1:16" x14ac:dyDescent="0.3">
      <c r="A1353" s="75">
        <v>12194</v>
      </c>
      <c r="B1353" s="1232">
        <v>0.1</v>
      </c>
      <c r="C1353" s="995" t="s">
        <v>4953</v>
      </c>
      <c r="D1353" s="1732" t="s">
        <v>4109</v>
      </c>
      <c r="E1353" s="1337">
        <v>950000</v>
      </c>
      <c r="F1353" s="322">
        <v>0.03</v>
      </c>
      <c r="G1353" s="519">
        <f t="shared" si="64"/>
        <v>28500</v>
      </c>
      <c r="H1353" s="587" t="s">
        <v>527</v>
      </c>
      <c r="I1353" s="67" t="s">
        <v>4122</v>
      </c>
      <c r="J1353" s="511"/>
      <c r="K1353" s="511"/>
      <c r="L1353" s="511"/>
      <c r="M1353" s="511"/>
      <c r="N1353" s="511"/>
      <c r="O1353" s="511"/>
      <c r="P1353" s="511"/>
    </row>
    <row r="1354" spans="1:16" x14ac:dyDescent="0.3">
      <c r="A1354" s="2316"/>
      <c r="B1354" s="742"/>
      <c r="C1354" s="1239"/>
      <c r="D1354" s="1100"/>
      <c r="E1354" s="1352"/>
      <c r="F1354" s="499"/>
      <c r="G1354" s="499"/>
      <c r="H1354" s="984"/>
      <c r="I1354" s="1071"/>
    </row>
    <row r="1355" spans="1:16" x14ac:dyDescent="0.3">
      <c r="A1355" s="2290"/>
      <c r="B1355" s="171"/>
      <c r="C1355" s="171"/>
      <c r="D1355" s="1136" t="s">
        <v>4264</v>
      </c>
      <c r="E1355" s="1353">
        <f>SUM(E1321:E1353)</f>
        <v>37930000</v>
      </c>
      <c r="F1355" s="498"/>
      <c r="G1355" s="501">
        <f>SUM(G1321:G1353)</f>
        <v>1110400</v>
      </c>
      <c r="H1355" s="984"/>
      <c r="I1355" s="268"/>
    </row>
    <row r="1356" spans="1:16" ht="15.6" x14ac:dyDescent="0.3">
      <c r="A1356" s="265"/>
      <c r="B1356" s="171"/>
      <c r="C1356" s="171"/>
      <c r="D1356" s="1137" t="s">
        <v>3764</v>
      </c>
      <c r="E1356" s="495">
        <f>G1355</f>
        <v>1110400</v>
      </c>
      <c r="F1356" s="11"/>
      <c r="G1356" s="11"/>
      <c r="H1356" s="2"/>
      <c r="I1356" s="2"/>
    </row>
    <row r="1359" spans="1:16" ht="18" x14ac:dyDescent="0.35">
      <c r="A1359" s="3815" t="s">
        <v>4497</v>
      </c>
      <c r="B1359" s="3816"/>
      <c r="C1359" s="3816"/>
      <c r="D1359" s="3816"/>
      <c r="E1359" s="3816"/>
      <c r="F1359" s="11"/>
    </row>
    <row r="1360" spans="1:16" ht="18" x14ac:dyDescent="0.35">
      <c r="A1360" s="1428" t="s">
        <v>4498</v>
      </c>
      <c r="B1360" s="1428" t="s">
        <v>3754</v>
      </c>
      <c r="C1360" s="1428" t="s">
        <v>4499</v>
      </c>
      <c r="D1360" s="1429" t="s">
        <v>4500</v>
      </c>
      <c r="E1360" s="1430" t="s">
        <v>4123</v>
      </c>
      <c r="F1360" s="11"/>
    </row>
    <row r="1361" spans="1:6" ht="15.6" x14ac:dyDescent="0.3">
      <c r="A1361" s="2317">
        <v>7281229</v>
      </c>
      <c r="B1361" s="1554" t="s">
        <v>2577</v>
      </c>
      <c r="C1361" s="1553" t="s">
        <v>4964</v>
      </c>
      <c r="D1361" s="1553" t="s">
        <v>4965</v>
      </c>
      <c r="E1361" s="1555" t="s">
        <v>2073</v>
      </c>
      <c r="F1361" s="117"/>
    </row>
    <row r="1362" spans="1:6" ht="15.6" x14ac:dyDescent="0.3">
      <c r="A1362" s="265">
        <v>7281269</v>
      </c>
      <c r="B1362" s="1528">
        <v>870000</v>
      </c>
      <c r="C1362" s="11" t="s">
        <v>4966</v>
      </c>
      <c r="D1362" s="11" t="s">
        <v>4967</v>
      </c>
      <c r="E1362" s="1426" t="s">
        <v>4805</v>
      </c>
      <c r="F1362" s="117"/>
    </row>
    <row r="1363" spans="1:6" ht="15.6" x14ac:dyDescent="0.3">
      <c r="A1363" s="2318">
        <v>7299738</v>
      </c>
      <c r="B1363" s="1532">
        <v>900000</v>
      </c>
      <c r="C1363" s="1239" t="s">
        <v>4968</v>
      </c>
      <c r="D1363" s="1533" t="s">
        <v>4969</v>
      </c>
      <c r="E1363" s="1533" t="s">
        <v>4658</v>
      </c>
      <c r="F1363" s="117"/>
    </row>
    <row r="1364" spans="1:6" ht="15.6" x14ac:dyDescent="0.3">
      <c r="A1364" s="2319">
        <v>7243214</v>
      </c>
      <c r="B1364" s="1619">
        <v>1600000</v>
      </c>
      <c r="C1364" s="1426" t="s">
        <v>4970</v>
      </c>
      <c r="D1364" s="1426" t="s">
        <v>4971</v>
      </c>
      <c r="E1364" s="1426" t="s">
        <v>2073</v>
      </c>
      <c r="F1364" s="117"/>
    </row>
    <row r="1365" spans="1:6" ht="15.6" x14ac:dyDescent="0.3">
      <c r="A1365" s="2307"/>
      <c r="B1365" s="1427"/>
      <c r="C1365" s="716"/>
      <c r="D1365" s="1426"/>
      <c r="E1365" s="1426"/>
      <c r="F1365" s="117"/>
    </row>
    <row r="1366" spans="1:6" ht="15.6" x14ac:dyDescent="0.3">
      <c r="A1366" s="2307"/>
      <c r="B1366" s="1427"/>
      <c r="C1366" s="716"/>
      <c r="D1366" s="1426"/>
      <c r="E1366" s="1426"/>
      <c r="F1366" s="117"/>
    </row>
    <row r="1367" spans="1:6" x14ac:dyDescent="0.3">
      <c r="A1367" s="2300"/>
      <c r="B1367" s="1424"/>
      <c r="C1367" s="1239"/>
      <c r="D1367" s="1239"/>
      <c r="E1367" s="1239"/>
      <c r="F1367" s="910"/>
    </row>
    <row r="1368" spans="1:6" ht="18" x14ac:dyDescent="0.35">
      <c r="A1368" s="1425"/>
      <c r="B1368" s="898"/>
      <c r="C1368" s="898"/>
      <c r="D1368" s="1197"/>
      <c r="E1368" s="907"/>
      <c r="F1368" s="11"/>
    </row>
    <row r="1369" spans="1:6" ht="18" x14ac:dyDescent="0.35">
      <c r="A1369" s="898"/>
      <c r="B1369" s="898"/>
      <c r="C1369" s="898"/>
      <c r="D1369" s="1197"/>
      <c r="E1369" s="10"/>
      <c r="F1369" s="11"/>
    </row>
    <row r="1371" spans="1:6" x14ac:dyDescent="0.3">
      <c r="A1371" s="3720" t="s">
        <v>3064</v>
      </c>
      <c r="B1371" s="3800"/>
      <c r="C1371" s="79"/>
      <c r="D1371" s="1249">
        <f>E1355</f>
        <v>37930000</v>
      </c>
    </row>
    <row r="1372" spans="1:6" x14ac:dyDescent="0.3">
      <c r="A1372" s="3721" t="s">
        <v>3065</v>
      </c>
      <c r="B1372" s="3801"/>
      <c r="C1372" s="41"/>
      <c r="D1372" s="1437"/>
    </row>
    <row r="1373" spans="1:6" x14ac:dyDescent="0.3">
      <c r="A1373" s="3722" t="s">
        <v>3066</v>
      </c>
      <c r="B1373" s="3793"/>
      <c r="C1373" s="45"/>
      <c r="D1373" s="1438"/>
    </row>
    <row r="1374" spans="1:6" x14ac:dyDescent="0.3">
      <c r="A1374" s="3609" t="s">
        <v>3067</v>
      </c>
      <c r="B1374" s="3794"/>
      <c r="C1374" s="651"/>
      <c r="D1374" s="1573"/>
    </row>
    <row r="1375" spans="1:6" x14ac:dyDescent="0.3">
      <c r="A1375" s="3725" t="s">
        <v>3068</v>
      </c>
      <c r="B1375" s="3795"/>
      <c r="C1375" s="1513"/>
      <c r="D1375" s="729"/>
    </row>
    <row r="1376" spans="1:6" x14ac:dyDescent="0.3">
      <c r="A1376" s="2320" t="s">
        <v>3069</v>
      </c>
      <c r="B1376" s="1778"/>
      <c r="C1376" s="1513"/>
      <c r="D1376" s="729"/>
    </row>
    <row r="1377" spans="1:17" x14ac:dyDescent="0.3">
      <c r="A1377" s="2234"/>
      <c r="B1377" s="43" t="s">
        <v>3070</v>
      </c>
      <c r="C1377" s="43"/>
      <c r="D1377" s="1157" t="s">
        <v>3133</v>
      </c>
    </row>
    <row r="1384" spans="1:17" ht="46.2" x14ac:dyDescent="0.85">
      <c r="A1384" s="3802" t="s">
        <v>4972</v>
      </c>
      <c r="B1384" s="3802"/>
      <c r="C1384" s="3802"/>
      <c r="D1384" s="3802"/>
      <c r="E1384" s="3802"/>
      <c r="F1384" s="3802"/>
      <c r="G1384" s="3802"/>
      <c r="H1384" s="3802"/>
      <c r="I1384" s="3802"/>
      <c r="J1384" s="3802"/>
      <c r="O1384" s="1"/>
    </row>
    <row r="1385" spans="1:17" x14ac:dyDescent="0.3">
      <c r="O1385" s="1"/>
    </row>
    <row r="1386" spans="1:17" ht="21" x14ac:dyDescent="0.4">
      <c r="A1386" s="3803" t="s">
        <v>2972</v>
      </c>
      <c r="B1386" s="3803"/>
      <c r="C1386" s="3803"/>
      <c r="D1386" s="3804"/>
      <c r="E1386" s="3803"/>
      <c r="F1386" s="3803"/>
      <c r="G1386" s="3803"/>
      <c r="H1386" s="3803"/>
      <c r="I1386" s="3803"/>
      <c r="J1386" s="3803"/>
      <c r="K1386" s="3642" t="s">
        <v>2973</v>
      </c>
      <c r="L1386" s="3642"/>
      <c r="M1386" s="3642"/>
      <c r="N1386" s="3642"/>
      <c r="O1386" s="2"/>
    </row>
    <row r="1387" spans="1:17" x14ac:dyDescent="0.3">
      <c r="A1387" s="2276" t="s">
        <v>2974</v>
      </c>
      <c r="B1387" s="1666" t="s">
        <v>2975</v>
      </c>
      <c r="C1387" s="809" t="s">
        <v>3004</v>
      </c>
      <c r="D1387" s="1083" t="s">
        <v>2977</v>
      </c>
      <c r="E1387" s="805" t="s">
        <v>2978</v>
      </c>
      <c r="F1387" s="1666" t="s">
        <v>2979</v>
      </c>
      <c r="G1387" s="167" t="s">
        <v>2980</v>
      </c>
      <c r="H1387" s="1666" t="s">
        <v>2981</v>
      </c>
      <c r="I1387" s="1666" t="s">
        <v>2982</v>
      </c>
      <c r="J1387" s="1666" t="s">
        <v>2983</v>
      </c>
      <c r="K1387" s="26" t="s">
        <v>2975</v>
      </c>
      <c r="L1387" s="26" t="s">
        <v>2977</v>
      </c>
      <c r="M1387" s="26" t="s">
        <v>2984</v>
      </c>
      <c r="N1387" s="267" t="s">
        <v>2979</v>
      </c>
      <c r="O1387" s="268" t="s">
        <v>2985</v>
      </c>
    </row>
    <row r="1388" spans="1:17" ht="27" x14ac:dyDescent="0.3">
      <c r="A1388" s="2321"/>
      <c r="B1388" s="791"/>
      <c r="C1388" s="1224"/>
      <c r="D1388" s="1246" t="s">
        <v>4973</v>
      </c>
      <c r="E1388" s="1648"/>
      <c r="F1388" s="720"/>
      <c r="G1388" s="721"/>
      <c r="H1388" s="1488"/>
      <c r="I1388" s="1855" t="s">
        <v>3925</v>
      </c>
      <c r="J1388" s="1779"/>
      <c r="K1388" s="2047">
        <v>12292</v>
      </c>
      <c r="L1388" s="937" t="s">
        <v>4974</v>
      </c>
      <c r="M1388" s="1337">
        <v>1000000</v>
      </c>
      <c r="N1388" s="310">
        <v>0.05</v>
      </c>
      <c r="O1388" s="669">
        <f>M1388*N1388</f>
        <v>50000</v>
      </c>
      <c r="P1388" s="1204"/>
      <c r="Q1388" s="511"/>
    </row>
    <row r="1389" spans="1:17" ht="27" x14ac:dyDescent="0.3">
      <c r="A1389" s="2321"/>
      <c r="B1389" s="791"/>
      <c r="C1389" s="1224"/>
      <c r="D1389" s="1812" t="s">
        <v>4975</v>
      </c>
      <c r="E1389" s="1648"/>
      <c r="F1389" s="720"/>
      <c r="G1389" s="721"/>
      <c r="H1389" s="1488"/>
      <c r="I1389" s="1855" t="s">
        <v>3925</v>
      </c>
      <c r="J1389" s="1779"/>
      <c r="K1389" s="2047">
        <v>12331</v>
      </c>
      <c r="L1389" s="937" t="s">
        <v>4976</v>
      </c>
      <c r="M1389" s="1344">
        <v>1100000</v>
      </c>
      <c r="N1389" s="310">
        <v>0.05</v>
      </c>
      <c r="O1389" s="669">
        <f t="shared" ref="O1389:O1391" si="65">M1389*N1389</f>
        <v>55000</v>
      </c>
      <c r="P1389" s="1204"/>
      <c r="Q1389" s="511"/>
    </row>
    <row r="1390" spans="1:17" ht="27" x14ac:dyDescent="0.3">
      <c r="A1390" s="2321"/>
      <c r="B1390" s="791"/>
      <c r="C1390" s="1224"/>
      <c r="D1390" s="1807" t="s">
        <v>4977</v>
      </c>
      <c r="E1390" s="1676"/>
      <c r="F1390" s="344"/>
      <c r="G1390" s="387"/>
      <c r="H1390" s="1381"/>
      <c r="I1390" s="1856" t="s">
        <v>3925</v>
      </c>
      <c r="J1390" s="1779"/>
      <c r="K1390" s="2047">
        <v>12367</v>
      </c>
      <c r="L1390" s="1022" t="s">
        <v>4978</v>
      </c>
      <c r="M1390" s="1635">
        <v>1300000</v>
      </c>
      <c r="N1390" s="310">
        <v>0.05</v>
      </c>
      <c r="O1390" s="669">
        <f t="shared" si="65"/>
        <v>65000</v>
      </c>
      <c r="P1390" s="307"/>
      <c r="Q1390" s="511"/>
    </row>
    <row r="1391" spans="1:17" ht="27" x14ac:dyDescent="0.3">
      <c r="A1391" s="2321"/>
      <c r="B1391" s="791"/>
      <c r="C1391" s="1224"/>
      <c r="D1391" s="729" t="s">
        <v>4979</v>
      </c>
      <c r="E1391" s="1749"/>
      <c r="F1391" s="344"/>
      <c r="G1391" s="387"/>
      <c r="H1391" s="358"/>
      <c r="I1391" s="1857" t="s">
        <v>3925</v>
      </c>
      <c r="J1391" s="1779"/>
      <c r="K1391" s="2048">
        <v>12376</v>
      </c>
      <c r="L1391" s="1233" t="s">
        <v>4980</v>
      </c>
      <c r="M1391" s="1950">
        <v>1100000</v>
      </c>
      <c r="N1391" s="310">
        <v>0.05</v>
      </c>
      <c r="O1391" s="669">
        <f t="shared" si="65"/>
        <v>55000</v>
      </c>
      <c r="P1391" s="511"/>
      <c r="Q1391" s="511"/>
    </row>
    <row r="1392" spans="1:17" ht="27" x14ac:dyDescent="0.3">
      <c r="A1392" s="2321"/>
      <c r="B1392" s="791"/>
      <c r="C1392" s="1224"/>
      <c r="D1392" s="1169" t="s">
        <v>4981</v>
      </c>
      <c r="E1392" s="1676"/>
      <c r="F1392" s="1730"/>
      <c r="G1392" s="721"/>
      <c r="H1392" s="621"/>
      <c r="I1392" s="1858" t="s">
        <v>3925</v>
      </c>
      <c r="J1392" s="1779"/>
      <c r="K1392" s="118"/>
      <c r="L1392" s="1779"/>
      <c r="M1392" s="1779"/>
      <c r="N1392" s="1779"/>
      <c r="O1392" s="2"/>
    </row>
    <row r="1393" spans="1:17" ht="27" x14ac:dyDescent="0.3">
      <c r="A1393" s="2321"/>
      <c r="B1393" s="791"/>
      <c r="C1393" s="1224"/>
      <c r="D1393" s="921" t="s">
        <v>4982</v>
      </c>
      <c r="E1393" s="1676"/>
      <c r="F1393" s="1729"/>
      <c r="G1393" s="387"/>
      <c r="H1393" s="606"/>
      <c r="I1393" s="1857" t="s">
        <v>3925</v>
      </c>
      <c r="J1393" s="1779"/>
      <c r="K1393" s="118"/>
      <c r="L1393" s="1779"/>
      <c r="M1393" s="1779"/>
      <c r="N1393" s="1779"/>
      <c r="O1393" s="2"/>
    </row>
    <row r="1394" spans="1:17" ht="25.5" customHeight="1" x14ac:dyDescent="0.3">
      <c r="A1394" s="2322" t="s">
        <v>4267</v>
      </c>
      <c r="B1394" s="1224"/>
      <c r="C1394" s="362"/>
      <c r="D1394" s="1169" t="s">
        <v>4983</v>
      </c>
      <c r="E1394" s="1676"/>
      <c r="F1394" s="1730"/>
      <c r="G1394" s="721"/>
      <c r="H1394" s="621"/>
      <c r="I1394" s="1193" t="s">
        <v>3928</v>
      </c>
      <c r="J1394" s="1735"/>
      <c r="K1394" s="1665"/>
      <c r="L1394" s="1201"/>
      <c r="M1394" s="1748"/>
      <c r="N1394" s="1644"/>
      <c r="O1394" s="1645"/>
    </row>
    <row r="1395" spans="1:17" s="511" customFormat="1" ht="15" customHeight="1" x14ac:dyDescent="0.3">
      <c r="A1395" s="2323"/>
      <c r="B1395" s="2022">
        <v>12290</v>
      </c>
      <c r="C1395" s="2023">
        <v>0.1</v>
      </c>
      <c r="D1395" s="1557" t="s">
        <v>4984</v>
      </c>
      <c r="E1395" s="1765">
        <v>1150000</v>
      </c>
      <c r="F1395" s="592">
        <v>0.1</v>
      </c>
      <c r="G1395" s="1766">
        <f>E1395*F1395</f>
        <v>115000</v>
      </c>
      <c r="H1395" s="312" t="s">
        <v>582</v>
      </c>
      <c r="I1395" s="969" t="s">
        <v>3925</v>
      </c>
      <c r="J1395" s="1300"/>
      <c r="K1395" s="1779"/>
      <c r="L1395" s="1188"/>
      <c r="M1395" s="1748"/>
      <c r="N1395" s="1644"/>
      <c r="O1395" s="1620"/>
    </row>
    <row r="1396" spans="1:17" ht="15" customHeight="1" x14ac:dyDescent="0.3">
      <c r="A1396" s="2323"/>
      <c r="B1396" s="2022">
        <v>12277</v>
      </c>
      <c r="C1396" s="2024">
        <v>0.1</v>
      </c>
      <c r="D1396" s="1170" t="s">
        <v>4985</v>
      </c>
      <c r="E1396" s="1347">
        <v>1200000</v>
      </c>
      <c r="F1396" s="592">
        <v>0.1</v>
      </c>
      <c r="G1396" s="1766">
        <f t="shared" ref="G1396:G1399" si="66">E1396*F1396</f>
        <v>120000</v>
      </c>
      <c r="H1396" s="283" t="s">
        <v>582</v>
      </c>
      <c r="I1396" s="503" t="s">
        <v>3925</v>
      </c>
      <c r="J1396" s="1779"/>
      <c r="K1396" s="64"/>
      <c r="L1396" s="1188"/>
      <c r="M1396" s="1748"/>
      <c r="N1396" s="1644"/>
      <c r="O1396" s="1313"/>
    </row>
    <row r="1397" spans="1:17" ht="15" customHeight="1" x14ac:dyDescent="0.3">
      <c r="A1397" s="2323"/>
      <c r="B1397" s="2022">
        <v>12337</v>
      </c>
      <c r="C1397" s="2024">
        <v>0.1</v>
      </c>
      <c r="D1397" s="1700" t="s">
        <v>4986</v>
      </c>
      <c r="E1397" s="1347">
        <v>1200000</v>
      </c>
      <c r="F1397" s="592">
        <v>0.1</v>
      </c>
      <c r="G1397" s="1766">
        <f t="shared" si="66"/>
        <v>120000</v>
      </c>
      <c r="H1397" s="283" t="s">
        <v>582</v>
      </c>
      <c r="I1397" s="503" t="s">
        <v>3925</v>
      </c>
      <c r="J1397" s="1779"/>
      <c r="K1397" s="64"/>
      <c r="L1397" s="1763"/>
      <c r="M1397" s="1764"/>
      <c r="N1397" s="1465"/>
      <c r="O1397" s="1645"/>
    </row>
    <row r="1398" spans="1:17" ht="15" customHeight="1" x14ac:dyDescent="0.3">
      <c r="A1398" s="2323"/>
      <c r="B1398" s="2025">
        <v>12380</v>
      </c>
      <c r="C1398" s="2026">
        <v>0.1</v>
      </c>
      <c r="D1398" s="1566" t="s">
        <v>4987</v>
      </c>
      <c r="E1398" s="1351">
        <v>1150000</v>
      </c>
      <c r="F1398" s="592">
        <v>0.1</v>
      </c>
      <c r="G1398" s="1766">
        <f t="shared" si="66"/>
        <v>115000</v>
      </c>
      <c r="H1398" s="283" t="s">
        <v>582</v>
      </c>
      <c r="I1398" s="1824" t="s">
        <v>3928</v>
      </c>
      <c r="J1398" s="1779"/>
      <c r="K1398" s="64"/>
      <c r="L1398" s="1763"/>
      <c r="M1398" s="1764"/>
      <c r="N1398" s="1465"/>
      <c r="O1398" s="1645"/>
    </row>
    <row r="1399" spans="1:17" ht="15" customHeight="1" x14ac:dyDescent="0.3">
      <c r="A1399" s="2323"/>
      <c r="B1399" s="2027">
        <v>12389</v>
      </c>
      <c r="C1399" s="2026">
        <v>0.1</v>
      </c>
      <c r="D1399" s="1170" t="s">
        <v>4988</v>
      </c>
      <c r="E1399" s="1351">
        <v>1400000</v>
      </c>
      <c r="F1399" s="592">
        <v>0.1</v>
      </c>
      <c r="G1399" s="1766">
        <f t="shared" si="66"/>
        <v>140000</v>
      </c>
      <c r="H1399" s="283" t="s">
        <v>582</v>
      </c>
      <c r="I1399" s="885" t="s">
        <v>3928</v>
      </c>
      <c r="J1399" s="1779"/>
      <c r="K1399" s="64"/>
      <c r="L1399" s="1763"/>
      <c r="M1399" s="1764"/>
      <c r="N1399" s="1465"/>
      <c r="O1399" s="1645"/>
    </row>
    <row r="1400" spans="1:17" ht="15" customHeight="1" x14ac:dyDescent="0.3">
      <c r="A1400" s="2323"/>
      <c r="B1400" s="307"/>
      <c r="C1400" s="326"/>
      <c r="D1400" s="1651"/>
      <c r="E1400" s="1632"/>
      <c r="F1400" s="320"/>
      <c r="G1400" s="321"/>
      <c r="H1400" s="662"/>
      <c r="I1400" s="352"/>
      <c r="J1400" s="951"/>
      <c r="K1400" s="1780"/>
      <c r="L1400" s="1780"/>
      <c r="M1400" s="949"/>
      <c r="N1400" s="985"/>
      <c r="O1400" s="1780"/>
    </row>
    <row r="1401" spans="1:17" ht="15" customHeight="1" x14ac:dyDescent="0.3">
      <c r="A1401" s="2323"/>
      <c r="B1401" s="638"/>
      <c r="C1401" s="638"/>
      <c r="D1401" s="1171" t="s">
        <v>3000</v>
      </c>
      <c r="E1401" s="1634">
        <f>SUM(E1395:E1399)</f>
        <v>6100000</v>
      </c>
      <c r="F1401" s="956"/>
      <c r="G1401" s="1207">
        <f>SUM(G1395:G1399)</f>
        <v>610000</v>
      </c>
      <c r="H1401" s="1208"/>
      <c r="I1401" s="452"/>
      <c r="J1401" s="794"/>
      <c r="K1401" s="316"/>
      <c r="L1401" s="3599" t="s">
        <v>3001</v>
      </c>
      <c r="M1401" s="3599"/>
      <c r="N1401" s="3599"/>
      <c r="O1401" s="297">
        <f>SUM(O1388:O1391)</f>
        <v>225000</v>
      </c>
    </row>
    <row r="1402" spans="1:17" ht="15" customHeight="1" x14ac:dyDescent="0.3">
      <c r="A1402" s="2324"/>
      <c r="B1402" s="1210"/>
      <c r="C1402" s="1210"/>
      <c r="D1402" s="1211" t="s">
        <v>3002</v>
      </c>
      <c r="E1402" s="1212">
        <f>G1401+O1401</f>
        <v>835000</v>
      </c>
      <c r="F1402" s="1210"/>
      <c r="G1402" s="1213"/>
      <c r="H1402" s="840"/>
      <c r="I1402" s="840"/>
      <c r="J1402" s="843"/>
      <c r="K1402" s="895"/>
      <c r="L1402" s="895"/>
      <c r="M1402" s="895"/>
      <c r="N1402" s="895"/>
      <c r="O1402" s="430"/>
    </row>
    <row r="1403" spans="1:17" x14ac:dyDescent="0.3">
      <c r="A1403" s="2230"/>
      <c r="B1403" s="17"/>
      <c r="C1403" s="17"/>
      <c r="D1403" s="1085"/>
      <c r="E1403" s="19"/>
      <c r="F1403" s="17"/>
      <c r="G1403" s="20"/>
      <c r="H1403" s="17"/>
      <c r="I1403" s="17"/>
      <c r="J1403" s="18"/>
      <c r="O1403" s="1"/>
    </row>
    <row r="1404" spans="1:17" x14ac:dyDescent="0.3">
      <c r="A1404" s="2230"/>
      <c r="B1404" s="17"/>
      <c r="C1404" s="17"/>
      <c r="D1404" s="1085"/>
      <c r="E1404" s="19"/>
      <c r="F1404" s="17"/>
      <c r="G1404" s="20"/>
      <c r="H1404" s="17"/>
      <c r="I1404" s="17"/>
      <c r="J1404" s="18"/>
      <c r="O1404" s="1"/>
    </row>
    <row r="1405" spans="1:17" ht="21" x14ac:dyDescent="0.4">
      <c r="A1405" s="3805" t="s">
        <v>3003</v>
      </c>
      <c r="B1405" s="3805"/>
      <c r="C1405" s="3805"/>
      <c r="D1405" s="3805"/>
      <c r="E1405" s="3805"/>
      <c r="F1405" s="3805"/>
      <c r="G1405" s="3805"/>
      <c r="H1405" s="3805"/>
      <c r="I1405" s="3805"/>
      <c r="J1405" s="3805"/>
      <c r="K1405" s="3644" t="s">
        <v>2973</v>
      </c>
      <c r="L1405" s="3644"/>
      <c r="M1405" s="3644"/>
      <c r="N1405" s="3644"/>
      <c r="O1405" s="268"/>
    </row>
    <row r="1406" spans="1:17" x14ac:dyDescent="0.3">
      <c r="A1406" s="2308" t="s">
        <v>2974</v>
      </c>
      <c r="B1406" s="64" t="s">
        <v>2975</v>
      </c>
      <c r="C1406" s="1300" t="s">
        <v>3004</v>
      </c>
      <c r="D1406" s="1307" t="s">
        <v>2977</v>
      </c>
      <c r="E1406" s="832" t="s">
        <v>2978</v>
      </c>
      <c r="F1406" s="1779" t="s">
        <v>2979</v>
      </c>
      <c r="G1406" s="833" t="s">
        <v>2980</v>
      </c>
      <c r="H1406" s="1779" t="s">
        <v>2981</v>
      </c>
      <c r="I1406" s="1779" t="s">
        <v>2982</v>
      </c>
      <c r="J1406" s="1779" t="s">
        <v>2983</v>
      </c>
      <c r="K1406" s="1779" t="s">
        <v>2975</v>
      </c>
      <c r="L1406" s="1779" t="s">
        <v>2977</v>
      </c>
      <c r="M1406" s="1779" t="s">
        <v>2984</v>
      </c>
      <c r="N1406" s="1779" t="s">
        <v>2979</v>
      </c>
      <c r="O1406" s="51" t="s">
        <v>2985</v>
      </c>
    </row>
    <row r="1407" spans="1:17" ht="27" x14ac:dyDescent="0.3">
      <c r="A1407" s="3626" t="s">
        <v>3366</v>
      </c>
      <c r="B1407" s="1234"/>
      <c r="C1407" s="1234"/>
      <c r="D1407" s="729" t="s">
        <v>4989</v>
      </c>
      <c r="E1407" s="1677"/>
      <c r="F1407" s="344"/>
      <c r="G1407" s="358"/>
      <c r="H1407" s="417"/>
      <c r="I1407" s="416" t="s">
        <v>3928</v>
      </c>
      <c r="J1407" s="335"/>
      <c r="K1407" s="863">
        <v>12351</v>
      </c>
      <c r="L1407" s="439" t="s">
        <v>4990</v>
      </c>
      <c r="M1407" s="1340">
        <v>1100000</v>
      </c>
      <c r="N1407" s="310">
        <v>0.04</v>
      </c>
      <c r="O1407" s="669">
        <f>M1407*N1407</f>
        <v>44000</v>
      </c>
      <c r="P1407" s="319"/>
      <c r="Q1407" s="1780"/>
    </row>
    <row r="1408" spans="1:17" ht="27" x14ac:dyDescent="0.3">
      <c r="A1408" s="3626"/>
      <c r="B1408" s="1611"/>
      <c r="C1408" s="1234"/>
      <c r="D1408" s="729" t="s">
        <v>4991</v>
      </c>
      <c r="E1408" s="1677"/>
      <c r="F1408" s="344"/>
      <c r="G1408" s="358"/>
      <c r="H1408" s="417"/>
      <c r="I1408" s="416" t="s">
        <v>3925</v>
      </c>
      <c r="J1408" s="1780"/>
      <c r="K1408" s="863">
        <v>12301</v>
      </c>
      <c r="L1408" s="912" t="s">
        <v>4992</v>
      </c>
      <c r="M1408" s="1752">
        <v>1200000</v>
      </c>
      <c r="N1408" s="310">
        <v>0.04</v>
      </c>
      <c r="O1408" s="669">
        <f>M1408*N1408</f>
        <v>48000</v>
      </c>
      <c r="P1408" s="970"/>
      <c r="Q1408" s="970"/>
    </row>
    <row r="1409" spans="1:18" ht="27" x14ac:dyDescent="0.3">
      <c r="A1409" s="3626"/>
      <c r="B1409" s="1611"/>
      <c r="C1409" s="1234"/>
      <c r="D1409" s="729" t="s">
        <v>4993</v>
      </c>
      <c r="E1409" s="1610"/>
      <c r="F1409" s="1238"/>
      <c r="G1409" s="358"/>
      <c r="H1409" s="1974"/>
      <c r="I1409" s="417" t="s">
        <v>3928</v>
      </c>
      <c r="J1409" s="1780"/>
      <c r="K1409" s="1779"/>
      <c r="L1409" s="1366"/>
      <c r="M1409" s="1638"/>
      <c r="N1409" s="1779"/>
      <c r="O1409" s="833"/>
      <c r="P1409" s="1385"/>
      <c r="Q1409" s="1779"/>
    </row>
    <row r="1410" spans="1:18" ht="15.6" x14ac:dyDescent="0.3">
      <c r="A1410" s="3626"/>
      <c r="B1410" s="2020">
        <v>12355</v>
      </c>
      <c r="C1410" s="2021">
        <v>0.1</v>
      </c>
      <c r="D1410" s="439" t="s">
        <v>4994</v>
      </c>
      <c r="E1410" s="590">
        <v>1200000</v>
      </c>
      <c r="F1410" s="310">
        <v>0.08</v>
      </c>
      <c r="G1410" s="669">
        <f>E1410*F1410</f>
        <v>96000</v>
      </c>
      <c r="H1410" s="1253" t="s">
        <v>523</v>
      </c>
      <c r="I1410" s="587" t="s">
        <v>3925</v>
      </c>
      <c r="J1410" s="1273"/>
      <c r="K1410" s="1664"/>
      <c r="L1410" s="1239"/>
      <c r="M1410" s="1951"/>
      <c r="N1410" s="376"/>
      <c r="O1410" s="1475"/>
      <c r="P1410" s="970"/>
      <c r="Q1410" s="970"/>
      <c r="R1410" s="511"/>
    </row>
    <row r="1411" spans="1:18" x14ac:dyDescent="0.3">
      <c r="A1411" s="3626"/>
      <c r="B1411" s="307"/>
      <c r="C1411" s="820"/>
      <c r="D1411" s="1183"/>
      <c r="E1411" s="1630"/>
      <c r="F1411" s="768"/>
      <c r="G1411" s="769"/>
      <c r="H1411" s="711"/>
      <c r="I1411" s="532"/>
      <c r="J1411" s="1409"/>
      <c r="K1411" s="298"/>
      <c r="L1411" s="298"/>
      <c r="M1411" s="298"/>
      <c r="N1411" s="298"/>
      <c r="O1411" s="307"/>
    </row>
    <row r="1412" spans="1:18" x14ac:dyDescent="0.3">
      <c r="A1412" s="3626"/>
      <c r="B1412" s="514"/>
      <c r="C1412" s="689"/>
      <c r="D1412" s="1171" t="s">
        <v>3000</v>
      </c>
      <c r="E1412" s="1631">
        <f>SUM(E1410:E1410)</f>
        <v>1200000</v>
      </c>
      <c r="F1412" s="514"/>
      <c r="G1412" s="483">
        <f>G1410</f>
        <v>96000</v>
      </c>
      <c r="H1412" s="918"/>
      <c r="I1412" s="514"/>
      <c r="J1412" s="342"/>
      <c r="K1412" s="1471"/>
      <c r="L1412" s="3651" t="s">
        <v>3026</v>
      </c>
      <c r="M1412" s="3651"/>
      <c r="N1412" s="3651"/>
      <c r="O1412" s="1472">
        <f>SUM(O1407:O1408)</f>
        <v>92000</v>
      </c>
    </row>
    <row r="1413" spans="1:18" x14ac:dyDescent="0.3">
      <c r="A1413" s="3627"/>
      <c r="B1413" s="840"/>
      <c r="C1413" s="815"/>
      <c r="D1413" s="1184" t="s">
        <v>3002</v>
      </c>
      <c r="E1413" s="964">
        <f>G1412+O1412</f>
        <v>188000</v>
      </c>
      <c r="F1413" s="458"/>
      <c r="G1413" s="489"/>
      <c r="H1413" s="458"/>
      <c r="I1413" s="458"/>
      <c r="J1413" s="490"/>
      <c r="K1413" s="461"/>
      <c r="L1413" s="965"/>
      <c r="M1413" s="965"/>
      <c r="N1413" s="965"/>
      <c r="O1413" s="463"/>
    </row>
    <row r="1414" spans="1:18" ht="15.6" x14ac:dyDescent="0.3">
      <c r="A1414" s="2267"/>
      <c r="B1414" s="825"/>
      <c r="C1414" s="464"/>
      <c r="D1414" s="1118"/>
      <c r="E1414" s="466"/>
      <c r="F1414" s="464"/>
      <c r="G1414" s="467"/>
      <c r="H1414" s="464"/>
      <c r="I1414" s="464"/>
      <c r="J1414" s="465"/>
      <c r="K1414" s="468"/>
      <c r="L1414" s="469"/>
      <c r="M1414" s="469"/>
      <c r="N1414" s="469"/>
      <c r="O1414" s="463"/>
    </row>
    <row r="1415" spans="1:18" ht="15.6" x14ac:dyDescent="0.3">
      <c r="A1415" s="2267"/>
      <c r="B1415" s="825"/>
      <c r="C1415" s="825"/>
      <c r="D1415" s="1172"/>
      <c r="E1415" s="827"/>
      <c r="F1415" s="825"/>
      <c r="G1415" s="828"/>
      <c r="H1415" s="825"/>
      <c r="I1415" s="825"/>
      <c r="J1415" s="826"/>
      <c r="K1415" s="829"/>
      <c r="L1415" s="830"/>
      <c r="M1415" s="830"/>
      <c r="N1415" s="830"/>
      <c r="O1415" s="831"/>
    </row>
    <row r="1416" spans="1:18" ht="21" x14ac:dyDescent="0.4">
      <c r="A1416" s="3803" t="s">
        <v>3027</v>
      </c>
      <c r="B1416" s="3803"/>
      <c r="C1416" s="3803"/>
      <c r="D1416" s="3803"/>
      <c r="E1416" s="3803"/>
      <c r="F1416" s="3803"/>
      <c r="G1416" s="3803"/>
      <c r="H1416" s="3803"/>
      <c r="I1416" s="3803"/>
      <c r="J1416" s="3803"/>
      <c r="K1416" s="3636" t="s">
        <v>2973</v>
      </c>
      <c r="L1416" s="3636"/>
      <c r="M1416" s="3636"/>
      <c r="N1416" s="3636"/>
      <c r="O1416" s="2"/>
    </row>
    <row r="1417" spans="1:18" x14ac:dyDescent="0.3">
      <c r="A1417" s="2276" t="s">
        <v>2974</v>
      </c>
      <c r="B1417" s="1666" t="s">
        <v>2975</v>
      </c>
      <c r="C1417" s="1666" t="s">
        <v>3004</v>
      </c>
      <c r="D1417" s="1083" t="s">
        <v>2977</v>
      </c>
      <c r="E1417" s="32" t="s">
        <v>2978</v>
      </c>
      <c r="F1417" s="1666" t="s">
        <v>2979</v>
      </c>
      <c r="G1417" s="167" t="s">
        <v>2980</v>
      </c>
      <c r="H1417" s="1666" t="s">
        <v>2981</v>
      </c>
      <c r="I1417" s="1666" t="s">
        <v>2982</v>
      </c>
      <c r="J1417" s="1666" t="s">
        <v>2983</v>
      </c>
      <c r="K1417" s="1658" t="s">
        <v>2975</v>
      </c>
      <c r="L1417" s="1658" t="s">
        <v>2977</v>
      </c>
      <c r="M1417" s="1658" t="s">
        <v>2984</v>
      </c>
      <c r="N1417" s="1658" t="s">
        <v>2979</v>
      </c>
      <c r="O1417" s="268" t="s">
        <v>2985</v>
      </c>
      <c r="P1417" s="511"/>
      <c r="Q1417" s="511"/>
    </row>
    <row r="1418" spans="1:18" ht="27" x14ac:dyDescent="0.3">
      <c r="A1418" s="1862"/>
      <c r="B1418" s="774"/>
      <c r="C1418" s="1259"/>
      <c r="D1418" s="1742" t="s">
        <v>4995</v>
      </c>
      <c r="E1418" s="1801"/>
      <c r="F1418" s="806"/>
      <c r="G1418" s="808"/>
      <c r="H1418" s="1334"/>
      <c r="I1418" s="1334" t="s">
        <v>3928</v>
      </c>
      <c r="J1418" s="1666"/>
      <c r="K1418" s="867">
        <v>12286</v>
      </c>
      <c r="L1418" s="995" t="s">
        <v>4996</v>
      </c>
      <c r="M1418" s="1337">
        <v>1050000</v>
      </c>
      <c r="N1418" s="322">
        <v>0.05</v>
      </c>
      <c r="O1418" s="602">
        <f>M1418*N1418</f>
        <v>52500</v>
      </c>
      <c r="P1418" s="970"/>
      <c r="Q1418" s="970"/>
    </row>
    <row r="1419" spans="1:18" x14ac:dyDescent="0.3">
      <c r="A1419" s="3824" t="s">
        <v>2986</v>
      </c>
      <c r="B1419" s="774"/>
      <c r="C1419" s="774"/>
      <c r="D1419" s="1478" t="s">
        <v>4997</v>
      </c>
      <c r="E1419" s="1740"/>
      <c r="F1419" s="1230"/>
      <c r="G1419" s="409"/>
      <c r="H1419" s="1371"/>
      <c r="I1419" s="385" t="s">
        <v>3928</v>
      </c>
      <c r="J1419" s="1666"/>
      <c r="K1419" s="867">
        <v>12425</v>
      </c>
      <c r="L1419" s="1538" t="s">
        <v>4998</v>
      </c>
      <c r="M1419" s="1505">
        <v>1100000</v>
      </c>
      <c r="N1419" s="322">
        <v>0.05</v>
      </c>
      <c r="O1419" s="602">
        <f>M1419*N1419</f>
        <v>55000</v>
      </c>
      <c r="P1419" s="307"/>
      <c r="Q1419" s="1058"/>
    </row>
    <row r="1420" spans="1:18" x14ac:dyDescent="0.3">
      <c r="A1420" s="3824"/>
      <c r="B1420" s="774"/>
      <c r="C1420" s="806"/>
      <c r="D1420" s="1742" t="s">
        <v>4999</v>
      </c>
      <c r="E1420" s="1801"/>
      <c r="F1420" s="806"/>
      <c r="G1420" s="808"/>
      <c r="H1420" s="1334"/>
      <c r="I1420" s="1334" t="s">
        <v>3930</v>
      </c>
      <c r="J1420" s="1666"/>
      <c r="K1420" s="1658"/>
      <c r="L1420" s="1188"/>
      <c r="M1420" s="1627"/>
      <c r="N1420" s="308"/>
      <c r="O1420" s="967"/>
      <c r="P1420" s="970"/>
      <c r="Q1420" s="970"/>
    </row>
    <row r="1421" spans="1:18" x14ac:dyDescent="0.3">
      <c r="A1421" s="3824"/>
      <c r="B1421" s="774"/>
      <c r="C1421" s="774"/>
      <c r="D1421" s="1289" t="s">
        <v>5000</v>
      </c>
      <c r="E1421" s="1740"/>
      <c r="F1421" s="1230"/>
      <c r="G1421" s="409"/>
      <c r="H1421" s="1371"/>
      <c r="I1421" s="385" t="s">
        <v>3925</v>
      </c>
      <c r="J1421" s="1666"/>
      <c r="K1421" s="1658"/>
      <c r="L1421" s="1772"/>
      <c r="M1421" s="1637"/>
      <c r="N1421" s="320"/>
      <c r="O1421" s="298"/>
      <c r="P1421" s="307"/>
      <c r="Q1421" s="1058"/>
    </row>
    <row r="1422" spans="1:18" ht="27" x14ac:dyDescent="0.3">
      <c r="A1422" s="3824"/>
      <c r="B1422" s="774"/>
      <c r="C1422" s="774"/>
      <c r="D1422" s="729" t="s">
        <v>5001</v>
      </c>
      <c r="E1422" s="1740"/>
      <c r="F1422" s="1596"/>
      <c r="G1422" s="1670"/>
      <c r="H1422" s="1371"/>
      <c r="I1422" s="1973" t="s">
        <v>3925</v>
      </c>
      <c r="J1422" s="1666"/>
      <c r="K1422" s="1658"/>
      <c r="L1422" s="1772"/>
      <c r="M1422" s="1637"/>
      <c r="N1422" s="320"/>
      <c r="O1422" s="298"/>
      <c r="P1422" s="307"/>
      <c r="Q1422" s="1058"/>
    </row>
    <row r="1423" spans="1:18" ht="27" x14ac:dyDescent="0.3">
      <c r="A1423" s="3824"/>
      <c r="B1423" s="774"/>
      <c r="C1423" s="774"/>
      <c r="D1423" s="729" t="s">
        <v>5002</v>
      </c>
      <c r="E1423" s="1736"/>
      <c r="F1423" s="2055"/>
      <c r="G1423" s="1734"/>
      <c r="H1423" s="1371"/>
      <c r="I1423" s="1973" t="s">
        <v>3925</v>
      </c>
      <c r="J1423" s="1666"/>
      <c r="K1423" s="1658"/>
      <c r="L1423" s="406"/>
      <c r="M1423" s="406"/>
      <c r="N1423" s="1658"/>
      <c r="O1423" s="268"/>
      <c r="P1423" s="511"/>
      <c r="Q1423" s="511"/>
    </row>
    <row r="1424" spans="1:18" ht="15.6" x14ac:dyDescent="0.3">
      <c r="A1424" s="3824"/>
      <c r="B1424" s="2017">
        <v>12226</v>
      </c>
      <c r="C1424" s="2018">
        <v>0.1</v>
      </c>
      <c r="D1424" s="526" t="s">
        <v>5003</v>
      </c>
      <c r="E1424" s="2051">
        <v>1300000</v>
      </c>
      <c r="F1424" s="426">
        <v>0.1</v>
      </c>
      <c r="G1424" s="669">
        <f>E1424*F1424</f>
        <v>130000</v>
      </c>
      <c r="H1424" s="2056" t="s">
        <v>748</v>
      </c>
      <c r="I1424" s="969" t="s">
        <v>3928</v>
      </c>
      <c r="J1424" s="1666"/>
      <c r="K1424" s="1658"/>
      <c r="L1424" s="406"/>
      <c r="M1424" s="406"/>
      <c r="N1424" s="1658"/>
      <c r="O1424" s="268"/>
    </row>
    <row r="1425" spans="1:18" ht="15.6" x14ac:dyDescent="0.3">
      <c r="A1425" s="3824"/>
      <c r="B1425" s="1991">
        <v>12240</v>
      </c>
      <c r="C1425" s="2019">
        <v>0.1</v>
      </c>
      <c r="D1425" s="1256" t="s">
        <v>5004</v>
      </c>
      <c r="E1425" s="1503">
        <v>1000000</v>
      </c>
      <c r="F1425" s="426">
        <v>0.1</v>
      </c>
      <c r="G1425" s="669">
        <f t="shared" ref="G1425:G1432" si="67">E1425*F1425</f>
        <v>100000</v>
      </c>
      <c r="H1425" s="1206" t="s">
        <v>748</v>
      </c>
      <c r="I1425" s="587" t="s">
        <v>3925</v>
      </c>
      <c r="J1425" s="1747"/>
      <c r="K1425" s="1658"/>
      <c r="L1425" s="406"/>
      <c r="M1425" s="406"/>
      <c r="N1425" s="1658"/>
      <c r="O1425" s="268"/>
    </row>
    <row r="1426" spans="1:18" ht="15.6" x14ac:dyDescent="0.3">
      <c r="A1426" s="3824"/>
      <c r="B1426" s="1991">
        <v>12292</v>
      </c>
      <c r="C1426" s="2019">
        <v>0.1</v>
      </c>
      <c r="D1426" s="439" t="s">
        <v>4974</v>
      </c>
      <c r="E1426" s="1502">
        <v>1000000</v>
      </c>
      <c r="F1426" s="426">
        <v>0.05</v>
      </c>
      <c r="G1426" s="669">
        <f t="shared" si="67"/>
        <v>50000</v>
      </c>
      <c r="H1426" s="1206" t="s">
        <v>582</v>
      </c>
      <c r="I1426" s="587" t="s">
        <v>3925</v>
      </c>
      <c r="J1426" s="1747"/>
      <c r="K1426" s="1658"/>
      <c r="L1426" s="406"/>
      <c r="M1426" s="406"/>
      <c r="N1426" s="1658"/>
      <c r="O1426" s="268"/>
    </row>
    <row r="1427" spans="1:18" ht="25.5" customHeight="1" x14ac:dyDescent="0.3">
      <c r="A1427" s="3824"/>
      <c r="B1427" s="1991">
        <v>12282</v>
      </c>
      <c r="C1427" s="2019">
        <v>0.1</v>
      </c>
      <c r="D1427" s="439" t="s">
        <v>5005</v>
      </c>
      <c r="E1427" s="2052">
        <v>1000000</v>
      </c>
      <c r="F1427" s="426">
        <v>0.1</v>
      </c>
      <c r="G1427" s="669">
        <f t="shared" si="67"/>
        <v>100000</v>
      </c>
      <c r="H1427" s="1206" t="s">
        <v>748</v>
      </c>
      <c r="I1427" s="587" t="s">
        <v>3925</v>
      </c>
      <c r="J1427" s="1747"/>
      <c r="K1427" s="1658"/>
      <c r="L1427" s="406"/>
      <c r="M1427" s="406"/>
      <c r="N1427" s="1658"/>
      <c r="O1427" s="268"/>
    </row>
    <row r="1428" spans="1:18" ht="15.6" x14ac:dyDescent="0.3">
      <c r="A1428" s="3824"/>
      <c r="B1428" s="1991">
        <v>12331</v>
      </c>
      <c r="C1428" s="2019">
        <v>0.1</v>
      </c>
      <c r="D1428" s="439" t="s">
        <v>4976</v>
      </c>
      <c r="E1428" s="2052">
        <v>1100000</v>
      </c>
      <c r="F1428" s="426">
        <v>0.05</v>
      </c>
      <c r="G1428" s="669">
        <f t="shared" si="67"/>
        <v>55000</v>
      </c>
      <c r="H1428" s="1206" t="s">
        <v>5006</v>
      </c>
      <c r="I1428" s="587" t="s">
        <v>3930</v>
      </c>
      <c r="J1428" s="1747"/>
      <c r="K1428" s="1658"/>
      <c r="L1428" s="406"/>
      <c r="M1428" s="406"/>
      <c r="N1428" s="1658"/>
      <c r="O1428" s="268"/>
    </row>
    <row r="1429" spans="1:18" ht="27" x14ac:dyDescent="0.3">
      <c r="A1429" s="3824"/>
      <c r="B1429" s="1992">
        <v>12342</v>
      </c>
      <c r="C1429" s="2019">
        <v>0.1</v>
      </c>
      <c r="D1429" s="912" t="s">
        <v>5007</v>
      </c>
      <c r="E1429" s="2053">
        <v>900000</v>
      </c>
      <c r="F1429" s="426">
        <v>0.06</v>
      </c>
      <c r="G1429" s="669">
        <f t="shared" si="67"/>
        <v>54000</v>
      </c>
      <c r="H1429" s="2057" t="s">
        <v>732</v>
      </c>
      <c r="I1429" s="997" t="s">
        <v>3925</v>
      </c>
      <c r="J1429" s="1747"/>
      <c r="K1429" s="1658"/>
      <c r="L1429" s="406"/>
      <c r="M1429" s="406"/>
      <c r="N1429" s="1658"/>
      <c r="O1429" s="268"/>
    </row>
    <row r="1430" spans="1:18" s="511" customFormat="1" ht="19.2" x14ac:dyDescent="0.45">
      <c r="A1430" s="3824"/>
      <c r="B1430" s="2030" t="s">
        <v>5008</v>
      </c>
      <c r="C1430" s="2031">
        <v>0.1</v>
      </c>
      <c r="D1430" s="439" t="s">
        <v>4990</v>
      </c>
      <c r="E1430" s="1503">
        <v>1100000</v>
      </c>
      <c r="F1430" s="426">
        <v>0.05</v>
      </c>
      <c r="G1430" s="669">
        <f t="shared" si="67"/>
        <v>55000</v>
      </c>
      <c r="H1430" s="1206" t="s">
        <v>523</v>
      </c>
      <c r="I1430" s="587" t="s">
        <v>3925</v>
      </c>
      <c r="J1430" s="406"/>
      <c r="K1430" s="1658"/>
      <c r="L1430" s="406"/>
      <c r="M1430" s="406"/>
      <c r="N1430" s="1658"/>
      <c r="O1430" s="1071"/>
    </row>
    <row r="1431" spans="1:18" s="511" customFormat="1" ht="19.2" x14ac:dyDescent="0.45">
      <c r="A1431" s="3824"/>
      <c r="B1431" s="2030">
        <v>12413</v>
      </c>
      <c r="C1431" s="2031">
        <v>0.1</v>
      </c>
      <c r="D1431" s="1514" t="s">
        <v>5009</v>
      </c>
      <c r="E1431" s="1503">
        <v>1200000</v>
      </c>
      <c r="F1431" s="426">
        <v>0.05</v>
      </c>
      <c r="G1431" s="669">
        <f t="shared" si="67"/>
        <v>60000</v>
      </c>
      <c r="H1431" s="1206" t="s">
        <v>527</v>
      </c>
      <c r="I1431" s="587" t="s">
        <v>3930</v>
      </c>
      <c r="J1431" s="406"/>
      <c r="K1431" s="1658"/>
      <c r="L1431" s="406"/>
      <c r="M1431" s="406"/>
      <c r="N1431" s="1658"/>
      <c r="O1431" s="1071"/>
    </row>
    <row r="1432" spans="1:18" s="511" customFormat="1" ht="19.2" x14ac:dyDescent="0.45">
      <c r="A1432" s="3824"/>
      <c r="B1432" s="2106">
        <v>12427</v>
      </c>
      <c r="C1432" s="2031">
        <v>0.1</v>
      </c>
      <c r="D1432" s="1566" t="s">
        <v>5010</v>
      </c>
      <c r="E1432" s="2054">
        <v>970000</v>
      </c>
      <c r="F1432" s="426">
        <v>0.06</v>
      </c>
      <c r="G1432" s="669">
        <f t="shared" si="67"/>
        <v>58200</v>
      </c>
      <c r="H1432" s="2058" t="s">
        <v>732</v>
      </c>
      <c r="I1432" s="1233" t="s">
        <v>3928</v>
      </c>
      <c r="J1432" s="406"/>
      <c r="K1432" s="1658"/>
      <c r="L1432" s="406"/>
      <c r="M1432" s="406"/>
      <c r="N1432" s="1658"/>
      <c r="O1432" s="1071"/>
    </row>
    <row r="1433" spans="1:18" s="511" customFormat="1" ht="15.6" x14ac:dyDescent="0.3">
      <c r="A1433" s="3824"/>
      <c r="B1433" s="1390"/>
      <c r="C1433" s="1216"/>
      <c r="D1433" s="1366"/>
      <c r="E1433" s="1638"/>
      <c r="F1433" s="1665"/>
      <c r="G1433" s="2059"/>
      <c r="H1433" s="1779"/>
      <c r="I1433" s="1779"/>
      <c r="J1433" s="406"/>
      <c r="K1433" s="1658"/>
      <c r="L1433" s="406"/>
      <c r="M1433" s="406"/>
      <c r="N1433" s="1658"/>
      <c r="O1433" s="1071"/>
    </row>
    <row r="1434" spans="1:18" ht="15" customHeight="1" x14ac:dyDescent="0.3">
      <c r="A1434" s="3824"/>
      <c r="B1434" s="514"/>
      <c r="C1434" s="514"/>
      <c r="D1434" s="1116" t="s">
        <v>3000</v>
      </c>
      <c r="E1434" s="1631">
        <f>SUM(E1424:E1432)</f>
        <v>9570000</v>
      </c>
      <c r="F1434" s="514"/>
      <c r="G1434" s="483">
        <f>SUM(G1424:G1432)</f>
        <v>662200</v>
      </c>
      <c r="H1434" s="514"/>
      <c r="I1434" s="514"/>
      <c r="J1434" s="342"/>
      <c r="K1434" s="287"/>
      <c r="L1434" s="3602" t="s">
        <v>3026</v>
      </c>
      <c r="M1434" s="3602"/>
      <c r="N1434" s="3602"/>
      <c r="O1434" s="848">
        <f>SUM(O1418:O1419)</f>
        <v>107500</v>
      </c>
    </row>
    <row r="1435" spans="1:18" ht="15.75" customHeight="1" x14ac:dyDescent="0.3">
      <c r="A1435" s="3825"/>
      <c r="B1435" s="840"/>
      <c r="C1435" s="840"/>
      <c r="D1435" s="491" t="s">
        <v>3002</v>
      </c>
      <c r="E1435" s="841">
        <f>SUM(G1434+O1434)</f>
        <v>769700</v>
      </c>
      <c r="F1435" s="840"/>
      <c r="G1435" s="842"/>
      <c r="H1435" s="840"/>
      <c r="I1435" s="840"/>
      <c r="J1435" s="843"/>
      <c r="K1435" s="287"/>
      <c r="L1435" s="844"/>
      <c r="M1435" s="844"/>
      <c r="N1435" s="844"/>
      <c r="O1435" s="294"/>
    </row>
    <row r="1436" spans="1:18" ht="15.6" x14ac:dyDescent="0.3">
      <c r="A1436" s="2267"/>
      <c r="B1436" s="464"/>
      <c r="C1436" s="464"/>
      <c r="D1436" s="1118"/>
      <c r="E1436" s="466"/>
      <c r="F1436" s="464"/>
      <c r="G1436" s="467"/>
      <c r="H1436" s="464"/>
      <c r="I1436" s="464"/>
      <c r="J1436" s="465"/>
      <c r="K1436" s="468"/>
      <c r="L1436" s="469"/>
      <c r="M1436" s="469"/>
      <c r="N1436" s="469"/>
      <c r="O1436" s="463"/>
    </row>
    <row r="1437" spans="1:18" ht="15.6" x14ac:dyDescent="0.3">
      <c r="A1437" s="2267"/>
      <c r="B1437" s="825"/>
      <c r="C1437" s="825"/>
      <c r="D1437" s="1172"/>
      <c r="E1437" s="827"/>
      <c r="F1437" s="825"/>
      <c r="G1437" s="828"/>
      <c r="H1437" s="825"/>
      <c r="I1437" s="825"/>
      <c r="J1437" s="826"/>
      <c r="K1437" s="829"/>
      <c r="L1437" s="830"/>
      <c r="M1437" s="830"/>
      <c r="N1437" s="830"/>
      <c r="O1437" s="831"/>
    </row>
    <row r="1438" spans="1:18" ht="21" x14ac:dyDescent="0.4">
      <c r="A1438" s="3818" t="s">
        <v>3042</v>
      </c>
      <c r="B1438" s="3819"/>
      <c r="C1438" s="3819"/>
      <c r="D1438" s="3819"/>
      <c r="E1438" s="3819"/>
      <c r="F1438" s="3819"/>
      <c r="G1438" s="3819"/>
      <c r="H1438" s="3819"/>
      <c r="I1438" s="3819"/>
      <c r="J1438" s="3820"/>
      <c r="K1438" s="287"/>
      <c r="L1438" s="845"/>
      <c r="M1438" s="845"/>
      <c r="N1438" s="845"/>
      <c r="O1438" s="294"/>
    </row>
    <row r="1439" spans="1:18" x14ac:dyDescent="0.3">
      <c r="A1439" s="2276" t="s">
        <v>2974</v>
      </c>
      <c r="B1439" s="3" t="s">
        <v>2975</v>
      </c>
      <c r="C1439" s="3" t="s">
        <v>3004</v>
      </c>
      <c r="D1439" s="1086" t="s">
        <v>2977</v>
      </c>
      <c r="E1439" s="4" t="s">
        <v>2978</v>
      </c>
      <c r="F1439" s="3" t="s">
        <v>2979</v>
      </c>
      <c r="G1439" s="5" t="s">
        <v>2980</v>
      </c>
      <c r="H1439" s="3" t="s">
        <v>2981</v>
      </c>
      <c r="I1439" s="3" t="s">
        <v>2982</v>
      </c>
      <c r="J1439" s="23" t="s">
        <v>2983</v>
      </c>
      <c r="K1439" s="1779" t="s">
        <v>2975</v>
      </c>
      <c r="L1439" s="1779" t="s">
        <v>2977</v>
      </c>
      <c r="M1439" s="1779" t="s">
        <v>2984</v>
      </c>
      <c r="N1439" s="1779" t="s">
        <v>2979</v>
      </c>
      <c r="O1439" s="2" t="s">
        <v>2985</v>
      </c>
    </row>
    <row r="1440" spans="1:18" ht="15" customHeight="1" x14ac:dyDescent="0.3">
      <c r="A1440" s="3626" t="s">
        <v>4227</v>
      </c>
      <c r="B1440" s="1863"/>
      <c r="C1440" s="1864"/>
      <c r="D1440" s="1952" t="s">
        <v>5011</v>
      </c>
      <c r="E1440" s="1865"/>
      <c r="F1440" s="1866"/>
      <c r="G1440" s="1037"/>
      <c r="H1440" s="1037"/>
      <c r="I1440" s="1364" t="s">
        <v>3928</v>
      </c>
      <c r="J1440" s="1867"/>
      <c r="K1440" s="863">
        <v>12413</v>
      </c>
      <c r="L1440" s="1514" t="s">
        <v>5009</v>
      </c>
      <c r="M1440" s="1340">
        <v>1200000</v>
      </c>
      <c r="N1440" s="310">
        <v>0.05</v>
      </c>
      <c r="O1440" s="669">
        <f>M1440*N1440</f>
        <v>60000</v>
      </c>
      <c r="P1440" s="319"/>
      <c r="Q1440" s="1780"/>
      <c r="R1440" s="511"/>
    </row>
    <row r="1441" spans="1:18" ht="15" customHeight="1" x14ac:dyDescent="0.3">
      <c r="A1441" s="3626"/>
      <c r="B1441" s="1863"/>
      <c r="C1441" s="1868"/>
      <c r="D1441" s="1953" t="s">
        <v>5012</v>
      </c>
      <c r="E1441" s="1865"/>
      <c r="F1441" s="1866"/>
      <c r="G1441" s="1037"/>
      <c r="H1441" s="1037"/>
      <c r="I1441" s="1364" t="s">
        <v>3928</v>
      </c>
      <c r="J1441" s="1867"/>
      <c r="K1441" s="863">
        <v>12321</v>
      </c>
      <c r="L1441" s="1256" t="s">
        <v>5013</v>
      </c>
      <c r="M1441" s="1347">
        <v>950000</v>
      </c>
      <c r="N1441" s="310">
        <v>0.05</v>
      </c>
      <c r="O1441" s="669">
        <f t="shared" ref="O1441:O1442" si="68">M1441*N1441</f>
        <v>47500</v>
      </c>
      <c r="P1441" s="970"/>
      <c r="Q1441" s="2060"/>
      <c r="R1441" s="511"/>
    </row>
    <row r="1442" spans="1:18" ht="15" customHeight="1" x14ac:dyDescent="0.3">
      <c r="A1442" s="3626"/>
      <c r="B1442" s="1863"/>
      <c r="C1442" s="1864"/>
      <c r="D1442" s="1953" t="s">
        <v>5014</v>
      </c>
      <c r="E1442" s="1865"/>
      <c r="F1442" s="1866"/>
      <c r="G1442" s="1037"/>
      <c r="H1442" s="1037"/>
      <c r="I1442" s="1364" t="s">
        <v>3928</v>
      </c>
      <c r="J1442" s="1867"/>
      <c r="K1442" s="863">
        <v>12432</v>
      </c>
      <c r="L1442" s="2065" t="s">
        <v>5015</v>
      </c>
      <c r="M1442" s="2122">
        <v>1350000</v>
      </c>
      <c r="N1442" s="2123">
        <v>0.05</v>
      </c>
      <c r="O1442" s="669">
        <f t="shared" si="68"/>
        <v>67500</v>
      </c>
      <c r="P1442" s="1988"/>
      <c r="Q1442" s="511"/>
      <c r="R1442" s="511"/>
    </row>
    <row r="1443" spans="1:18" ht="25.5" customHeight="1" x14ac:dyDescent="0.3">
      <c r="A1443" s="3626"/>
      <c r="B1443" s="1863"/>
      <c r="C1443" s="1868"/>
      <c r="D1443" s="1954" t="s">
        <v>5016</v>
      </c>
      <c r="E1443" s="1865"/>
      <c r="F1443" s="1866"/>
      <c r="G1443" s="1037"/>
      <c r="H1443" s="1037"/>
      <c r="I1443" s="1364" t="s">
        <v>3928</v>
      </c>
      <c r="J1443" s="1867"/>
      <c r="K1443" s="1779"/>
      <c r="L1443" s="1779"/>
      <c r="M1443" s="1779"/>
      <c r="N1443" s="1779"/>
      <c r="O1443" s="2"/>
    </row>
    <row r="1444" spans="1:18" ht="25.5" customHeight="1" x14ac:dyDescent="0.3">
      <c r="A1444" s="3626"/>
      <c r="B1444" s="1863"/>
      <c r="C1444" s="1869"/>
      <c r="D1444" s="1955" t="s">
        <v>5017</v>
      </c>
      <c r="E1444" s="1865"/>
      <c r="F1444" s="1870"/>
      <c r="G1444" s="1037"/>
      <c r="H1444" s="1037"/>
      <c r="I1444" s="1364" t="s">
        <v>3925</v>
      </c>
      <c r="J1444" s="1867"/>
      <c r="K1444" s="1779"/>
      <c r="L1444" s="1779"/>
      <c r="M1444" s="1779"/>
      <c r="N1444" s="1779"/>
      <c r="O1444" s="2"/>
    </row>
    <row r="1445" spans="1:18" ht="15" customHeight="1" x14ac:dyDescent="0.3">
      <c r="A1445" s="3626"/>
      <c r="B1445" s="1863"/>
      <c r="C1445" s="1869"/>
      <c r="D1445" s="1956" t="s">
        <v>5018</v>
      </c>
      <c r="E1445" s="1871"/>
      <c r="F1445" s="1866"/>
      <c r="G1445" s="1037"/>
      <c r="H1445" s="1037"/>
      <c r="I1445" s="1364" t="s">
        <v>3925</v>
      </c>
      <c r="J1445" s="1867"/>
      <c r="K1445" s="1779"/>
      <c r="L1445" s="1779"/>
      <c r="M1445" s="1779"/>
      <c r="N1445" s="1779"/>
      <c r="O1445" s="2"/>
    </row>
    <row r="1446" spans="1:18" ht="15" customHeight="1" x14ac:dyDescent="0.3">
      <c r="A1446" s="3626"/>
      <c r="B1446" s="1863"/>
      <c r="C1446" s="1869"/>
      <c r="D1446" s="1957" t="s">
        <v>5019</v>
      </c>
      <c r="E1446" s="1865"/>
      <c r="F1446" s="1866"/>
      <c r="G1446" s="1037"/>
      <c r="H1446" s="1037"/>
      <c r="I1446" s="1364" t="s">
        <v>3925</v>
      </c>
      <c r="J1446" s="1867"/>
      <c r="K1446" s="1779"/>
      <c r="L1446" s="1779"/>
      <c r="M1446" s="1779"/>
      <c r="N1446" s="1779"/>
      <c r="O1446" s="2"/>
    </row>
    <row r="1447" spans="1:18" ht="25.5" customHeight="1" x14ac:dyDescent="0.3">
      <c r="A1447" s="3626"/>
      <c r="B1447" s="1863"/>
      <c r="C1447" s="1869"/>
      <c r="D1447" s="1958" t="s">
        <v>5020</v>
      </c>
      <c r="E1447" s="1872"/>
      <c r="F1447" s="1873"/>
      <c r="G1447" s="1874"/>
      <c r="H1447" s="1875"/>
      <c r="I1447" s="1972" t="s">
        <v>3930</v>
      </c>
      <c r="J1447" s="1867"/>
      <c r="K1447" s="1779"/>
      <c r="L1447" s="1779"/>
      <c r="M1447" s="1779"/>
      <c r="N1447" s="1779"/>
      <c r="O1447" s="2"/>
    </row>
    <row r="1448" spans="1:18" ht="15" customHeight="1" x14ac:dyDescent="0.3">
      <c r="A1448" s="3626"/>
      <c r="B1448" s="1863"/>
      <c r="C1448" s="1869"/>
      <c r="D1448" s="1957" t="s">
        <v>5021</v>
      </c>
      <c r="E1448" s="1865"/>
      <c r="F1448" s="1866"/>
      <c r="G1448" s="1037"/>
      <c r="H1448" s="1037"/>
      <c r="I1448" s="1364" t="s">
        <v>4689</v>
      </c>
      <c r="J1448" s="1867"/>
      <c r="K1448" s="1779"/>
      <c r="L1448" s="1779"/>
      <c r="M1448" s="1779"/>
      <c r="N1448" s="1779"/>
      <c r="O1448" s="2"/>
    </row>
    <row r="1449" spans="1:18" ht="15" customHeight="1" x14ac:dyDescent="0.3">
      <c r="A1449" s="3626"/>
      <c r="B1449" s="1863"/>
      <c r="C1449" s="1869"/>
      <c r="D1449" s="1959" t="s">
        <v>5022</v>
      </c>
      <c r="E1449" s="1865"/>
      <c r="F1449" s="1866"/>
      <c r="G1449" s="1037"/>
      <c r="H1449" s="1037"/>
      <c r="I1449" s="1364" t="s">
        <v>3925</v>
      </c>
      <c r="J1449" s="1867"/>
      <c r="K1449" s="1779"/>
      <c r="L1449" s="1779"/>
      <c r="M1449" s="1779"/>
      <c r="N1449" s="1779"/>
      <c r="O1449" s="2"/>
    </row>
    <row r="1450" spans="1:18" ht="15" customHeight="1" x14ac:dyDescent="0.3">
      <c r="A1450" s="3626"/>
      <c r="B1450" s="1863"/>
      <c r="C1450" s="1869"/>
      <c r="D1450" s="1960" t="s">
        <v>5023</v>
      </c>
      <c r="E1450" s="1877"/>
      <c r="F1450" s="1878"/>
      <c r="G1450" s="1879"/>
      <c r="H1450" s="1876"/>
      <c r="I1450" s="1972" t="s">
        <v>3925</v>
      </c>
      <c r="J1450" s="1867"/>
      <c r="K1450" s="1779"/>
      <c r="L1450" s="1779"/>
      <c r="M1450" s="1779"/>
      <c r="N1450" s="1779"/>
      <c r="O1450" s="2"/>
    </row>
    <row r="1451" spans="1:18" ht="25.5" customHeight="1" x14ac:dyDescent="0.3">
      <c r="A1451" s="3626"/>
      <c r="B1451" s="1863"/>
      <c r="C1451" s="1869"/>
      <c r="D1451" s="1958" t="s">
        <v>5024</v>
      </c>
      <c r="E1451" s="1872"/>
      <c r="F1451" s="1880"/>
      <c r="G1451" s="1881"/>
      <c r="H1451" s="1875"/>
      <c r="I1451" s="1972" t="s">
        <v>3925</v>
      </c>
      <c r="J1451" s="1882"/>
      <c r="K1451" s="1779"/>
      <c r="L1451" s="1779"/>
      <c r="M1451" s="1779"/>
      <c r="N1451" s="1779"/>
      <c r="O1451" s="2"/>
    </row>
    <row r="1452" spans="1:18" ht="25.5" customHeight="1" x14ac:dyDescent="0.3">
      <c r="A1452" s="3626"/>
      <c r="B1452" s="1863"/>
      <c r="C1452" s="1883"/>
      <c r="D1452" s="1961" t="s">
        <v>5025</v>
      </c>
      <c r="E1452" s="1884"/>
      <c r="F1452" s="1876"/>
      <c r="G1452" s="1879"/>
      <c r="H1452" s="1876"/>
      <c r="I1452" s="1972" t="s">
        <v>3925</v>
      </c>
      <c r="J1452" s="1885"/>
      <c r="K1452" s="1779"/>
      <c r="L1452" s="1779"/>
      <c r="M1452" s="1779"/>
      <c r="N1452" s="1779"/>
      <c r="O1452" s="2"/>
    </row>
    <row r="1453" spans="1:18" ht="25.5" customHeight="1" x14ac:dyDescent="0.3">
      <c r="A1453" s="3626"/>
      <c r="B1453" s="1863"/>
      <c r="C1453" s="1886"/>
      <c r="D1453" s="1958" t="s">
        <v>5026</v>
      </c>
      <c r="E1453" s="1887"/>
      <c r="F1453" s="1876"/>
      <c r="G1453" s="1879"/>
      <c r="H1453" s="1876"/>
      <c r="I1453" s="1972" t="s">
        <v>3928</v>
      </c>
      <c r="J1453" s="1885"/>
      <c r="K1453" s="1779"/>
      <c r="L1453" s="1779"/>
      <c r="M1453" s="1779"/>
      <c r="N1453" s="1779"/>
      <c r="O1453" s="2"/>
    </row>
    <row r="1454" spans="1:18" ht="25.5" customHeight="1" x14ac:dyDescent="0.3">
      <c r="A1454" s="3626"/>
      <c r="B1454" s="1863"/>
      <c r="C1454" s="1873"/>
      <c r="D1454" s="1955" t="s">
        <v>5027</v>
      </c>
      <c r="E1454" s="1888"/>
      <c r="F1454" s="1876"/>
      <c r="G1454" s="1879"/>
      <c r="H1454" s="1876"/>
      <c r="I1454" s="1972" t="s">
        <v>3928</v>
      </c>
      <c r="J1454" s="1885"/>
      <c r="K1454" s="1779"/>
      <c r="L1454" s="1779"/>
      <c r="M1454" s="1779"/>
      <c r="N1454" s="1779"/>
      <c r="O1454" s="2"/>
    </row>
    <row r="1455" spans="1:18" ht="25.5" customHeight="1" x14ac:dyDescent="0.3">
      <c r="A1455" s="3626"/>
      <c r="B1455" s="1863"/>
      <c r="C1455" s="1873"/>
      <c r="D1455" s="1958" t="s">
        <v>5028</v>
      </c>
      <c r="E1455" s="1887"/>
      <c r="F1455" s="1876"/>
      <c r="G1455" s="1879"/>
      <c r="H1455" s="1876"/>
      <c r="I1455" s="1972" t="s">
        <v>3928</v>
      </c>
      <c r="J1455" s="1885"/>
      <c r="K1455" s="1779"/>
      <c r="L1455" s="1779"/>
      <c r="M1455" s="1779"/>
      <c r="N1455" s="1779"/>
      <c r="O1455" s="2"/>
    </row>
    <row r="1456" spans="1:18" ht="25.5" customHeight="1" x14ac:dyDescent="0.3">
      <c r="A1456" s="3626"/>
      <c r="B1456" s="1863"/>
      <c r="C1456" s="1873"/>
      <c r="D1456" s="1955" t="s">
        <v>5029</v>
      </c>
      <c r="E1456" s="1888"/>
      <c r="F1456" s="1876"/>
      <c r="G1456" s="1879"/>
      <c r="H1456" s="1876"/>
      <c r="I1456" s="1972" t="s">
        <v>3925</v>
      </c>
      <c r="J1456" s="1885"/>
      <c r="K1456" s="1779"/>
      <c r="L1456" s="1779"/>
      <c r="M1456" s="1779"/>
      <c r="N1456" s="1779"/>
      <c r="O1456" s="2"/>
    </row>
    <row r="1457" spans="1:15" ht="25.5" customHeight="1" x14ac:dyDescent="0.3">
      <c r="A1457" s="3626"/>
      <c r="B1457" s="1863"/>
      <c r="C1457" s="1873"/>
      <c r="D1457" s="1955" t="s">
        <v>5030</v>
      </c>
      <c r="E1457" s="1872"/>
      <c r="F1457" s="1870"/>
      <c r="G1457" s="1037"/>
      <c r="H1457" s="1037"/>
      <c r="I1457" s="1364" t="s">
        <v>3925</v>
      </c>
      <c r="J1457" s="1885"/>
      <c r="K1457" s="1779"/>
      <c r="L1457" s="1779"/>
      <c r="M1457" s="1779"/>
      <c r="N1457" s="1779"/>
      <c r="O1457" s="2"/>
    </row>
    <row r="1458" spans="1:15" ht="15" customHeight="1" x14ac:dyDescent="0.3">
      <c r="A1458" s="3626"/>
      <c r="B1458" s="2011">
        <v>12196</v>
      </c>
      <c r="C1458" s="2012">
        <v>0.1</v>
      </c>
      <c r="D1458" s="1962" t="s">
        <v>5031</v>
      </c>
      <c r="E1458" s="1890">
        <v>1000000</v>
      </c>
      <c r="F1458" s="1889">
        <v>0.1</v>
      </c>
      <c r="G1458" s="1891">
        <f>E1458*F1458</f>
        <v>100000</v>
      </c>
      <c r="H1458" s="1962" t="s">
        <v>527</v>
      </c>
      <c r="I1458" s="1962" t="s">
        <v>3928</v>
      </c>
      <c r="J1458" s="1885"/>
      <c r="K1458" s="1779"/>
      <c r="L1458" s="1779"/>
      <c r="M1458" s="1779"/>
      <c r="N1458" s="1779"/>
      <c r="O1458" s="2"/>
    </row>
    <row r="1459" spans="1:15" ht="25.5" customHeight="1" x14ac:dyDescent="0.3">
      <c r="A1459" s="3626"/>
      <c r="B1459" s="2011">
        <v>12234</v>
      </c>
      <c r="C1459" s="2013">
        <v>0.1</v>
      </c>
      <c r="D1459" s="1963" t="s">
        <v>5032</v>
      </c>
      <c r="E1459" s="1892">
        <v>930000</v>
      </c>
      <c r="F1459" s="1889">
        <v>0.1</v>
      </c>
      <c r="G1459" s="1891">
        <f t="shared" ref="G1459:G1465" si="69">E1459*F1459</f>
        <v>93000</v>
      </c>
      <c r="H1459" s="1962" t="s">
        <v>527</v>
      </c>
      <c r="I1459" s="1962" t="s">
        <v>133</v>
      </c>
      <c r="J1459" s="1885"/>
      <c r="K1459" s="1779"/>
      <c r="L1459" s="1779"/>
      <c r="M1459" s="1779"/>
      <c r="N1459" s="1779"/>
      <c r="O1459" s="2"/>
    </row>
    <row r="1460" spans="1:15" ht="15" customHeight="1" x14ac:dyDescent="0.3">
      <c r="A1460" s="3626"/>
      <c r="B1460" s="2014">
        <v>12253</v>
      </c>
      <c r="C1460" s="2012">
        <v>0.1</v>
      </c>
      <c r="D1460" s="1964" t="s">
        <v>5033</v>
      </c>
      <c r="E1460" s="1893">
        <v>900000</v>
      </c>
      <c r="F1460" s="1889">
        <v>0.1</v>
      </c>
      <c r="G1460" s="1891">
        <f t="shared" si="69"/>
        <v>90000</v>
      </c>
      <c r="H1460" s="1962" t="s">
        <v>527</v>
      </c>
      <c r="I1460" s="1962" t="s">
        <v>3925</v>
      </c>
      <c r="J1460" s="1885"/>
      <c r="K1460" s="1779"/>
      <c r="L1460" s="1779"/>
      <c r="M1460" s="1779"/>
      <c r="N1460" s="1779"/>
      <c r="O1460" s="2"/>
    </row>
    <row r="1461" spans="1:15" ht="15" customHeight="1" x14ac:dyDescent="0.3">
      <c r="A1461" s="3626"/>
      <c r="B1461" s="2014">
        <v>12286</v>
      </c>
      <c r="C1461" s="2012">
        <v>0.1</v>
      </c>
      <c r="D1461" s="1965" t="s">
        <v>4996</v>
      </c>
      <c r="E1461" s="1893">
        <v>1050000</v>
      </c>
      <c r="F1461" s="1889">
        <v>0.05</v>
      </c>
      <c r="G1461" s="1891">
        <f t="shared" si="69"/>
        <v>52500</v>
      </c>
      <c r="H1461" s="1962" t="s">
        <v>748</v>
      </c>
      <c r="I1461" s="1962" t="s">
        <v>3925</v>
      </c>
      <c r="J1461" s="1885"/>
      <c r="K1461" s="1779"/>
      <c r="L1461" s="1779"/>
      <c r="M1461" s="1779"/>
      <c r="N1461" s="1779"/>
      <c r="O1461" s="2"/>
    </row>
    <row r="1462" spans="1:15" ht="15" customHeight="1" x14ac:dyDescent="0.3">
      <c r="A1462" s="3626"/>
      <c r="B1462" s="2015">
        <v>12364</v>
      </c>
      <c r="C1462" s="2016">
        <v>0.1</v>
      </c>
      <c r="D1462" s="1966" t="s">
        <v>5034</v>
      </c>
      <c r="E1462" s="1894">
        <v>980000</v>
      </c>
      <c r="F1462" s="1889">
        <v>0.1</v>
      </c>
      <c r="G1462" s="1891">
        <f t="shared" si="69"/>
        <v>98000</v>
      </c>
      <c r="H1462" s="1241" t="s">
        <v>527</v>
      </c>
      <c r="I1462" s="1241" t="s">
        <v>3925</v>
      </c>
      <c r="J1462" s="1895"/>
      <c r="K1462" s="1780"/>
      <c r="L1462" s="1711"/>
      <c r="M1462" s="1594"/>
      <c r="N1462" s="308"/>
      <c r="O1462" s="294"/>
    </row>
    <row r="1463" spans="1:15" ht="15" customHeight="1" x14ac:dyDescent="0.3">
      <c r="A1463" s="3626"/>
      <c r="B1463" s="2015">
        <v>12367</v>
      </c>
      <c r="C1463" s="2016">
        <v>0.1</v>
      </c>
      <c r="D1463" s="1967" t="s">
        <v>4978</v>
      </c>
      <c r="E1463" s="1894">
        <v>1300000</v>
      </c>
      <c r="F1463" s="1889">
        <v>0.05</v>
      </c>
      <c r="G1463" s="1891">
        <f t="shared" si="69"/>
        <v>65000</v>
      </c>
      <c r="H1463" s="1241" t="s">
        <v>582</v>
      </c>
      <c r="I1463" s="1241" t="s">
        <v>3928</v>
      </c>
      <c r="J1463" s="1895"/>
      <c r="K1463" s="1780"/>
      <c r="L1463" s="1711"/>
      <c r="M1463" s="1594"/>
      <c r="N1463" s="308"/>
      <c r="O1463" s="294"/>
    </row>
    <row r="1464" spans="1:15" ht="15" customHeight="1" x14ac:dyDescent="0.3">
      <c r="A1464" s="3626"/>
      <c r="B1464" s="2015">
        <v>12398</v>
      </c>
      <c r="C1464" s="2016">
        <v>0.1</v>
      </c>
      <c r="D1464" s="1968" t="s">
        <v>5035</v>
      </c>
      <c r="E1464" s="1894">
        <v>950000</v>
      </c>
      <c r="F1464" s="1889">
        <v>0.05</v>
      </c>
      <c r="G1464" s="1891">
        <f t="shared" si="69"/>
        <v>47500</v>
      </c>
      <c r="H1464" s="1241" t="s">
        <v>2037</v>
      </c>
      <c r="I1464" s="1241" t="s">
        <v>3930</v>
      </c>
      <c r="J1464" s="1895"/>
      <c r="K1464" s="1780"/>
      <c r="L1464" s="1711"/>
      <c r="M1464" s="1594"/>
      <c r="N1464" s="308"/>
      <c r="O1464" s="294"/>
    </row>
    <row r="1465" spans="1:15" ht="15" customHeight="1" x14ac:dyDescent="0.3">
      <c r="A1465" s="3626"/>
      <c r="B1465" s="2015">
        <v>12425</v>
      </c>
      <c r="C1465" s="2016">
        <v>0.1</v>
      </c>
      <c r="D1465" s="1968" t="s">
        <v>5036</v>
      </c>
      <c r="E1465" s="1894">
        <v>1100000</v>
      </c>
      <c r="F1465" s="1889">
        <v>0.05</v>
      </c>
      <c r="G1465" s="1891">
        <f t="shared" si="69"/>
        <v>55000</v>
      </c>
      <c r="H1465" s="1241" t="s">
        <v>748</v>
      </c>
      <c r="I1465" s="1241" t="s">
        <v>3928</v>
      </c>
      <c r="J1465" s="1895"/>
      <c r="K1465" s="1780"/>
      <c r="L1465" s="1711"/>
      <c r="M1465" s="1594"/>
      <c r="N1465" s="308"/>
      <c r="O1465" s="294"/>
    </row>
    <row r="1466" spans="1:15" ht="15" customHeight="1" x14ac:dyDescent="0.3">
      <c r="A1466" s="3626"/>
      <c r="B1466" s="1896"/>
      <c r="C1466" s="1897"/>
      <c r="D1466" s="1906"/>
      <c r="E1466" s="1901"/>
      <c r="F1466" s="1902"/>
      <c r="G1466" s="1903"/>
      <c r="H1466" s="1904"/>
      <c r="I1466" s="1905"/>
      <c r="J1466" s="1895"/>
      <c r="K1466" s="1780"/>
      <c r="L1466" s="1711"/>
      <c r="M1466" s="1594"/>
      <c r="N1466" s="308"/>
      <c r="O1466" s="294"/>
    </row>
    <row r="1467" spans="1:15" ht="15" customHeight="1" x14ac:dyDescent="0.3">
      <c r="A1467" s="3626"/>
      <c r="B1467" s="1896"/>
      <c r="C1467" s="1897"/>
      <c r="D1467" s="1906"/>
      <c r="E1467" s="1901"/>
      <c r="F1467" s="1902"/>
      <c r="G1467" s="1903"/>
      <c r="H1467" s="1904"/>
      <c r="I1467" s="1905"/>
      <c r="J1467" s="1895"/>
      <c r="K1467" s="1780"/>
      <c r="L1467" s="1711"/>
      <c r="M1467" s="1594"/>
      <c r="N1467" s="308"/>
      <c r="O1467" s="294"/>
    </row>
    <row r="1468" spans="1:15" ht="15" customHeight="1" x14ac:dyDescent="0.3">
      <c r="A1468" s="3626"/>
      <c r="B1468" s="1907"/>
      <c r="C1468" s="1908"/>
      <c r="D1468" s="1909" t="s">
        <v>3000</v>
      </c>
      <c r="E1468" s="1910">
        <f>SUM(E1458:E1465)</f>
        <v>8210000</v>
      </c>
      <c r="F1468" s="1911"/>
      <c r="G1468" s="1912">
        <f>SUM(G1458:G1465)</f>
        <v>601000</v>
      </c>
      <c r="H1468" s="1911"/>
      <c r="I1468" s="1911"/>
      <c r="J1468" s="1913"/>
      <c r="K1468" s="287"/>
      <c r="L1468" s="3590" t="s">
        <v>3026</v>
      </c>
      <c r="M1468" s="3593"/>
      <c r="N1468" s="3594"/>
      <c r="O1468" s="848">
        <f>SUM(O1440:O1442)</f>
        <v>175000</v>
      </c>
    </row>
    <row r="1469" spans="1:15" ht="15" customHeight="1" x14ac:dyDescent="0.3">
      <c r="A1469" s="3627"/>
      <c r="B1469" s="1914"/>
      <c r="C1469" s="1915"/>
      <c r="D1469" s="1916" t="s">
        <v>3002</v>
      </c>
      <c r="E1469" s="1917">
        <f>SUM(G1468+O1468)</f>
        <v>776000</v>
      </c>
      <c r="F1469" s="1918"/>
      <c r="G1469" s="1919"/>
      <c r="H1469" s="1918"/>
      <c r="I1469" s="1918"/>
      <c r="J1469" s="1920"/>
      <c r="K1469" s="287"/>
      <c r="L1469" s="968"/>
      <c r="M1469" s="968"/>
      <c r="N1469" s="968"/>
      <c r="O1469" s="294"/>
    </row>
    <row r="1470" spans="1:15" ht="15.6" x14ac:dyDescent="0.3">
      <c r="A1470" s="2325"/>
      <c r="B1470" s="1922"/>
      <c r="C1470" s="1922"/>
      <c r="D1470" s="1922"/>
      <c r="E1470" s="1923"/>
      <c r="F1470" s="1922"/>
      <c r="G1470" s="1924"/>
      <c r="H1470" s="1922"/>
      <c r="I1470" s="1922"/>
      <c r="J1470" s="1922"/>
      <c r="K1470" s="468"/>
      <c r="L1470" s="469"/>
      <c r="M1470" s="469"/>
      <c r="N1470" s="469"/>
      <c r="O1470" s="463"/>
    </row>
    <row r="1471" spans="1:15" ht="15.6" x14ac:dyDescent="0.3">
      <c r="A1471" s="2325"/>
      <c r="B1471" s="1925"/>
      <c r="C1471" s="1925"/>
      <c r="D1471" s="1925"/>
      <c r="E1471" s="1926"/>
      <c r="F1471" s="1925"/>
      <c r="G1471" s="1927"/>
      <c r="H1471" s="1925"/>
      <c r="I1471" s="1925"/>
      <c r="J1471" s="1925"/>
      <c r="K1471" s="829"/>
      <c r="L1471" s="830"/>
      <c r="M1471" s="830"/>
      <c r="N1471" s="830"/>
      <c r="O1471" s="831"/>
    </row>
    <row r="1472" spans="1:15" ht="21" x14ac:dyDescent="0.3">
      <c r="A1472" s="3821" t="s">
        <v>3054</v>
      </c>
      <c r="B1472" s="3822"/>
      <c r="C1472" s="3822"/>
      <c r="D1472" s="3822"/>
      <c r="E1472" s="3822"/>
      <c r="F1472" s="3822"/>
      <c r="G1472" s="3822"/>
      <c r="H1472" s="3822"/>
      <c r="I1472" s="3822"/>
      <c r="J1472" s="3823"/>
      <c r="K1472" s="287"/>
      <c r="L1472" s="845"/>
      <c r="M1472" s="845"/>
      <c r="N1472" s="845"/>
      <c r="O1472" s="294"/>
    </row>
    <row r="1473" spans="1:17" x14ac:dyDescent="0.3">
      <c r="A1473" s="2326" t="s">
        <v>2974</v>
      </c>
      <c r="B1473" s="1929" t="s">
        <v>2975</v>
      </c>
      <c r="C1473" s="1929" t="s">
        <v>3004</v>
      </c>
      <c r="D1473" s="1929" t="s">
        <v>2977</v>
      </c>
      <c r="E1473" s="1930" t="s">
        <v>2978</v>
      </c>
      <c r="F1473" s="1929" t="s">
        <v>2979</v>
      </c>
      <c r="G1473" s="1931" t="s">
        <v>2980</v>
      </c>
      <c r="H1473" s="1929" t="s">
        <v>2981</v>
      </c>
      <c r="I1473" s="1929" t="s">
        <v>2982</v>
      </c>
      <c r="J1473" s="1885" t="s">
        <v>2983</v>
      </c>
      <c r="K1473" s="1779" t="s">
        <v>2975</v>
      </c>
      <c r="L1473" s="1779" t="s">
        <v>2977</v>
      </c>
      <c r="M1473" s="1779" t="s">
        <v>2984</v>
      </c>
      <c r="N1473" s="1779" t="s">
        <v>2979</v>
      </c>
      <c r="O1473" s="2" t="s">
        <v>2985</v>
      </c>
    </row>
    <row r="1474" spans="1:17" x14ac:dyDescent="0.3">
      <c r="A1474" s="3626" t="s">
        <v>2986</v>
      </c>
      <c r="B1474" s="1869"/>
      <c r="C1474" s="1932"/>
      <c r="D1474" s="1977" t="s">
        <v>5037</v>
      </c>
      <c r="E1474" s="1887"/>
      <c r="F1474" s="1873"/>
      <c r="G1474" s="1881"/>
      <c r="H1474" s="1972"/>
      <c r="I1474" s="1972" t="s">
        <v>3925</v>
      </c>
      <c r="J1474" s="1885"/>
      <c r="K1474" s="863">
        <v>12398</v>
      </c>
      <c r="L1474" s="1538" t="s">
        <v>5035</v>
      </c>
      <c r="M1474" s="1505">
        <v>950000</v>
      </c>
      <c r="N1474" s="281">
        <v>0.05</v>
      </c>
      <c r="O1474" s="1344">
        <f>M1474*N1474</f>
        <v>47500</v>
      </c>
      <c r="P1474" s="307"/>
      <c r="Q1474" s="1058"/>
    </row>
    <row r="1475" spans="1:17" ht="26.4" x14ac:dyDescent="0.3">
      <c r="A1475" s="3626"/>
      <c r="B1475" s="1869"/>
      <c r="C1475" s="1932"/>
      <c r="D1475" s="1978" t="s">
        <v>5038</v>
      </c>
      <c r="E1475" s="1887"/>
      <c r="F1475" s="1873"/>
      <c r="G1475" s="1881"/>
      <c r="H1475" s="1972"/>
      <c r="I1475" s="1972" t="s">
        <v>3925</v>
      </c>
      <c r="J1475" s="1885"/>
      <c r="K1475" s="1779"/>
      <c r="L1475" s="1770"/>
      <c r="M1475" s="1771"/>
      <c r="N1475" s="528"/>
      <c r="O1475" s="352"/>
      <c r="P1475" s="352"/>
      <c r="Q1475" s="298"/>
    </row>
    <row r="1476" spans="1:17" ht="26.4" x14ac:dyDescent="0.3">
      <c r="A1476" s="3626"/>
      <c r="B1476" s="1869"/>
      <c r="C1476" s="1932"/>
      <c r="D1476" s="1958" t="s">
        <v>5039</v>
      </c>
      <c r="E1476" s="1887"/>
      <c r="F1476" s="1873"/>
      <c r="G1476" s="1881"/>
      <c r="H1476" s="1972"/>
      <c r="I1476" s="1972" t="s">
        <v>3925</v>
      </c>
      <c r="J1476" s="1885"/>
      <c r="K1476" s="1779"/>
      <c r="L1476" s="1779"/>
      <c r="M1476" s="1779"/>
      <c r="N1476" s="1779"/>
      <c r="O1476" s="2"/>
    </row>
    <row r="1477" spans="1:17" x14ac:dyDescent="0.3">
      <c r="A1477" s="3626"/>
      <c r="B1477" s="1869"/>
      <c r="C1477" s="1933"/>
      <c r="D1477" s="1958" t="s">
        <v>5040</v>
      </c>
      <c r="E1477" s="1865"/>
      <c r="F1477" s="1873"/>
      <c r="G1477" s="1881"/>
      <c r="H1477" s="1984"/>
      <c r="I1477" s="1972" t="s">
        <v>3925</v>
      </c>
      <c r="J1477" s="1934"/>
      <c r="K1477" s="1779"/>
      <c r="L1477" s="1779"/>
      <c r="M1477" s="1779"/>
      <c r="N1477" s="1779"/>
      <c r="O1477" s="2"/>
    </row>
    <row r="1478" spans="1:17" x14ac:dyDescent="0.3">
      <c r="A1478" s="3626"/>
      <c r="B1478" s="1869"/>
      <c r="C1478" s="1863"/>
      <c r="D1478" s="1955" t="s">
        <v>5041</v>
      </c>
      <c r="E1478" s="1887"/>
      <c r="F1478" s="1876"/>
      <c r="G1478" s="1879"/>
      <c r="H1478" s="1972"/>
      <c r="I1478" s="1972" t="s">
        <v>3925</v>
      </c>
      <c r="J1478" s="1885"/>
      <c r="K1478" s="1779"/>
      <c r="L1478" s="1779"/>
      <c r="M1478" s="1779"/>
      <c r="N1478" s="1779"/>
      <c r="O1478" s="2"/>
    </row>
    <row r="1479" spans="1:17" ht="15.6" x14ac:dyDescent="0.3">
      <c r="A1479" s="3626"/>
      <c r="B1479" s="2008">
        <v>12215</v>
      </c>
      <c r="C1479" s="2009">
        <v>0.1</v>
      </c>
      <c r="D1479" s="1964" t="s">
        <v>5042</v>
      </c>
      <c r="E1479" s="1894">
        <v>950000</v>
      </c>
      <c r="F1479" s="1889">
        <v>0.1</v>
      </c>
      <c r="G1479" s="1935">
        <f>E1479*F1479</f>
        <v>95000</v>
      </c>
      <c r="H1479" s="1985" t="s">
        <v>2037</v>
      </c>
      <c r="I1479" s="1962" t="s">
        <v>3925</v>
      </c>
      <c r="J1479" s="1934"/>
      <c r="K1479" s="1779"/>
      <c r="L1479" s="1779"/>
      <c r="M1479" s="1779"/>
      <c r="N1479" s="1779"/>
      <c r="O1479" s="2"/>
    </row>
    <row r="1480" spans="1:17" ht="15.6" x14ac:dyDescent="0.3">
      <c r="A1480" s="3626"/>
      <c r="B1480" s="2008">
        <v>12252</v>
      </c>
      <c r="C1480" s="2009">
        <v>0.1</v>
      </c>
      <c r="D1480" s="1964">
        <v>8</v>
      </c>
      <c r="E1480" s="1894">
        <v>1000000</v>
      </c>
      <c r="F1480" s="1889">
        <v>0.1</v>
      </c>
      <c r="G1480" s="1935">
        <f t="shared" ref="G1480:G1488" si="70">E1480*F1480</f>
        <v>100000</v>
      </c>
      <c r="H1480" s="1985" t="s">
        <v>2037</v>
      </c>
      <c r="I1480" s="1962" t="s">
        <v>3925</v>
      </c>
      <c r="J1480" s="1885"/>
      <c r="K1480" s="1779"/>
      <c r="L1480" s="1779"/>
      <c r="M1480" s="1779"/>
      <c r="N1480" s="1779"/>
      <c r="O1480" s="2"/>
    </row>
    <row r="1481" spans="1:17" ht="15.6" x14ac:dyDescent="0.3">
      <c r="A1481" s="3626"/>
      <c r="B1481" s="2008">
        <v>12287</v>
      </c>
      <c r="C1481" s="2009">
        <v>0.1</v>
      </c>
      <c r="D1481" s="1965" t="s">
        <v>5043</v>
      </c>
      <c r="E1481" s="1936">
        <v>900000</v>
      </c>
      <c r="F1481" s="1889">
        <v>0.1</v>
      </c>
      <c r="G1481" s="1935">
        <f t="shared" si="70"/>
        <v>90000</v>
      </c>
      <c r="H1481" s="1962" t="s">
        <v>2037</v>
      </c>
      <c r="I1481" s="1962" t="s">
        <v>3928</v>
      </c>
      <c r="J1481" s="1885"/>
      <c r="K1481" s="1779"/>
      <c r="L1481" s="1779"/>
      <c r="M1481" s="1779"/>
      <c r="N1481" s="1779"/>
      <c r="O1481" s="2"/>
    </row>
    <row r="1482" spans="1:17" ht="15.6" x14ac:dyDescent="0.3">
      <c r="A1482" s="3626"/>
      <c r="B1482" s="2008">
        <v>12301</v>
      </c>
      <c r="C1482" s="2009">
        <v>0.1</v>
      </c>
      <c r="D1482" s="1979" t="s">
        <v>4992</v>
      </c>
      <c r="E1482" s="1937">
        <v>1200000</v>
      </c>
      <c r="F1482" s="1889">
        <v>0.05</v>
      </c>
      <c r="G1482" s="1935">
        <f t="shared" si="70"/>
        <v>60000</v>
      </c>
      <c r="H1482" s="1962" t="s">
        <v>523</v>
      </c>
      <c r="I1482" s="1962" t="s">
        <v>3925</v>
      </c>
      <c r="J1482" s="1885"/>
      <c r="K1482" s="1779"/>
      <c r="L1482" s="1779"/>
      <c r="M1482" s="1779"/>
      <c r="N1482" s="1779"/>
      <c r="O1482" s="2"/>
    </row>
    <row r="1483" spans="1:17" ht="15.6" x14ac:dyDescent="0.3">
      <c r="A1483" s="3626"/>
      <c r="B1483" s="2008">
        <v>12321</v>
      </c>
      <c r="C1483" s="2010">
        <v>0.1</v>
      </c>
      <c r="D1483" s="1980" t="s">
        <v>5013</v>
      </c>
      <c r="E1483" s="1893">
        <v>950000</v>
      </c>
      <c r="F1483" s="1889">
        <v>0.05</v>
      </c>
      <c r="G1483" s="1935">
        <f t="shared" si="70"/>
        <v>47500</v>
      </c>
      <c r="H1483" s="1962" t="s">
        <v>527</v>
      </c>
      <c r="I1483" s="1986" t="s">
        <v>3930</v>
      </c>
      <c r="J1483" s="1885"/>
      <c r="K1483" s="1779"/>
      <c r="L1483" s="1779"/>
      <c r="M1483" s="1779"/>
      <c r="N1483" s="1779"/>
      <c r="O1483" s="2"/>
    </row>
    <row r="1484" spans="1:17" ht="15.6" x14ac:dyDescent="0.3">
      <c r="A1484" s="3626"/>
      <c r="B1484" s="2008">
        <v>12327</v>
      </c>
      <c r="C1484" s="2010">
        <v>0.1</v>
      </c>
      <c r="D1484" s="1979" t="s">
        <v>5044</v>
      </c>
      <c r="E1484" s="1936">
        <v>1050000</v>
      </c>
      <c r="F1484" s="1889">
        <v>0.1</v>
      </c>
      <c r="G1484" s="1935">
        <f t="shared" si="70"/>
        <v>105000</v>
      </c>
      <c r="H1484" s="1962" t="s">
        <v>2037</v>
      </c>
      <c r="I1484" s="1987" t="s">
        <v>3925</v>
      </c>
      <c r="J1484" s="1885"/>
      <c r="K1484" s="1779"/>
      <c r="L1484" s="1779"/>
      <c r="M1484" s="1779"/>
      <c r="N1484" s="1779"/>
      <c r="O1484" s="2"/>
    </row>
    <row r="1485" spans="1:17" ht="15.6" x14ac:dyDescent="0.3">
      <c r="A1485" s="3626"/>
      <c r="B1485" s="2008">
        <v>12336</v>
      </c>
      <c r="C1485" s="2010">
        <v>0.1</v>
      </c>
      <c r="D1485" s="1981" t="s">
        <v>5045</v>
      </c>
      <c r="E1485" s="1938">
        <v>900000</v>
      </c>
      <c r="F1485" s="1889">
        <v>0.06</v>
      </c>
      <c r="G1485" s="1935">
        <f t="shared" si="70"/>
        <v>54000</v>
      </c>
      <c r="H1485" s="1241" t="s">
        <v>118</v>
      </c>
      <c r="I1485" s="1241" t="s">
        <v>5046</v>
      </c>
      <c r="J1485" s="1885"/>
      <c r="K1485" s="1779"/>
      <c r="L1485" s="1779"/>
      <c r="M1485" s="1779"/>
      <c r="N1485" s="1779"/>
      <c r="O1485" s="2"/>
    </row>
    <row r="1486" spans="1:17" s="511" customFormat="1" ht="15.6" x14ac:dyDescent="0.3">
      <c r="A1486" s="3626"/>
      <c r="B1486" s="2008">
        <v>12377</v>
      </c>
      <c r="C1486" s="2064">
        <v>0.1</v>
      </c>
      <c r="D1486" s="2065" t="s">
        <v>5047</v>
      </c>
      <c r="E1486" s="1936">
        <v>850000</v>
      </c>
      <c r="F1486" s="1889">
        <v>0.1</v>
      </c>
      <c r="G1486" s="1935">
        <f t="shared" si="70"/>
        <v>85000</v>
      </c>
      <c r="H1486" s="1962" t="s">
        <v>2037</v>
      </c>
      <c r="I1486" s="1962" t="s">
        <v>3925</v>
      </c>
      <c r="J1486" s="1934"/>
      <c r="K1486" s="1779"/>
      <c r="L1486" s="1779"/>
      <c r="M1486" s="1779"/>
      <c r="N1486" s="1779"/>
      <c r="O1486" s="51"/>
    </row>
    <row r="1487" spans="1:17" s="511" customFormat="1" ht="15.6" x14ac:dyDescent="0.3">
      <c r="A1487" s="3626"/>
      <c r="B1487" s="2107">
        <v>12430</v>
      </c>
      <c r="C1487" s="2061">
        <v>0.1</v>
      </c>
      <c r="D1487" s="1965" t="s">
        <v>5048</v>
      </c>
      <c r="E1487" s="1894">
        <v>1300000</v>
      </c>
      <c r="F1487" s="1889">
        <v>0.1</v>
      </c>
      <c r="G1487" s="1935">
        <f t="shared" si="70"/>
        <v>130000</v>
      </c>
      <c r="H1487" s="1241" t="s">
        <v>2037</v>
      </c>
      <c r="I1487" s="1241" t="s">
        <v>3925</v>
      </c>
      <c r="J1487" s="1895"/>
      <c r="K1487" s="1779"/>
      <c r="L1487" s="1779"/>
      <c r="M1487" s="1779"/>
      <c r="N1487" s="1779"/>
      <c r="O1487" s="51"/>
    </row>
    <row r="1488" spans="1:17" ht="15" customHeight="1" x14ac:dyDescent="0.3">
      <c r="A1488" s="3626"/>
      <c r="B1488" s="2107">
        <v>12432</v>
      </c>
      <c r="C1488" s="2061">
        <v>0.1</v>
      </c>
      <c r="D1488" s="1980" t="s">
        <v>5015</v>
      </c>
      <c r="E1488" s="2104">
        <v>1350000</v>
      </c>
      <c r="F1488" s="1889">
        <v>0.05</v>
      </c>
      <c r="G1488" s="1935">
        <f t="shared" si="70"/>
        <v>67500</v>
      </c>
      <c r="H1488" s="2105" t="s">
        <v>527</v>
      </c>
      <c r="I1488" s="1241" t="s">
        <v>3925</v>
      </c>
      <c r="J1488" s="1895"/>
      <c r="K1488" s="1779"/>
      <c r="L1488" s="1779"/>
      <c r="M1488" s="1779"/>
      <c r="N1488" s="1779"/>
      <c r="O1488" s="2"/>
    </row>
    <row r="1489" spans="1:15" ht="15" customHeight="1" x14ac:dyDescent="0.3">
      <c r="A1489" s="3626"/>
      <c r="B1489" s="2063"/>
      <c r="C1489" s="1899"/>
      <c r="D1489" s="2062"/>
      <c r="E1489" s="1945"/>
      <c r="F1489" s="1943"/>
      <c r="G1489" s="1946"/>
      <c r="H1489" s="1971"/>
      <c r="I1489" s="1990"/>
      <c r="J1489" s="1895"/>
      <c r="K1489" s="1780"/>
      <c r="L1489" s="1711"/>
      <c r="M1489" s="1594"/>
      <c r="N1489" s="308"/>
      <c r="O1489" s="294"/>
    </row>
    <row r="1490" spans="1:15" ht="15" customHeight="1" x14ac:dyDescent="0.3">
      <c r="A1490" s="3626"/>
      <c r="B1490" s="1911"/>
      <c r="C1490" s="2066"/>
      <c r="D1490" s="2067" t="s">
        <v>3000</v>
      </c>
      <c r="E1490" s="1910">
        <f>SUM(E1479:E1488)</f>
        <v>10450000</v>
      </c>
      <c r="F1490" s="1911"/>
      <c r="G1490" s="1912">
        <f>SUM(G1479:G1488)</f>
        <v>834000</v>
      </c>
      <c r="H1490" s="1911"/>
      <c r="I1490" s="1911"/>
      <c r="J1490" s="1913"/>
      <c r="K1490" s="287"/>
      <c r="L1490" s="3590" t="s">
        <v>3026</v>
      </c>
      <c r="M1490" s="3593"/>
      <c r="N1490" s="3594"/>
      <c r="O1490" s="848">
        <f>O1474</f>
        <v>47500</v>
      </c>
    </row>
    <row r="1491" spans="1:15" ht="15" customHeight="1" x14ac:dyDescent="0.3">
      <c r="A1491" s="3627"/>
      <c r="B1491" s="1949"/>
      <c r="C1491" s="1918"/>
      <c r="D1491" s="1916" t="s">
        <v>3002</v>
      </c>
      <c r="E1491" s="1917">
        <f>G1490+O1490</f>
        <v>881500</v>
      </c>
      <c r="F1491" s="1918"/>
      <c r="G1491" s="1919"/>
      <c r="H1491" s="1918"/>
      <c r="I1491" s="1918"/>
      <c r="J1491" s="1920"/>
      <c r="K1491" s="287"/>
      <c r="L1491" s="968"/>
      <c r="M1491" s="968"/>
      <c r="N1491" s="968"/>
      <c r="O1491" s="294"/>
    </row>
    <row r="1492" spans="1:15" ht="15.6" x14ac:dyDescent="0.3">
      <c r="A1492" s="2267"/>
      <c r="B1492" s="825"/>
      <c r="C1492" s="825"/>
      <c r="D1492" s="1172"/>
      <c r="E1492" s="827"/>
      <c r="F1492" s="825"/>
      <c r="G1492" s="828"/>
      <c r="H1492" s="825"/>
      <c r="I1492" s="825"/>
      <c r="J1492" s="826"/>
      <c r="K1492" s="829"/>
      <c r="L1492" s="830"/>
      <c r="M1492" s="830"/>
      <c r="N1492" s="830"/>
      <c r="O1492" s="831"/>
    </row>
    <row r="1493" spans="1:15" ht="15.6" x14ac:dyDescent="0.3">
      <c r="A1493" s="2267"/>
      <c r="B1493" s="825"/>
      <c r="C1493" s="825"/>
      <c r="D1493" s="1172"/>
      <c r="E1493" s="827"/>
      <c r="F1493" s="825"/>
      <c r="G1493" s="828"/>
      <c r="H1493" s="825"/>
      <c r="I1493" s="825"/>
      <c r="J1493" s="826"/>
      <c r="K1493" s="829"/>
      <c r="L1493" s="830"/>
      <c r="M1493" s="830"/>
      <c r="N1493" s="830"/>
      <c r="O1493" s="831"/>
    </row>
    <row r="1494" spans="1:15" x14ac:dyDescent="0.3">
      <c r="A1494" s="90"/>
      <c r="E1494" s="91"/>
      <c r="G1494" s="92"/>
      <c r="H1494" s="1028"/>
    </row>
    <row r="1495" spans="1:15" x14ac:dyDescent="0.3">
      <c r="A1495" s="3826" t="s">
        <v>5049</v>
      </c>
      <c r="B1495" s="3827"/>
      <c r="C1495" s="3827"/>
      <c r="D1495" s="3827"/>
      <c r="E1495" s="3827"/>
      <c r="F1495" s="3827"/>
      <c r="G1495" s="3827"/>
      <c r="H1495" s="3828"/>
    </row>
    <row r="1496" spans="1:15" x14ac:dyDescent="0.3">
      <c r="A1496" s="3829"/>
      <c r="B1496" s="3830"/>
      <c r="C1496" s="3830"/>
      <c r="D1496" s="3830"/>
      <c r="E1496" s="3830"/>
      <c r="F1496" s="3830"/>
      <c r="G1496" s="3830"/>
      <c r="H1496" s="3831"/>
      <c r="J1496" s="511"/>
      <c r="K1496" s="511"/>
      <c r="L1496" s="511"/>
      <c r="M1496" s="511"/>
      <c r="N1496" s="511"/>
      <c r="O1496" s="511"/>
    </row>
    <row r="1497" spans="1:15" ht="20.399999999999999" x14ac:dyDescent="0.3">
      <c r="A1497" s="46" t="s">
        <v>3751</v>
      </c>
      <c r="B1497" s="33" t="s">
        <v>2976</v>
      </c>
      <c r="C1497" s="176" t="s">
        <v>3752</v>
      </c>
      <c r="D1497" s="1093" t="s">
        <v>3753</v>
      </c>
      <c r="E1497" s="63" t="s">
        <v>3754</v>
      </c>
      <c r="F1497" s="406" t="s">
        <v>2979</v>
      </c>
      <c r="G1497" s="657" t="s">
        <v>2985</v>
      </c>
      <c r="H1497" s="94" t="s">
        <v>4123</v>
      </c>
      <c r="I1497" s="2"/>
      <c r="J1497" s="511"/>
      <c r="K1497" s="511"/>
      <c r="L1497" s="511"/>
      <c r="M1497" s="511"/>
      <c r="N1497" s="511"/>
      <c r="O1497" s="511"/>
    </row>
    <row r="1498" spans="1:15" x14ac:dyDescent="0.3">
      <c r="A1498" s="1859"/>
      <c r="B1498" s="344"/>
      <c r="C1498" s="1246" t="s">
        <v>5050</v>
      </c>
      <c r="D1498" s="1795" t="s">
        <v>5051</v>
      </c>
      <c r="E1498" s="1775"/>
      <c r="F1498" s="1377"/>
      <c r="G1498" s="1371"/>
      <c r="H1498" s="385" t="s">
        <v>748</v>
      </c>
      <c r="I1498" s="2"/>
      <c r="J1498" s="511"/>
      <c r="K1498" s="511"/>
      <c r="L1498" s="511"/>
      <c r="M1498" s="511"/>
      <c r="N1498" s="511"/>
      <c r="O1498" s="511"/>
    </row>
    <row r="1499" spans="1:15" x14ac:dyDescent="0.3">
      <c r="A1499" s="127"/>
      <c r="B1499" s="896"/>
      <c r="C1499" s="729" t="s">
        <v>5052</v>
      </c>
      <c r="D1499" s="417" t="s">
        <v>4125</v>
      </c>
      <c r="E1499" s="1650"/>
      <c r="F1499" s="1231"/>
      <c r="G1499" s="600"/>
      <c r="H1499" s="385" t="s">
        <v>527</v>
      </c>
      <c r="I1499" s="970"/>
      <c r="J1499" s="511"/>
      <c r="K1499" s="511"/>
      <c r="L1499" s="511"/>
      <c r="M1499" s="511"/>
      <c r="N1499" s="511"/>
      <c r="O1499" s="511"/>
    </row>
    <row r="1500" spans="1:15" x14ac:dyDescent="0.3">
      <c r="A1500" s="127"/>
      <c r="B1500" s="1831"/>
      <c r="C1500" s="1289" t="s">
        <v>5053</v>
      </c>
      <c r="D1500" s="1832" t="s">
        <v>4244</v>
      </c>
      <c r="E1500" s="1650"/>
      <c r="F1500" s="1231"/>
      <c r="G1500" s="600"/>
      <c r="H1500" s="385" t="s">
        <v>527</v>
      </c>
      <c r="I1500" s="2"/>
      <c r="J1500" s="511"/>
      <c r="K1500" s="511"/>
      <c r="L1500" s="511"/>
      <c r="M1500" s="511"/>
      <c r="N1500" s="511"/>
      <c r="O1500" s="511"/>
    </row>
    <row r="1501" spans="1:15" x14ac:dyDescent="0.3">
      <c r="A1501" s="127"/>
      <c r="B1501" s="896"/>
      <c r="C1501" s="729" t="s">
        <v>5054</v>
      </c>
      <c r="D1501" s="1833" t="s">
        <v>4244</v>
      </c>
      <c r="E1501" s="1650"/>
      <c r="F1501" s="1231"/>
      <c r="G1501" s="600"/>
      <c r="H1501" s="385" t="s">
        <v>748</v>
      </c>
      <c r="I1501" s="2"/>
      <c r="J1501" s="511"/>
      <c r="K1501" s="511"/>
      <c r="L1501" s="511"/>
      <c r="M1501" s="511"/>
      <c r="N1501" s="511"/>
      <c r="O1501" s="511"/>
    </row>
    <row r="1502" spans="1:15" x14ac:dyDescent="0.3">
      <c r="A1502" s="127"/>
      <c r="B1502" s="344"/>
      <c r="C1502" s="1289" t="s">
        <v>5055</v>
      </c>
      <c r="D1502" s="1833" t="s">
        <v>4244</v>
      </c>
      <c r="E1502" s="1650"/>
      <c r="F1502" s="1231"/>
      <c r="G1502" s="600"/>
      <c r="H1502" s="385" t="s">
        <v>527</v>
      </c>
      <c r="I1502" s="2"/>
      <c r="J1502" s="511"/>
      <c r="K1502" s="511"/>
      <c r="L1502" s="511"/>
      <c r="M1502" s="511"/>
      <c r="N1502" s="511"/>
      <c r="O1502" s="511"/>
    </row>
    <row r="1503" spans="1:15" ht="27" x14ac:dyDescent="0.3">
      <c r="A1503" s="127"/>
      <c r="B1503" s="344"/>
      <c r="C1503" s="1445" t="s">
        <v>5016</v>
      </c>
      <c r="D1503" s="1798" t="s">
        <v>5056</v>
      </c>
      <c r="E1503" s="344"/>
      <c r="F1503" s="358"/>
      <c r="G1503" s="606"/>
      <c r="H1503" s="417" t="s">
        <v>3928</v>
      </c>
      <c r="I1503" s="2"/>
      <c r="J1503" s="511"/>
      <c r="K1503" s="511"/>
      <c r="L1503" s="511"/>
      <c r="M1503" s="511"/>
      <c r="N1503" s="511"/>
      <c r="O1503" s="511"/>
    </row>
    <row r="1504" spans="1:15" x14ac:dyDescent="0.3">
      <c r="A1504" s="127"/>
      <c r="B1504" s="1725"/>
      <c r="C1504" s="729" t="s">
        <v>5057</v>
      </c>
      <c r="D1504" s="417" t="s">
        <v>5058</v>
      </c>
      <c r="E1504" s="1650"/>
      <c r="F1504" s="1231"/>
      <c r="G1504" s="600"/>
      <c r="H1504" s="385" t="s">
        <v>523</v>
      </c>
      <c r="I1504" s="2"/>
      <c r="J1504" s="511"/>
      <c r="K1504" s="511"/>
      <c r="L1504" s="511"/>
      <c r="M1504" s="511"/>
      <c r="N1504" s="511"/>
      <c r="O1504" s="511"/>
    </row>
    <row r="1505" spans="1:15" x14ac:dyDescent="0.3">
      <c r="A1505" s="127"/>
      <c r="B1505" s="1725"/>
      <c r="C1505" s="1294" t="s">
        <v>5059</v>
      </c>
      <c r="D1505" s="1166" t="s">
        <v>5060</v>
      </c>
      <c r="E1505" s="1676"/>
      <c r="F1505" s="1231"/>
      <c r="G1505" s="600"/>
      <c r="H1505" s="385" t="s">
        <v>527</v>
      </c>
      <c r="I1505" s="2"/>
      <c r="J1505" s="511"/>
      <c r="K1505" s="511"/>
      <c r="L1505" s="511"/>
      <c r="M1505" s="511"/>
      <c r="N1505" s="511"/>
      <c r="O1505" s="511"/>
    </row>
    <row r="1506" spans="1:15" ht="27" x14ac:dyDescent="0.3">
      <c r="A1506" s="127"/>
      <c r="B1506" s="1725"/>
      <c r="C1506" s="729" t="s">
        <v>5061</v>
      </c>
      <c r="D1506" s="921" t="s">
        <v>5062</v>
      </c>
      <c r="E1506" s="1650"/>
      <c r="F1506" s="1231"/>
      <c r="G1506" s="600"/>
      <c r="H1506" s="385" t="s">
        <v>582</v>
      </c>
      <c r="I1506" s="970"/>
      <c r="J1506" s="511"/>
      <c r="K1506" s="511"/>
      <c r="L1506" s="511"/>
      <c r="M1506" s="511"/>
      <c r="N1506" s="511"/>
      <c r="O1506" s="511"/>
    </row>
    <row r="1507" spans="1:15" x14ac:dyDescent="0.3">
      <c r="A1507" s="127"/>
      <c r="B1507" s="1725"/>
      <c r="C1507" s="1289" t="s">
        <v>5063</v>
      </c>
      <c r="D1507" s="417" t="s">
        <v>5058</v>
      </c>
      <c r="E1507" s="1650"/>
      <c r="F1507" s="1231"/>
      <c r="G1507" s="600"/>
      <c r="H1507" s="385" t="s">
        <v>527</v>
      </c>
      <c r="I1507" s="2"/>
      <c r="J1507" s="511"/>
      <c r="K1507" s="511"/>
      <c r="L1507" s="511"/>
      <c r="M1507" s="511"/>
      <c r="N1507" s="511"/>
      <c r="O1507" s="511"/>
    </row>
    <row r="1508" spans="1:15" ht="27" x14ac:dyDescent="0.3">
      <c r="A1508" s="127"/>
      <c r="B1508" s="1725"/>
      <c r="C1508" s="729" t="s">
        <v>5064</v>
      </c>
      <c r="D1508" s="1683" t="s">
        <v>5065</v>
      </c>
      <c r="E1508" s="1650"/>
      <c r="F1508" s="1231"/>
      <c r="G1508" s="1020"/>
      <c r="H1508" s="385" t="s">
        <v>5066</v>
      </c>
      <c r="I1508" s="2"/>
      <c r="J1508" s="511"/>
      <c r="K1508" s="511"/>
      <c r="L1508" s="511"/>
      <c r="M1508" s="511"/>
      <c r="N1508" s="511"/>
      <c r="O1508" s="511"/>
    </row>
    <row r="1509" spans="1:15" ht="15.6" x14ac:dyDescent="0.3">
      <c r="A1509" s="1993">
        <v>12226</v>
      </c>
      <c r="B1509" s="2003">
        <v>0.1</v>
      </c>
      <c r="C1509" s="439" t="s">
        <v>5067</v>
      </c>
      <c r="D1509" s="1190" t="s">
        <v>4109</v>
      </c>
      <c r="E1509" s="1508">
        <v>1300000</v>
      </c>
      <c r="F1509" s="426">
        <v>0.02</v>
      </c>
      <c r="G1509" s="519">
        <f>E1509*F1509</f>
        <v>26000</v>
      </c>
      <c r="H1509" s="587" t="s">
        <v>748</v>
      </c>
      <c r="I1509" s="67" t="s">
        <v>4122</v>
      </c>
      <c r="J1509" s="511"/>
      <c r="K1509" s="511"/>
      <c r="L1509" s="511"/>
      <c r="M1509" s="511"/>
      <c r="N1509" s="511"/>
      <c r="O1509" s="511"/>
    </row>
    <row r="1510" spans="1:15" ht="15.6" x14ac:dyDescent="0.3">
      <c r="A1510" s="1993">
        <v>12196</v>
      </c>
      <c r="B1510" s="2003">
        <v>0.1</v>
      </c>
      <c r="C1510" s="439" t="s">
        <v>5068</v>
      </c>
      <c r="D1510" s="1190" t="s">
        <v>4109</v>
      </c>
      <c r="E1510" s="1347">
        <v>1000000</v>
      </c>
      <c r="F1510" s="426">
        <v>0.02</v>
      </c>
      <c r="G1510" s="519">
        <f t="shared" ref="G1510:G1516" si="71">E1510*F1510</f>
        <v>20000</v>
      </c>
      <c r="H1510" s="587" t="s">
        <v>527</v>
      </c>
      <c r="I1510" s="67" t="s">
        <v>4122</v>
      </c>
      <c r="J1510" s="511"/>
      <c r="K1510" s="511"/>
      <c r="L1510" s="511"/>
      <c r="M1510" s="511"/>
      <c r="N1510" s="511"/>
      <c r="O1510" s="511"/>
    </row>
    <row r="1511" spans="1:15" ht="15.6" x14ac:dyDescent="0.3">
      <c r="A1511" s="1993">
        <v>12287</v>
      </c>
      <c r="B1511" s="2004">
        <v>0.1</v>
      </c>
      <c r="C1511" s="526" t="s">
        <v>5069</v>
      </c>
      <c r="D1511" s="1056" t="s">
        <v>4109</v>
      </c>
      <c r="E1511" s="1347">
        <v>900000</v>
      </c>
      <c r="F1511" s="426">
        <v>0.02</v>
      </c>
      <c r="G1511" s="519">
        <f t="shared" si="71"/>
        <v>18000</v>
      </c>
      <c r="H1511" s="587" t="s">
        <v>2037</v>
      </c>
      <c r="I1511" s="350" t="s">
        <v>4122</v>
      </c>
      <c r="J1511" s="511"/>
      <c r="K1511" s="511"/>
      <c r="L1511" s="511"/>
      <c r="M1511" s="511"/>
      <c r="N1511" s="511"/>
      <c r="O1511" s="511"/>
    </row>
    <row r="1512" spans="1:15" ht="15.6" x14ac:dyDescent="0.3">
      <c r="A1512" s="2005">
        <v>12367</v>
      </c>
      <c r="B1512" s="2006">
        <v>0.1</v>
      </c>
      <c r="C1512" s="1256" t="s">
        <v>5070</v>
      </c>
      <c r="D1512" s="590" t="s">
        <v>4109</v>
      </c>
      <c r="E1512" s="1510">
        <v>1300000</v>
      </c>
      <c r="F1512" s="426">
        <v>0.02</v>
      </c>
      <c r="G1512" s="519">
        <f t="shared" si="71"/>
        <v>26000</v>
      </c>
      <c r="H1512" s="587" t="s">
        <v>527</v>
      </c>
      <c r="I1512" s="1615" t="s">
        <v>4122</v>
      </c>
      <c r="J1512" s="511"/>
      <c r="K1512" s="511"/>
      <c r="L1512" s="511"/>
      <c r="M1512" s="511"/>
      <c r="N1512" s="511"/>
      <c r="O1512" s="511"/>
    </row>
    <row r="1513" spans="1:15" s="511" customFormat="1" ht="15.6" x14ac:dyDescent="0.3">
      <c r="A1513" s="2005">
        <v>12380</v>
      </c>
      <c r="B1513" s="2006">
        <v>0.1</v>
      </c>
      <c r="C1513" s="1256" t="s">
        <v>5071</v>
      </c>
      <c r="D1513" s="590" t="s">
        <v>4109</v>
      </c>
      <c r="E1513" s="1510">
        <v>1150000</v>
      </c>
      <c r="F1513" s="426">
        <v>0.02</v>
      </c>
      <c r="G1513" s="519">
        <f t="shared" si="71"/>
        <v>23000</v>
      </c>
      <c r="H1513" s="587" t="s">
        <v>582</v>
      </c>
      <c r="I1513" s="1615" t="s">
        <v>4122</v>
      </c>
    </row>
    <row r="1514" spans="1:15" s="511" customFormat="1" ht="15.6" x14ac:dyDescent="0.3">
      <c r="A1514" s="2007">
        <v>12389</v>
      </c>
      <c r="B1514" s="2070">
        <v>0.1</v>
      </c>
      <c r="C1514" s="526" t="s">
        <v>5072</v>
      </c>
      <c r="D1514" s="590" t="s">
        <v>4109</v>
      </c>
      <c r="E1514" s="1510">
        <v>1400000</v>
      </c>
      <c r="F1514" s="426">
        <v>0.02</v>
      </c>
      <c r="G1514" s="519">
        <f t="shared" si="71"/>
        <v>28000</v>
      </c>
      <c r="H1514" s="587" t="s">
        <v>582</v>
      </c>
      <c r="I1514" s="1615" t="s">
        <v>4122</v>
      </c>
    </row>
    <row r="1515" spans="1:15" ht="15.6" x14ac:dyDescent="0.3">
      <c r="A1515" s="2134">
        <v>12425</v>
      </c>
      <c r="B1515" s="2006">
        <v>0.1</v>
      </c>
      <c r="C1515" s="1256" t="s">
        <v>5073</v>
      </c>
      <c r="D1515" s="1054" t="s">
        <v>4109</v>
      </c>
      <c r="E1515" s="1508">
        <v>1100000</v>
      </c>
      <c r="F1515" s="426">
        <v>0.02</v>
      </c>
      <c r="G1515" s="519">
        <f t="shared" si="71"/>
        <v>22000</v>
      </c>
      <c r="H1515" s="587" t="s">
        <v>527</v>
      </c>
      <c r="I1515" s="587" t="s">
        <v>4122</v>
      </c>
    </row>
    <row r="1516" spans="1:15" ht="15.6" x14ac:dyDescent="0.3">
      <c r="A1516" s="2134">
        <v>12427</v>
      </c>
      <c r="B1516" s="2006">
        <v>0.1</v>
      </c>
      <c r="C1516" s="1256" t="s">
        <v>5074</v>
      </c>
      <c r="D1516" s="1054" t="s">
        <v>4109</v>
      </c>
      <c r="E1516" s="1508">
        <v>970000</v>
      </c>
      <c r="F1516" s="426">
        <v>0.02</v>
      </c>
      <c r="G1516" s="519">
        <f t="shared" si="71"/>
        <v>19400</v>
      </c>
      <c r="H1516" s="587" t="s">
        <v>748</v>
      </c>
      <c r="I1516" s="587" t="s">
        <v>4122</v>
      </c>
    </row>
    <row r="1517" spans="1:15" x14ac:dyDescent="0.3">
      <c r="A1517" s="2295"/>
      <c r="B1517" s="913"/>
      <c r="C1517" s="1374"/>
      <c r="D1517" s="1582"/>
      <c r="E1517" s="1639"/>
      <c r="F1517" s="941"/>
      <c r="G1517" s="740"/>
      <c r="H1517" s="970"/>
      <c r="I1517" s="970"/>
    </row>
    <row r="1518" spans="1:15" x14ac:dyDescent="0.3">
      <c r="A1518" s="277"/>
      <c r="B1518" s="913"/>
      <c r="C1518" s="1374"/>
      <c r="D1518" s="1582" t="s">
        <v>3758</v>
      </c>
      <c r="E1518" s="1804">
        <f>SUM(E1509:E1516)</f>
        <v>9120000</v>
      </c>
      <c r="F1518" s="942"/>
      <c r="G1518" s="414">
        <f>SUM(G1509:G1516)</f>
        <v>182400</v>
      </c>
      <c r="H1518" s="1058"/>
      <c r="I1518" s="1195"/>
      <c r="J1518" s="511"/>
      <c r="K1518" s="511"/>
      <c r="L1518" s="511"/>
      <c r="M1518" s="511"/>
      <c r="N1518" s="511"/>
      <c r="O1518" s="511"/>
    </row>
    <row r="1519" spans="1:15" x14ac:dyDescent="0.3">
      <c r="A1519" s="46"/>
      <c r="B1519" s="977"/>
      <c r="C1519" s="977"/>
      <c r="D1519" s="2069" t="s">
        <v>3764</v>
      </c>
      <c r="E1519" s="978">
        <f>G1518</f>
        <v>182400</v>
      </c>
      <c r="F1519" s="979"/>
      <c r="G1519" s="980"/>
      <c r="H1519" s="1050"/>
      <c r="I1519" s="1077"/>
    </row>
    <row r="1520" spans="1:15" x14ac:dyDescent="0.3">
      <c r="E1520" s="603"/>
    </row>
    <row r="1521" spans="1:9" x14ac:dyDescent="0.3">
      <c r="E1521" s="603"/>
    </row>
    <row r="1522" spans="1:9" x14ac:dyDescent="0.3">
      <c r="A1522" s="3826" t="s">
        <v>5075</v>
      </c>
      <c r="B1522" s="3827"/>
      <c r="C1522" s="3827"/>
      <c r="D1522" s="3827"/>
      <c r="E1522" s="3827"/>
      <c r="F1522" s="3827"/>
      <c r="G1522" s="3827"/>
      <c r="H1522" s="3828"/>
    </row>
    <row r="1523" spans="1:9" x14ac:dyDescent="0.3">
      <c r="A1523" s="3832"/>
      <c r="B1523" s="3830"/>
      <c r="C1523" s="3830"/>
      <c r="D1523" s="3830"/>
      <c r="E1523" s="3830"/>
      <c r="F1523" s="3833"/>
      <c r="G1523" s="3833"/>
      <c r="H1523" s="3834"/>
    </row>
    <row r="1524" spans="1:9" ht="20.399999999999999" x14ac:dyDescent="0.3">
      <c r="A1524" s="1724" t="s">
        <v>3751</v>
      </c>
      <c r="B1524" s="176" t="s">
        <v>2976</v>
      </c>
      <c r="C1524" s="176" t="s">
        <v>3752</v>
      </c>
      <c r="D1524" s="1127" t="s">
        <v>3753</v>
      </c>
      <c r="E1524" s="405" t="s">
        <v>3754</v>
      </c>
      <c r="F1524" s="406" t="s">
        <v>2979</v>
      </c>
      <c r="G1524" s="407" t="s">
        <v>2985</v>
      </c>
      <c r="H1524" s="697" t="s">
        <v>4123</v>
      </c>
      <c r="I1524" s="268"/>
    </row>
    <row r="1525" spans="1:9" ht="27" x14ac:dyDescent="0.3">
      <c r="A1525" s="1815"/>
      <c r="B1525" s="1816"/>
      <c r="C1525" s="1169" t="s">
        <v>5076</v>
      </c>
      <c r="D1525" s="1834" t="s">
        <v>4107</v>
      </c>
      <c r="E1525" s="1835"/>
      <c r="F1525" s="1836"/>
      <c r="G1525" s="385"/>
      <c r="H1525" s="357" t="s">
        <v>2037</v>
      </c>
      <c r="I1525" s="268"/>
    </row>
    <row r="1526" spans="1:9" x14ac:dyDescent="0.3">
      <c r="A1526" s="1815"/>
      <c r="B1526" s="1816"/>
      <c r="C1526" s="1169" t="s">
        <v>5077</v>
      </c>
      <c r="D1526" s="1795" t="s">
        <v>4186</v>
      </c>
      <c r="E1526" s="1775"/>
      <c r="F1526" s="1551"/>
      <c r="G1526" s="1371"/>
      <c r="H1526" s="357" t="s">
        <v>582</v>
      </c>
      <c r="I1526" s="201"/>
    </row>
    <row r="1527" spans="1:9" x14ac:dyDescent="0.3">
      <c r="A1527" s="1808"/>
      <c r="B1527" s="106"/>
      <c r="C1527" s="1246" t="s">
        <v>5078</v>
      </c>
      <c r="D1527" s="1809" t="s">
        <v>5079</v>
      </c>
      <c r="E1527" s="1775"/>
      <c r="F1527" s="1377"/>
      <c r="G1527" s="1371"/>
      <c r="H1527" s="357" t="s">
        <v>582</v>
      </c>
      <c r="I1527" s="268"/>
    </row>
    <row r="1528" spans="1:9" x14ac:dyDescent="0.3">
      <c r="A1528" s="1731"/>
      <c r="B1528" s="914"/>
      <c r="C1528" s="1169" t="s">
        <v>5080</v>
      </c>
      <c r="D1528" s="1169" t="s">
        <v>5081</v>
      </c>
      <c r="E1528" s="1434"/>
      <c r="F1528" s="1290"/>
      <c r="G1528" s="600"/>
      <c r="H1528" s="357" t="s">
        <v>5082</v>
      </c>
      <c r="I1528" s="268"/>
    </row>
    <row r="1529" spans="1:9" x14ac:dyDescent="0.3">
      <c r="A1529" s="127"/>
      <c r="B1529" s="896"/>
      <c r="C1529" s="1169" t="s">
        <v>5083</v>
      </c>
      <c r="D1529" s="1749" t="s">
        <v>5084</v>
      </c>
      <c r="E1529" s="1775"/>
      <c r="F1529" s="1377"/>
      <c r="G1529" s="1371"/>
      <c r="H1529" s="357" t="s">
        <v>527</v>
      </c>
      <c r="I1529" s="268"/>
    </row>
    <row r="1530" spans="1:9" x14ac:dyDescent="0.3">
      <c r="A1530" s="127"/>
      <c r="B1530" s="896"/>
      <c r="C1530" s="926" t="s">
        <v>5085</v>
      </c>
      <c r="D1530" s="1795" t="s">
        <v>4107</v>
      </c>
      <c r="E1530" s="1775"/>
      <c r="F1530" s="1377"/>
      <c r="G1530" s="1371"/>
      <c r="H1530" s="357" t="s">
        <v>527</v>
      </c>
      <c r="I1530" s="268"/>
    </row>
    <row r="1531" spans="1:9" x14ac:dyDescent="0.3">
      <c r="A1531" s="127"/>
      <c r="B1531" s="896"/>
      <c r="C1531" s="1796" t="s">
        <v>5086</v>
      </c>
      <c r="D1531" s="1797" t="s">
        <v>4125</v>
      </c>
      <c r="E1531" s="1775"/>
      <c r="F1531" s="1377"/>
      <c r="G1531" s="1371"/>
      <c r="H1531" s="357" t="s">
        <v>527</v>
      </c>
      <c r="I1531" s="268"/>
    </row>
    <row r="1532" spans="1:9" x14ac:dyDescent="0.3">
      <c r="A1532" s="2327"/>
      <c r="B1532" s="1792"/>
      <c r="C1532" s="1793" t="s">
        <v>5021</v>
      </c>
      <c r="D1532" s="1794"/>
      <c r="E1532" s="720"/>
      <c r="F1532" s="358"/>
      <c r="G1532" s="606"/>
      <c r="H1532" s="358" t="s">
        <v>4689</v>
      </c>
      <c r="I1532" s="268"/>
    </row>
    <row r="1533" spans="1:9" x14ac:dyDescent="0.3">
      <c r="A1533" s="1731"/>
      <c r="B1533" s="914"/>
      <c r="C1533" s="1246" t="s">
        <v>5087</v>
      </c>
      <c r="D1533" s="1813" t="s">
        <v>5088</v>
      </c>
      <c r="E1533" s="1670"/>
      <c r="F1533" s="1377"/>
      <c r="G1533" s="1371"/>
      <c r="H1533" s="357" t="s">
        <v>527</v>
      </c>
      <c r="I1533" s="268"/>
    </row>
    <row r="1534" spans="1:9" ht="27" x14ac:dyDescent="0.3">
      <c r="A1534" s="1731"/>
      <c r="B1534" s="914"/>
      <c r="C1534" s="1246" t="s">
        <v>5089</v>
      </c>
      <c r="D1534" s="1773" t="s">
        <v>5090</v>
      </c>
      <c r="E1534" s="1775"/>
      <c r="F1534" s="1377"/>
      <c r="G1534" s="1371"/>
      <c r="H1534" s="357" t="s">
        <v>582</v>
      </c>
      <c r="I1534" s="268"/>
    </row>
    <row r="1535" spans="1:9" ht="27" x14ac:dyDescent="0.3">
      <c r="A1535" s="1731"/>
      <c r="B1535" s="914"/>
      <c r="C1535" s="729" t="s">
        <v>5091</v>
      </c>
      <c r="D1535" s="1749" t="s">
        <v>5092</v>
      </c>
      <c r="E1535" s="1670"/>
      <c r="F1535" s="1377"/>
      <c r="G1535" s="1371"/>
      <c r="H1535" s="357" t="s">
        <v>2037</v>
      </c>
      <c r="I1535" s="268"/>
    </row>
    <row r="1536" spans="1:9" x14ac:dyDescent="0.3">
      <c r="A1536" s="1731"/>
      <c r="B1536" s="914"/>
      <c r="C1536" s="1289" t="s">
        <v>5093</v>
      </c>
      <c r="D1536" s="1749" t="s">
        <v>5094</v>
      </c>
      <c r="E1536" s="1670"/>
      <c r="F1536" s="1377"/>
      <c r="G1536" s="1371"/>
      <c r="H1536" s="357" t="s">
        <v>2037</v>
      </c>
      <c r="I1536" s="268"/>
    </row>
    <row r="1537" spans="1:9" x14ac:dyDescent="0.3">
      <c r="A1537" s="1731"/>
      <c r="B1537" s="914"/>
      <c r="C1537" s="729" t="s">
        <v>5095</v>
      </c>
      <c r="D1537" s="1203" t="s">
        <v>4125</v>
      </c>
      <c r="E1537" s="1754"/>
      <c r="F1537" s="1231"/>
      <c r="G1537" s="600"/>
      <c r="H1537" s="357" t="s">
        <v>527</v>
      </c>
      <c r="I1537" s="268"/>
    </row>
    <row r="1538" spans="1:9" ht="27" x14ac:dyDescent="0.3">
      <c r="A1538" s="1731"/>
      <c r="B1538" s="914"/>
      <c r="C1538" s="729" t="s">
        <v>5096</v>
      </c>
      <c r="D1538" s="1166" t="s">
        <v>5097</v>
      </c>
      <c r="E1538" s="1753"/>
      <c r="F1538" s="1290"/>
      <c r="G1538" s="600"/>
      <c r="H1538" s="357" t="s">
        <v>582</v>
      </c>
      <c r="I1538" s="268"/>
    </row>
    <row r="1539" spans="1:9" x14ac:dyDescent="0.3">
      <c r="A1539" s="1731"/>
      <c r="B1539" s="914"/>
      <c r="C1539" s="1289" t="s">
        <v>5098</v>
      </c>
      <c r="D1539" s="1289" t="s">
        <v>5099</v>
      </c>
      <c r="E1539" s="1670"/>
      <c r="F1539" s="1377"/>
      <c r="G1539" s="1371"/>
      <c r="H1539" s="357" t="s">
        <v>527</v>
      </c>
      <c r="I1539" s="268"/>
    </row>
    <row r="1540" spans="1:9" x14ac:dyDescent="0.3">
      <c r="A1540" s="1731"/>
      <c r="B1540" s="914"/>
      <c r="C1540" s="1289" t="s">
        <v>5100</v>
      </c>
      <c r="D1540" s="1749" t="s">
        <v>4893</v>
      </c>
      <c r="E1540" s="1734"/>
      <c r="F1540" s="1750"/>
      <c r="G1540" s="1371"/>
      <c r="H1540" s="357" t="s">
        <v>748</v>
      </c>
      <c r="I1540" s="268"/>
    </row>
    <row r="1541" spans="1:9" x14ac:dyDescent="0.3">
      <c r="A1541" s="1731"/>
      <c r="B1541" s="914"/>
      <c r="C1541" s="1289" t="s">
        <v>5101</v>
      </c>
      <c r="D1541" s="1749" t="s">
        <v>5102</v>
      </c>
      <c r="E1541" s="1670"/>
      <c r="F1541" s="1750"/>
      <c r="G1541" s="1371"/>
      <c r="H1541" s="357" t="s">
        <v>527</v>
      </c>
      <c r="I1541" s="201"/>
    </row>
    <row r="1542" spans="1:9" x14ac:dyDescent="0.3">
      <c r="A1542" s="1731"/>
      <c r="B1542" s="914"/>
      <c r="C1542" s="729" t="s">
        <v>5103</v>
      </c>
      <c r="D1542" s="1744" t="s">
        <v>5104</v>
      </c>
      <c r="E1542" s="409"/>
      <c r="F1542" s="1377"/>
      <c r="G1542" s="1371"/>
      <c r="H1542" s="357" t="s">
        <v>2037</v>
      </c>
      <c r="I1542" s="268"/>
    </row>
    <row r="1543" spans="1:9" x14ac:dyDescent="0.3">
      <c r="A1543" s="1731"/>
      <c r="B1543" s="914"/>
      <c r="C1543" s="270" t="s">
        <v>5105</v>
      </c>
      <c r="D1543" s="1395" t="s">
        <v>5106</v>
      </c>
      <c r="E1543" s="1739"/>
      <c r="F1543" s="791"/>
      <c r="G1543" s="894"/>
      <c r="H1543" s="2028" t="s">
        <v>748</v>
      </c>
      <c r="I1543" s="268"/>
    </row>
    <row r="1544" spans="1:9" x14ac:dyDescent="0.3">
      <c r="A1544" s="1731"/>
      <c r="B1544" s="1741"/>
      <c r="C1544" s="1743" t="s">
        <v>5041</v>
      </c>
      <c r="D1544" s="1814" t="s">
        <v>4244</v>
      </c>
      <c r="E1544" s="1739"/>
      <c r="F1544" s="791"/>
      <c r="G1544" s="894"/>
      <c r="H1544" s="2029" t="s">
        <v>2037</v>
      </c>
      <c r="I1544" s="268"/>
    </row>
    <row r="1545" spans="1:9" ht="27" x14ac:dyDescent="0.3">
      <c r="A1545" s="1731"/>
      <c r="B1545" s="1741"/>
      <c r="C1545" s="729" t="s">
        <v>5002</v>
      </c>
      <c r="D1545" s="417" t="s">
        <v>5107</v>
      </c>
      <c r="E1545" s="1650"/>
      <c r="F1545" s="1231"/>
      <c r="G1545" s="600"/>
      <c r="H1545" s="357" t="s">
        <v>748</v>
      </c>
      <c r="I1545" s="268"/>
    </row>
    <row r="1546" spans="1:9" x14ac:dyDescent="0.3">
      <c r="A1546" s="1731"/>
      <c r="B1546" s="1741"/>
      <c r="C1546" s="385" t="s">
        <v>5108</v>
      </c>
      <c r="D1546" s="1169" t="s">
        <v>5109</v>
      </c>
      <c r="E1546" s="1723"/>
      <c r="F1546" s="409"/>
      <c r="G1546" s="600"/>
      <c r="H1546" s="357" t="s">
        <v>527</v>
      </c>
      <c r="I1546" s="268"/>
    </row>
    <row r="1547" spans="1:9" ht="27" x14ac:dyDescent="0.3">
      <c r="A1547" s="1731"/>
      <c r="B1547" s="914"/>
      <c r="C1547" s="1708" t="s">
        <v>5110</v>
      </c>
      <c r="D1547" s="1742" t="s">
        <v>5060</v>
      </c>
      <c r="E1547" s="1723"/>
      <c r="F1547" s="409"/>
      <c r="G1547" s="600"/>
      <c r="H1547" s="357" t="s">
        <v>523</v>
      </c>
      <c r="I1547" s="268"/>
    </row>
    <row r="1548" spans="1:9" ht="27" x14ac:dyDescent="0.3">
      <c r="A1548" s="1731"/>
      <c r="B1548" s="914"/>
      <c r="C1548" s="926" t="s">
        <v>5111</v>
      </c>
      <c r="D1548" s="1169" t="s">
        <v>5029</v>
      </c>
      <c r="E1548" s="1723"/>
      <c r="F1548" s="409"/>
      <c r="G1548" s="600"/>
      <c r="H1548" s="357" t="s">
        <v>527</v>
      </c>
      <c r="I1548" s="268"/>
    </row>
    <row r="1549" spans="1:9" ht="27" x14ac:dyDescent="0.3">
      <c r="A1549" s="1731"/>
      <c r="B1549" s="914"/>
      <c r="C1549" s="926" t="s">
        <v>5112</v>
      </c>
      <c r="D1549" s="1169" t="s">
        <v>5113</v>
      </c>
      <c r="E1549" s="1723"/>
      <c r="F1549" s="409"/>
      <c r="G1549" s="600"/>
      <c r="H1549" s="357" t="s">
        <v>582</v>
      </c>
      <c r="I1549" s="268"/>
    </row>
    <row r="1550" spans="1:9" ht="15.6" x14ac:dyDescent="0.3">
      <c r="A1550" s="1993">
        <v>12215</v>
      </c>
      <c r="B1550" s="1994">
        <v>0.1</v>
      </c>
      <c r="C1550" s="587" t="s">
        <v>5114</v>
      </c>
      <c r="D1550" s="1256" t="s">
        <v>4109</v>
      </c>
      <c r="E1550" s="1506">
        <v>950000</v>
      </c>
      <c r="F1550" s="322">
        <v>0.06</v>
      </c>
      <c r="G1550" s="519">
        <f>E1550*F1550</f>
        <v>57000</v>
      </c>
      <c r="H1550" s="350" t="s">
        <v>2037</v>
      </c>
      <c r="I1550" s="1089" t="s">
        <v>4122</v>
      </c>
    </row>
    <row r="1551" spans="1:9" ht="15.6" x14ac:dyDescent="0.3">
      <c r="A1551" s="1991">
        <v>12234</v>
      </c>
      <c r="B1551" s="1994">
        <v>0.1</v>
      </c>
      <c r="C1551" s="995" t="s">
        <v>5115</v>
      </c>
      <c r="D1551" s="1170" t="s">
        <v>4109</v>
      </c>
      <c r="E1551" s="1506">
        <v>930000</v>
      </c>
      <c r="F1551" s="322">
        <v>0.06</v>
      </c>
      <c r="G1551" s="519">
        <f t="shared" ref="G1551:G1570" si="72">E1551*F1551</f>
        <v>55800</v>
      </c>
      <c r="H1551" s="350" t="s">
        <v>527</v>
      </c>
      <c r="I1551" s="1089" t="s">
        <v>4122</v>
      </c>
    </row>
    <row r="1552" spans="1:9" ht="15.6" x14ac:dyDescent="0.3">
      <c r="A1552" s="1991">
        <v>12240</v>
      </c>
      <c r="B1552" s="1995">
        <v>0.1</v>
      </c>
      <c r="C1552" s="1256" t="s">
        <v>5116</v>
      </c>
      <c r="D1552" s="1170" t="s">
        <v>4109</v>
      </c>
      <c r="E1552" s="1641">
        <v>1000000</v>
      </c>
      <c r="F1552" s="322">
        <v>0.06</v>
      </c>
      <c r="G1552" s="519">
        <f t="shared" si="72"/>
        <v>60000</v>
      </c>
      <c r="H1552" s="350" t="s">
        <v>748</v>
      </c>
      <c r="I1552" s="1089" t="s">
        <v>4122</v>
      </c>
    </row>
    <row r="1553" spans="1:9" ht="15.6" x14ac:dyDescent="0.3">
      <c r="A1553" s="1991">
        <v>12252</v>
      </c>
      <c r="B1553" s="1994">
        <v>0.1</v>
      </c>
      <c r="C1553" s="439" t="s">
        <v>5117</v>
      </c>
      <c r="D1553" s="1732" t="s">
        <v>4109</v>
      </c>
      <c r="E1553" s="1506">
        <v>1000000</v>
      </c>
      <c r="F1553" s="322">
        <v>0.06</v>
      </c>
      <c r="G1553" s="519">
        <f t="shared" si="72"/>
        <v>60000</v>
      </c>
      <c r="H1553" s="587" t="s">
        <v>2037</v>
      </c>
      <c r="I1553" s="1089" t="s">
        <v>4122</v>
      </c>
    </row>
    <row r="1554" spans="1:9" ht="15.6" x14ac:dyDescent="0.3">
      <c r="A1554" s="1991">
        <v>12253</v>
      </c>
      <c r="B1554" s="1994">
        <v>0.1</v>
      </c>
      <c r="C1554" s="439" t="s">
        <v>5118</v>
      </c>
      <c r="D1554" s="1190" t="s">
        <v>4109</v>
      </c>
      <c r="E1554" s="1508">
        <v>900000</v>
      </c>
      <c r="F1554" s="322">
        <v>0.06</v>
      </c>
      <c r="G1554" s="519">
        <f t="shared" si="72"/>
        <v>54000</v>
      </c>
      <c r="H1554" s="587" t="s">
        <v>527</v>
      </c>
      <c r="I1554" s="1088" t="s">
        <v>4122</v>
      </c>
    </row>
    <row r="1555" spans="1:9" ht="15.6" x14ac:dyDescent="0.3">
      <c r="A1555" s="1991">
        <v>12277</v>
      </c>
      <c r="B1555" s="1996">
        <v>0.1</v>
      </c>
      <c r="C1555" s="439" t="s">
        <v>5119</v>
      </c>
      <c r="D1555" s="1758" t="s">
        <v>4109</v>
      </c>
      <c r="E1555" s="1756">
        <v>1200000</v>
      </c>
      <c r="F1555" s="322">
        <v>0.06</v>
      </c>
      <c r="G1555" s="519">
        <f t="shared" si="72"/>
        <v>72000</v>
      </c>
      <c r="H1555" s="587" t="s">
        <v>582</v>
      </c>
      <c r="I1555" s="1089" t="s">
        <v>4122</v>
      </c>
    </row>
    <row r="1556" spans="1:9" ht="15.6" x14ac:dyDescent="0.3">
      <c r="A1556" s="1991">
        <v>12290</v>
      </c>
      <c r="B1556" s="1997">
        <v>0.1</v>
      </c>
      <c r="C1556" s="526" t="s">
        <v>5120</v>
      </c>
      <c r="D1556" s="1347" t="s">
        <v>4109</v>
      </c>
      <c r="E1556" s="1761">
        <v>1150000</v>
      </c>
      <c r="F1556" s="322">
        <v>0.06</v>
      </c>
      <c r="G1556" s="519">
        <f t="shared" si="72"/>
        <v>69000</v>
      </c>
      <c r="H1556" s="587" t="s">
        <v>582</v>
      </c>
      <c r="I1556" s="1135" t="s">
        <v>4122</v>
      </c>
    </row>
    <row r="1557" spans="1:9" ht="15.6" x14ac:dyDescent="0.3">
      <c r="A1557" s="1991">
        <v>12286</v>
      </c>
      <c r="B1557" s="1996">
        <v>0.1</v>
      </c>
      <c r="C1557" s="439" t="s">
        <v>5121</v>
      </c>
      <c r="D1557" s="1752" t="s">
        <v>4109</v>
      </c>
      <c r="E1557" s="1759">
        <v>1050000</v>
      </c>
      <c r="F1557" s="322">
        <v>0.06</v>
      </c>
      <c r="G1557" s="519">
        <f t="shared" si="72"/>
        <v>63000</v>
      </c>
      <c r="H1557" s="587" t="s">
        <v>527</v>
      </c>
      <c r="I1557" s="1089" t="s">
        <v>4122</v>
      </c>
    </row>
    <row r="1558" spans="1:9" ht="15.6" x14ac:dyDescent="0.3">
      <c r="A1558" s="1991">
        <v>12292</v>
      </c>
      <c r="B1558" s="1994">
        <v>0.1</v>
      </c>
      <c r="C1558" s="439" t="s">
        <v>5122</v>
      </c>
      <c r="D1558" s="1752" t="s">
        <v>4109</v>
      </c>
      <c r="E1558" s="1761">
        <v>1000000</v>
      </c>
      <c r="F1558" s="322">
        <v>0.06</v>
      </c>
      <c r="G1558" s="519">
        <f t="shared" si="72"/>
        <v>60000</v>
      </c>
      <c r="H1558" s="587" t="s">
        <v>748</v>
      </c>
      <c r="I1558" s="1088" t="s">
        <v>4122</v>
      </c>
    </row>
    <row r="1559" spans="1:9" ht="15.6" x14ac:dyDescent="0.3">
      <c r="A1559" s="1991">
        <v>12282</v>
      </c>
      <c r="B1559" s="1996">
        <v>0.1</v>
      </c>
      <c r="C1559" s="439" t="s">
        <v>5123</v>
      </c>
      <c r="D1559" s="1509" t="s">
        <v>4109</v>
      </c>
      <c r="E1559" s="1756">
        <v>1000000</v>
      </c>
      <c r="F1559" s="322">
        <v>0.06</v>
      </c>
      <c r="G1559" s="519">
        <f t="shared" si="72"/>
        <v>60000</v>
      </c>
      <c r="H1559" s="587" t="s">
        <v>748</v>
      </c>
      <c r="I1559" s="1088" t="s">
        <v>4122</v>
      </c>
    </row>
    <row r="1560" spans="1:9" ht="15.6" x14ac:dyDescent="0.3">
      <c r="A1560" s="1992">
        <v>12301</v>
      </c>
      <c r="B1560" s="1996">
        <v>0.1</v>
      </c>
      <c r="C1560" s="1806" t="s">
        <v>5124</v>
      </c>
      <c r="D1560" s="1768" t="s">
        <v>4109</v>
      </c>
      <c r="E1560" s="1761">
        <v>1200000</v>
      </c>
      <c r="F1560" s="322">
        <v>0.06</v>
      </c>
      <c r="G1560" s="519">
        <f t="shared" si="72"/>
        <v>72000</v>
      </c>
      <c r="H1560" s="587" t="s">
        <v>2037</v>
      </c>
      <c r="I1560" s="1089" t="s">
        <v>4122</v>
      </c>
    </row>
    <row r="1561" spans="1:9" ht="15.6" x14ac:dyDescent="0.3">
      <c r="A1561" s="1991">
        <v>12327</v>
      </c>
      <c r="B1561" s="1998">
        <v>0.1</v>
      </c>
      <c r="C1561" s="439" t="s">
        <v>5125</v>
      </c>
      <c r="D1561" s="1674" t="s">
        <v>4109</v>
      </c>
      <c r="E1561" s="1761">
        <v>1050000</v>
      </c>
      <c r="F1561" s="322">
        <v>0.06</v>
      </c>
      <c r="G1561" s="519">
        <f t="shared" si="72"/>
        <v>63000</v>
      </c>
      <c r="H1561" s="587" t="s">
        <v>2037</v>
      </c>
      <c r="I1561" s="1089" t="s">
        <v>4122</v>
      </c>
    </row>
    <row r="1562" spans="1:9" ht="15.6" x14ac:dyDescent="0.3">
      <c r="A1562" s="1991">
        <v>12336</v>
      </c>
      <c r="B1562" s="1998">
        <v>0.1</v>
      </c>
      <c r="C1562" s="1811" t="s">
        <v>5126</v>
      </c>
      <c r="D1562" s="1344" t="s">
        <v>4109</v>
      </c>
      <c r="E1562" s="1756">
        <v>900000</v>
      </c>
      <c r="F1562" s="322">
        <v>0.06</v>
      </c>
      <c r="G1562" s="519">
        <f t="shared" si="72"/>
        <v>54000</v>
      </c>
      <c r="H1562" s="587" t="s">
        <v>2037</v>
      </c>
      <c r="I1562" s="1089" t="s">
        <v>4122</v>
      </c>
    </row>
    <row r="1563" spans="1:9" ht="15.6" x14ac:dyDescent="0.3">
      <c r="A1563" s="1991">
        <v>12337</v>
      </c>
      <c r="B1563" s="1998">
        <v>0.1</v>
      </c>
      <c r="C1563" s="1817" t="s">
        <v>5127</v>
      </c>
      <c r="D1563" s="1344" t="s">
        <v>4109</v>
      </c>
      <c r="E1563" s="1756">
        <v>1200000</v>
      </c>
      <c r="F1563" s="322">
        <v>0.06</v>
      </c>
      <c r="G1563" s="519">
        <f t="shared" si="72"/>
        <v>72000</v>
      </c>
      <c r="H1563" s="587" t="s">
        <v>582</v>
      </c>
      <c r="I1563" s="1088" t="s">
        <v>4122</v>
      </c>
    </row>
    <row r="1564" spans="1:9" ht="15.6" x14ac:dyDescent="0.3">
      <c r="A1564" s="1993">
        <v>12342</v>
      </c>
      <c r="B1564" s="1999" t="s">
        <v>5128</v>
      </c>
      <c r="C1564" s="1662" t="s">
        <v>5129</v>
      </c>
      <c r="D1564" s="1344" t="s">
        <v>4109</v>
      </c>
      <c r="E1564" s="1756">
        <v>900000</v>
      </c>
      <c r="F1564" s="322">
        <v>0.06</v>
      </c>
      <c r="G1564" s="519">
        <f t="shared" si="72"/>
        <v>54000</v>
      </c>
      <c r="H1564" s="587" t="s">
        <v>748</v>
      </c>
      <c r="I1564" s="1088" t="s">
        <v>4122</v>
      </c>
    </row>
    <row r="1565" spans="1:9" ht="15.6" x14ac:dyDescent="0.3">
      <c r="A1565" s="2000">
        <v>12351</v>
      </c>
      <c r="B1565" s="2001">
        <v>0.1</v>
      </c>
      <c r="C1565" s="1662" t="s">
        <v>5130</v>
      </c>
      <c r="D1565" s="1819" t="s">
        <v>4109</v>
      </c>
      <c r="E1565" s="1756">
        <v>1100000</v>
      </c>
      <c r="F1565" s="322">
        <v>0.06</v>
      </c>
      <c r="G1565" s="519">
        <f t="shared" si="72"/>
        <v>66000</v>
      </c>
      <c r="H1565" s="587" t="s">
        <v>748</v>
      </c>
      <c r="I1565" s="1088" t="s">
        <v>4122</v>
      </c>
    </row>
    <row r="1566" spans="1:9" ht="15.6" x14ac:dyDescent="0.3">
      <c r="A1566" s="1992">
        <v>12355</v>
      </c>
      <c r="B1566" s="2002">
        <v>0.1</v>
      </c>
      <c r="C1566" s="1662" t="s">
        <v>5131</v>
      </c>
      <c r="D1566" s="590" t="s">
        <v>4109</v>
      </c>
      <c r="E1566" s="1820">
        <v>1200000</v>
      </c>
      <c r="F1566" s="322">
        <v>0.06</v>
      </c>
      <c r="G1566" s="519">
        <f t="shared" si="72"/>
        <v>72000</v>
      </c>
      <c r="H1566" s="590" t="s">
        <v>523</v>
      </c>
      <c r="I1566" s="1088" t="s">
        <v>4122</v>
      </c>
    </row>
    <row r="1567" spans="1:9" ht="15.6" x14ac:dyDescent="0.3">
      <c r="A1567" s="1991">
        <v>12364</v>
      </c>
      <c r="B1567" s="2043">
        <v>0.1</v>
      </c>
      <c r="C1567" s="1411" t="s">
        <v>5132</v>
      </c>
      <c r="D1567" s="1768" t="s">
        <v>4109</v>
      </c>
      <c r="E1567" s="1756">
        <v>980000</v>
      </c>
      <c r="F1567" s="322">
        <v>0.06</v>
      </c>
      <c r="G1567" s="519">
        <f t="shared" si="72"/>
        <v>58800</v>
      </c>
      <c r="H1567" s="587" t="s">
        <v>527</v>
      </c>
      <c r="I1567" s="1088" t="s">
        <v>4122</v>
      </c>
    </row>
    <row r="1568" spans="1:9" ht="15.6" x14ac:dyDescent="0.3">
      <c r="A1568" s="2042">
        <v>12377</v>
      </c>
      <c r="B1568" s="1998">
        <v>0.1</v>
      </c>
      <c r="C1568" s="1732" t="s">
        <v>5133</v>
      </c>
      <c r="D1568" s="1768" t="s">
        <v>4109</v>
      </c>
      <c r="E1568" s="1761">
        <v>850000</v>
      </c>
      <c r="F1568" s="322">
        <v>0.06</v>
      </c>
      <c r="G1568" s="519">
        <f t="shared" si="72"/>
        <v>51000</v>
      </c>
      <c r="H1568" s="587" t="s">
        <v>2037</v>
      </c>
      <c r="I1568" s="1088" t="s">
        <v>4122</v>
      </c>
    </row>
    <row r="1569" spans="1:24" ht="15.6" x14ac:dyDescent="0.3">
      <c r="A1569" s="2042">
        <v>12432</v>
      </c>
      <c r="B1569" s="1998">
        <v>0.1</v>
      </c>
      <c r="C1569" s="1081" t="s">
        <v>5134</v>
      </c>
      <c r="D1569" s="1170" t="s">
        <v>5135</v>
      </c>
      <c r="E1569" s="2125">
        <v>1350000</v>
      </c>
      <c r="F1569" s="322">
        <v>0.06</v>
      </c>
      <c r="G1569" s="519">
        <f t="shared" si="72"/>
        <v>81000</v>
      </c>
      <c r="H1569" s="587" t="s">
        <v>2037</v>
      </c>
      <c r="I1569" s="1088" t="s">
        <v>4122</v>
      </c>
    </row>
    <row r="1570" spans="1:24" ht="15.6" x14ac:dyDescent="0.3">
      <c r="A1570" s="2042">
        <v>12430</v>
      </c>
      <c r="B1570" s="1998">
        <v>0.1</v>
      </c>
      <c r="C1570" s="1625" t="s">
        <v>5136</v>
      </c>
      <c r="D1570" s="1819" t="s">
        <v>5137</v>
      </c>
      <c r="E1570" s="1756">
        <v>1300000</v>
      </c>
      <c r="F1570" s="322">
        <v>0.06</v>
      </c>
      <c r="G1570" s="519">
        <f t="shared" si="72"/>
        <v>78000</v>
      </c>
      <c r="H1570" s="587" t="s">
        <v>2037</v>
      </c>
      <c r="I1570" s="1088" t="s">
        <v>4122</v>
      </c>
    </row>
    <row r="1571" spans="1:24" x14ac:dyDescent="0.3">
      <c r="A1571" s="164"/>
      <c r="B1571" s="1777"/>
      <c r="C1571" s="1214"/>
      <c r="D1571" s="1860"/>
      <c r="E1571" s="985"/>
      <c r="F1571" s="1475"/>
      <c r="G1571" s="1204"/>
      <c r="H1571" s="970"/>
      <c r="I1571" s="201"/>
      <c r="J1571" s="511"/>
    </row>
    <row r="1572" spans="1:24" x14ac:dyDescent="0.3">
      <c r="A1572" s="2316"/>
      <c r="B1572" s="1576"/>
      <c r="C1572" s="1436"/>
      <c r="D1572" s="1582" t="s">
        <v>3758</v>
      </c>
      <c r="E1572" s="1338">
        <f>SUM(E1549:E1570)</f>
        <v>22210000</v>
      </c>
      <c r="F1572" s="34"/>
      <c r="G1572" s="1483">
        <f>SUM(G1550:G1570)</f>
        <v>1332600</v>
      </c>
      <c r="H1572" s="51"/>
      <c r="I1572" s="51"/>
      <c r="J1572" s="34"/>
      <c r="K1572" s="34"/>
      <c r="L1572" s="34"/>
      <c r="M1572" s="34"/>
      <c r="N1572" s="34"/>
      <c r="O1572" s="34"/>
    </row>
    <row r="1573" spans="1:24" ht="15.6" x14ac:dyDescent="0.3">
      <c r="A1573" s="2289"/>
      <c r="B1573" s="34"/>
      <c r="C1573" s="1483"/>
      <c r="D1573" s="398" t="s">
        <v>3764</v>
      </c>
      <c r="E1573" s="2095">
        <f>G1572</f>
        <v>1332600</v>
      </c>
      <c r="F1573" s="34"/>
      <c r="G1573" s="34"/>
      <c r="H1573" s="51"/>
      <c r="I1573" s="51"/>
      <c r="J1573" s="34"/>
      <c r="K1573" s="34"/>
      <c r="L1573" s="34"/>
      <c r="M1573" s="34"/>
      <c r="N1573" s="34"/>
      <c r="O1573" s="34"/>
    </row>
    <row r="1576" spans="1:24" x14ac:dyDescent="0.3">
      <c r="A1576" s="3826" t="s">
        <v>5138</v>
      </c>
      <c r="B1576" s="3827"/>
      <c r="C1576" s="3827"/>
      <c r="D1576" s="3827"/>
      <c r="E1576" s="3827"/>
      <c r="F1576" s="3827"/>
      <c r="G1576" s="3827"/>
      <c r="H1576" s="3828"/>
    </row>
    <row r="1577" spans="1:24" x14ac:dyDescent="0.3">
      <c r="A1577" s="3832"/>
      <c r="B1577" s="3830"/>
      <c r="C1577" s="3830"/>
      <c r="D1577" s="3830"/>
      <c r="E1577" s="3830"/>
      <c r="F1577" s="3833"/>
      <c r="G1577" s="3833"/>
      <c r="H1577" s="3834"/>
    </row>
    <row r="1578" spans="1:24" ht="20.399999999999999" x14ac:dyDescent="0.3">
      <c r="A1578" s="1724" t="s">
        <v>3751</v>
      </c>
      <c r="B1578" s="176" t="s">
        <v>2976</v>
      </c>
      <c r="C1578" s="176" t="s">
        <v>3752</v>
      </c>
      <c r="D1578" s="1127" t="s">
        <v>3753</v>
      </c>
      <c r="E1578" s="63" t="s">
        <v>3754</v>
      </c>
      <c r="F1578" s="406" t="s">
        <v>2979</v>
      </c>
      <c r="G1578" s="407" t="s">
        <v>2985</v>
      </c>
      <c r="H1578" s="697" t="s">
        <v>4123</v>
      </c>
    </row>
    <row r="1579" spans="1:24" x14ac:dyDescent="0.3">
      <c r="A1579" s="1731"/>
      <c r="B1579" s="914"/>
      <c r="C1579" s="729" t="s">
        <v>5139</v>
      </c>
      <c r="D1579" s="1749" t="s">
        <v>4125</v>
      </c>
      <c r="E1579" s="409"/>
      <c r="F1579" s="808"/>
      <c r="G1579" s="1371"/>
      <c r="H1579" s="357" t="s">
        <v>527</v>
      </c>
    </row>
    <row r="1580" spans="1:24" x14ac:dyDescent="0.3">
      <c r="A1580" s="1731"/>
      <c r="B1580" s="896"/>
      <c r="C1580" s="1289" t="s">
        <v>5140</v>
      </c>
      <c r="D1580" s="1289" t="s">
        <v>4244</v>
      </c>
      <c r="E1580" s="409"/>
      <c r="F1580" s="808"/>
      <c r="G1580" s="1371"/>
      <c r="H1580" s="357" t="s">
        <v>748</v>
      </c>
      <c r="I1580" s="2"/>
    </row>
    <row r="1581" spans="1:24" s="601" customFormat="1" x14ac:dyDescent="0.3">
      <c r="A1581" s="131">
        <v>12321</v>
      </c>
      <c r="B1581" s="1800">
        <v>0.1</v>
      </c>
      <c r="C1581" s="526" t="s">
        <v>5141</v>
      </c>
      <c r="D1581" s="1674" t="s">
        <v>4109</v>
      </c>
      <c r="E1581" s="1699">
        <v>950000</v>
      </c>
      <c r="F1581" s="2096">
        <v>0.02</v>
      </c>
      <c r="G1581" s="1653">
        <f>E1581*F1581</f>
        <v>19000</v>
      </c>
      <c r="H1581" s="422" t="s">
        <v>2037</v>
      </c>
      <c r="I1581" s="1063" t="s">
        <v>4122</v>
      </c>
      <c r="J1581" s="511"/>
      <c r="K1581" s="511"/>
      <c r="L1581" s="511"/>
      <c r="M1581" s="511"/>
      <c r="N1581" s="511"/>
      <c r="O1581" s="511"/>
      <c r="P1581" s="511"/>
      <c r="Q1581" s="511"/>
      <c r="R1581" s="511"/>
      <c r="S1581" s="511"/>
      <c r="T1581" s="511"/>
      <c r="U1581" s="511"/>
      <c r="V1581" s="511"/>
      <c r="W1581" s="511"/>
      <c r="X1581" s="511"/>
    </row>
    <row r="1582" spans="1:24" x14ac:dyDescent="0.3">
      <c r="A1582" s="131">
        <v>12331</v>
      </c>
      <c r="B1582" s="1737">
        <v>0.1</v>
      </c>
      <c r="C1582" s="439" t="s">
        <v>5142</v>
      </c>
      <c r="D1582" s="1344" t="s">
        <v>4109</v>
      </c>
      <c r="E1582" s="1756">
        <v>1100000</v>
      </c>
      <c r="F1582" s="2096">
        <v>0.02</v>
      </c>
      <c r="G1582" s="1653">
        <f t="shared" ref="G1582:G1584" si="73">E1582*F1582</f>
        <v>22000</v>
      </c>
      <c r="H1582" s="350" t="s">
        <v>748</v>
      </c>
      <c r="I1582" s="1063" t="s">
        <v>4122</v>
      </c>
    </row>
    <row r="1583" spans="1:24" x14ac:dyDescent="0.3">
      <c r="A1583" s="59">
        <v>12398</v>
      </c>
      <c r="B1583" s="1853">
        <v>0.1</v>
      </c>
      <c r="C1583" s="1680" t="s">
        <v>5143</v>
      </c>
      <c r="D1583" s="1058" t="s">
        <v>4109</v>
      </c>
      <c r="E1583" s="1018">
        <v>950000</v>
      </c>
      <c r="F1583" s="2097">
        <v>0.02</v>
      </c>
      <c r="G1583" s="2083">
        <f t="shared" si="73"/>
        <v>19000</v>
      </c>
      <c r="H1583" s="925" t="s">
        <v>527</v>
      </c>
      <c r="I1583" s="2"/>
    </row>
    <row r="1584" spans="1:24" x14ac:dyDescent="0.3">
      <c r="A1584" s="59">
        <v>12413</v>
      </c>
      <c r="B1584" s="1853">
        <v>0.1</v>
      </c>
      <c r="C1584" s="1436" t="s">
        <v>5144</v>
      </c>
      <c r="D1584" s="1762" t="s">
        <v>5145</v>
      </c>
      <c r="E1584" s="1018">
        <v>1200000</v>
      </c>
      <c r="F1584" s="2097">
        <v>0.02</v>
      </c>
      <c r="G1584" s="2083">
        <f t="shared" si="73"/>
        <v>24000</v>
      </c>
      <c r="H1584" s="925" t="s">
        <v>748</v>
      </c>
      <c r="I1584" s="2"/>
    </row>
    <row r="1585" spans="1:16" x14ac:dyDescent="0.3">
      <c r="A1585" s="265"/>
      <c r="B1585" s="11"/>
      <c r="C1585" s="11"/>
      <c r="D1585" s="160"/>
      <c r="E1585" s="1803"/>
      <c r="F1585" s="11"/>
      <c r="G1585" s="11"/>
      <c r="H1585" s="11"/>
      <c r="I1585" s="2"/>
    </row>
    <row r="1586" spans="1:16" x14ac:dyDescent="0.3">
      <c r="A1586" s="265"/>
      <c r="B1586" s="11"/>
      <c r="C1586" s="11"/>
      <c r="D1586" s="2098" t="s">
        <v>3758</v>
      </c>
      <c r="E1586" s="1549">
        <f>SUM(E1581:E1584)</f>
        <v>4200000</v>
      </c>
      <c r="F1586" s="11"/>
      <c r="G1586" s="1523">
        <f>SUM(G1581:G1584)</f>
        <v>84000</v>
      </c>
      <c r="H1586" s="2"/>
      <c r="I1586" s="2"/>
    </row>
    <row r="1587" spans="1:16" ht="15.6" x14ac:dyDescent="0.3">
      <c r="A1587" s="265"/>
      <c r="B1587" s="11"/>
      <c r="C1587" s="11"/>
      <c r="D1587" s="160"/>
      <c r="E1587" s="2099">
        <f>G1586</f>
        <v>84000</v>
      </c>
      <c r="F1587" s="11"/>
      <c r="G1587" s="11"/>
      <c r="H1587" s="2"/>
      <c r="I1587" s="2"/>
    </row>
    <row r="1590" spans="1:16" x14ac:dyDescent="0.3">
      <c r="A1590" s="3835" t="s">
        <v>5146</v>
      </c>
      <c r="B1590" s="3835"/>
      <c r="C1590" s="3835"/>
      <c r="D1590" s="3835"/>
      <c r="E1590" s="3835"/>
      <c r="F1590" s="3835"/>
      <c r="G1590" s="3835"/>
      <c r="H1590" s="3836"/>
      <c r="I1590" s="2"/>
    </row>
    <row r="1591" spans="1:16" x14ac:dyDescent="0.3">
      <c r="A1591" s="3835"/>
      <c r="B1591" s="3835"/>
      <c r="C1591" s="3835"/>
      <c r="D1591" s="3835"/>
      <c r="E1591" s="3835"/>
      <c r="F1591" s="3835"/>
      <c r="G1591" s="3837"/>
      <c r="H1591" s="3838"/>
      <c r="I1591" s="2"/>
    </row>
    <row r="1592" spans="1:16" ht="20.399999999999999" x14ac:dyDescent="0.3">
      <c r="A1592" s="265" t="s">
        <v>3751</v>
      </c>
      <c r="B1592" s="33" t="s">
        <v>2976</v>
      </c>
      <c r="C1592" s="33" t="s">
        <v>3752</v>
      </c>
      <c r="D1592" s="1093" t="s">
        <v>4121</v>
      </c>
      <c r="E1592" s="63" t="s">
        <v>3754</v>
      </c>
      <c r="F1592" s="118" t="s">
        <v>2979</v>
      </c>
      <c r="G1592" s="88" t="s">
        <v>2985</v>
      </c>
      <c r="H1592" s="266" t="s">
        <v>4208</v>
      </c>
      <c r="I1592" s="268"/>
    </row>
    <row r="1593" spans="1:16" x14ac:dyDescent="0.3">
      <c r="A1593" s="2311">
        <v>12215</v>
      </c>
      <c r="B1593" s="1737">
        <v>0.1</v>
      </c>
      <c r="C1593" s="2110" t="s">
        <v>5114</v>
      </c>
      <c r="D1593" s="1256" t="s">
        <v>4109</v>
      </c>
      <c r="E1593" s="1506">
        <v>950000</v>
      </c>
      <c r="F1593" s="322">
        <v>0.02</v>
      </c>
      <c r="G1593" s="519">
        <f>E1593*F1593</f>
        <v>19000</v>
      </c>
      <c r="H1593" s="1558" t="s">
        <v>2037</v>
      </c>
      <c r="I1593" s="67" t="s">
        <v>4122</v>
      </c>
      <c r="J1593" s="511"/>
      <c r="K1593" s="511"/>
      <c r="L1593" s="511"/>
      <c r="M1593" s="511"/>
      <c r="N1593" s="511"/>
      <c r="O1593" s="511"/>
      <c r="P1593" s="511"/>
    </row>
    <row r="1594" spans="1:16" ht="27" x14ac:dyDescent="0.3">
      <c r="A1594" s="2284">
        <v>12226</v>
      </c>
      <c r="B1594" s="1733">
        <v>0.1</v>
      </c>
      <c r="C1594" s="2109" t="s">
        <v>5147</v>
      </c>
      <c r="D1594" s="1190" t="s">
        <v>3787</v>
      </c>
      <c r="E1594" s="1508">
        <v>1300000</v>
      </c>
      <c r="F1594" s="322">
        <v>0.02</v>
      </c>
      <c r="G1594" s="519">
        <f t="shared" ref="G1594:G1625" si="74">E1594*F1594</f>
        <v>26000</v>
      </c>
      <c r="H1594" s="1558" t="s">
        <v>748</v>
      </c>
      <c r="I1594" s="67" t="s">
        <v>4122</v>
      </c>
      <c r="J1594" s="511"/>
      <c r="K1594" s="511"/>
      <c r="L1594" s="511"/>
      <c r="M1594" s="511"/>
      <c r="N1594" s="511"/>
      <c r="O1594" s="511"/>
      <c r="P1594" s="511"/>
    </row>
    <row r="1595" spans="1:16" ht="15.6" x14ac:dyDescent="0.3">
      <c r="A1595" s="2299">
        <v>12196</v>
      </c>
      <c r="B1595" s="1733">
        <v>0.1</v>
      </c>
      <c r="C1595" s="2109" t="s">
        <v>5148</v>
      </c>
      <c r="D1595" s="1190" t="s">
        <v>4109</v>
      </c>
      <c r="E1595" s="1347">
        <v>1000000</v>
      </c>
      <c r="F1595" s="322">
        <v>0.02</v>
      </c>
      <c r="G1595" s="519">
        <f t="shared" si="74"/>
        <v>20000</v>
      </c>
      <c r="H1595" s="1558" t="s">
        <v>527</v>
      </c>
      <c r="I1595" s="587" t="s">
        <v>4122</v>
      </c>
      <c r="J1595" s="511"/>
      <c r="K1595" s="511"/>
      <c r="L1595" s="511"/>
      <c r="M1595" s="511"/>
      <c r="N1595" s="511"/>
      <c r="O1595" s="511"/>
      <c r="P1595" s="511"/>
    </row>
    <row r="1596" spans="1:16" ht="15.6" x14ac:dyDescent="0.3">
      <c r="A1596" s="1991">
        <v>12234</v>
      </c>
      <c r="B1596" s="1738">
        <v>0.1</v>
      </c>
      <c r="C1596" s="2111" t="s">
        <v>5149</v>
      </c>
      <c r="D1596" s="1170" t="s">
        <v>4109</v>
      </c>
      <c r="E1596" s="1506">
        <v>930000</v>
      </c>
      <c r="F1596" s="322">
        <v>0.02</v>
      </c>
      <c r="G1596" s="519">
        <f t="shared" si="74"/>
        <v>18600</v>
      </c>
      <c r="H1596" s="1558" t="s">
        <v>527</v>
      </c>
      <c r="I1596" s="283" t="s">
        <v>4122</v>
      </c>
      <c r="J1596" s="511"/>
      <c r="K1596" s="511"/>
      <c r="L1596" s="511"/>
      <c r="M1596" s="511"/>
      <c r="N1596" s="511"/>
      <c r="O1596" s="511"/>
      <c r="P1596" s="511"/>
    </row>
    <row r="1597" spans="1:16" x14ac:dyDescent="0.3">
      <c r="A1597" s="2262">
        <v>12240</v>
      </c>
      <c r="B1597" s="2039">
        <v>0.1</v>
      </c>
      <c r="C1597" s="2109" t="s">
        <v>5116</v>
      </c>
      <c r="D1597" s="1170" t="s">
        <v>4109</v>
      </c>
      <c r="E1597" s="1641">
        <v>1000000</v>
      </c>
      <c r="F1597" s="322">
        <v>0.02</v>
      </c>
      <c r="G1597" s="519">
        <f t="shared" si="74"/>
        <v>20000</v>
      </c>
      <c r="H1597" s="587" t="s">
        <v>748</v>
      </c>
      <c r="I1597" s="284" t="s">
        <v>4122</v>
      </c>
      <c r="J1597" s="511"/>
      <c r="K1597" s="511"/>
      <c r="L1597" s="511"/>
      <c r="M1597" s="511"/>
      <c r="N1597" s="511"/>
      <c r="O1597" s="511"/>
      <c r="P1597" s="511"/>
    </row>
    <row r="1598" spans="1:16" ht="15.6" x14ac:dyDescent="0.3">
      <c r="A1598" s="1992">
        <v>12252</v>
      </c>
      <c r="B1598" s="1738">
        <v>0.1</v>
      </c>
      <c r="C1598" s="2112" t="s">
        <v>5150</v>
      </c>
      <c r="D1598" s="1732" t="s">
        <v>4109</v>
      </c>
      <c r="E1598" s="1506">
        <v>1000000</v>
      </c>
      <c r="F1598" s="322">
        <v>0.02</v>
      </c>
      <c r="G1598" s="519">
        <f t="shared" si="74"/>
        <v>20000</v>
      </c>
      <c r="H1598" s="587" t="s">
        <v>2037</v>
      </c>
      <c r="I1598" s="1089" t="s">
        <v>4122</v>
      </c>
      <c r="J1598" s="511"/>
      <c r="K1598" s="511"/>
      <c r="L1598" s="511"/>
      <c r="M1598" s="511"/>
      <c r="N1598" s="511"/>
      <c r="O1598" s="511"/>
      <c r="P1598" s="511"/>
    </row>
    <row r="1599" spans="1:16" ht="27" x14ac:dyDescent="0.3">
      <c r="A1599" s="1992">
        <v>12253</v>
      </c>
      <c r="B1599" s="1737">
        <v>0.1</v>
      </c>
      <c r="C1599" s="2112" t="s">
        <v>5151</v>
      </c>
      <c r="D1599" s="1282" t="s">
        <v>4109</v>
      </c>
      <c r="E1599" s="1508">
        <v>900000</v>
      </c>
      <c r="F1599" s="322">
        <v>0.02</v>
      </c>
      <c r="G1599" s="519">
        <f t="shared" si="74"/>
        <v>18000</v>
      </c>
      <c r="H1599" s="587" t="s">
        <v>527</v>
      </c>
      <c r="I1599" s="1088" t="s">
        <v>4122</v>
      </c>
      <c r="J1599" s="511"/>
      <c r="K1599" s="511"/>
      <c r="L1599" s="511"/>
      <c r="M1599" s="511"/>
      <c r="N1599" s="511"/>
      <c r="O1599" s="511"/>
      <c r="P1599" s="511"/>
    </row>
    <row r="1600" spans="1:16" ht="27" x14ac:dyDescent="0.3">
      <c r="A1600" s="653">
        <v>12277</v>
      </c>
      <c r="B1600" s="122">
        <v>0.1</v>
      </c>
      <c r="C1600" s="2109" t="s">
        <v>5152</v>
      </c>
      <c r="D1600" s="1755" t="s">
        <v>4109</v>
      </c>
      <c r="E1600" s="1756">
        <v>1200000</v>
      </c>
      <c r="F1600" s="322">
        <v>0.02</v>
      </c>
      <c r="G1600" s="519">
        <f t="shared" si="74"/>
        <v>24000</v>
      </c>
      <c r="H1600" s="587" t="s">
        <v>582</v>
      </c>
      <c r="I1600" s="1088" t="s">
        <v>4122</v>
      </c>
      <c r="J1600" s="511"/>
      <c r="K1600" s="511"/>
      <c r="L1600" s="511"/>
      <c r="M1600" s="511"/>
      <c r="N1600" s="511"/>
      <c r="O1600" s="511"/>
      <c r="P1600" s="511"/>
    </row>
    <row r="1601" spans="1:16" ht="15.6" x14ac:dyDescent="0.3">
      <c r="A1601" s="2328">
        <v>12290</v>
      </c>
      <c r="B1601" s="1738">
        <v>0.1</v>
      </c>
      <c r="C1601" s="2112" t="s">
        <v>5153</v>
      </c>
      <c r="D1601" s="1346" t="s">
        <v>4109</v>
      </c>
      <c r="E1601" s="1761">
        <v>1150000</v>
      </c>
      <c r="F1601" s="322">
        <v>0.02</v>
      </c>
      <c r="G1601" s="519">
        <f t="shared" si="74"/>
        <v>23000</v>
      </c>
      <c r="H1601" s="587" t="s">
        <v>582</v>
      </c>
      <c r="I1601" s="1088" t="s">
        <v>4122</v>
      </c>
      <c r="J1601" s="511"/>
      <c r="K1601" s="511"/>
      <c r="L1601" s="511"/>
      <c r="M1601" s="511"/>
      <c r="N1601" s="511"/>
      <c r="O1601" s="511"/>
      <c r="P1601" s="511"/>
    </row>
    <row r="1602" spans="1:16" x14ac:dyDescent="0.3">
      <c r="A1602" s="121">
        <v>12286</v>
      </c>
      <c r="B1602" s="122">
        <v>0.1</v>
      </c>
      <c r="C1602" s="2109" t="s">
        <v>5154</v>
      </c>
      <c r="D1602" s="1344" t="s">
        <v>4109</v>
      </c>
      <c r="E1602" s="1760">
        <v>1050000</v>
      </c>
      <c r="F1602" s="322">
        <v>0.02</v>
      </c>
      <c r="G1602" s="519">
        <f t="shared" si="74"/>
        <v>21000</v>
      </c>
      <c r="H1602" s="587" t="s">
        <v>527</v>
      </c>
      <c r="I1602" s="67" t="s">
        <v>4122</v>
      </c>
      <c r="J1602" s="511"/>
      <c r="K1602" s="511"/>
      <c r="L1602" s="511"/>
      <c r="M1602" s="511"/>
      <c r="N1602" s="511"/>
      <c r="O1602" s="511"/>
      <c r="P1602" s="511"/>
    </row>
    <row r="1603" spans="1:16" x14ac:dyDescent="0.3">
      <c r="A1603" s="121">
        <v>12287</v>
      </c>
      <c r="B1603" s="2039">
        <v>0.1</v>
      </c>
      <c r="C1603" s="2109" t="s">
        <v>5155</v>
      </c>
      <c r="D1603" s="590" t="s">
        <v>4109</v>
      </c>
      <c r="E1603" s="1508">
        <v>900000</v>
      </c>
      <c r="F1603" s="322">
        <v>0.02</v>
      </c>
      <c r="G1603" s="519">
        <f t="shared" si="74"/>
        <v>18000</v>
      </c>
      <c r="H1603" s="587" t="s">
        <v>2037</v>
      </c>
      <c r="I1603" s="1088" t="s">
        <v>4122</v>
      </c>
      <c r="J1603" s="511"/>
      <c r="K1603" s="511"/>
      <c r="L1603" s="511"/>
      <c r="M1603" s="511"/>
      <c r="N1603" s="511"/>
      <c r="O1603" s="511"/>
      <c r="P1603" s="511"/>
    </row>
    <row r="1604" spans="1:16" ht="15.6" x14ac:dyDescent="0.3">
      <c r="A1604" s="1991">
        <v>12301</v>
      </c>
      <c r="B1604" s="1757">
        <v>0.1</v>
      </c>
      <c r="C1604" s="2113" t="s">
        <v>5124</v>
      </c>
      <c r="D1604" s="1768" t="s">
        <v>4109</v>
      </c>
      <c r="E1604" s="1761">
        <v>1200000</v>
      </c>
      <c r="F1604" s="322">
        <v>0.02</v>
      </c>
      <c r="G1604" s="519">
        <f t="shared" si="74"/>
        <v>24000</v>
      </c>
      <c r="H1604" s="587" t="s">
        <v>2037</v>
      </c>
      <c r="I1604" s="1089" t="s">
        <v>4122</v>
      </c>
      <c r="J1604" s="511"/>
      <c r="K1604" s="511"/>
      <c r="L1604" s="511"/>
      <c r="M1604" s="511"/>
      <c r="N1604" s="511"/>
      <c r="O1604" s="511"/>
      <c r="P1604" s="511"/>
    </row>
    <row r="1605" spans="1:16" x14ac:dyDescent="0.3">
      <c r="A1605" s="2305">
        <v>12292</v>
      </c>
      <c r="B1605" s="122">
        <v>0.1</v>
      </c>
      <c r="C1605" s="2109" t="s">
        <v>5122</v>
      </c>
      <c r="D1605" s="1344" t="s">
        <v>4109</v>
      </c>
      <c r="E1605" s="1756">
        <v>1000000</v>
      </c>
      <c r="F1605" s="322">
        <v>0.02</v>
      </c>
      <c r="G1605" s="519">
        <f t="shared" si="74"/>
        <v>20000</v>
      </c>
      <c r="H1605" s="587" t="s">
        <v>748</v>
      </c>
      <c r="I1605" s="1088" t="s">
        <v>4122</v>
      </c>
      <c r="J1605" s="511"/>
      <c r="K1605" s="511"/>
      <c r="L1605" s="511"/>
      <c r="M1605" s="511"/>
      <c r="N1605" s="511"/>
      <c r="O1605" s="511"/>
      <c r="P1605" s="511"/>
    </row>
    <row r="1606" spans="1:16" ht="15.6" x14ac:dyDescent="0.3">
      <c r="A1606" s="1991">
        <v>12282</v>
      </c>
      <c r="B1606" s="122">
        <v>0.1</v>
      </c>
      <c r="C1606" s="2109" t="s">
        <v>5156</v>
      </c>
      <c r="D1606" s="1346" t="s">
        <v>4109</v>
      </c>
      <c r="E1606" s="1756">
        <v>1000000</v>
      </c>
      <c r="F1606" s="322">
        <v>0.02</v>
      </c>
      <c r="G1606" s="519">
        <f t="shared" si="74"/>
        <v>20000</v>
      </c>
      <c r="H1606" s="587" t="s">
        <v>748</v>
      </c>
      <c r="I1606" s="1088" t="s">
        <v>4122</v>
      </c>
      <c r="J1606" s="511"/>
      <c r="K1606" s="511"/>
      <c r="L1606" s="511"/>
      <c r="M1606" s="511"/>
      <c r="N1606" s="511"/>
      <c r="O1606" s="511"/>
      <c r="P1606" s="511"/>
    </row>
    <row r="1607" spans="1:16" x14ac:dyDescent="0.3">
      <c r="A1607" s="121">
        <v>12321</v>
      </c>
      <c r="B1607" s="2040">
        <v>0.1</v>
      </c>
      <c r="C1607" s="2114" t="s">
        <v>5157</v>
      </c>
      <c r="D1607" s="1347" t="s">
        <v>3787</v>
      </c>
      <c r="E1607" s="1799">
        <v>950000</v>
      </c>
      <c r="F1607" s="322">
        <v>0.02</v>
      </c>
      <c r="G1607" s="519">
        <f t="shared" si="74"/>
        <v>19000</v>
      </c>
      <c r="H1607" s="969" t="s">
        <v>2037</v>
      </c>
      <c r="I1607" s="1088" t="s">
        <v>4122</v>
      </c>
      <c r="J1607" s="511"/>
      <c r="K1607" s="511"/>
      <c r="L1607" s="511"/>
      <c r="M1607" s="511"/>
      <c r="N1607" s="511"/>
      <c r="O1607" s="511"/>
      <c r="P1607" s="511"/>
    </row>
    <row r="1608" spans="1:16" x14ac:dyDescent="0.3">
      <c r="A1608" s="2315">
        <v>12327</v>
      </c>
      <c r="B1608" s="1757">
        <v>0.1</v>
      </c>
      <c r="C1608" s="2115" t="s">
        <v>5158</v>
      </c>
      <c r="D1608" s="1347" t="s">
        <v>4109</v>
      </c>
      <c r="E1608" s="1756">
        <v>1050000</v>
      </c>
      <c r="F1608" s="322">
        <v>0.02</v>
      </c>
      <c r="G1608" s="519">
        <f t="shared" si="74"/>
        <v>21000</v>
      </c>
      <c r="H1608" s="587" t="s">
        <v>2037</v>
      </c>
      <c r="I1608" s="1088" t="s">
        <v>4122</v>
      </c>
      <c r="J1608" s="511"/>
      <c r="K1608" s="511"/>
      <c r="L1608" s="511"/>
      <c r="M1608" s="511"/>
      <c r="N1608" s="511"/>
      <c r="O1608" s="511"/>
      <c r="P1608" s="511"/>
    </row>
    <row r="1609" spans="1:16" ht="15.6" x14ac:dyDescent="0.3">
      <c r="A1609" s="1992">
        <v>12331</v>
      </c>
      <c r="B1609" s="1004">
        <v>0.1</v>
      </c>
      <c r="C1609" s="2109" t="s">
        <v>5159</v>
      </c>
      <c r="D1609" s="1344" t="s">
        <v>4109</v>
      </c>
      <c r="E1609" s="1756">
        <v>1100000</v>
      </c>
      <c r="F1609" s="322">
        <v>0.02</v>
      </c>
      <c r="G1609" s="519">
        <f t="shared" si="74"/>
        <v>22000</v>
      </c>
      <c r="H1609" s="587" t="s">
        <v>748</v>
      </c>
      <c r="I1609" s="798" t="s">
        <v>4122</v>
      </c>
      <c r="J1609" s="511"/>
      <c r="K1609" s="511"/>
      <c r="L1609" s="511"/>
      <c r="M1609" s="511"/>
      <c r="N1609" s="511"/>
      <c r="O1609" s="511"/>
      <c r="P1609" s="511"/>
    </row>
    <row r="1610" spans="1:16" x14ac:dyDescent="0.3">
      <c r="A1610" s="653">
        <v>12336</v>
      </c>
      <c r="B1610" s="122">
        <v>0.1</v>
      </c>
      <c r="C1610" s="2116" t="s">
        <v>5126</v>
      </c>
      <c r="D1610" s="1752" t="s">
        <v>4109</v>
      </c>
      <c r="E1610" s="1756">
        <v>900000</v>
      </c>
      <c r="F1610" s="322">
        <v>0.02</v>
      </c>
      <c r="G1610" s="519">
        <f t="shared" si="74"/>
        <v>18000</v>
      </c>
      <c r="H1610" s="587" t="s">
        <v>2037</v>
      </c>
      <c r="I1610" s="1089" t="s">
        <v>4122</v>
      </c>
      <c r="J1610" s="511"/>
      <c r="K1610" s="511"/>
      <c r="L1610" s="511"/>
      <c r="M1610" s="511"/>
      <c r="N1610" s="511"/>
      <c r="O1610" s="511"/>
      <c r="P1610" s="511"/>
    </row>
    <row r="1611" spans="1:16" x14ac:dyDescent="0.3">
      <c r="A1611" s="653">
        <v>12337</v>
      </c>
      <c r="B1611" s="122">
        <v>0.1</v>
      </c>
      <c r="C1611" s="2117" t="s">
        <v>5127</v>
      </c>
      <c r="D1611" s="1346" t="s">
        <v>4109</v>
      </c>
      <c r="E1611" s="1756">
        <v>1200000</v>
      </c>
      <c r="F1611" s="322">
        <v>0.02</v>
      </c>
      <c r="G1611" s="519">
        <f t="shared" si="74"/>
        <v>24000</v>
      </c>
      <c r="H1611" s="587" t="s">
        <v>582</v>
      </c>
      <c r="I1611" s="1088" t="s">
        <v>4122</v>
      </c>
      <c r="J1611" s="511"/>
      <c r="K1611" s="511"/>
      <c r="L1611" s="511"/>
      <c r="M1611" s="511"/>
      <c r="N1611" s="511"/>
      <c r="O1611" s="511"/>
      <c r="P1611" s="511"/>
    </row>
    <row r="1612" spans="1:16" x14ac:dyDescent="0.3">
      <c r="A1612" s="653">
        <v>12342</v>
      </c>
      <c r="B1612" s="74" t="s">
        <v>5128</v>
      </c>
      <c r="C1612" s="2119" t="s">
        <v>5129</v>
      </c>
      <c r="D1612" s="1344" t="s">
        <v>4109</v>
      </c>
      <c r="E1612" s="1756">
        <v>900000</v>
      </c>
      <c r="F1612" s="322">
        <v>0.02</v>
      </c>
      <c r="G1612" s="519">
        <f t="shared" si="74"/>
        <v>18000</v>
      </c>
      <c r="H1612" s="587" t="s">
        <v>748</v>
      </c>
      <c r="I1612" s="1088" t="s">
        <v>4771</v>
      </c>
      <c r="J1612" s="511"/>
      <c r="K1612" s="511"/>
      <c r="L1612" s="511"/>
      <c r="M1612" s="511"/>
      <c r="N1612" s="511"/>
      <c r="O1612" s="511"/>
      <c r="P1612" s="511"/>
    </row>
    <row r="1613" spans="1:16" x14ac:dyDescent="0.3">
      <c r="A1613" s="2315">
        <v>12351</v>
      </c>
      <c r="B1613" s="1818">
        <v>0.1</v>
      </c>
      <c r="C1613" s="2118" t="s">
        <v>5130</v>
      </c>
      <c r="D1613" s="1819" t="s">
        <v>4109</v>
      </c>
      <c r="E1613" s="1756">
        <v>1100000</v>
      </c>
      <c r="F1613" s="322">
        <v>0.02</v>
      </c>
      <c r="G1613" s="519">
        <f t="shared" si="74"/>
        <v>22000</v>
      </c>
      <c r="H1613" s="587" t="s">
        <v>748</v>
      </c>
      <c r="I1613" s="798" t="s">
        <v>4122</v>
      </c>
      <c r="J1613" s="511"/>
      <c r="K1613" s="511"/>
      <c r="L1613" s="511"/>
      <c r="M1613" s="511"/>
      <c r="N1613" s="511"/>
      <c r="O1613" s="511"/>
      <c r="P1613" s="511"/>
    </row>
    <row r="1614" spans="1:16" ht="15.6" x14ac:dyDescent="0.3">
      <c r="A1614" s="1991">
        <v>12355</v>
      </c>
      <c r="B1614" s="1821">
        <v>0.1</v>
      </c>
      <c r="C1614" s="2119" t="s">
        <v>5160</v>
      </c>
      <c r="D1614" s="590" t="s">
        <v>4109</v>
      </c>
      <c r="E1614" s="1820">
        <v>1200000</v>
      </c>
      <c r="F1614" s="322">
        <v>0.02</v>
      </c>
      <c r="G1614" s="519">
        <f t="shared" si="74"/>
        <v>24000</v>
      </c>
      <c r="H1614" s="590" t="s">
        <v>523</v>
      </c>
      <c r="I1614" s="798" t="s">
        <v>4122</v>
      </c>
      <c r="J1614" s="511"/>
      <c r="K1614" s="511"/>
      <c r="L1614" s="511"/>
      <c r="M1614" s="511"/>
      <c r="N1614" s="511"/>
      <c r="O1614" s="511"/>
      <c r="P1614" s="511"/>
    </row>
    <row r="1615" spans="1:16" x14ac:dyDescent="0.3">
      <c r="A1615" s="121">
        <v>12364</v>
      </c>
      <c r="B1615" s="1818">
        <v>0.1</v>
      </c>
      <c r="C1615" s="2116" t="s">
        <v>5132</v>
      </c>
      <c r="D1615" s="1768" t="s">
        <v>4109</v>
      </c>
      <c r="E1615" s="1756">
        <v>980000</v>
      </c>
      <c r="F1615" s="322">
        <v>0.02</v>
      </c>
      <c r="G1615" s="519">
        <f t="shared" si="74"/>
        <v>19600</v>
      </c>
      <c r="H1615" s="587" t="s">
        <v>527</v>
      </c>
      <c r="I1615" s="798" t="s">
        <v>4122</v>
      </c>
      <c r="J1615" s="511" t="s">
        <v>5161</v>
      </c>
      <c r="K1615" s="511"/>
      <c r="L1615" s="511"/>
      <c r="M1615" s="511"/>
      <c r="N1615" s="511"/>
      <c r="O1615" s="511"/>
      <c r="P1615" s="511"/>
    </row>
    <row r="1616" spans="1:16" x14ac:dyDescent="0.3">
      <c r="A1616" s="196">
        <v>12367</v>
      </c>
      <c r="B1616" s="2039">
        <v>0.1</v>
      </c>
      <c r="C1616" s="2120" t="s">
        <v>5162</v>
      </c>
      <c r="D1616" s="590" t="s">
        <v>4109</v>
      </c>
      <c r="E1616" s="1510">
        <v>1300000</v>
      </c>
      <c r="F1616" s="322">
        <v>0.02</v>
      </c>
      <c r="G1616" s="519">
        <f t="shared" si="74"/>
        <v>26000</v>
      </c>
      <c r="H1616" s="587" t="s">
        <v>527</v>
      </c>
      <c r="I1616" s="798" t="s">
        <v>4122</v>
      </c>
      <c r="J1616" s="511"/>
      <c r="K1616" s="511"/>
      <c r="L1616" s="511"/>
      <c r="M1616" s="511"/>
      <c r="N1616" s="511"/>
      <c r="O1616" s="511"/>
      <c r="P1616" s="511"/>
    </row>
    <row r="1617" spans="1:16" x14ac:dyDescent="0.3">
      <c r="A1617" s="121">
        <v>12377</v>
      </c>
      <c r="B1617" s="1821">
        <v>0.1</v>
      </c>
      <c r="C1617" s="2113" t="s">
        <v>5133</v>
      </c>
      <c r="D1617" s="1768" t="s">
        <v>4109</v>
      </c>
      <c r="E1617" s="1761">
        <v>850000</v>
      </c>
      <c r="F1617" s="322">
        <v>0.02</v>
      </c>
      <c r="G1617" s="519">
        <f t="shared" si="74"/>
        <v>17000</v>
      </c>
      <c r="H1617" s="587" t="s">
        <v>2037</v>
      </c>
      <c r="I1617" s="798" t="s">
        <v>4122</v>
      </c>
      <c r="J1617" s="511"/>
      <c r="K1617" s="511"/>
      <c r="L1617" s="511"/>
      <c r="M1617" s="511"/>
      <c r="N1617" s="511"/>
      <c r="O1617" s="511"/>
      <c r="P1617" s="511"/>
    </row>
    <row r="1618" spans="1:16" x14ac:dyDescent="0.3">
      <c r="A1618" s="562">
        <v>12380</v>
      </c>
      <c r="B1618" s="2041">
        <v>0.1</v>
      </c>
      <c r="C1618" s="2121" t="s">
        <v>5163</v>
      </c>
      <c r="D1618" s="590" t="s">
        <v>4109</v>
      </c>
      <c r="E1618" s="1510">
        <v>1150000</v>
      </c>
      <c r="F1618" s="322">
        <v>0.02</v>
      </c>
      <c r="G1618" s="519">
        <f t="shared" si="74"/>
        <v>23000</v>
      </c>
      <c r="H1618" s="587" t="s">
        <v>582</v>
      </c>
      <c r="I1618" s="67" t="s">
        <v>4122</v>
      </c>
      <c r="J1618" s="511"/>
      <c r="K1618" s="511"/>
      <c r="L1618" s="511"/>
      <c r="M1618" s="511"/>
      <c r="N1618" s="511"/>
      <c r="O1618" s="511"/>
      <c r="P1618" s="511"/>
    </row>
    <row r="1619" spans="1:16" x14ac:dyDescent="0.3">
      <c r="A1619" s="75">
        <v>12389</v>
      </c>
      <c r="B1619" s="2039">
        <v>0.1</v>
      </c>
      <c r="C1619" s="2120" t="s">
        <v>5164</v>
      </c>
      <c r="D1619" s="1054" t="s">
        <v>4109</v>
      </c>
      <c r="E1619" s="1510">
        <v>1400000</v>
      </c>
      <c r="F1619" s="322">
        <v>0.02</v>
      </c>
      <c r="G1619" s="519">
        <f t="shared" si="74"/>
        <v>28000</v>
      </c>
      <c r="H1619" s="587" t="s">
        <v>582</v>
      </c>
      <c r="I1619" s="1284" t="s">
        <v>4122</v>
      </c>
      <c r="J1619" s="511"/>
      <c r="K1619" s="511"/>
      <c r="L1619" s="511"/>
      <c r="M1619" s="511"/>
      <c r="N1619" s="511"/>
      <c r="O1619" s="511"/>
      <c r="P1619" s="511"/>
    </row>
    <row r="1620" spans="1:16" x14ac:dyDescent="0.3">
      <c r="A1620" s="75">
        <v>12398</v>
      </c>
      <c r="B1620" s="122">
        <v>0.1</v>
      </c>
      <c r="C1620" s="2109" t="s">
        <v>5165</v>
      </c>
      <c r="D1620" s="1054" t="s">
        <v>4109</v>
      </c>
      <c r="E1620" s="2100">
        <v>950000</v>
      </c>
      <c r="F1620" s="322">
        <v>0.02</v>
      </c>
      <c r="G1620" s="519">
        <f t="shared" si="74"/>
        <v>19000</v>
      </c>
      <c r="H1620" s="587" t="s">
        <v>527</v>
      </c>
      <c r="I1620" s="1284" t="s">
        <v>4122</v>
      </c>
      <c r="J1620" s="511"/>
      <c r="K1620" s="511"/>
      <c r="L1620" s="511"/>
      <c r="M1620" s="511"/>
      <c r="N1620" s="511"/>
      <c r="O1620" s="511"/>
      <c r="P1620" s="511"/>
    </row>
    <row r="1621" spans="1:16" x14ac:dyDescent="0.3">
      <c r="A1621" s="170">
        <v>12413</v>
      </c>
      <c r="B1621" s="1737">
        <v>0.1</v>
      </c>
      <c r="C1621" s="1559" t="s">
        <v>5144</v>
      </c>
      <c r="D1621" s="2124" t="s">
        <v>4109</v>
      </c>
      <c r="E1621" s="2100">
        <v>1200000</v>
      </c>
      <c r="F1621" s="322">
        <v>0.02</v>
      </c>
      <c r="G1621" s="519">
        <f t="shared" si="74"/>
        <v>24000</v>
      </c>
      <c r="H1621" s="350" t="s">
        <v>748</v>
      </c>
      <c r="I1621" s="1284" t="s">
        <v>4122</v>
      </c>
      <c r="J1621" s="511"/>
      <c r="K1621" s="511"/>
      <c r="L1621" s="511"/>
      <c r="M1621" s="511"/>
      <c r="N1621" s="511"/>
      <c r="O1621" s="511"/>
      <c r="P1621" s="511"/>
    </row>
    <row r="1622" spans="1:16" ht="15.6" x14ac:dyDescent="0.3">
      <c r="A1622" s="75">
        <v>12425</v>
      </c>
      <c r="B1622" s="2006">
        <v>0.1</v>
      </c>
      <c r="C1622" s="1256" t="s">
        <v>5073</v>
      </c>
      <c r="D1622" s="590" t="s">
        <v>5166</v>
      </c>
      <c r="E1622" s="1508">
        <v>1100000</v>
      </c>
      <c r="F1622" s="322">
        <v>0.02</v>
      </c>
      <c r="G1622" s="519">
        <f t="shared" si="74"/>
        <v>22000</v>
      </c>
      <c r="H1622" s="587" t="s">
        <v>527</v>
      </c>
      <c r="I1622" s="1284" t="s">
        <v>4122</v>
      </c>
      <c r="J1622" s="511"/>
      <c r="K1622" s="511"/>
      <c r="L1622" s="511"/>
      <c r="M1622" s="511"/>
      <c r="N1622" s="511"/>
      <c r="O1622" s="511"/>
      <c r="P1622" s="511"/>
    </row>
    <row r="1623" spans="1:16" ht="15.6" x14ac:dyDescent="0.3">
      <c r="A1623" s="75">
        <v>12427</v>
      </c>
      <c r="B1623" s="2006">
        <v>0.1</v>
      </c>
      <c r="C1623" s="1256" t="s">
        <v>5074</v>
      </c>
      <c r="D1623" s="590" t="s">
        <v>5166</v>
      </c>
      <c r="E1623" s="1508">
        <v>970000</v>
      </c>
      <c r="F1623" s="322">
        <v>0.02</v>
      </c>
      <c r="G1623" s="519">
        <f t="shared" si="74"/>
        <v>19400</v>
      </c>
      <c r="H1623" s="587" t="s">
        <v>748</v>
      </c>
      <c r="I1623" s="798" t="s">
        <v>4122</v>
      </c>
      <c r="J1623" s="511"/>
      <c r="K1623" s="511"/>
      <c r="L1623" s="511"/>
      <c r="M1623" s="511"/>
      <c r="N1623" s="511"/>
      <c r="O1623" s="511"/>
      <c r="P1623" s="511"/>
    </row>
    <row r="1624" spans="1:16" ht="15.6" x14ac:dyDescent="0.3">
      <c r="A1624" s="121">
        <v>12430</v>
      </c>
      <c r="B1624" s="2006">
        <v>0.1</v>
      </c>
      <c r="C1624" s="1411" t="s">
        <v>5136</v>
      </c>
      <c r="D1624" s="1819" t="s">
        <v>4109</v>
      </c>
      <c r="E1624" s="1756">
        <v>1300000</v>
      </c>
      <c r="F1624" s="322">
        <v>0.02</v>
      </c>
      <c r="G1624" s="519">
        <f t="shared" si="74"/>
        <v>26000</v>
      </c>
      <c r="H1624" s="587" t="s">
        <v>2037</v>
      </c>
      <c r="I1624" s="1088" t="s">
        <v>4122</v>
      </c>
    </row>
    <row r="1625" spans="1:16" ht="15.6" x14ac:dyDescent="0.3">
      <c r="A1625" s="121">
        <v>12432</v>
      </c>
      <c r="B1625" s="2006">
        <v>0.1</v>
      </c>
      <c r="C1625" s="1256" t="s">
        <v>5134</v>
      </c>
      <c r="D1625" s="1170" t="s">
        <v>4109</v>
      </c>
      <c r="E1625" s="2125">
        <v>1350000</v>
      </c>
      <c r="F1625" s="322">
        <v>0.02</v>
      </c>
      <c r="G1625" s="519">
        <f t="shared" si="74"/>
        <v>27000</v>
      </c>
      <c r="H1625" s="587" t="s">
        <v>2037</v>
      </c>
      <c r="I1625" s="1089" t="s">
        <v>4122</v>
      </c>
    </row>
    <row r="1626" spans="1:16" x14ac:dyDescent="0.3">
      <c r="A1626" s="2289"/>
      <c r="B1626" s="680"/>
      <c r="C1626" s="1680"/>
      <c r="D1626" s="1173"/>
      <c r="E1626" s="2037"/>
      <c r="F1626" s="764"/>
      <c r="G1626" s="2038"/>
      <c r="H1626" s="2033"/>
      <c r="I1626" s="2034"/>
    </row>
    <row r="1627" spans="1:16" x14ac:dyDescent="0.3">
      <c r="A1627" s="265"/>
      <c r="B1627" s="11"/>
      <c r="C1627" s="11"/>
      <c r="D1627" s="160" t="s">
        <v>4264</v>
      </c>
      <c r="E1627" s="2035">
        <f>SUM(E1593:E1625)</f>
        <v>35530000</v>
      </c>
      <c r="F1627" s="498"/>
      <c r="G1627" s="501">
        <f>SUM(G1593:G1625)</f>
        <v>710600</v>
      </c>
      <c r="H1627" s="984"/>
      <c r="I1627" s="268"/>
    </row>
    <row r="1628" spans="1:16" ht="15.6" x14ac:dyDescent="0.3">
      <c r="A1628" s="2329"/>
      <c r="B1628" s="171"/>
      <c r="C1628" s="171"/>
      <c r="D1628" s="1522" t="s">
        <v>3764</v>
      </c>
      <c r="E1628" s="502">
        <f>G1627</f>
        <v>710600</v>
      </c>
      <c r="F1628" s="11"/>
      <c r="G1628" s="11"/>
      <c r="H1628" s="2"/>
      <c r="I1628" s="2"/>
    </row>
    <row r="1631" spans="1:16" ht="18" x14ac:dyDescent="0.35">
      <c r="A1631" s="3815" t="s">
        <v>4497</v>
      </c>
      <c r="B1631" s="3816"/>
      <c r="C1631" s="3816"/>
      <c r="D1631" s="3816"/>
      <c r="E1631" s="3816"/>
      <c r="F1631" s="11"/>
    </row>
    <row r="1632" spans="1:16" ht="18" x14ac:dyDescent="0.35">
      <c r="A1632" s="1428" t="s">
        <v>4498</v>
      </c>
      <c r="B1632" s="1428" t="s">
        <v>3754</v>
      </c>
      <c r="C1632" s="1428" t="s">
        <v>4499</v>
      </c>
      <c r="D1632" s="1429" t="s">
        <v>4500</v>
      </c>
      <c r="E1632" s="1430" t="s">
        <v>4123</v>
      </c>
      <c r="F1632" s="11"/>
    </row>
    <row r="1633" spans="1:15" ht="15.6" x14ac:dyDescent="0.3">
      <c r="A1633" s="2330">
        <v>10000712</v>
      </c>
      <c r="B1633" s="1861" t="s">
        <v>2074</v>
      </c>
      <c r="C1633" s="1553"/>
      <c r="D1633" s="1553" t="s">
        <v>5167</v>
      </c>
      <c r="E1633" s="1555" t="s">
        <v>5168</v>
      </c>
      <c r="F1633" s="117"/>
    </row>
    <row r="1634" spans="1:15" ht="15.6" x14ac:dyDescent="0.3">
      <c r="A1634" s="2329">
        <v>6866543</v>
      </c>
      <c r="B1634" s="1528">
        <v>900000</v>
      </c>
      <c r="C1634" s="11" t="s">
        <v>5169</v>
      </c>
      <c r="D1634" s="11" t="s">
        <v>5170</v>
      </c>
      <c r="E1634" s="1426" t="s">
        <v>5171</v>
      </c>
      <c r="F1634" s="117"/>
    </row>
    <row r="1635" spans="1:15" ht="15.6" x14ac:dyDescent="0.3">
      <c r="A1635" s="2318">
        <v>6863478</v>
      </c>
      <c r="B1635" s="1532">
        <v>850000</v>
      </c>
      <c r="C1635" s="1239" t="s">
        <v>5172</v>
      </c>
      <c r="D1635" s="1533" t="s">
        <v>5173</v>
      </c>
      <c r="E1635" s="1533" t="s">
        <v>5171</v>
      </c>
      <c r="F1635" s="117"/>
    </row>
    <row r="1636" spans="1:15" ht="15.6" x14ac:dyDescent="0.3">
      <c r="A1636" s="2319">
        <v>6866498</v>
      </c>
      <c r="B1636" s="1619">
        <v>1200000</v>
      </c>
      <c r="C1636" s="1426" t="s">
        <v>5174</v>
      </c>
      <c r="D1636" s="1426" t="s">
        <v>5175</v>
      </c>
      <c r="E1636" s="1426" t="s">
        <v>5171</v>
      </c>
      <c r="F1636" s="117"/>
    </row>
    <row r="1637" spans="1:15" ht="15.6" x14ac:dyDescent="0.3">
      <c r="A1637" s="2307"/>
      <c r="B1637" s="1427"/>
      <c r="C1637" s="716"/>
      <c r="D1637" s="1426"/>
      <c r="E1637" s="1426"/>
      <c r="F1637" s="117"/>
    </row>
    <row r="1639" spans="1:15" x14ac:dyDescent="0.3">
      <c r="A1639" s="3720" t="s">
        <v>3064</v>
      </c>
      <c r="B1639" s="3800"/>
      <c r="C1639" s="79"/>
      <c r="D1639" s="1249">
        <f>E1627</f>
        <v>35530000</v>
      </c>
    </row>
    <row r="1640" spans="1:15" x14ac:dyDescent="0.3">
      <c r="A1640" s="3839" t="s">
        <v>3068</v>
      </c>
      <c r="B1640" s="3840"/>
      <c r="C1640" s="1513"/>
      <c r="D1640" s="729"/>
    </row>
    <row r="1641" spans="1:15" x14ac:dyDescent="0.3">
      <c r="A1641" s="2331" t="s">
        <v>3069</v>
      </c>
      <c r="B1641" s="1778"/>
      <c r="C1641" s="1513"/>
      <c r="D1641" s="729"/>
    </row>
    <row r="1642" spans="1:15" x14ac:dyDescent="0.3">
      <c r="A1642" s="2234"/>
      <c r="B1642" s="43" t="s">
        <v>3070</v>
      </c>
      <c r="C1642" s="43"/>
      <c r="D1642" s="1157" t="s">
        <v>3133</v>
      </c>
    </row>
    <row r="1648" spans="1:15" ht="46.2" x14ac:dyDescent="0.85">
      <c r="A1648" s="3623" t="s">
        <v>2971</v>
      </c>
      <c r="B1648" s="3623"/>
      <c r="C1648" s="3623"/>
      <c r="D1648" s="3623"/>
      <c r="E1648" s="3623"/>
      <c r="F1648" s="3623"/>
      <c r="G1648" s="3623"/>
      <c r="H1648" s="3623"/>
      <c r="I1648" s="3623"/>
      <c r="J1648" s="3623"/>
      <c r="O1648" s="1"/>
    </row>
    <row r="1649" spans="1:17" x14ac:dyDescent="0.3">
      <c r="O1649" s="1"/>
    </row>
    <row r="1650" spans="1:17" ht="21" x14ac:dyDescent="0.4">
      <c r="A1650" s="3641" t="s">
        <v>2972</v>
      </c>
      <c r="B1650" s="3641"/>
      <c r="C1650" s="3641"/>
      <c r="D1650" s="3624"/>
      <c r="E1650" s="3641"/>
      <c r="F1650" s="3641"/>
      <c r="G1650" s="3641"/>
      <c r="H1650" s="3641"/>
      <c r="I1650" s="3641"/>
      <c r="J1650" s="3641"/>
      <c r="K1650" s="3642" t="s">
        <v>2973</v>
      </c>
      <c r="L1650" s="3642"/>
      <c r="M1650" s="3642"/>
      <c r="N1650" s="3642"/>
      <c r="O1650" s="2"/>
    </row>
    <row r="1651" spans="1:17" x14ac:dyDescent="0.3">
      <c r="A1651" s="2276" t="s">
        <v>2974</v>
      </c>
      <c r="B1651" s="1666" t="s">
        <v>2975</v>
      </c>
      <c r="C1651" s="809" t="s">
        <v>3004</v>
      </c>
      <c r="D1651" s="1083" t="s">
        <v>2977</v>
      </c>
      <c r="E1651" s="805" t="s">
        <v>2978</v>
      </c>
      <c r="F1651" s="1666" t="s">
        <v>2979</v>
      </c>
      <c r="G1651" s="167" t="s">
        <v>2980</v>
      </c>
      <c r="H1651" s="1666" t="s">
        <v>2981</v>
      </c>
      <c r="I1651" s="1666" t="s">
        <v>2982</v>
      </c>
      <c r="J1651" s="1666" t="s">
        <v>2983</v>
      </c>
      <c r="K1651" s="26" t="s">
        <v>2975</v>
      </c>
      <c r="L1651" s="26" t="s">
        <v>2977</v>
      </c>
      <c r="M1651" s="26" t="s">
        <v>2984</v>
      </c>
      <c r="N1651" s="267" t="s">
        <v>2979</v>
      </c>
      <c r="O1651" s="268" t="s">
        <v>2985</v>
      </c>
    </row>
    <row r="1652" spans="1:17" x14ac:dyDescent="0.3">
      <c r="A1652" s="3841"/>
      <c r="B1652" s="867">
        <v>12474</v>
      </c>
      <c r="C1652" s="2171">
        <v>0.1</v>
      </c>
      <c r="D1652" s="1700" t="s">
        <v>3949</v>
      </c>
      <c r="E1652" s="1639"/>
      <c r="F1652" s="1391"/>
      <c r="G1652" s="321"/>
      <c r="H1652" s="662"/>
      <c r="I1652" s="2126" t="s">
        <v>3925</v>
      </c>
      <c r="J1652" s="2167"/>
      <c r="K1652" s="26"/>
      <c r="L1652" s="26"/>
      <c r="M1652" s="26"/>
      <c r="N1652" s="267"/>
      <c r="O1652" s="268"/>
    </row>
    <row r="1653" spans="1:17" x14ac:dyDescent="0.3">
      <c r="A1653" s="3842"/>
      <c r="B1653" s="1658"/>
      <c r="C1653" s="1300"/>
      <c r="D1653" s="1651" t="s">
        <v>5176</v>
      </c>
      <c r="E1653" s="1632"/>
      <c r="F1653" s="320"/>
      <c r="G1653" s="321"/>
      <c r="H1653" s="298"/>
      <c r="I1653" s="298" t="s">
        <v>3930</v>
      </c>
      <c r="J1653" s="1658"/>
      <c r="K1653" s="26"/>
      <c r="L1653" s="26"/>
      <c r="M1653" s="26"/>
      <c r="N1653" s="267"/>
      <c r="O1653" s="268"/>
    </row>
    <row r="1654" spans="1:17" x14ac:dyDescent="0.3">
      <c r="A1654" s="3842"/>
      <c r="B1654" s="1779"/>
      <c r="C1654" s="1779"/>
      <c r="D1654" s="2145" t="s">
        <v>5177</v>
      </c>
      <c r="E1654" s="1632"/>
      <c r="F1654" s="320"/>
      <c r="G1654" s="321"/>
      <c r="H1654" s="307"/>
      <c r="I1654" s="298" t="s">
        <v>3925</v>
      </c>
      <c r="J1654" s="1779"/>
      <c r="K1654" s="26"/>
      <c r="L1654" s="26"/>
      <c r="M1654" s="26"/>
      <c r="N1654" s="267"/>
      <c r="O1654" s="268"/>
    </row>
    <row r="1655" spans="1:17" x14ac:dyDescent="0.3">
      <c r="A1655" s="3842"/>
      <c r="B1655" s="1779"/>
      <c r="C1655" s="1779"/>
      <c r="D1655" s="716" t="s">
        <v>5178</v>
      </c>
      <c r="E1655" s="1632"/>
      <c r="F1655" s="320"/>
      <c r="G1655" s="321"/>
      <c r="H1655" s="298"/>
      <c r="I1655" s="298" t="s">
        <v>3925</v>
      </c>
      <c r="J1655" s="1779"/>
      <c r="K1655" s="2146"/>
      <c r="L1655" s="2044"/>
      <c r="M1655" s="1745"/>
      <c r="N1655" s="1018"/>
      <c r="O1655" s="376"/>
      <c r="P1655" s="1204"/>
      <c r="Q1655" s="511"/>
    </row>
    <row r="1656" spans="1:17" x14ac:dyDescent="0.3">
      <c r="A1656" s="3842"/>
      <c r="B1656" s="1779"/>
      <c r="C1656" s="1779"/>
      <c r="D1656" s="2145" t="s">
        <v>5179</v>
      </c>
      <c r="E1656" s="1632"/>
      <c r="F1656" s="320"/>
      <c r="G1656" s="321"/>
      <c r="H1656" s="307"/>
      <c r="I1656" s="298" t="s">
        <v>3928</v>
      </c>
      <c r="J1656" s="1779"/>
      <c r="K1656" s="2146"/>
      <c r="L1656" s="2045"/>
      <c r="M1656" s="2046"/>
      <c r="N1656" s="528"/>
      <c r="O1656" s="352"/>
      <c r="P1656" s="307"/>
      <c r="Q1656" s="511"/>
    </row>
    <row r="1657" spans="1:17" x14ac:dyDescent="0.3">
      <c r="A1657" s="3842"/>
      <c r="B1657" s="1665"/>
      <c r="C1657" s="1665"/>
      <c r="D1657" s="2102" t="s">
        <v>5180</v>
      </c>
      <c r="E1657" s="1633"/>
      <c r="F1657" s="768"/>
      <c r="G1657" s="1319"/>
      <c r="H1657" s="1318"/>
      <c r="I1657" s="2147" t="s">
        <v>3928</v>
      </c>
      <c r="J1657" s="1665"/>
      <c r="K1657" s="118"/>
      <c r="L1657" s="1779"/>
      <c r="M1657" s="1779"/>
      <c r="N1657" s="1779"/>
      <c r="O1657" s="2"/>
    </row>
    <row r="1658" spans="1:17" x14ac:dyDescent="0.3">
      <c r="A1658" s="3842"/>
      <c r="B1658" s="1779"/>
      <c r="C1658" s="1779"/>
      <c r="D1658" s="2101" t="s">
        <v>5181</v>
      </c>
      <c r="E1658" s="1632"/>
      <c r="F1658" s="1391"/>
      <c r="G1658" s="321"/>
      <c r="H1658" s="307"/>
      <c r="I1658" s="1517" t="s">
        <v>3925</v>
      </c>
      <c r="J1658" s="1779"/>
      <c r="K1658" s="118"/>
      <c r="L1658" s="1779"/>
      <c r="M1658" s="1779"/>
      <c r="N1658" s="1779"/>
      <c r="O1658" s="2"/>
    </row>
    <row r="1659" spans="1:17" x14ac:dyDescent="0.3">
      <c r="A1659" s="3842"/>
      <c r="B1659" s="1779"/>
      <c r="C1659" s="1779"/>
      <c r="D1659" s="2102"/>
      <c r="E1659" s="1632"/>
      <c r="F1659" s="1391"/>
      <c r="G1659" s="321"/>
      <c r="H1659" s="662"/>
      <c r="I1659" s="2126"/>
      <c r="J1659" s="1300"/>
      <c r="K1659" s="118"/>
      <c r="L1659" s="1779"/>
      <c r="M1659" s="1779"/>
      <c r="N1659" s="1779"/>
      <c r="O1659" s="2"/>
    </row>
    <row r="1660" spans="1:17" x14ac:dyDescent="0.3">
      <c r="A1660" s="3842"/>
      <c r="B1660" s="1779"/>
      <c r="C1660" s="1779"/>
      <c r="D1660" s="2102"/>
      <c r="E1660" s="1632"/>
      <c r="F1660" s="1391"/>
      <c r="G1660" s="321"/>
      <c r="H1660" s="662"/>
      <c r="I1660" s="2126"/>
      <c r="J1660" s="1300"/>
      <c r="K1660" s="118"/>
      <c r="L1660" s="1779"/>
      <c r="M1660" s="1779"/>
      <c r="N1660" s="1779"/>
      <c r="O1660" s="2"/>
    </row>
    <row r="1661" spans="1:17" x14ac:dyDescent="0.3">
      <c r="A1661" s="3842"/>
      <c r="B1661" s="1779"/>
      <c r="C1661" s="1779"/>
      <c r="D1661" s="2102"/>
      <c r="E1661" s="1632"/>
      <c r="F1661" s="1391"/>
      <c r="G1661" s="321"/>
      <c r="H1661" s="662"/>
      <c r="I1661" s="2126"/>
      <c r="J1661" s="1300"/>
      <c r="K1661" s="118"/>
      <c r="L1661" s="1779"/>
      <c r="M1661" s="1779"/>
      <c r="N1661" s="1779"/>
      <c r="O1661" s="2"/>
    </row>
    <row r="1662" spans="1:17" x14ac:dyDescent="0.3">
      <c r="A1662" s="3842"/>
      <c r="B1662" s="1779"/>
      <c r="C1662" s="1779"/>
      <c r="D1662" s="2102"/>
      <c r="E1662" s="1632"/>
      <c r="F1662" s="1391"/>
      <c r="G1662" s="321"/>
      <c r="H1662" s="662"/>
      <c r="I1662" s="2126"/>
      <c r="J1662" s="1300"/>
      <c r="K1662" s="118"/>
      <c r="L1662" s="1779"/>
      <c r="M1662" s="1779"/>
      <c r="N1662" s="1779"/>
      <c r="O1662" s="2"/>
    </row>
    <row r="1663" spans="1:17" x14ac:dyDescent="0.3">
      <c r="A1663" s="3842"/>
      <c r="B1663" s="1779"/>
      <c r="C1663" s="1779"/>
      <c r="D1663" s="2102"/>
      <c r="E1663" s="1632"/>
      <c r="F1663" s="1391"/>
      <c r="G1663" s="321"/>
      <c r="H1663" s="662"/>
      <c r="I1663" s="2126"/>
      <c r="J1663" s="1300"/>
      <c r="K1663" s="118"/>
      <c r="L1663" s="1779"/>
      <c r="M1663" s="1779"/>
      <c r="N1663" s="1779"/>
      <c r="O1663" s="2"/>
    </row>
    <row r="1664" spans="1:17" ht="15" customHeight="1" x14ac:dyDescent="0.3">
      <c r="A1664" s="3842"/>
      <c r="B1664" s="638"/>
      <c r="C1664" s="638"/>
      <c r="D1664" s="2103" t="s">
        <v>3000</v>
      </c>
      <c r="E1664" s="1634" t="e">
        <f>SUM(#REF!)</f>
        <v>#REF!</v>
      </c>
      <c r="F1664" s="956"/>
      <c r="G1664" s="1207" t="e">
        <f>SUM(#REF!)</f>
        <v>#REF!</v>
      </c>
      <c r="H1664" s="1208"/>
      <c r="I1664" s="452"/>
      <c r="J1664" s="794"/>
      <c r="K1664" s="316"/>
      <c r="L1664" s="3599" t="s">
        <v>3001</v>
      </c>
      <c r="M1664" s="3599"/>
      <c r="N1664" s="3599"/>
      <c r="O1664" s="297" t="e">
        <f>SUM(#REF!)</f>
        <v>#REF!</v>
      </c>
    </row>
    <row r="1665" spans="1:16" ht="15" customHeight="1" x14ac:dyDescent="0.3">
      <c r="A1665" s="3843"/>
      <c r="B1665" s="1210"/>
      <c r="C1665" s="1210"/>
      <c r="D1665" s="1211" t="s">
        <v>3002</v>
      </c>
      <c r="E1665" s="1212" t="e">
        <f>G1664+O1664</f>
        <v>#REF!</v>
      </c>
      <c r="F1665" s="1210"/>
      <c r="G1665" s="1213"/>
      <c r="H1665" s="840"/>
      <c r="I1665" s="840"/>
      <c r="J1665" s="843"/>
      <c r="K1665" s="895"/>
      <c r="L1665" s="895"/>
      <c r="M1665" s="895"/>
      <c r="N1665" s="895"/>
      <c r="O1665" s="430"/>
    </row>
    <row r="1666" spans="1:16" x14ac:dyDescent="0.3">
      <c r="A1666" s="2230"/>
      <c r="B1666" s="17"/>
      <c r="C1666" s="17"/>
      <c r="D1666" s="1085"/>
      <c r="E1666" s="19"/>
      <c r="F1666" s="17"/>
      <c r="G1666" s="20"/>
      <c r="H1666" s="17"/>
      <c r="I1666" s="17"/>
      <c r="J1666" s="18"/>
      <c r="O1666" s="1"/>
    </row>
    <row r="1667" spans="1:16" x14ac:dyDescent="0.3">
      <c r="A1667" s="2230"/>
      <c r="B1667" s="17"/>
      <c r="C1667" s="17"/>
      <c r="D1667" s="1085"/>
      <c r="E1667" s="19"/>
      <c r="F1667" s="17"/>
      <c r="G1667" s="20"/>
      <c r="H1667" s="17"/>
      <c r="I1667" s="17"/>
      <c r="J1667" s="18"/>
      <c r="O1667" s="1"/>
    </row>
    <row r="1668" spans="1:16" ht="21" x14ac:dyDescent="0.4">
      <c r="A1668" s="3643" t="s">
        <v>3003</v>
      </c>
      <c r="B1668" s="3643"/>
      <c r="C1668" s="3643"/>
      <c r="D1668" s="3643"/>
      <c r="E1668" s="3643"/>
      <c r="F1668" s="3643"/>
      <c r="G1668" s="3643"/>
      <c r="H1668" s="3643"/>
      <c r="I1668" s="3643"/>
      <c r="J1668" s="3643"/>
      <c r="K1668" s="3644" t="s">
        <v>2973</v>
      </c>
      <c r="L1668" s="3644"/>
      <c r="M1668" s="3644"/>
      <c r="N1668" s="3644"/>
      <c r="O1668" s="268"/>
    </row>
    <row r="1669" spans="1:16" x14ac:dyDescent="0.3">
      <c r="A1669" s="2308" t="s">
        <v>2974</v>
      </c>
      <c r="B1669" s="1484" t="s">
        <v>2975</v>
      </c>
      <c r="C1669" s="1779" t="s">
        <v>3004</v>
      </c>
      <c r="D1669" s="2127" t="s">
        <v>2977</v>
      </c>
      <c r="E1669" s="832" t="s">
        <v>2978</v>
      </c>
      <c r="F1669" s="1779" t="s">
        <v>2979</v>
      </c>
      <c r="G1669" s="833" t="s">
        <v>2980</v>
      </c>
      <c r="H1669" s="1779" t="s">
        <v>2981</v>
      </c>
      <c r="I1669" s="1779" t="s">
        <v>2982</v>
      </c>
      <c r="J1669" s="1779" t="s">
        <v>2983</v>
      </c>
      <c r="K1669" s="1779" t="s">
        <v>2975</v>
      </c>
      <c r="L1669" s="1779" t="s">
        <v>2977</v>
      </c>
      <c r="M1669" s="1779" t="s">
        <v>2984</v>
      </c>
      <c r="N1669" s="1779" t="s">
        <v>2979</v>
      </c>
      <c r="O1669" s="51" t="s">
        <v>2985</v>
      </c>
    </row>
    <row r="1670" spans="1:16" x14ac:dyDescent="0.3">
      <c r="A1670" s="3626"/>
      <c r="B1670" s="2150"/>
      <c r="C1670" s="702"/>
      <c r="D1670" s="780" t="s">
        <v>5182</v>
      </c>
      <c r="E1670" s="2151"/>
      <c r="F1670" s="344"/>
      <c r="G1670" s="358"/>
      <c r="H1670" s="417"/>
      <c r="I1670" s="416" t="s">
        <v>3928</v>
      </c>
      <c r="J1670" s="2153"/>
      <c r="K1670" s="1658"/>
      <c r="L1670" s="1484"/>
      <c r="M1670" s="1779"/>
      <c r="N1670" s="1779"/>
      <c r="O1670" s="51"/>
    </row>
    <row r="1671" spans="1:16" x14ac:dyDescent="0.3">
      <c r="A1671" s="3626"/>
      <c r="B1671" s="118"/>
      <c r="C1671" s="326"/>
      <c r="D1671" s="937" t="s">
        <v>3958</v>
      </c>
      <c r="E1671" s="1628"/>
      <c r="F1671" s="1689"/>
      <c r="G1671" s="298"/>
      <c r="H1671" s="1975"/>
      <c r="I1671" s="1058" t="s">
        <v>3928</v>
      </c>
      <c r="J1671" s="1409"/>
      <c r="K1671" s="1658"/>
      <c r="L1671" s="1484"/>
      <c r="M1671" s="1779"/>
      <c r="N1671" s="1779"/>
      <c r="O1671" s="51"/>
      <c r="P1671" s="511"/>
    </row>
    <row r="1672" spans="1:16" x14ac:dyDescent="0.3">
      <c r="A1672" s="3626"/>
      <c r="B1672" s="118"/>
      <c r="C1672" s="326"/>
      <c r="D1672" s="1447" t="s">
        <v>3959</v>
      </c>
      <c r="E1672" s="1627"/>
      <c r="F1672" s="1391"/>
      <c r="G1672" s="298"/>
      <c r="H1672" s="1058"/>
      <c r="I1672" s="1976" t="s">
        <v>3928</v>
      </c>
      <c r="J1672" s="1409"/>
      <c r="K1672" s="1658"/>
      <c r="L1672" s="1484"/>
      <c r="M1672" s="1779"/>
      <c r="N1672" s="1779"/>
      <c r="O1672" s="51"/>
      <c r="P1672" s="511"/>
    </row>
    <row r="1673" spans="1:16" x14ac:dyDescent="0.3">
      <c r="A1673" s="3626"/>
      <c r="B1673" s="118"/>
      <c r="C1673" s="326"/>
      <c r="D1673" s="2128" t="s">
        <v>5183</v>
      </c>
      <c r="E1673" s="1627"/>
      <c r="F1673" s="985"/>
      <c r="G1673" s="967"/>
      <c r="H1673" s="1780"/>
      <c r="I1673" s="1780" t="s">
        <v>3930</v>
      </c>
      <c r="J1673" s="1409"/>
      <c r="K1673" s="1658"/>
      <c r="L1673" s="1484"/>
      <c r="M1673" s="1779"/>
      <c r="N1673" s="1779"/>
      <c r="O1673" s="51"/>
      <c r="P1673" s="511"/>
    </row>
    <row r="1674" spans="1:16" x14ac:dyDescent="0.3">
      <c r="A1674" s="3626"/>
      <c r="B1674" s="118"/>
      <c r="C1674" s="326"/>
      <c r="D1674" s="2044" t="s">
        <v>5184</v>
      </c>
      <c r="E1674" s="1628"/>
      <c r="F1674" s="1453"/>
      <c r="G1674" s="531"/>
      <c r="H1674" s="1404"/>
      <c r="I1674" s="533" t="s">
        <v>4495</v>
      </c>
      <c r="J1674" s="1409"/>
      <c r="K1674" s="1658"/>
      <c r="L1674" s="1484"/>
      <c r="M1674" s="1779"/>
      <c r="N1674" s="1779"/>
      <c r="O1674" s="51"/>
      <c r="P1674" s="511"/>
    </row>
    <row r="1675" spans="1:16" x14ac:dyDescent="0.3">
      <c r="A1675" s="3626"/>
      <c r="B1675" s="1779"/>
      <c r="C1675" s="834"/>
      <c r="D1675" s="716"/>
      <c r="E1675" s="1627"/>
      <c r="F1675" s="1602"/>
      <c r="G1675" s="531"/>
      <c r="H1675" s="711"/>
      <c r="I1675" s="529"/>
      <c r="J1675" s="1409"/>
      <c r="K1675" s="1658"/>
      <c r="L1675" s="1484"/>
      <c r="M1675" s="1779"/>
      <c r="N1675" s="1779"/>
      <c r="O1675" s="51"/>
      <c r="P1675" s="511"/>
    </row>
    <row r="1676" spans="1:16" ht="15.6" x14ac:dyDescent="0.3">
      <c r="A1676" s="3626"/>
      <c r="B1676" s="1390"/>
      <c r="C1676" s="1588"/>
      <c r="D1676" s="716"/>
      <c r="E1676" s="1627"/>
      <c r="F1676" s="320"/>
      <c r="G1676" s="298"/>
      <c r="H1676" s="307"/>
      <c r="I1676" s="316"/>
      <c r="J1676" s="1780"/>
      <c r="K1676" s="1780"/>
      <c r="L1676" s="1780"/>
      <c r="M1676" s="1589"/>
      <c r="N1676" s="986"/>
      <c r="O1676" s="463"/>
    </row>
    <row r="1677" spans="1:16" ht="15.6" x14ac:dyDescent="0.3">
      <c r="A1677" s="3626"/>
      <c r="B1677" s="1390"/>
      <c r="C1677" s="820"/>
      <c r="D1677" s="1239"/>
      <c r="E1677" s="1629"/>
      <c r="F1677" s="768"/>
      <c r="G1677" s="531"/>
      <c r="H1677" s="711"/>
      <c r="I1677" s="529"/>
      <c r="J1677" s="1273"/>
      <c r="K1677" s="1016"/>
      <c r="L1677" s="1263"/>
      <c r="M1677" s="986"/>
      <c r="N1677" s="986"/>
      <c r="O1677" s="463"/>
    </row>
    <row r="1678" spans="1:16" ht="15.6" x14ac:dyDescent="0.3">
      <c r="A1678" s="3626"/>
      <c r="B1678" s="1390"/>
      <c r="C1678" s="820"/>
      <c r="D1678" s="1239"/>
      <c r="E1678" s="1629"/>
      <c r="F1678" s="768"/>
      <c r="G1678" s="531"/>
      <c r="H1678" s="711"/>
      <c r="I1678" s="529"/>
      <c r="J1678" s="1273"/>
      <c r="K1678" s="1016"/>
      <c r="L1678" s="1263"/>
      <c r="M1678" s="986"/>
      <c r="N1678" s="986"/>
      <c r="O1678" s="463"/>
    </row>
    <row r="1679" spans="1:16" x14ac:dyDescent="0.3">
      <c r="A1679" s="3626"/>
      <c r="B1679" s="307"/>
      <c r="C1679" s="820"/>
      <c r="D1679" s="1183"/>
      <c r="E1679" s="1630"/>
      <c r="F1679" s="768"/>
      <c r="G1679" s="769"/>
      <c r="H1679" s="711"/>
      <c r="I1679" s="532"/>
      <c r="J1679" s="1409"/>
      <c r="K1679" s="298"/>
      <c r="L1679" s="298"/>
      <c r="M1679" s="298"/>
      <c r="N1679" s="298"/>
      <c r="O1679" s="307"/>
    </row>
    <row r="1680" spans="1:16" x14ac:dyDescent="0.3">
      <c r="A1680" s="3626"/>
      <c r="B1680" s="514"/>
      <c r="C1680" s="689"/>
      <c r="D1680" s="1171" t="s">
        <v>3000</v>
      </c>
      <c r="E1680" s="1631">
        <f>SUM(E1670:E1678)</f>
        <v>0</v>
      </c>
      <c r="F1680" s="514"/>
      <c r="G1680" s="483"/>
      <c r="H1680" s="918"/>
      <c r="I1680" s="514"/>
      <c r="J1680" s="342"/>
      <c r="K1680" s="1471"/>
      <c r="L1680" s="3651" t="s">
        <v>3026</v>
      </c>
      <c r="M1680" s="3651"/>
      <c r="N1680" s="3651"/>
      <c r="O1680" s="1472"/>
    </row>
    <row r="1681" spans="1:18" x14ac:dyDescent="0.3">
      <c r="A1681" s="3627"/>
      <c r="B1681" s="840"/>
      <c r="C1681" s="815"/>
      <c r="D1681" s="1184" t="s">
        <v>3002</v>
      </c>
      <c r="E1681" s="964" t="e">
        <f>#REF!+#REF!+#REF!+#REF!</f>
        <v>#REF!</v>
      </c>
      <c r="F1681" s="458"/>
      <c r="G1681" s="489"/>
      <c r="H1681" s="458"/>
      <c r="I1681" s="458"/>
      <c r="J1681" s="490"/>
      <c r="K1681" s="461"/>
      <c r="L1681" s="965"/>
      <c r="M1681" s="965"/>
      <c r="N1681" s="965"/>
      <c r="O1681" s="463"/>
    </row>
    <row r="1682" spans="1:18" ht="15.6" x14ac:dyDescent="0.3">
      <c r="A1682" s="2267"/>
      <c r="B1682" s="825"/>
      <c r="C1682" s="464"/>
      <c r="D1682" s="1118"/>
      <c r="E1682" s="466"/>
      <c r="F1682" s="464"/>
      <c r="G1682" s="467"/>
      <c r="H1682" s="464"/>
      <c r="I1682" s="464"/>
      <c r="J1682" s="465"/>
      <c r="K1682" s="468"/>
      <c r="L1682" s="469"/>
      <c r="M1682" s="469"/>
      <c r="N1682" s="469"/>
      <c r="O1682" s="463"/>
    </row>
    <row r="1683" spans="1:18" ht="15.6" x14ac:dyDescent="0.3">
      <c r="A1683" s="2267"/>
      <c r="B1683" s="825"/>
      <c r="C1683" s="825"/>
      <c r="D1683" s="1172"/>
      <c r="E1683" s="827"/>
      <c r="F1683" s="825"/>
      <c r="G1683" s="828"/>
      <c r="H1683" s="825"/>
      <c r="I1683" s="825"/>
      <c r="J1683" s="826"/>
      <c r="K1683" s="829"/>
      <c r="L1683" s="830"/>
      <c r="M1683" s="830"/>
      <c r="N1683" s="830"/>
      <c r="O1683" s="831"/>
    </row>
    <row r="1684" spans="1:18" ht="21" x14ac:dyDescent="0.4">
      <c r="A1684" s="3641" t="s">
        <v>3027</v>
      </c>
      <c r="B1684" s="3641"/>
      <c r="C1684" s="3641"/>
      <c r="D1684" s="3641"/>
      <c r="E1684" s="3641"/>
      <c r="F1684" s="3641"/>
      <c r="G1684" s="3641"/>
      <c r="H1684" s="3641"/>
      <c r="I1684" s="3641"/>
      <c r="J1684" s="3641"/>
      <c r="K1684" s="3636" t="s">
        <v>2973</v>
      </c>
      <c r="L1684" s="3636"/>
      <c r="M1684" s="3636"/>
      <c r="N1684" s="3636"/>
      <c r="O1684" s="2"/>
    </row>
    <row r="1685" spans="1:18" x14ac:dyDescent="0.3">
      <c r="A1685" s="2276" t="s">
        <v>2974</v>
      </c>
      <c r="B1685" s="1666" t="s">
        <v>2975</v>
      </c>
      <c r="C1685" s="1666" t="s">
        <v>3004</v>
      </c>
      <c r="D1685" s="1083" t="s">
        <v>2977</v>
      </c>
      <c r="E1685" s="32" t="s">
        <v>2978</v>
      </c>
      <c r="F1685" s="1666" t="s">
        <v>2979</v>
      </c>
      <c r="G1685" s="167" t="s">
        <v>2980</v>
      </c>
      <c r="H1685" s="1666" t="s">
        <v>2981</v>
      </c>
      <c r="I1685" s="1666" t="s">
        <v>2982</v>
      </c>
      <c r="J1685" s="1666" t="s">
        <v>2983</v>
      </c>
      <c r="K1685" s="1658" t="s">
        <v>2975</v>
      </c>
      <c r="L1685" s="1658" t="s">
        <v>2977</v>
      </c>
      <c r="M1685" s="1658" t="s">
        <v>2984</v>
      </c>
      <c r="N1685" s="1658" t="s">
        <v>2979</v>
      </c>
      <c r="O1685" s="268" t="s">
        <v>2985</v>
      </c>
    </row>
    <row r="1686" spans="1:18" x14ac:dyDescent="0.3">
      <c r="A1686" s="2235"/>
      <c r="B1686" s="2148">
        <v>12433</v>
      </c>
      <c r="C1686" s="864">
        <v>0.1</v>
      </c>
      <c r="D1686" s="1256" t="s">
        <v>3950</v>
      </c>
      <c r="E1686" s="1340">
        <v>1200000</v>
      </c>
      <c r="F1686" s="2100"/>
      <c r="G1686" s="310"/>
      <c r="H1686" s="1253" t="s">
        <v>748</v>
      </c>
      <c r="I1686" s="587" t="s">
        <v>3925</v>
      </c>
      <c r="J1686" s="3"/>
      <c r="K1686" s="406"/>
      <c r="L1686" s="1658"/>
      <c r="M1686" s="1658"/>
      <c r="N1686" s="1658"/>
      <c r="O1686" s="268"/>
    </row>
    <row r="1687" spans="1:18" x14ac:dyDescent="0.3">
      <c r="A1687" s="1862"/>
      <c r="B1687" s="2148">
        <v>12446</v>
      </c>
      <c r="C1687" s="864">
        <v>0.1</v>
      </c>
      <c r="D1687" s="1170" t="s">
        <v>3951</v>
      </c>
      <c r="E1687" s="1950">
        <v>1200000</v>
      </c>
      <c r="F1687" s="863"/>
      <c r="G1687" s="866"/>
      <c r="H1687" s="1233" t="s">
        <v>523</v>
      </c>
      <c r="I1687" s="1233" t="s">
        <v>3925</v>
      </c>
      <c r="J1687" s="3"/>
      <c r="K1687" s="406"/>
      <c r="L1687" s="1658"/>
      <c r="M1687" s="1658"/>
      <c r="N1687" s="1658"/>
      <c r="O1687" s="268"/>
    </row>
    <row r="1688" spans="1:18" x14ac:dyDescent="0.3">
      <c r="A1688" s="3824"/>
      <c r="B1688" s="2148">
        <v>12469</v>
      </c>
      <c r="C1688" s="864">
        <v>0.1</v>
      </c>
      <c r="D1688" s="1170" t="s">
        <v>3952</v>
      </c>
      <c r="E1688" s="1950">
        <v>850000</v>
      </c>
      <c r="F1688" s="863"/>
      <c r="G1688" s="866"/>
      <c r="H1688" s="1233" t="s">
        <v>3930</v>
      </c>
      <c r="I1688" s="1233" t="s">
        <v>3930</v>
      </c>
      <c r="J1688" s="3"/>
      <c r="K1688" s="406"/>
      <c r="L1688" s="1188"/>
      <c r="M1688" s="1627"/>
      <c r="N1688" s="308"/>
      <c r="O1688" s="967"/>
      <c r="P1688" s="970"/>
      <c r="Q1688" s="970"/>
      <c r="R1688" s="511"/>
    </row>
    <row r="1689" spans="1:18" x14ac:dyDescent="0.3">
      <c r="A1689" s="3824"/>
      <c r="B1689" s="1300"/>
      <c r="C1689" s="1779"/>
      <c r="D1689" s="1256" t="s">
        <v>3960</v>
      </c>
      <c r="E1689" s="1628"/>
      <c r="F1689" s="1018"/>
      <c r="G1689" s="376"/>
      <c r="H1689" s="1204"/>
      <c r="I1689" s="970" t="s">
        <v>3928</v>
      </c>
      <c r="J1689" s="3"/>
      <c r="K1689" s="406"/>
      <c r="L1689" s="2050"/>
      <c r="M1689" s="1637"/>
      <c r="N1689" s="320"/>
      <c r="O1689" s="298"/>
      <c r="P1689" s="307"/>
      <c r="Q1689" s="1058"/>
      <c r="R1689" s="511"/>
    </row>
    <row r="1690" spans="1:18" x14ac:dyDescent="0.3">
      <c r="A1690" s="3824"/>
      <c r="B1690" s="1658"/>
      <c r="C1690" s="1664"/>
      <c r="D1690" s="912" t="s">
        <v>3953</v>
      </c>
      <c r="E1690" s="2130"/>
      <c r="F1690" s="2131"/>
      <c r="G1690" s="1316"/>
      <c r="H1690" s="2132"/>
      <c r="I1690" s="2133" t="s">
        <v>3928</v>
      </c>
      <c r="J1690" s="1657"/>
      <c r="K1690" s="1658"/>
      <c r="L1690" s="2050"/>
      <c r="M1690" s="1637"/>
      <c r="N1690" s="320"/>
      <c r="O1690" s="298"/>
      <c r="P1690" s="307"/>
      <c r="Q1690" s="1058"/>
      <c r="R1690" s="511"/>
    </row>
    <row r="1691" spans="1:18" x14ac:dyDescent="0.3">
      <c r="A1691" s="3824"/>
      <c r="B1691" s="1658"/>
      <c r="C1691" s="1658"/>
      <c r="D1691" s="439" t="s">
        <v>3961</v>
      </c>
      <c r="E1691" s="1637"/>
      <c r="F1691" s="1767"/>
      <c r="G1691" s="985"/>
      <c r="H1691" s="1204"/>
      <c r="I1691" s="2049" t="s">
        <v>3930</v>
      </c>
      <c r="J1691" s="1666"/>
      <c r="K1691" s="1658"/>
      <c r="L1691" s="2129"/>
      <c r="M1691" s="2046"/>
      <c r="N1691" s="528"/>
      <c r="O1691" s="352"/>
      <c r="P1691" s="379"/>
      <c r="Q1691" s="1143"/>
      <c r="R1691" s="511"/>
    </row>
    <row r="1692" spans="1:18" x14ac:dyDescent="0.3">
      <c r="A1692" s="3824"/>
      <c r="B1692" s="1658"/>
      <c r="C1692" s="1658"/>
      <c r="D1692" s="1239" t="s">
        <v>5185</v>
      </c>
      <c r="E1692" s="1637"/>
      <c r="F1692" s="1018"/>
      <c r="G1692" s="985"/>
      <c r="H1692" s="1204"/>
      <c r="I1692" s="2049" t="s">
        <v>3925</v>
      </c>
      <c r="J1692" s="1666"/>
      <c r="K1692" s="1658"/>
      <c r="L1692" s="2129"/>
      <c r="M1692" s="2046"/>
      <c r="N1692" s="528"/>
      <c r="O1692" s="352"/>
      <c r="P1692" s="379"/>
      <c r="Q1692" s="1143"/>
      <c r="R1692" s="511"/>
    </row>
    <row r="1693" spans="1:18" x14ac:dyDescent="0.3">
      <c r="A1693" s="3824"/>
      <c r="B1693" s="1658"/>
      <c r="C1693" s="1658"/>
      <c r="D1693" s="716" t="s">
        <v>5186</v>
      </c>
      <c r="E1693" s="1637"/>
      <c r="F1693" s="1767"/>
      <c r="G1693" s="985"/>
      <c r="H1693" s="1204"/>
      <c r="I1693" s="2049" t="s">
        <v>5187</v>
      </c>
      <c r="J1693" s="1666"/>
      <c r="K1693" s="1658"/>
      <c r="L1693" s="2129"/>
      <c r="M1693" s="2046"/>
      <c r="N1693" s="528"/>
      <c r="O1693" s="352"/>
      <c r="P1693" s="379"/>
      <c r="Q1693" s="1143"/>
      <c r="R1693" s="511"/>
    </row>
    <row r="1694" spans="1:18" x14ac:dyDescent="0.3">
      <c r="A1694" s="3824"/>
      <c r="B1694" s="1658"/>
      <c r="C1694" s="1658"/>
      <c r="D1694" s="716" t="s">
        <v>5188</v>
      </c>
      <c r="E1694" s="1637"/>
      <c r="F1694" s="1018"/>
      <c r="G1694" s="985"/>
      <c r="H1694" s="1204"/>
      <c r="I1694" s="2049" t="s">
        <v>3925</v>
      </c>
      <c r="J1694" s="1666"/>
      <c r="K1694" s="1658"/>
      <c r="L1694" s="406"/>
      <c r="M1694" s="406"/>
      <c r="N1694" s="1658"/>
      <c r="O1694" s="1071"/>
      <c r="P1694" s="511"/>
      <c r="Q1694" s="511"/>
      <c r="R1694" s="511"/>
    </row>
    <row r="1695" spans="1:18" x14ac:dyDescent="0.3">
      <c r="A1695" s="3824"/>
      <c r="B1695" s="1658"/>
      <c r="C1695" s="1658"/>
      <c r="D1695" s="1239" t="s">
        <v>5189</v>
      </c>
      <c r="E1695" s="1637"/>
      <c r="F1695" s="1018"/>
      <c r="G1695" s="985"/>
      <c r="H1695" s="1204"/>
      <c r="I1695" s="2049"/>
      <c r="J1695" s="1747"/>
      <c r="K1695" s="1658"/>
      <c r="L1695" s="406"/>
      <c r="M1695" s="406"/>
      <c r="N1695" s="1658"/>
      <c r="O1695" s="1071"/>
      <c r="P1695" s="511"/>
      <c r="Q1695" s="511"/>
      <c r="R1695" s="511"/>
    </row>
    <row r="1696" spans="1:18" x14ac:dyDescent="0.3">
      <c r="A1696" s="3824"/>
      <c r="B1696" s="1658"/>
      <c r="C1696" s="1658"/>
      <c r="D1696" s="1239" t="s">
        <v>5190</v>
      </c>
      <c r="E1696" s="1637"/>
      <c r="F1696" s="1018"/>
      <c r="G1696" s="985"/>
      <c r="H1696" s="1204"/>
      <c r="I1696" s="2049"/>
      <c r="J1696" s="1747"/>
      <c r="K1696" s="1658"/>
      <c r="L1696" s="406"/>
      <c r="M1696" s="406"/>
      <c r="N1696" s="1658"/>
      <c r="O1696" s="1071"/>
      <c r="P1696" s="511"/>
      <c r="Q1696" s="511"/>
      <c r="R1696" s="511"/>
    </row>
    <row r="1697" spans="1:19" ht="15.6" x14ac:dyDescent="0.3">
      <c r="A1697" s="3824"/>
      <c r="B1697" s="1390"/>
      <c r="C1697" s="1216"/>
      <c r="D1697" s="1366"/>
      <c r="E1697" s="1638"/>
      <c r="F1697" s="1779"/>
      <c r="G1697" s="833"/>
      <c r="H1697" s="1779"/>
      <c r="I1697" s="1779"/>
      <c r="J1697" s="406"/>
      <c r="K1697" s="1658"/>
      <c r="L1697" s="406"/>
      <c r="M1697" s="406"/>
      <c r="N1697" s="1658"/>
      <c r="O1697" s="1071"/>
      <c r="P1697" s="511"/>
      <c r="Q1697" s="511"/>
      <c r="R1697" s="511"/>
      <c r="S1697" s="511"/>
    </row>
    <row r="1698" spans="1:19" x14ac:dyDescent="0.3">
      <c r="A1698" s="3824"/>
      <c r="B1698" s="514"/>
      <c r="C1698" s="514"/>
      <c r="D1698" s="1116" t="s">
        <v>3000</v>
      </c>
      <c r="E1698" s="1631">
        <f>SUM(E1686:E1694)</f>
        <v>3250000</v>
      </c>
      <c r="F1698" s="514"/>
      <c r="G1698" s="483"/>
      <c r="H1698" s="514"/>
      <c r="I1698" s="514"/>
      <c r="J1698" s="342"/>
      <c r="K1698" s="287"/>
      <c r="L1698" s="3602" t="s">
        <v>3026</v>
      </c>
      <c r="M1698" s="3602"/>
      <c r="N1698" s="3602"/>
      <c r="O1698" s="848"/>
    </row>
    <row r="1699" spans="1:19" ht="15.6" x14ac:dyDescent="0.3">
      <c r="A1699" s="3825"/>
      <c r="B1699" s="840"/>
      <c r="C1699" s="840"/>
      <c r="D1699" s="491" t="s">
        <v>3002</v>
      </c>
      <c r="E1699" s="841"/>
      <c r="F1699" s="840"/>
      <c r="G1699" s="842"/>
      <c r="H1699" s="840"/>
      <c r="I1699" s="840"/>
      <c r="J1699" s="843"/>
      <c r="K1699" s="287"/>
      <c r="L1699" s="844"/>
      <c r="M1699" s="844"/>
      <c r="N1699" s="844"/>
      <c r="O1699" s="294"/>
    </row>
    <row r="1700" spans="1:19" ht="15.6" x14ac:dyDescent="0.3">
      <c r="A1700" s="2267"/>
      <c r="B1700" s="464"/>
      <c r="C1700" s="464"/>
      <c r="D1700" s="1118"/>
      <c r="E1700" s="466"/>
      <c r="F1700" s="464"/>
      <c r="G1700" s="467"/>
      <c r="H1700" s="464"/>
      <c r="I1700" s="464"/>
      <c r="J1700" s="465"/>
      <c r="K1700" s="468"/>
      <c r="L1700" s="469"/>
      <c r="M1700" s="469"/>
      <c r="N1700" s="469"/>
      <c r="O1700" s="463"/>
    </row>
    <row r="1701" spans="1:19" ht="15.6" x14ac:dyDescent="0.3">
      <c r="A1701" s="2267"/>
      <c r="B1701" s="825"/>
      <c r="C1701" s="825"/>
      <c r="D1701" s="1172"/>
      <c r="E1701" s="827"/>
      <c r="F1701" s="825"/>
      <c r="G1701" s="828"/>
      <c r="H1701" s="825"/>
      <c r="I1701" s="825"/>
      <c r="J1701" s="826"/>
      <c r="K1701" s="829"/>
      <c r="L1701" s="830"/>
      <c r="M1701" s="830"/>
      <c r="N1701" s="830"/>
      <c r="O1701" s="831"/>
    </row>
    <row r="1702" spans="1:19" ht="21" x14ac:dyDescent="0.4">
      <c r="A1702" s="3619" t="s">
        <v>3042</v>
      </c>
      <c r="B1702" s="3855"/>
      <c r="C1702" s="3855"/>
      <c r="D1702" s="3855"/>
      <c r="E1702" s="3855"/>
      <c r="F1702" s="3855"/>
      <c r="G1702" s="3855"/>
      <c r="H1702" s="3855"/>
      <c r="I1702" s="3855"/>
      <c r="J1702" s="3856"/>
      <c r="K1702" s="287"/>
      <c r="L1702" s="845"/>
      <c r="M1702" s="845"/>
      <c r="N1702" s="845"/>
      <c r="O1702" s="294"/>
    </row>
    <row r="1703" spans="1:19" x14ac:dyDescent="0.3">
      <c r="A1703" s="2276" t="s">
        <v>2974</v>
      </c>
      <c r="B1703" s="1666" t="s">
        <v>2975</v>
      </c>
      <c r="C1703" s="3" t="s">
        <v>3004</v>
      </c>
      <c r="D1703" s="1086" t="s">
        <v>2977</v>
      </c>
      <c r="E1703" s="4" t="s">
        <v>2978</v>
      </c>
      <c r="F1703" s="3" t="s">
        <v>2979</v>
      </c>
      <c r="G1703" s="5" t="s">
        <v>2980</v>
      </c>
      <c r="H1703" s="3" t="s">
        <v>2981</v>
      </c>
      <c r="I1703" s="3" t="s">
        <v>2982</v>
      </c>
      <c r="J1703" s="23" t="s">
        <v>2983</v>
      </c>
      <c r="K1703" s="1779" t="s">
        <v>2975</v>
      </c>
      <c r="L1703" s="1779" t="s">
        <v>2977</v>
      </c>
      <c r="M1703" s="1779" t="s">
        <v>2984</v>
      </c>
      <c r="N1703" s="1779" t="s">
        <v>2979</v>
      </c>
      <c r="O1703" s="2" t="s">
        <v>2985</v>
      </c>
    </row>
    <row r="1704" spans="1:19" x14ac:dyDescent="0.3">
      <c r="A1704" s="2251"/>
      <c r="B1704" s="806"/>
      <c r="C1704" s="1485"/>
      <c r="D1704" s="1958" t="s">
        <v>5191</v>
      </c>
      <c r="E1704" s="1872"/>
      <c r="F1704" s="1880"/>
      <c r="G1704" s="2152"/>
      <c r="H1704" s="1984"/>
      <c r="I1704" s="1972" t="s">
        <v>3928</v>
      </c>
      <c r="J1704" s="1234"/>
      <c r="K1704" s="1779"/>
      <c r="L1704" s="118"/>
      <c r="M1704" s="1484"/>
      <c r="N1704" s="64"/>
      <c r="O1704" s="2"/>
    </row>
    <row r="1705" spans="1:19" x14ac:dyDescent="0.3">
      <c r="A1705" s="2251"/>
      <c r="B1705" s="806"/>
      <c r="C1705" s="1485"/>
      <c r="D1705" s="1742" t="s">
        <v>5192</v>
      </c>
      <c r="E1705" s="1872"/>
      <c r="F1705" s="1880"/>
      <c r="G1705" s="2152"/>
      <c r="H1705" s="1875"/>
      <c r="I1705" s="1876" t="s">
        <v>3925</v>
      </c>
      <c r="J1705" s="1234"/>
      <c r="K1705" s="1779"/>
      <c r="L1705" s="118"/>
      <c r="M1705" s="1484"/>
      <c r="N1705" s="64"/>
      <c r="O1705" s="2"/>
    </row>
    <row r="1706" spans="1:19" ht="27" x14ac:dyDescent="0.3">
      <c r="A1706" s="2251"/>
      <c r="B1706" s="806"/>
      <c r="C1706" s="1485"/>
      <c r="D1706" s="1445" t="s">
        <v>5193</v>
      </c>
      <c r="E1706" s="1872"/>
      <c r="F1706" s="1880"/>
      <c r="G1706" s="2152"/>
      <c r="H1706" s="1875"/>
      <c r="I1706" s="1876" t="s">
        <v>3928</v>
      </c>
      <c r="J1706" s="1234"/>
      <c r="K1706" s="1779"/>
      <c r="L1706" s="118"/>
      <c r="M1706" s="1484"/>
      <c r="N1706" s="64"/>
      <c r="O1706" s="2"/>
    </row>
    <row r="1707" spans="1:19" ht="15.6" x14ac:dyDescent="0.3">
      <c r="A1707" s="2251"/>
      <c r="B1707" s="1240">
        <v>12439</v>
      </c>
      <c r="C1707" s="2159">
        <v>0.1</v>
      </c>
      <c r="D1707" s="1968" t="s">
        <v>3954</v>
      </c>
      <c r="E1707" s="1894">
        <v>1350000</v>
      </c>
      <c r="F1707" s="2135"/>
      <c r="G1707" s="1041"/>
      <c r="H1707" s="1241" t="s">
        <v>527</v>
      </c>
      <c r="I1707" s="1241" t="s">
        <v>3928</v>
      </c>
      <c r="J1707" s="23"/>
      <c r="K1707" s="1779"/>
      <c r="L1707" s="118"/>
      <c r="M1707" s="1484"/>
      <c r="N1707" s="64"/>
      <c r="O1707" s="2"/>
    </row>
    <row r="1708" spans="1:19" ht="15.6" x14ac:dyDescent="0.3">
      <c r="A1708" s="3621"/>
      <c r="B1708" s="2163">
        <v>12462</v>
      </c>
      <c r="C1708" s="2160">
        <v>0.1</v>
      </c>
      <c r="D1708" s="1968" t="s">
        <v>3955</v>
      </c>
      <c r="E1708" s="1894">
        <v>1200000</v>
      </c>
      <c r="F1708" s="2135"/>
      <c r="G1708" s="1041"/>
      <c r="H1708" s="1241" t="s">
        <v>748</v>
      </c>
      <c r="I1708" s="1241" t="s">
        <v>3928</v>
      </c>
      <c r="J1708" s="1895"/>
      <c r="K1708" s="1780"/>
      <c r="L1708" s="1711"/>
      <c r="M1708" s="1594"/>
      <c r="N1708" s="308"/>
      <c r="O1708" s="294"/>
    </row>
    <row r="1709" spans="1:19" x14ac:dyDescent="0.3">
      <c r="A1709" s="3621"/>
      <c r="B1709" s="1900"/>
      <c r="C1709" s="2161"/>
      <c r="D1709" s="1969" t="s">
        <v>5194</v>
      </c>
      <c r="E1709" s="1898">
        <v>1300000</v>
      </c>
      <c r="F1709" s="1899"/>
      <c r="G1709" s="1900"/>
      <c r="H1709" s="1970"/>
      <c r="I1709" s="1970" t="s">
        <v>3930</v>
      </c>
      <c r="J1709" s="1895"/>
      <c r="K1709" s="1780"/>
      <c r="L1709" s="1711"/>
      <c r="M1709" s="1594"/>
      <c r="N1709" s="308"/>
      <c r="O1709" s="294"/>
    </row>
    <row r="1710" spans="1:19" x14ac:dyDescent="0.3">
      <c r="A1710" s="3626"/>
      <c r="B1710" s="1896"/>
      <c r="C1710" s="1897"/>
      <c r="D1710" s="1732" t="s">
        <v>3956</v>
      </c>
      <c r="E1710" s="1901"/>
      <c r="F1710" s="1902"/>
      <c r="G1710" s="1903"/>
      <c r="H1710" s="1904"/>
      <c r="I1710" s="1905" t="s">
        <v>3925</v>
      </c>
      <c r="J1710" s="1895"/>
      <c r="K1710" s="1780"/>
      <c r="L1710" s="1711"/>
      <c r="M1710" s="1594"/>
      <c r="N1710" s="308"/>
      <c r="O1710" s="294"/>
    </row>
    <row r="1711" spans="1:19" x14ac:dyDescent="0.3">
      <c r="A1711" s="3626"/>
      <c r="B1711" s="1896"/>
      <c r="C1711" s="1897"/>
      <c r="D1711" s="1732" t="s">
        <v>3962</v>
      </c>
      <c r="E1711" s="1901">
        <v>1050000</v>
      </c>
      <c r="F1711" s="1902"/>
      <c r="G1711" s="1903"/>
      <c r="H1711" s="1904"/>
      <c r="I1711" s="1905" t="s">
        <v>3928</v>
      </c>
      <c r="J1711" s="1895"/>
      <c r="K1711" s="1780"/>
      <c r="L1711" s="1711"/>
      <c r="M1711" s="1594"/>
      <c r="N1711" s="308"/>
      <c r="O1711" s="294"/>
    </row>
    <row r="1712" spans="1:19" x14ac:dyDescent="0.3">
      <c r="A1712" s="3626"/>
      <c r="B1712" s="1896"/>
      <c r="C1712" s="1897"/>
      <c r="D1712" s="2149" t="s">
        <v>5195</v>
      </c>
      <c r="E1712" s="1901"/>
      <c r="F1712" s="1902"/>
      <c r="G1712" s="1903"/>
      <c r="H1712" s="1904"/>
      <c r="I1712" s="1905"/>
      <c r="J1712" s="1895"/>
      <c r="K1712" s="1780"/>
      <c r="L1712" s="1711"/>
      <c r="M1712" s="1594"/>
      <c r="N1712" s="308"/>
      <c r="O1712" s="294"/>
    </row>
    <row r="1713" spans="1:15" x14ac:dyDescent="0.3">
      <c r="A1713" s="3626"/>
      <c r="B1713" s="1896"/>
      <c r="C1713" s="1897"/>
      <c r="D1713" s="2149"/>
      <c r="E1713" s="1901"/>
      <c r="F1713" s="1902"/>
      <c r="G1713" s="1903"/>
      <c r="H1713" s="1904"/>
      <c r="I1713" s="1905"/>
      <c r="J1713" s="1895"/>
      <c r="K1713" s="1780"/>
      <c r="L1713" s="1711"/>
      <c r="M1713" s="1594"/>
      <c r="N1713" s="308"/>
      <c r="O1713" s="294"/>
    </row>
    <row r="1714" spans="1:15" x14ac:dyDescent="0.3">
      <c r="A1714" s="3626"/>
      <c r="B1714" s="1896"/>
      <c r="C1714" s="1897"/>
      <c r="D1714" s="1906"/>
      <c r="E1714" s="1901"/>
      <c r="F1714" s="1902"/>
      <c r="G1714" s="1903"/>
      <c r="H1714" s="1904"/>
      <c r="I1714" s="1905"/>
      <c r="J1714" s="1895"/>
      <c r="K1714" s="1780"/>
      <c r="L1714" s="1711"/>
      <c r="M1714" s="1594"/>
      <c r="N1714" s="308"/>
      <c r="O1714" s="294"/>
    </row>
    <row r="1715" spans="1:15" x14ac:dyDescent="0.3">
      <c r="A1715" s="3626"/>
      <c r="B1715" s="1907"/>
      <c r="C1715" s="1908"/>
      <c r="D1715" s="1909" t="s">
        <v>3000</v>
      </c>
      <c r="E1715" s="1910">
        <f>SUM(E1707:E1708)</f>
        <v>2550000</v>
      </c>
      <c r="F1715" s="1911"/>
      <c r="G1715" s="1912"/>
      <c r="H1715" s="1911"/>
      <c r="I1715" s="1911"/>
      <c r="J1715" s="1913"/>
      <c r="K1715" s="287"/>
      <c r="L1715" s="3590" t="s">
        <v>3026</v>
      </c>
      <c r="M1715" s="3593"/>
      <c r="N1715" s="3594"/>
      <c r="O1715" s="848"/>
    </row>
    <row r="1716" spans="1:15" x14ac:dyDescent="0.3">
      <c r="A1716" s="3627"/>
      <c r="B1716" s="1914"/>
      <c r="C1716" s="1915"/>
      <c r="D1716" s="1916" t="s">
        <v>3002</v>
      </c>
      <c r="E1716" s="1917"/>
      <c r="F1716" s="1918"/>
      <c r="G1716" s="1919"/>
      <c r="H1716" s="1918"/>
      <c r="I1716" s="1918"/>
      <c r="J1716" s="1920"/>
      <c r="K1716" s="287"/>
      <c r="L1716" s="968"/>
      <c r="M1716" s="968"/>
      <c r="N1716" s="968"/>
      <c r="O1716" s="294"/>
    </row>
    <row r="1717" spans="1:15" ht="15.6" x14ac:dyDescent="0.3">
      <c r="A1717" s="2325"/>
      <c r="B1717" s="1922"/>
      <c r="C1717" s="1922"/>
      <c r="D1717" s="1922"/>
      <c r="E1717" s="1923"/>
      <c r="F1717" s="1922"/>
      <c r="G1717" s="1924"/>
      <c r="H1717" s="1922"/>
      <c r="I1717" s="1922"/>
      <c r="J1717" s="1922"/>
      <c r="K1717" s="468"/>
      <c r="L1717" s="469"/>
      <c r="M1717" s="469"/>
      <c r="N1717" s="469"/>
      <c r="O1717" s="463"/>
    </row>
    <row r="1718" spans="1:15" ht="15.6" x14ac:dyDescent="0.3">
      <c r="A1718" s="2325"/>
      <c r="B1718" s="1925"/>
      <c r="C1718" s="1925"/>
      <c r="D1718" s="1925"/>
      <c r="E1718" s="1926"/>
      <c r="F1718" s="1925"/>
      <c r="G1718" s="1927"/>
      <c r="H1718" s="1925"/>
      <c r="I1718" s="1925"/>
      <c r="J1718" s="1925"/>
      <c r="K1718" s="829"/>
      <c r="L1718" s="830"/>
      <c r="M1718" s="830"/>
      <c r="N1718" s="830"/>
      <c r="O1718" s="831"/>
    </row>
    <row r="1719" spans="1:15" ht="21" x14ac:dyDescent="0.3">
      <c r="A1719" s="3618" t="s">
        <v>3054</v>
      </c>
      <c r="B1719" s="3857"/>
      <c r="C1719" s="3857"/>
      <c r="D1719" s="3857"/>
      <c r="E1719" s="3857"/>
      <c r="F1719" s="3857"/>
      <c r="G1719" s="3857"/>
      <c r="H1719" s="3857"/>
      <c r="I1719" s="3857"/>
      <c r="J1719" s="3858"/>
      <c r="K1719" s="287"/>
      <c r="L1719" s="845"/>
      <c r="M1719" s="845"/>
      <c r="N1719" s="845"/>
      <c r="O1719" s="294"/>
    </row>
    <row r="1720" spans="1:15" x14ac:dyDescent="0.3">
      <c r="A1720" s="2326" t="s">
        <v>2974</v>
      </c>
      <c r="B1720" s="1929" t="s">
        <v>2975</v>
      </c>
      <c r="C1720" s="1929" t="s">
        <v>3004</v>
      </c>
      <c r="D1720" s="1929" t="s">
        <v>2977</v>
      </c>
      <c r="E1720" s="1930" t="s">
        <v>2978</v>
      </c>
      <c r="F1720" s="1929" t="s">
        <v>2979</v>
      </c>
      <c r="G1720" s="1931" t="s">
        <v>2980</v>
      </c>
      <c r="H1720" s="1929" t="s">
        <v>2981</v>
      </c>
      <c r="I1720" s="1929" t="s">
        <v>2982</v>
      </c>
      <c r="J1720" s="1885" t="s">
        <v>2983</v>
      </c>
      <c r="K1720" s="1779" t="s">
        <v>2975</v>
      </c>
      <c r="L1720" s="1779" t="s">
        <v>2977</v>
      </c>
      <c r="M1720" s="1779" t="s">
        <v>2984</v>
      </c>
      <c r="N1720" s="1779" t="s">
        <v>2979</v>
      </c>
      <c r="O1720" s="2" t="s">
        <v>2985</v>
      </c>
    </row>
    <row r="1721" spans="1:15" x14ac:dyDescent="0.3">
      <c r="A1721" s="2332"/>
      <c r="B1721" s="1940"/>
      <c r="C1721" s="2154"/>
      <c r="D1721" s="1979" t="s">
        <v>3957</v>
      </c>
      <c r="E1721" s="1945"/>
      <c r="F1721" s="1943"/>
      <c r="G1721" s="1946"/>
      <c r="H1721" s="1971"/>
      <c r="I1721" s="1990" t="s">
        <v>3928</v>
      </c>
      <c r="J1721" s="1885"/>
      <c r="K1721" s="1779"/>
      <c r="L1721" s="1779"/>
      <c r="M1721" s="1779"/>
      <c r="N1721" s="1779"/>
      <c r="O1721" s="2"/>
    </row>
    <row r="1722" spans="1:15" x14ac:dyDescent="0.3">
      <c r="A1722" s="2332"/>
      <c r="B1722" s="1940"/>
      <c r="C1722" s="2154"/>
      <c r="D1722" s="1979" t="s">
        <v>3963</v>
      </c>
      <c r="E1722" s="1945"/>
      <c r="F1722" s="1943"/>
      <c r="G1722" s="1946"/>
      <c r="H1722" s="1971"/>
      <c r="I1722" s="1990" t="s">
        <v>3930</v>
      </c>
      <c r="J1722" s="1885"/>
      <c r="K1722" s="1779"/>
      <c r="L1722" s="1779"/>
      <c r="M1722" s="1779"/>
      <c r="N1722" s="1779"/>
      <c r="O1722" s="2"/>
    </row>
    <row r="1723" spans="1:15" x14ac:dyDescent="0.3">
      <c r="A1723" s="2332"/>
      <c r="B1723" s="1940"/>
      <c r="C1723" s="2154"/>
      <c r="D1723" s="1979" t="s">
        <v>5196</v>
      </c>
      <c r="E1723" s="1945"/>
      <c r="F1723" s="1943"/>
      <c r="G1723" s="1946"/>
      <c r="H1723" s="1971"/>
      <c r="I1723" s="1990" t="s">
        <v>3930</v>
      </c>
      <c r="J1723" s="1895"/>
      <c r="K1723" s="1779"/>
      <c r="L1723" s="1779"/>
      <c r="M1723" s="1779"/>
      <c r="N1723" s="1779"/>
      <c r="O1723" s="2"/>
    </row>
    <row r="1724" spans="1:15" x14ac:dyDescent="0.3">
      <c r="A1724" s="3626"/>
      <c r="B1724" s="1940"/>
      <c r="C1724" s="1941"/>
      <c r="D1724" s="1982" t="s">
        <v>5197</v>
      </c>
      <c r="E1724" s="1942"/>
      <c r="F1724" s="1943"/>
      <c r="G1724" s="1944"/>
      <c r="H1724" s="1971"/>
      <c r="I1724" s="1989" t="s">
        <v>3925</v>
      </c>
      <c r="J1724" s="1895"/>
      <c r="K1724" s="1779"/>
      <c r="L1724" s="1779"/>
      <c r="M1724" s="1779"/>
      <c r="N1724" s="1779"/>
      <c r="O1724" s="2"/>
    </row>
    <row r="1725" spans="1:15" x14ac:dyDescent="0.3">
      <c r="A1725" s="3626"/>
      <c r="B1725" s="1900"/>
      <c r="C1725" s="1939"/>
      <c r="D1725" s="1983" t="s">
        <v>5198</v>
      </c>
      <c r="E1725" s="1945"/>
      <c r="F1725" s="1943"/>
      <c r="G1725" s="1946"/>
      <c r="H1725" s="1971"/>
      <c r="I1725" s="1990" t="s">
        <v>3928</v>
      </c>
      <c r="J1725" s="1895"/>
      <c r="K1725" s="1780"/>
      <c r="L1725" s="1711"/>
      <c r="M1725" s="1594"/>
      <c r="N1725" s="308"/>
      <c r="O1725" s="294"/>
    </row>
    <row r="1726" spans="1:15" x14ac:dyDescent="0.3">
      <c r="A1726" s="3626"/>
      <c r="B1726" s="1900"/>
      <c r="C1726" s="1939"/>
      <c r="D1726" s="1983" t="s">
        <v>5199</v>
      </c>
      <c r="E1726" s="1945"/>
      <c r="F1726" s="1943"/>
      <c r="G1726" s="1946"/>
      <c r="H1726" s="1971"/>
      <c r="I1726" s="1990" t="s">
        <v>3928</v>
      </c>
      <c r="J1726" s="1895"/>
      <c r="K1726" s="1780"/>
      <c r="L1726" s="1711"/>
      <c r="M1726" s="1594"/>
      <c r="N1726" s="308"/>
      <c r="O1726" s="294"/>
    </row>
    <row r="1727" spans="1:15" x14ac:dyDescent="0.3">
      <c r="A1727" s="3626"/>
      <c r="B1727" s="1900"/>
      <c r="C1727" s="1939"/>
      <c r="D1727" s="1983" t="s">
        <v>5200</v>
      </c>
      <c r="E1727" s="1945"/>
      <c r="F1727" s="1943"/>
      <c r="G1727" s="1946"/>
      <c r="H1727" s="1971"/>
      <c r="I1727" s="1990" t="s">
        <v>3928</v>
      </c>
      <c r="J1727" s="1895"/>
      <c r="K1727" s="1780"/>
      <c r="L1727" s="1711"/>
      <c r="M1727" s="1594"/>
      <c r="N1727" s="308"/>
      <c r="O1727" s="294"/>
    </row>
    <row r="1728" spans="1:15" x14ac:dyDescent="0.3">
      <c r="A1728" s="3626"/>
      <c r="B1728" s="1900"/>
      <c r="C1728" s="1939"/>
      <c r="D1728" s="1983" t="s">
        <v>5201</v>
      </c>
      <c r="E1728" s="1945"/>
      <c r="F1728" s="1943"/>
      <c r="G1728" s="1946"/>
      <c r="H1728" s="1971"/>
      <c r="I1728" s="1990"/>
      <c r="J1728" s="1895"/>
      <c r="K1728" s="1780"/>
      <c r="L1728" s="1711"/>
      <c r="M1728" s="1594"/>
      <c r="N1728" s="308"/>
      <c r="O1728" s="294"/>
    </row>
    <row r="1729" spans="1:15" x14ac:dyDescent="0.3">
      <c r="A1729" s="3626"/>
      <c r="B1729" s="1900"/>
      <c r="C1729" s="1939"/>
      <c r="D1729" s="1983" t="s">
        <v>5202</v>
      </c>
      <c r="E1729" s="1945"/>
      <c r="F1729" s="1943"/>
      <c r="G1729" s="1946"/>
      <c r="H1729" s="1971"/>
      <c r="I1729" s="1990"/>
      <c r="J1729" s="1895"/>
      <c r="K1729" s="1780"/>
      <c r="L1729" s="1711"/>
      <c r="M1729" s="1594"/>
      <c r="N1729" s="308"/>
      <c r="O1729" s="294"/>
    </row>
    <row r="1730" spans="1:15" x14ac:dyDescent="0.3">
      <c r="A1730" s="3626"/>
      <c r="B1730" s="1900"/>
      <c r="C1730" s="1939"/>
      <c r="D1730" s="1983"/>
      <c r="E1730" s="1945"/>
      <c r="F1730" s="1943"/>
      <c r="G1730" s="1946"/>
      <c r="H1730" s="1971"/>
      <c r="I1730" s="1990"/>
      <c r="J1730" s="1895"/>
      <c r="K1730" s="1780"/>
      <c r="L1730" s="1711"/>
      <c r="M1730" s="1594"/>
      <c r="N1730" s="308"/>
      <c r="O1730" s="294"/>
    </row>
    <row r="1731" spans="1:15" x14ac:dyDescent="0.3">
      <c r="A1731" s="3626"/>
      <c r="B1731" s="1900"/>
      <c r="C1731" s="1939"/>
      <c r="D1731" s="1983"/>
      <c r="E1731" s="1945"/>
      <c r="F1731" s="1943"/>
      <c r="G1731" s="1946"/>
      <c r="H1731" s="1971"/>
      <c r="I1731" s="1990"/>
      <c r="J1731" s="1895"/>
      <c r="K1731" s="1780"/>
      <c r="L1731" s="1711"/>
      <c r="M1731" s="1594"/>
      <c r="N1731" s="308"/>
      <c r="O1731" s="294"/>
    </row>
    <row r="1732" spans="1:15" x14ac:dyDescent="0.3">
      <c r="A1732" s="3626"/>
      <c r="B1732" s="1911"/>
      <c r="C1732" s="1947"/>
      <c r="D1732" s="1948" t="s">
        <v>3000</v>
      </c>
      <c r="E1732" s="1910">
        <f>SUM(E1724:E1724)</f>
        <v>0</v>
      </c>
      <c r="F1732" s="1911"/>
      <c r="G1732" s="1912">
        <f>SUM(G1724:G1724)</f>
        <v>0</v>
      </c>
      <c r="H1732" s="1911"/>
      <c r="I1732" s="1911"/>
      <c r="J1732" s="1913"/>
      <c r="K1732" s="287"/>
      <c r="L1732" s="3590" t="s">
        <v>3026</v>
      </c>
      <c r="M1732" s="3593"/>
      <c r="N1732" s="3594"/>
      <c r="O1732" s="848"/>
    </row>
    <row r="1733" spans="1:15" x14ac:dyDescent="0.3">
      <c r="A1733" s="3627"/>
      <c r="B1733" s="1949"/>
      <c r="C1733" s="1918"/>
      <c r="D1733" s="1916" t="s">
        <v>3002</v>
      </c>
      <c r="E1733" s="1917"/>
      <c r="F1733" s="1918"/>
      <c r="G1733" s="1919"/>
      <c r="H1733" s="1918"/>
      <c r="I1733" s="1918"/>
      <c r="J1733" s="1920"/>
      <c r="K1733" s="287"/>
      <c r="L1733" s="968"/>
      <c r="M1733" s="968"/>
      <c r="N1733" s="968"/>
      <c r="O1733" s="294"/>
    </row>
    <row r="1734" spans="1:15" ht="15.6" x14ac:dyDescent="0.3">
      <c r="A1734" s="2267"/>
      <c r="B1734" s="825"/>
      <c r="C1734" s="825"/>
      <c r="D1734" s="1172"/>
      <c r="E1734" s="827"/>
      <c r="F1734" s="825"/>
      <c r="G1734" s="828"/>
      <c r="H1734" s="825"/>
      <c r="I1734" s="825"/>
      <c r="J1734" s="826"/>
      <c r="K1734" s="829"/>
      <c r="L1734" s="830"/>
      <c r="M1734" s="830"/>
      <c r="N1734" s="830"/>
      <c r="O1734" s="831"/>
    </row>
    <row r="1735" spans="1:15" ht="15.6" x14ac:dyDescent="0.3">
      <c r="A1735" s="2267"/>
      <c r="B1735" s="825"/>
      <c r="C1735" s="825"/>
      <c r="D1735" s="1172"/>
      <c r="E1735" s="827"/>
      <c r="F1735" s="825"/>
      <c r="G1735" s="828"/>
      <c r="H1735" s="825"/>
      <c r="I1735" s="825"/>
      <c r="J1735" s="826"/>
      <c r="K1735" s="829"/>
      <c r="L1735" s="830"/>
      <c r="M1735" s="830"/>
      <c r="N1735" s="830"/>
      <c r="O1735" s="831"/>
    </row>
    <row r="1736" spans="1:15" x14ac:dyDescent="0.3">
      <c r="A1736" s="90"/>
      <c r="E1736" s="91"/>
      <c r="G1736" s="92"/>
      <c r="H1736" s="1028"/>
    </row>
    <row r="1737" spans="1:15" x14ac:dyDescent="0.3">
      <c r="A1737" s="3783" t="s">
        <v>3750</v>
      </c>
      <c r="B1737" s="3844"/>
      <c r="C1737" s="3844"/>
      <c r="D1737" s="3844"/>
      <c r="E1737" s="3844"/>
      <c r="F1737" s="3844"/>
      <c r="G1737" s="3844"/>
      <c r="H1737" s="3845"/>
    </row>
    <row r="1738" spans="1:15" x14ac:dyDescent="0.3">
      <c r="A1738" s="3846"/>
      <c r="B1738" s="3847"/>
      <c r="C1738" s="3847"/>
      <c r="D1738" s="3847"/>
      <c r="E1738" s="3847"/>
      <c r="F1738" s="3847"/>
      <c r="G1738" s="3847"/>
      <c r="H1738" s="3848"/>
      <c r="J1738" s="511"/>
      <c r="K1738" s="511"/>
      <c r="L1738" s="511"/>
      <c r="M1738" s="511"/>
      <c r="N1738" s="511"/>
      <c r="O1738" s="511"/>
    </row>
    <row r="1739" spans="1:15" ht="20.399999999999999" x14ac:dyDescent="0.3">
      <c r="A1739" s="46" t="s">
        <v>3751</v>
      </c>
      <c r="B1739" s="2068" t="s">
        <v>2976</v>
      </c>
      <c r="C1739" s="176" t="s">
        <v>3752</v>
      </c>
      <c r="D1739" s="2136" t="s">
        <v>3753</v>
      </c>
      <c r="E1739" s="63" t="s">
        <v>3754</v>
      </c>
      <c r="F1739" s="406" t="s">
        <v>2979</v>
      </c>
      <c r="G1739" s="657" t="s">
        <v>2985</v>
      </c>
      <c r="H1739" s="94" t="s">
        <v>4123</v>
      </c>
      <c r="I1739" s="2"/>
      <c r="J1739" s="511"/>
      <c r="K1739" s="511"/>
      <c r="L1739" s="511"/>
      <c r="M1739" s="511"/>
      <c r="N1739" s="511"/>
      <c r="O1739" s="511"/>
    </row>
    <row r="1740" spans="1:15" x14ac:dyDescent="0.3">
      <c r="A1740" s="2164"/>
      <c r="B1740" s="1725"/>
      <c r="C1740" s="1289" t="s">
        <v>3025</v>
      </c>
      <c r="D1740" s="417" t="s">
        <v>4125</v>
      </c>
      <c r="E1740" s="1650"/>
      <c r="F1740" s="1231"/>
      <c r="G1740" s="600"/>
      <c r="H1740" s="1151" t="s">
        <v>523</v>
      </c>
      <c r="I1740" s="2"/>
      <c r="J1740" s="511"/>
      <c r="K1740" s="511"/>
      <c r="L1740" s="511"/>
      <c r="M1740" s="511"/>
      <c r="N1740" s="511"/>
      <c r="O1740" s="511"/>
    </row>
    <row r="1741" spans="1:15" x14ac:dyDescent="0.3">
      <c r="A1741" s="2164"/>
      <c r="B1741" s="1725"/>
      <c r="C1741" s="1793" t="s">
        <v>3053</v>
      </c>
      <c r="D1741" s="1683" t="s">
        <v>4125</v>
      </c>
      <c r="E1741" s="1650"/>
      <c r="F1741" s="1231"/>
      <c r="G1741" s="600"/>
      <c r="H1741" s="1151" t="s">
        <v>527</v>
      </c>
      <c r="I1741" s="2"/>
      <c r="J1741" s="511"/>
      <c r="K1741" s="511"/>
      <c r="L1741" s="511"/>
      <c r="M1741" s="511"/>
      <c r="N1741" s="511"/>
      <c r="O1741" s="511"/>
    </row>
    <row r="1742" spans="1:15" x14ac:dyDescent="0.3">
      <c r="A1742" s="2333"/>
      <c r="B1742" s="344"/>
      <c r="C1742" s="1289" t="s">
        <v>5203</v>
      </c>
      <c r="D1742" s="417" t="s">
        <v>4244</v>
      </c>
      <c r="E1742" s="1650"/>
      <c r="F1742" s="1231"/>
      <c r="G1742" s="600"/>
      <c r="H1742" s="385"/>
      <c r="I1742" s="385"/>
    </row>
    <row r="1743" spans="1:15" x14ac:dyDescent="0.3">
      <c r="A1743" s="131">
        <v>12439</v>
      </c>
      <c r="B1743" s="1818">
        <v>0.1</v>
      </c>
      <c r="C1743" s="439" t="s">
        <v>5204</v>
      </c>
      <c r="D1743" s="590" t="s">
        <v>4109</v>
      </c>
      <c r="E1743" s="1508">
        <v>1350000</v>
      </c>
      <c r="F1743" s="426"/>
      <c r="G1743" s="519"/>
      <c r="H1743" s="969" t="s">
        <v>5066</v>
      </c>
      <c r="I1743" s="663" t="s">
        <v>3503</v>
      </c>
      <c r="J1743" s="511"/>
      <c r="K1743" s="511"/>
      <c r="L1743" s="511"/>
      <c r="M1743" s="511"/>
      <c r="N1743" s="511"/>
      <c r="O1743" s="511"/>
    </row>
    <row r="1744" spans="1:15" ht="15.6" x14ac:dyDescent="0.3">
      <c r="A1744" s="75">
        <v>12462</v>
      </c>
      <c r="B1744" s="2165">
        <v>0.1</v>
      </c>
      <c r="C1744" s="439" t="s">
        <v>5205</v>
      </c>
      <c r="D1744" s="1819" t="s">
        <v>4109</v>
      </c>
      <c r="E1744" s="2166">
        <v>1200000</v>
      </c>
      <c r="F1744" s="283"/>
      <c r="G1744" s="1038"/>
      <c r="H1744" s="590" t="s">
        <v>527</v>
      </c>
      <c r="I1744" s="663" t="s">
        <v>3503</v>
      </c>
      <c r="J1744" s="511"/>
      <c r="K1744" s="511"/>
      <c r="L1744" s="511"/>
      <c r="M1744" s="511"/>
      <c r="N1744" s="511"/>
      <c r="O1744" s="511"/>
    </row>
    <row r="1745" spans="1:15" ht="15.6" x14ac:dyDescent="0.3">
      <c r="A1745" s="83">
        <v>12519</v>
      </c>
      <c r="B1745" s="2006">
        <v>0.1</v>
      </c>
      <c r="C1745" s="1256" t="s">
        <v>5206</v>
      </c>
      <c r="D1745" s="590" t="s">
        <v>4109</v>
      </c>
      <c r="E1745" s="1508">
        <v>1050000</v>
      </c>
      <c r="F1745" s="426"/>
      <c r="G1745" s="519"/>
      <c r="H1745" s="997" t="s">
        <v>527</v>
      </c>
      <c r="I1745" s="441" t="s">
        <v>3503</v>
      </c>
      <c r="J1745" s="511"/>
      <c r="K1745" s="511"/>
      <c r="L1745" s="511"/>
      <c r="M1745" s="511"/>
      <c r="N1745" s="511"/>
      <c r="O1745" s="511"/>
    </row>
    <row r="1746" spans="1:15" ht="15.6" x14ac:dyDescent="0.3">
      <c r="A1746" s="83">
        <v>12484</v>
      </c>
      <c r="B1746" s="2174">
        <v>0.1</v>
      </c>
      <c r="C1746" s="526" t="s">
        <v>3055</v>
      </c>
      <c r="D1746" s="1819" t="s">
        <v>4109</v>
      </c>
      <c r="E1746" s="2166">
        <v>850000</v>
      </c>
      <c r="F1746" s="419"/>
      <c r="G1746" s="1038"/>
      <c r="H1746" s="590" t="s">
        <v>2037</v>
      </c>
      <c r="I1746" s="663" t="s">
        <v>3503</v>
      </c>
      <c r="J1746" s="511"/>
      <c r="K1746" s="511"/>
      <c r="L1746" s="511"/>
      <c r="M1746" s="511"/>
      <c r="N1746" s="511"/>
      <c r="O1746" s="511"/>
    </row>
    <row r="1747" spans="1:15" ht="15.6" x14ac:dyDescent="0.3">
      <c r="A1747" s="83">
        <v>12502</v>
      </c>
      <c r="B1747" s="2006">
        <v>0.1</v>
      </c>
      <c r="C1747" s="439" t="s">
        <v>5207</v>
      </c>
      <c r="D1747" s="439" t="s">
        <v>3787</v>
      </c>
      <c r="E1747" s="2166">
        <v>800000</v>
      </c>
      <c r="F1747" s="419"/>
      <c r="G1747" s="1038"/>
      <c r="H1747" s="590" t="s">
        <v>523</v>
      </c>
      <c r="I1747" s="663" t="s">
        <v>3503</v>
      </c>
      <c r="J1747" s="511"/>
      <c r="K1747" s="511"/>
      <c r="L1747" s="511"/>
      <c r="M1747" s="511"/>
      <c r="N1747" s="511"/>
      <c r="O1747" s="511"/>
    </row>
    <row r="1748" spans="1:15" ht="15.6" x14ac:dyDescent="0.3">
      <c r="A1748" s="83">
        <v>12533</v>
      </c>
      <c r="B1748" s="2006">
        <v>0.1</v>
      </c>
      <c r="C1748" s="1256" t="s">
        <v>5208</v>
      </c>
      <c r="D1748" s="1159" t="s">
        <v>3787</v>
      </c>
      <c r="E1748" s="1508">
        <v>1200000</v>
      </c>
      <c r="F1748" s="426"/>
      <c r="G1748" s="519"/>
      <c r="H1748" s="997" t="s">
        <v>523</v>
      </c>
      <c r="I1748" s="663" t="s">
        <v>3503</v>
      </c>
      <c r="J1748" s="511"/>
      <c r="K1748" s="511"/>
      <c r="L1748" s="511"/>
      <c r="M1748" s="511"/>
      <c r="N1748" s="511"/>
      <c r="O1748" s="511"/>
    </row>
    <row r="1749" spans="1:15" ht="15.6" x14ac:dyDescent="0.3">
      <c r="A1749" s="83">
        <v>12549</v>
      </c>
      <c r="B1749" s="2006">
        <v>0.1</v>
      </c>
      <c r="C1749" s="1256" t="s">
        <v>5209</v>
      </c>
      <c r="D1749" s="1159" t="s">
        <v>3787</v>
      </c>
      <c r="E1749" s="1508">
        <v>900000</v>
      </c>
      <c r="F1749" s="426"/>
      <c r="G1749" s="2360"/>
      <c r="H1749" s="997" t="s">
        <v>527</v>
      </c>
      <c r="I1749" s="2377" t="s">
        <v>3503</v>
      </c>
      <c r="J1749" s="511"/>
      <c r="K1749" s="511"/>
      <c r="L1749" s="511"/>
      <c r="M1749" s="511"/>
      <c r="N1749" s="511"/>
      <c r="O1749" s="511"/>
    </row>
    <row r="1750" spans="1:15" ht="15.6" x14ac:dyDescent="0.3">
      <c r="A1750" s="83">
        <v>12480</v>
      </c>
      <c r="B1750" s="2165">
        <v>0.1</v>
      </c>
      <c r="C1750" s="439" t="s">
        <v>5210</v>
      </c>
      <c r="D1750" s="1159" t="s">
        <v>3787</v>
      </c>
      <c r="E1750" s="2166">
        <v>1100000</v>
      </c>
      <c r="F1750" s="419"/>
      <c r="G1750" s="1038"/>
      <c r="H1750" s="590" t="s">
        <v>748</v>
      </c>
      <c r="I1750" s="663" t="s">
        <v>3503</v>
      </c>
      <c r="J1750" s="511"/>
      <c r="K1750" s="511"/>
      <c r="L1750" s="511"/>
      <c r="M1750" s="511"/>
      <c r="N1750" s="511"/>
      <c r="O1750" s="511"/>
    </row>
    <row r="1751" spans="1:15" ht="15.6" x14ac:dyDescent="0.3">
      <c r="A1751" s="2378">
        <v>12546</v>
      </c>
      <c r="B1751" s="2174">
        <v>0.1</v>
      </c>
      <c r="C1751" s="1474" t="s">
        <v>5211</v>
      </c>
      <c r="D1751" s="1159" t="s">
        <v>3787</v>
      </c>
      <c r="E1751" s="1501">
        <v>1300000</v>
      </c>
      <c r="F1751" s="426"/>
      <c r="G1751" s="2360"/>
      <c r="H1751" s="587" t="s">
        <v>582</v>
      </c>
      <c r="I1751" s="440" t="s">
        <v>3503</v>
      </c>
    </row>
    <row r="1752" spans="1:15" x14ac:dyDescent="0.3">
      <c r="A1752" s="75">
        <v>12573</v>
      </c>
      <c r="B1752" s="80">
        <v>0.08</v>
      </c>
      <c r="C1752" s="1256" t="s">
        <v>5212</v>
      </c>
      <c r="D1752" s="590" t="s">
        <v>5213</v>
      </c>
      <c r="E1752" s="1347">
        <v>1850000</v>
      </c>
      <c r="F1752" s="2458"/>
      <c r="G1752" s="2360"/>
      <c r="H1752" s="997" t="s">
        <v>523</v>
      </c>
      <c r="I1752" s="798" t="s">
        <v>4122</v>
      </c>
      <c r="J1752" s="511"/>
      <c r="K1752" s="511"/>
      <c r="L1752" s="511"/>
      <c r="M1752" s="511"/>
      <c r="N1752" s="511"/>
      <c r="O1752" s="511"/>
    </row>
    <row r="1753" spans="1:15" x14ac:dyDescent="0.3">
      <c r="A1753" s="1617">
        <v>12570</v>
      </c>
      <c r="B1753" s="49">
        <v>0.1</v>
      </c>
      <c r="C1753" s="2344" t="s">
        <v>5214</v>
      </c>
      <c r="D1753" s="2459" t="s">
        <v>5215</v>
      </c>
      <c r="E1753" s="1632">
        <v>1100000</v>
      </c>
      <c r="F1753" s="1776"/>
      <c r="G1753" s="2144"/>
      <c r="H1753" s="1306" t="s">
        <v>5006</v>
      </c>
      <c r="I1753" s="2032"/>
      <c r="J1753" s="511"/>
      <c r="K1753" s="511"/>
      <c r="L1753" s="511"/>
      <c r="M1753" s="511"/>
      <c r="N1753" s="511"/>
      <c r="O1753" s="511"/>
    </row>
    <row r="1754" spans="1:15" ht="15.6" x14ac:dyDescent="0.3">
      <c r="A1754" s="1617"/>
      <c r="B1754" s="2094"/>
      <c r="C1754" s="2344" t="s">
        <v>5216</v>
      </c>
      <c r="D1754" s="2345"/>
      <c r="E1754" s="1632"/>
      <c r="F1754" s="1776"/>
      <c r="G1754" s="2144"/>
      <c r="H1754" s="1306" t="s">
        <v>527</v>
      </c>
      <c r="I1754" s="2032"/>
      <c r="J1754" s="511"/>
      <c r="K1754" s="511"/>
      <c r="L1754" s="511"/>
      <c r="M1754" s="511"/>
      <c r="N1754" s="511"/>
      <c r="O1754" s="511"/>
    </row>
    <row r="1755" spans="1:15" ht="15.6" x14ac:dyDescent="0.3">
      <c r="A1755" s="2355"/>
      <c r="B1755" s="2356"/>
      <c r="C1755" s="1436" t="s">
        <v>5217</v>
      </c>
      <c r="D1755" s="1582"/>
      <c r="E1755" s="2357"/>
      <c r="F1755" s="2358"/>
      <c r="G1755" s="2359"/>
      <c r="H1755" s="1306"/>
      <c r="I1755" s="2032"/>
      <c r="J1755" s="511"/>
      <c r="K1755" s="511"/>
      <c r="L1755" s="511"/>
      <c r="M1755" s="511"/>
      <c r="N1755" s="511"/>
      <c r="O1755" s="511"/>
    </row>
    <row r="1756" spans="1:15" ht="15.6" x14ac:dyDescent="0.3">
      <c r="A1756" s="39"/>
      <c r="B1756" s="2094"/>
      <c r="C1756" s="1374" t="s">
        <v>5218</v>
      </c>
      <c r="D1756" s="2155" t="s">
        <v>5219</v>
      </c>
      <c r="E1756" s="1810"/>
      <c r="F1756" s="318"/>
      <c r="G1756" s="852"/>
      <c r="H1756" s="1058" t="s">
        <v>748</v>
      </c>
      <c r="I1756" s="1598"/>
      <c r="J1756" s="511"/>
      <c r="K1756" s="511"/>
      <c r="L1756" s="511"/>
      <c r="M1756" s="511"/>
      <c r="N1756" s="511"/>
      <c r="O1756" s="511"/>
    </row>
    <row r="1757" spans="1:15" ht="15.6" x14ac:dyDescent="0.3">
      <c r="A1757" s="2137"/>
      <c r="B1757" s="2094"/>
      <c r="C1757" s="716" t="s">
        <v>5220</v>
      </c>
      <c r="D1757" s="2155" t="s">
        <v>5221</v>
      </c>
      <c r="E1757" s="1810"/>
      <c r="F1757" s="318"/>
      <c r="G1757" s="852"/>
      <c r="H1757" s="1058" t="s">
        <v>748</v>
      </c>
      <c r="I1757" s="1598"/>
      <c r="J1757" s="511"/>
      <c r="K1757" s="511"/>
      <c r="L1757" s="511"/>
      <c r="M1757" s="511"/>
      <c r="N1757" s="511"/>
      <c r="O1757" s="511"/>
    </row>
    <row r="1758" spans="1:15" x14ac:dyDescent="0.3">
      <c r="A1758" s="2295"/>
      <c r="B1758" s="913"/>
      <c r="C1758" s="889" t="s">
        <v>5222</v>
      </c>
      <c r="D1758" s="1205" t="s">
        <v>5221</v>
      </c>
      <c r="E1758" s="1639"/>
      <c r="F1758" s="941"/>
      <c r="G1758" s="2144"/>
      <c r="H1758" s="970" t="s">
        <v>5006</v>
      </c>
      <c r="I1758" s="2049"/>
    </row>
    <row r="1759" spans="1:15" ht="27" x14ac:dyDescent="0.3">
      <c r="A1759" s="2295"/>
      <c r="B1759" s="913"/>
      <c r="C1759" s="716" t="s">
        <v>5223</v>
      </c>
      <c r="D1759" s="2156" t="s">
        <v>5224</v>
      </c>
      <c r="E1759" s="1751"/>
      <c r="F1759" s="1774"/>
      <c r="G1759" s="2071"/>
      <c r="H1759" s="2143" t="s">
        <v>2037</v>
      </c>
      <c r="I1759" s="2049"/>
    </row>
    <row r="1760" spans="1:15" x14ac:dyDescent="0.3">
      <c r="A1760" s="2295"/>
      <c r="B1760" s="913"/>
      <c r="C1760" s="889" t="s">
        <v>5225</v>
      </c>
      <c r="D1760" s="1582" t="s">
        <v>5226</v>
      </c>
      <c r="E1760" s="1767"/>
      <c r="F1760" s="941"/>
      <c r="G1760" s="2144"/>
      <c r="H1760" s="970" t="s">
        <v>5227</v>
      </c>
      <c r="I1760" s="2049"/>
    </row>
    <row r="1761" spans="1:15" s="511" customFormat="1" x14ac:dyDescent="0.3">
      <c r="A1761" s="2295"/>
      <c r="B1761" s="320"/>
      <c r="C1761" s="1680" t="s">
        <v>5228</v>
      </c>
      <c r="D1761" s="1164" t="s">
        <v>5229</v>
      </c>
      <c r="E1761" s="1639"/>
      <c r="F1761" s="941"/>
      <c r="G1761" s="740"/>
      <c r="H1761" s="1306" t="s">
        <v>2037</v>
      </c>
      <c r="I1761" s="970"/>
    </row>
    <row r="1762" spans="1:15" x14ac:dyDescent="0.3">
      <c r="A1762" s="2334"/>
      <c r="B1762" s="992"/>
      <c r="C1762" s="1772"/>
      <c r="D1762" s="1582" t="s">
        <v>3758</v>
      </c>
      <c r="E1762" s="1804">
        <f>SUM(E1743:E1760)</f>
        <v>12700000</v>
      </c>
      <c r="F1762" s="942"/>
      <c r="G1762" s="414"/>
      <c r="H1762" s="1058"/>
      <c r="I1762" s="1195"/>
      <c r="J1762" s="511"/>
      <c r="K1762" s="511"/>
      <c r="L1762" s="511"/>
      <c r="M1762" s="511"/>
      <c r="N1762" s="511"/>
      <c r="O1762" s="511"/>
    </row>
    <row r="1763" spans="1:15" x14ac:dyDescent="0.3">
      <c r="A1763" s="46"/>
      <c r="B1763" s="1021"/>
      <c r="C1763" s="1021"/>
      <c r="D1763" s="1805" t="s">
        <v>3764</v>
      </c>
      <c r="E1763" s="978"/>
      <c r="F1763" s="979"/>
      <c r="G1763" s="980"/>
      <c r="H1763" s="1050"/>
      <c r="I1763" s="1077"/>
    </row>
    <row r="1764" spans="1:15" x14ac:dyDescent="0.3">
      <c r="E1764" s="603"/>
    </row>
    <row r="1765" spans="1:15" x14ac:dyDescent="0.3">
      <c r="E1765" s="603"/>
    </row>
    <row r="1766" spans="1:15" x14ac:dyDescent="0.3">
      <c r="A1766" s="3783" t="s">
        <v>3759</v>
      </c>
      <c r="B1766" s="3844"/>
      <c r="C1766" s="3844"/>
      <c r="D1766" s="3844"/>
      <c r="E1766" s="3844"/>
      <c r="F1766" s="3844"/>
      <c r="G1766" s="3844"/>
      <c r="H1766" s="3845"/>
    </row>
    <row r="1767" spans="1:15" x14ac:dyDescent="0.3">
      <c r="A1767" s="3849"/>
      <c r="B1767" s="3847"/>
      <c r="C1767" s="3847"/>
      <c r="D1767" s="3847"/>
      <c r="E1767" s="3847"/>
      <c r="F1767" s="3850"/>
      <c r="G1767" s="3850"/>
      <c r="H1767" s="3851"/>
    </row>
    <row r="1768" spans="1:15" ht="20.399999999999999" x14ac:dyDescent="0.3">
      <c r="A1768" s="1724" t="s">
        <v>3751</v>
      </c>
      <c r="B1768" s="176" t="s">
        <v>2976</v>
      </c>
      <c r="C1768" s="176" t="s">
        <v>3752</v>
      </c>
      <c r="D1768" s="1127" t="s">
        <v>3753</v>
      </c>
      <c r="E1768" s="405" t="s">
        <v>3754</v>
      </c>
      <c r="F1768" s="406" t="s">
        <v>2979</v>
      </c>
      <c r="G1768" s="407" t="s">
        <v>2985</v>
      </c>
      <c r="H1768" s="697" t="s">
        <v>4123</v>
      </c>
      <c r="I1768" s="268"/>
    </row>
    <row r="1769" spans="1:15" x14ac:dyDescent="0.3">
      <c r="A1769" s="2140"/>
      <c r="B1769" s="2141"/>
      <c r="C1769" s="1742" t="s">
        <v>5230</v>
      </c>
      <c r="D1769" s="2142" t="s">
        <v>5231</v>
      </c>
      <c r="E1769" s="1670"/>
      <c r="F1769" s="1377"/>
      <c r="G1769" s="1371"/>
      <c r="H1769" s="385" t="s">
        <v>527</v>
      </c>
      <c r="I1769" s="201"/>
      <c r="J1769" s="511"/>
    </row>
    <row r="1770" spans="1:15" ht="15.6" x14ac:dyDescent="0.3">
      <c r="A1770" s="1992">
        <v>12433</v>
      </c>
      <c r="B1770" s="1738">
        <v>0.1</v>
      </c>
      <c r="C1770" s="2158" t="s">
        <v>5232</v>
      </c>
      <c r="D1770" s="503" t="s">
        <v>5233</v>
      </c>
      <c r="E1770" s="1508">
        <v>1200000</v>
      </c>
      <c r="F1770" s="426"/>
      <c r="G1770" s="519"/>
      <c r="H1770" s="587" t="s">
        <v>748</v>
      </c>
      <c r="I1770" s="1078" t="s">
        <v>3503</v>
      </c>
    </row>
    <row r="1771" spans="1:15" ht="15.6" x14ac:dyDescent="0.3">
      <c r="A1771" s="1991">
        <v>12446</v>
      </c>
      <c r="B1771" s="1998">
        <v>0.1</v>
      </c>
      <c r="C1771" s="2158" t="s">
        <v>5234</v>
      </c>
      <c r="D1771" s="772" t="s">
        <v>5233</v>
      </c>
      <c r="E1771" s="1684">
        <v>1200000</v>
      </c>
      <c r="F1771" s="1450"/>
      <c r="G1771" s="1253"/>
      <c r="H1771" s="587" t="s">
        <v>5235</v>
      </c>
      <c r="I1771" s="878" t="s">
        <v>3503</v>
      </c>
    </row>
    <row r="1772" spans="1:15" s="511" customFormat="1" ht="15.6" x14ac:dyDescent="0.3">
      <c r="A1772" s="1991">
        <v>12474</v>
      </c>
      <c r="B1772" s="2003">
        <v>0.1</v>
      </c>
      <c r="C1772" s="1170" t="s">
        <v>5236</v>
      </c>
      <c r="D1772" s="1819" t="s">
        <v>5233</v>
      </c>
      <c r="E1772" s="1684">
        <v>1250000</v>
      </c>
      <c r="F1772" s="1450"/>
      <c r="G1772" s="1253"/>
      <c r="H1772" s="587" t="s">
        <v>5006</v>
      </c>
      <c r="I1772" s="878" t="s">
        <v>3503</v>
      </c>
    </row>
    <row r="1773" spans="1:15" s="511" customFormat="1" ht="15.6" x14ac:dyDescent="0.3">
      <c r="A1773" s="1992">
        <v>12495</v>
      </c>
      <c r="B1773" s="2003">
        <v>0.1</v>
      </c>
      <c r="C1773" s="1170" t="s">
        <v>5237</v>
      </c>
      <c r="D1773" s="1819" t="s">
        <v>5233</v>
      </c>
      <c r="E1773" s="1684">
        <v>1100000</v>
      </c>
      <c r="F1773" s="1450"/>
      <c r="G1773" s="1253"/>
      <c r="H1773" s="587" t="s">
        <v>527</v>
      </c>
      <c r="I1773" s="878" t="s">
        <v>3503</v>
      </c>
    </row>
    <row r="1774" spans="1:15" s="511" customFormat="1" x14ac:dyDescent="0.3">
      <c r="A1774" s="75">
        <v>12513</v>
      </c>
      <c r="B1774" s="2227" t="s">
        <v>3570</v>
      </c>
      <c r="C1774" s="1387" t="s">
        <v>5238</v>
      </c>
      <c r="D1774" s="1768" t="s">
        <v>5239</v>
      </c>
      <c r="E1774" s="1684">
        <v>1000000</v>
      </c>
      <c r="F1774" s="1450"/>
      <c r="G1774" s="1253"/>
      <c r="H1774" s="587" t="s">
        <v>2037</v>
      </c>
      <c r="I1774" s="878" t="s">
        <v>3503</v>
      </c>
    </row>
    <row r="1775" spans="1:15" s="511" customFormat="1" ht="15.6" x14ac:dyDescent="0.3">
      <c r="A1775" s="2352">
        <v>12527</v>
      </c>
      <c r="B1775" s="2353">
        <v>0.09</v>
      </c>
      <c r="C1775" s="1514" t="s">
        <v>5240</v>
      </c>
      <c r="D1775" s="2354" t="s">
        <v>5241</v>
      </c>
      <c r="E1775" s="1684">
        <v>600000</v>
      </c>
      <c r="F1775" s="1450"/>
      <c r="G1775" s="1253"/>
      <c r="H1775" s="587" t="s">
        <v>748</v>
      </c>
      <c r="I1775" s="878" t="s">
        <v>3503</v>
      </c>
    </row>
    <row r="1776" spans="1:15" s="511" customFormat="1" ht="15.6" x14ac:dyDescent="0.3">
      <c r="A1776" s="2335"/>
      <c r="B1776" s="2178"/>
      <c r="C1776" s="2157" t="s">
        <v>5242</v>
      </c>
      <c r="D1776" s="1762" t="s">
        <v>5243</v>
      </c>
      <c r="E1776" s="1751"/>
      <c r="F1776" s="1774"/>
      <c r="G1776" s="1204"/>
      <c r="H1776" s="970" t="s">
        <v>582</v>
      </c>
      <c r="I1776" s="51"/>
    </row>
    <row r="1777" spans="1:15" x14ac:dyDescent="0.3">
      <c r="A1777" s="1617"/>
      <c r="B1777" s="2179"/>
      <c r="C1777" s="1180" t="s">
        <v>5244</v>
      </c>
      <c r="D1777" s="1762" t="s">
        <v>5243</v>
      </c>
      <c r="E1777" s="1751"/>
      <c r="F1777" s="1475"/>
      <c r="G1777" s="1204"/>
      <c r="H1777" s="970" t="s">
        <v>582</v>
      </c>
      <c r="I1777" s="201"/>
      <c r="J1777" s="511"/>
    </row>
    <row r="1778" spans="1:15" x14ac:dyDescent="0.3">
      <c r="A1778" s="1617"/>
      <c r="B1778" s="2179"/>
      <c r="C1778" s="2346" t="s">
        <v>5181</v>
      </c>
      <c r="D1778" s="2347" t="s">
        <v>5243</v>
      </c>
      <c r="E1778" s="1751"/>
      <c r="F1778" s="1475"/>
      <c r="G1778" s="1204"/>
      <c r="H1778" s="970" t="s">
        <v>5006</v>
      </c>
      <c r="I1778" s="201"/>
      <c r="J1778" s="511"/>
    </row>
    <row r="1779" spans="1:15" x14ac:dyDescent="0.3">
      <c r="A1779" s="1617"/>
      <c r="B1779" s="2179"/>
      <c r="C1779" s="2348" t="s">
        <v>5245</v>
      </c>
      <c r="D1779" s="2347" t="s">
        <v>5243</v>
      </c>
      <c r="E1779" s="1751"/>
      <c r="F1779" s="1475"/>
      <c r="G1779" s="1204"/>
      <c r="H1779" s="970" t="s">
        <v>748</v>
      </c>
      <c r="I1779" s="201"/>
      <c r="J1779" s="511"/>
    </row>
    <row r="1780" spans="1:15" x14ac:dyDescent="0.3">
      <c r="A1780" s="164"/>
      <c r="B1780" s="1777"/>
      <c r="C1780" s="1180" t="s">
        <v>5246</v>
      </c>
      <c r="D1780" s="1173" t="s">
        <v>5247</v>
      </c>
      <c r="E1780" s="1459"/>
      <c r="F1780" s="985"/>
      <c r="G1780" s="740"/>
      <c r="H1780" s="970" t="s">
        <v>2037</v>
      </c>
      <c r="I1780" s="201"/>
      <c r="J1780" s="511"/>
    </row>
    <row r="1781" spans="1:15" x14ac:dyDescent="0.3">
      <c r="A1781" s="164"/>
      <c r="B1781" s="1777"/>
      <c r="C1781" s="2157" t="s">
        <v>5248</v>
      </c>
      <c r="D1781" s="1762" t="s">
        <v>3382</v>
      </c>
      <c r="E1781" s="1751"/>
      <c r="F1781" s="1475"/>
      <c r="G1781" s="1204"/>
      <c r="H1781" s="970" t="s">
        <v>523</v>
      </c>
      <c r="I1781" s="201"/>
      <c r="J1781" s="511"/>
    </row>
    <row r="1782" spans="1:15" x14ac:dyDescent="0.3">
      <c r="A1782" s="164"/>
      <c r="B1782" s="1777"/>
      <c r="C1782" s="2157" t="s">
        <v>5249</v>
      </c>
      <c r="D1782" s="1762" t="s">
        <v>5250</v>
      </c>
      <c r="E1782" s="1751"/>
      <c r="F1782" s="1475"/>
      <c r="G1782" s="1204"/>
      <c r="H1782" s="970" t="s">
        <v>2037</v>
      </c>
      <c r="I1782" s="201"/>
      <c r="J1782" s="511"/>
    </row>
    <row r="1783" spans="1:15" x14ac:dyDescent="0.3">
      <c r="A1783" s="164"/>
      <c r="B1783" s="1777"/>
      <c r="C1783" s="1214" t="s">
        <v>5251</v>
      </c>
      <c r="D1783" s="1860" t="s">
        <v>5252</v>
      </c>
      <c r="E1783" s="1751"/>
      <c r="F1783" s="1475"/>
      <c r="G1783" s="1204"/>
      <c r="H1783" s="970" t="s">
        <v>748</v>
      </c>
      <c r="I1783" s="201"/>
      <c r="J1783" s="511"/>
    </row>
    <row r="1784" spans="1:15" x14ac:dyDescent="0.3">
      <c r="A1784" s="164"/>
      <c r="B1784" s="1777"/>
      <c r="C1784" s="1214" t="s">
        <v>5253</v>
      </c>
      <c r="D1784" s="1860"/>
      <c r="E1784" s="1751">
        <v>1300000</v>
      </c>
      <c r="F1784" s="1475"/>
      <c r="G1784" s="1204"/>
      <c r="H1784" s="970"/>
      <c r="I1784" s="201"/>
      <c r="J1784" s="511"/>
    </row>
    <row r="1785" spans="1:15" x14ac:dyDescent="0.3">
      <c r="A1785" s="2316"/>
      <c r="B1785" s="1576"/>
      <c r="C1785" s="1436"/>
      <c r="D1785" s="1582" t="s">
        <v>3758</v>
      </c>
      <c r="E1785" s="1338">
        <f>SUM(E1770:E1784)</f>
        <v>7650000</v>
      </c>
      <c r="F1785" s="34"/>
      <c r="G1785" s="34"/>
      <c r="H1785" s="51"/>
      <c r="I1785" s="51"/>
      <c r="J1785" s="34"/>
      <c r="K1785" s="34"/>
      <c r="L1785" s="34"/>
      <c r="M1785" s="34"/>
      <c r="N1785" s="34"/>
      <c r="O1785" s="34"/>
    </row>
    <row r="1786" spans="1:15" x14ac:dyDescent="0.3">
      <c r="A1786" s="2289"/>
      <c r="B1786" s="34"/>
      <c r="C1786" s="1483"/>
      <c r="D1786" s="398" t="s">
        <v>3764</v>
      </c>
      <c r="E1786" s="1277"/>
      <c r="F1786" s="34"/>
      <c r="G1786" s="34"/>
      <c r="H1786" s="51"/>
      <c r="I1786" s="51"/>
      <c r="J1786" s="34"/>
      <c r="K1786" s="34"/>
      <c r="L1786" s="34"/>
      <c r="M1786" s="34"/>
      <c r="N1786" s="34"/>
      <c r="O1786" s="34"/>
    </row>
    <row r="1789" spans="1:15" x14ac:dyDescent="0.3">
      <c r="A1789" s="3783" t="s">
        <v>3760</v>
      </c>
      <c r="B1789" s="3844"/>
      <c r="C1789" s="3844"/>
      <c r="D1789" s="3844"/>
      <c r="E1789" s="3844"/>
      <c r="F1789" s="3844"/>
      <c r="G1789" s="3844"/>
      <c r="H1789" s="3845"/>
    </row>
    <row r="1790" spans="1:15" x14ac:dyDescent="0.3">
      <c r="A1790" s="3849"/>
      <c r="B1790" s="3847"/>
      <c r="C1790" s="3847"/>
      <c r="D1790" s="3847"/>
      <c r="E1790" s="3847"/>
      <c r="F1790" s="3850"/>
      <c r="G1790" s="3850"/>
      <c r="H1790" s="3851"/>
    </row>
    <row r="1791" spans="1:15" ht="20.399999999999999" x14ac:dyDescent="0.3">
      <c r="A1791" s="1724" t="s">
        <v>3751</v>
      </c>
      <c r="B1791" s="176" t="s">
        <v>2976</v>
      </c>
      <c r="C1791" s="176" t="s">
        <v>3752</v>
      </c>
      <c r="D1791" s="1127" t="s">
        <v>3753</v>
      </c>
      <c r="E1791" s="63" t="s">
        <v>3754</v>
      </c>
      <c r="F1791" s="406" t="s">
        <v>2979</v>
      </c>
      <c r="G1791" s="407" t="s">
        <v>2985</v>
      </c>
      <c r="H1791" s="697" t="s">
        <v>4123</v>
      </c>
    </row>
    <row r="1792" spans="1:15" x14ac:dyDescent="0.3">
      <c r="A1792" s="1724">
        <v>12469</v>
      </c>
      <c r="B1792" s="1853">
        <v>0.1</v>
      </c>
      <c r="C1792" s="34" t="s">
        <v>5254</v>
      </c>
      <c r="D1792" s="201" t="s">
        <v>5255</v>
      </c>
      <c r="E1792" s="1802">
        <v>850000</v>
      </c>
      <c r="F1792" s="34"/>
      <c r="G1792" s="34"/>
      <c r="H1792" s="34" t="s">
        <v>748</v>
      </c>
    </row>
    <row r="1793" spans="1:9" x14ac:dyDescent="0.3">
      <c r="A1793" s="1769"/>
      <c r="B1793" s="33"/>
      <c r="C1793" s="716" t="s">
        <v>5256</v>
      </c>
      <c r="D1793" s="1058" t="s">
        <v>3192</v>
      </c>
      <c r="E1793" s="1018"/>
      <c r="F1793" s="376"/>
      <c r="G1793" s="740"/>
      <c r="H1793" s="925" t="s">
        <v>582</v>
      </c>
      <c r="I1793" s="2"/>
    </row>
    <row r="1794" spans="1:9" x14ac:dyDescent="0.3">
      <c r="A1794" s="1769"/>
      <c r="B1794" s="33"/>
      <c r="C1794" s="1680" t="s">
        <v>5257</v>
      </c>
      <c r="D1794" s="1745" t="s">
        <v>5258</v>
      </c>
      <c r="E1794" s="1746"/>
      <c r="F1794" s="833"/>
      <c r="G1794" s="1204"/>
      <c r="H1794" s="925" t="s">
        <v>527</v>
      </c>
      <c r="I1794" s="2"/>
    </row>
    <row r="1795" spans="1:9" x14ac:dyDescent="0.3">
      <c r="A1795" s="1769"/>
      <c r="B1795" s="33"/>
      <c r="C1795" s="1680" t="s">
        <v>5259</v>
      </c>
      <c r="D1795" s="1745" t="s">
        <v>3192</v>
      </c>
      <c r="E1795" s="1746"/>
      <c r="F1795" s="833"/>
      <c r="G1795" s="1204"/>
      <c r="H1795" s="925" t="s">
        <v>2037</v>
      </c>
      <c r="I1795" s="2"/>
    </row>
    <row r="1796" spans="1:9" x14ac:dyDescent="0.3">
      <c r="A1796" s="1769">
        <v>12517</v>
      </c>
      <c r="B1796" s="33"/>
      <c r="C1796" s="11" t="s">
        <v>5260</v>
      </c>
      <c r="D1796" s="160" t="s">
        <v>3192</v>
      </c>
      <c r="E1796" s="1803"/>
      <c r="F1796" s="11"/>
      <c r="G1796" s="11"/>
      <c r="H1796" s="11" t="s">
        <v>2037</v>
      </c>
      <c r="I1796" s="2"/>
    </row>
    <row r="1797" spans="1:9" x14ac:dyDescent="0.3">
      <c r="A1797" s="2336">
        <v>12510</v>
      </c>
      <c r="B1797" s="1854">
        <v>0.1</v>
      </c>
      <c r="C1797" s="1680" t="s">
        <v>5261</v>
      </c>
      <c r="D1797" s="1745" t="s">
        <v>5262</v>
      </c>
      <c r="E1797" s="1746"/>
      <c r="F1797" s="833"/>
      <c r="G1797" s="1204"/>
      <c r="H1797" s="925" t="s">
        <v>748</v>
      </c>
      <c r="I1797" s="2"/>
    </row>
    <row r="1798" spans="1:9" x14ac:dyDescent="0.3">
      <c r="A1798" s="1769"/>
      <c r="B1798" s="33"/>
      <c r="C1798" s="1680" t="s">
        <v>5263</v>
      </c>
      <c r="D1798" s="1745" t="s">
        <v>5262</v>
      </c>
      <c r="E1798" s="1746"/>
      <c r="F1798" s="833"/>
      <c r="G1798" s="1204"/>
      <c r="H1798" s="925" t="s">
        <v>523</v>
      </c>
      <c r="I1798" s="2"/>
    </row>
    <row r="1799" spans="1:9" x14ac:dyDescent="0.3">
      <c r="A1799" s="265"/>
      <c r="B1799" s="11"/>
      <c r="C1799" s="11"/>
      <c r="D1799" s="160"/>
      <c r="E1799" s="1803"/>
      <c r="F1799" s="11"/>
      <c r="G1799" s="11"/>
      <c r="H1799" s="11"/>
      <c r="I1799" s="2"/>
    </row>
    <row r="1800" spans="1:9" x14ac:dyDescent="0.3">
      <c r="A1800" s="265"/>
      <c r="B1800" s="11"/>
      <c r="C1800" s="11"/>
      <c r="D1800" s="160"/>
      <c r="E1800" s="1803"/>
      <c r="F1800" s="11"/>
      <c r="G1800" s="11"/>
      <c r="H1800" s="11"/>
      <c r="I1800" s="2"/>
    </row>
    <row r="1801" spans="1:9" x14ac:dyDescent="0.3">
      <c r="A1801" s="265"/>
      <c r="B1801" s="11"/>
      <c r="C1801" s="11"/>
      <c r="D1801" s="160"/>
      <c r="E1801" s="1803"/>
      <c r="F1801" s="11"/>
      <c r="G1801" s="11"/>
      <c r="H1801" s="2"/>
      <c r="I1801" s="2"/>
    </row>
    <row r="1802" spans="1:9" x14ac:dyDescent="0.3">
      <c r="A1802" s="265"/>
      <c r="B1802" s="11"/>
      <c r="C1802" s="11"/>
      <c r="D1802" s="160"/>
      <c r="E1802" s="1803">
        <f>SUM(E1793:E1798)</f>
        <v>0</v>
      </c>
      <c r="F1802" s="11"/>
      <c r="G1802" s="11"/>
      <c r="H1802" s="2"/>
      <c r="I1802" s="2"/>
    </row>
    <row r="1803" spans="1:9" x14ac:dyDescent="0.3">
      <c r="A1803" s="265"/>
      <c r="B1803" s="11"/>
      <c r="C1803" s="11"/>
      <c r="D1803" s="160"/>
      <c r="E1803" s="11"/>
      <c r="F1803" s="11"/>
      <c r="G1803" s="11"/>
      <c r="H1803" s="2"/>
      <c r="I1803" s="2"/>
    </row>
    <row r="1806" spans="1:9" x14ac:dyDescent="0.3">
      <c r="A1806" s="3784" t="s">
        <v>5264</v>
      </c>
      <c r="B1806" s="3784"/>
      <c r="C1806" s="3784"/>
      <c r="D1806" s="3784"/>
      <c r="E1806" s="3784"/>
      <c r="F1806" s="3784"/>
      <c r="G1806" s="3784"/>
      <c r="H1806" s="3852"/>
      <c r="I1806" s="2"/>
    </row>
    <row r="1807" spans="1:9" x14ac:dyDescent="0.3">
      <c r="A1807" s="3784"/>
      <c r="B1807" s="3784"/>
      <c r="C1807" s="3784"/>
      <c r="D1807" s="3784"/>
      <c r="E1807" s="3784"/>
      <c r="F1807" s="3784"/>
      <c r="G1807" s="3853"/>
      <c r="H1807" s="3854"/>
      <c r="I1807" s="2"/>
    </row>
    <row r="1808" spans="1:9" ht="20.399999999999999" x14ac:dyDescent="0.3">
      <c r="A1808" s="265" t="s">
        <v>3751</v>
      </c>
      <c r="B1808" s="33" t="s">
        <v>2976</v>
      </c>
      <c r="C1808" s="33" t="s">
        <v>3752</v>
      </c>
      <c r="D1808" s="1093" t="s">
        <v>4121</v>
      </c>
      <c r="E1808" s="63" t="s">
        <v>3754</v>
      </c>
      <c r="F1808" s="118" t="s">
        <v>2979</v>
      </c>
      <c r="G1808" s="88" t="s">
        <v>2985</v>
      </c>
      <c r="H1808" s="266" t="s">
        <v>4208</v>
      </c>
      <c r="I1808" s="268"/>
    </row>
    <row r="1809" spans="1:9" s="511" customFormat="1" ht="15.6" x14ac:dyDescent="0.3">
      <c r="A1809" s="2299">
        <v>12433</v>
      </c>
      <c r="B1809" s="122">
        <v>0.1</v>
      </c>
      <c r="C1809" s="1411" t="s">
        <v>5232</v>
      </c>
      <c r="D1809" s="503" t="s">
        <v>4109</v>
      </c>
      <c r="E1809" s="2138">
        <v>1200000</v>
      </c>
      <c r="F1809" s="426"/>
      <c r="G1809" s="519"/>
      <c r="H1809" s="587" t="s">
        <v>748</v>
      </c>
      <c r="I1809" s="1088" t="s">
        <v>3503</v>
      </c>
    </row>
    <row r="1810" spans="1:9" s="511" customFormat="1" x14ac:dyDescent="0.3">
      <c r="A1810" s="2284">
        <v>12439</v>
      </c>
      <c r="B1810" s="1733">
        <v>0.1</v>
      </c>
      <c r="C1810" s="439" t="s">
        <v>5204</v>
      </c>
      <c r="D1810" s="590" t="s">
        <v>4109</v>
      </c>
      <c r="E1810" s="1508">
        <v>1350000</v>
      </c>
      <c r="F1810" s="426"/>
      <c r="G1810" s="519"/>
      <c r="H1810" s="587" t="s">
        <v>5066</v>
      </c>
      <c r="I1810" s="1088" t="s">
        <v>4122</v>
      </c>
    </row>
    <row r="1811" spans="1:9" s="511" customFormat="1" ht="15.6" x14ac:dyDescent="0.3">
      <c r="A1811" s="2299">
        <v>12446</v>
      </c>
      <c r="B1811" s="2024">
        <v>0.1</v>
      </c>
      <c r="C1811" s="1411" t="s">
        <v>5234</v>
      </c>
      <c r="D1811" s="772" t="s">
        <v>4109</v>
      </c>
      <c r="E1811" s="1756">
        <v>1200000</v>
      </c>
      <c r="F1811" s="2139"/>
      <c r="G1811" s="1253"/>
      <c r="H1811" s="587" t="s">
        <v>5235</v>
      </c>
      <c r="I1811" s="1088" t="s">
        <v>3503</v>
      </c>
    </row>
    <row r="1812" spans="1:9" s="511" customFormat="1" ht="15.6" x14ac:dyDescent="0.3">
      <c r="A1812" s="1992">
        <v>12462</v>
      </c>
      <c r="B1812" s="2174">
        <v>0.1</v>
      </c>
      <c r="C1812" s="2175" t="s">
        <v>5205</v>
      </c>
      <c r="D1812" s="1819" t="s">
        <v>4109</v>
      </c>
      <c r="E1812" s="2166">
        <v>1200000</v>
      </c>
      <c r="F1812" s="283"/>
      <c r="G1812" s="1038"/>
      <c r="H1812" s="590" t="s">
        <v>527</v>
      </c>
      <c r="I1812" s="283" t="s">
        <v>4122</v>
      </c>
    </row>
    <row r="1813" spans="1:9" s="511" customFormat="1" ht="15.6" x14ac:dyDescent="0.3">
      <c r="A1813" s="2337">
        <v>12469</v>
      </c>
      <c r="B1813" s="2172">
        <v>0.1</v>
      </c>
      <c r="C1813" s="34" t="s">
        <v>5254</v>
      </c>
      <c r="D1813" s="2173" t="s">
        <v>4952</v>
      </c>
      <c r="E1813" s="2168">
        <v>850000</v>
      </c>
      <c r="F1813" s="34"/>
      <c r="G1813" s="34"/>
      <c r="H1813" s="34" t="s">
        <v>748</v>
      </c>
      <c r="I1813" s="531"/>
    </row>
    <row r="1814" spans="1:9" s="511" customFormat="1" ht="15.6" x14ac:dyDescent="0.3">
      <c r="A1814" s="2337">
        <v>12474</v>
      </c>
      <c r="B1814" s="1854">
        <v>0.1</v>
      </c>
      <c r="C1814" s="1180" t="s">
        <v>5236</v>
      </c>
      <c r="D1814" s="2155" t="s">
        <v>4952</v>
      </c>
      <c r="E1814" s="2170">
        <v>1250000</v>
      </c>
      <c r="F1814" s="1774"/>
      <c r="G1814" s="1204"/>
      <c r="H1814" s="970" t="s">
        <v>5006</v>
      </c>
      <c r="I1814" s="2034"/>
    </row>
    <row r="1815" spans="1:9" s="511" customFormat="1" ht="15.6" x14ac:dyDescent="0.3">
      <c r="A1815" s="2335"/>
      <c r="B1815" s="1854"/>
      <c r="C1815" s="716"/>
      <c r="D1815" s="1304"/>
      <c r="E1815" s="1639"/>
      <c r="F1815" s="1776"/>
      <c r="G1815" s="740"/>
      <c r="H1815" s="970"/>
      <c r="I1815" s="201"/>
    </row>
    <row r="1816" spans="1:9" s="511" customFormat="1" x14ac:dyDescent="0.3">
      <c r="A1816" s="2273"/>
      <c r="B1816" s="2176"/>
      <c r="C1816" s="1239"/>
      <c r="D1816" s="2169"/>
      <c r="E1816" s="1751"/>
      <c r="F1816" s="1475"/>
      <c r="G1816" s="1204"/>
      <c r="H1816" s="970"/>
      <c r="I1816" s="201"/>
    </row>
    <row r="1817" spans="1:9" s="511" customFormat="1" ht="15.6" x14ac:dyDescent="0.3">
      <c r="A1817" s="2338"/>
      <c r="B1817" s="2072"/>
      <c r="C1817" s="2074"/>
      <c r="D1817" s="2075"/>
      <c r="E1817" s="1746"/>
      <c r="F1817" s="2076"/>
      <c r="G1817" s="1204"/>
      <c r="H1817" s="970"/>
      <c r="I1817" s="201"/>
    </row>
    <row r="1818" spans="1:9" s="511" customFormat="1" x14ac:dyDescent="0.3">
      <c r="A1818" s="50"/>
      <c r="B1818" s="1854"/>
      <c r="C1818" s="716"/>
      <c r="D1818" s="1745"/>
      <c r="E1818" s="2077"/>
      <c r="F1818" s="1475"/>
      <c r="G1818" s="1204"/>
      <c r="H1818" s="970"/>
      <c r="I1818" s="34"/>
    </row>
    <row r="1819" spans="1:9" s="511" customFormat="1" x14ac:dyDescent="0.3">
      <c r="A1819" s="50"/>
      <c r="B1819" s="2073"/>
      <c r="C1819" s="716"/>
      <c r="D1819" s="1058"/>
      <c r="E1819" s="1639"/>
      <c r="F1819" s="1776"/>
      <c r="G1819" s="740"/>
      <c r="H1819" s="970"/>
      <c r="I1819" s="201"/>
    </row>
    <row r="1820" spans="1:9" s="511" customFormat="1" ht="15.6" x14ac:dyDescent="0.3">
      <c r="A1820" s="2335"/>
      <c r="B1820" s="2078"/>
      <c r="C1820" s="1366"/>
      <c r="D1820" s="1860"/>
      <c r="E1820" s="1746"/>
      <c r="F1820" s="1475"/>
      <c r="G1820" s="1204"/>
      <c r="H1820" s="970"/>
      <c r="I1820" s="2034"/>
    </row>
    <row r="1821" spans="1:9" s="511" customFormat="1" x14ac:dyDescent="0.3">
      <c r="A1821" s="2339"/>
      <c r="B1821" s="1854"/>
      <c r="C1821" s="716"/>
      <c r="D1821" s="1745"/>
      <c r="E1821" s="1751"/>
      <c r="F1821" s="1475"/>
      <c r="G1821" s="1204"/>
      <c r="H1821" s="970"/>
      <c r="I1821" s="201"/>
    </row>
    <row r="1822" spans="1:9" s="511" customFormat="1" ht="15.6" x14ac:dyDescent="0.3">
      <c r="A1822" s="2335"/>
      <c r="B1822" s="1854"/>
      <c r="C1822" s="716"/>
      <c r="D1822" s="2075"/>
      <c r="E1822" s="1751"/>
      <c r="F1822" s="2076"/>
      <c r="G1822" s="1204"/>
      <c r="H1822" s="970"/>
      <c r="I1822" s="201"/>
    </row>
    <row r="1823" spans="1:9" s="511" customFormat="1" x14ac:dyDescent="0.3">
      <c r="A1823" s="50"/>
      <c r="B1823" s="2079"/>
      <c r="C1823" s="2080"/>
      <c r="D1823" s="1632"/>
      <c r="E1823" s="2081"/>
      <c r="F1823" s="2082"/>
      <c r="G1823" s="2083"/>
      <c r="H1823" s="1186"/>
      <c r="I1823" s="201"/>
    </row>
    <row r="1824" spans="1:9" s="511" customFormat="1" x14ac:dyDescent="0.3">
      <c r="A1824" s="2340"/>
      <c r="B1824" s="2078"/>
      <c r="C1824" s="988"/>
      <c r="D1824" s="1632"/>
      <c r="E1824" s="1751"/>
      <c r="F1824" s="1774"/>
      <c r="G1824" s="1204"/>
      <c r="H1824" s="970"/>
      <c r="I1824" s="201"/>
    </row>
    <row r="1825" spans="1:9" s="511" customFormat="1" ht="15.6" x14ac:dyDescent="0.3">
      <c r="A1825" s="2341"/>
      <c r="B1825" s="2084"/>
      <c r="C1825" s="716"/>
      <c r="D1825" s="1745"/>
      <c r="E1825" s="1751"/>
      <c r="F1825" s="1475"/>
      <c r="G1825" s="1204"/>
      <c r="H1825" s="970"/>
      <c r="I1825" s="2032"/>
    </row>
    <row r="1826" spans="1:9" s="511" customFormat="1" x14ac:dyDescent="0.3">
      <c r="A1826" s="2281"/>
      <c r="B1826" s="1854"/>
      <c r="C1826" s="1493"/>
      <c r="D1826" s="1951"/>
      <c r="E1826" s="1751"/>
      <c r="F1826" s="1475"/>
      <c r="G1826" s="1204"/>
      <c r="H1826" s="970"/>
      <c r="I1826" s="2034"/>
    </row>
    <row r="1827" spans="1:9" s="511" customFormat="1" x14ac:dyDescent="0.3">
      <c r="A1827" s="2281"/>
      <c r="B1827" s="1854"/>
      <c r="C1827" s="2085"/>
      <c r="D1827" s="2075"/>
      <c r="E1827" s="1751"/>
      <c r="F1827" s="1475"/>
      <c r="G1827" s="1204"/>
      <c r="H1827" s="970"/>
      <c r="I1827" s="201"/>
    </row>
    <row r="1828" spans="1:9" s="511" customFormat="1" x14ac:dyDescent="0.3">
      <c r="A1828" s="2281"/>
      <c r="B1828" s="33"/>
      <c r="C1828" s="2086"/>
      <c r="D1828" s="1745"/>
      <c r="E1828" s="1751"/>
      <c r="F1828" s="1475"/>
      <c r="G1828" s="1204"/>
      <c r="H1828" s="970"/>
      <c r="I1828" s="201"/>
    </row>
    <row r="1829" spans="1:9" s="511" customFormat="1" x14ac:dyDescent="0.3">
      <c r="A1829" s="2340"/>
      <c r="B1829" s="2087"/>
      <c r="C1829" s="2088"/>
      <c r="D1829" s="1762"/>
      <c r="E1829" s="1751"/>
      <c r="F1829" s="1475"/>
      <c r="G1829" s="1204"/>
      <c r="H1829" s="970"/>
      <c r="I1829" s="2032"/>
    </row>
    <row r="1830" spans="1:9" s="511" customFormat="1" ht="15.6" x14ac:dyDescent="0.3">
      <c r="A1830" s="2335"/>
      <c r="B1830" s="2089"/>
      <c r="C1830" s="2088"/>
      <c r="D1830" s="1058"/>
      <c r="E1830" s="2090"/>
      <c r="F1830" s="484"/>
      <c r="G1830" s="414"/>
      <c r="H1830" s="1058"/>
      <c r="I1830" s="2032"/>
    </row>
    <row r="1831" spans="1:9" s="511" customFormat="1" x14ac:dyDescent="0.3">
      <c r="A1831" s="50"/>
      <c r="B1831" s="2087"/>
      <c r="C1831" s="1493"/>
      <c r="D1831" s="1860"/>
      <c r="E1831" s="1751"/>
      <c r="F1831" s="1475"/>
      <c r="G1831" s="1204"/>
      <c r="H1831" s="970"/>
      <c r="I1831" s="2032"/>
    </row>
    <row r="1832" spans="1:9" s="511" customFormat="1" x14ac:dyDescent="0.3">
      <c r="A1832" s="2342"/>
      <c r="B1832" s="2073"/>
      <c r="C1832" s="1680"/>
      <c r="D1832" s="1058"/>
      <c r="E1832" s="1630"/>
      <c r="F1832" s="941"/>
      <c r="G1832" s="740"/>
      <c r="H1832" s="970"/>
      <c r="I1832" s="2032"/>
    </row>
    <row r="1833" spans="1:9" s="511" customFormat="1" x14ac:dyDescent="0.3">
      <c r="A1833" s="50"/>
      <c r="B1833" s="2089"/>
      <c r="C1833" s="1366"/>
      <c r="D1833" s="1860"/>
      <c r="E1833" s="1746"/>
      <c r="F1833" s="1475"/>
      <c r="G1833" s="1204"/>
      <c r="H1833" s="970"/>
      <c r="I1833" s="2032"/>
    </row>
    <row r="1834" spans="1:9" s="511" customFormat="1" x14ac:dyDescent="0.3">
      <c r="A1834" s="1595"/>
      <c r="B1834" s="2091"/>
      <c r="C1834" s="2092"/>
      <c r="D1834" s="1058"/>
      <c r="E1834" s="1630"/>
      <c r="F1834" s="941"/>
      <c r="G1834" s="740"/>
      <c r="H1834" s="970"/>
      <c r="I1834" s="34"/>
    </row>
    <row r="1835" spans="1:9" s="511" customFormat="1" x14ac:dyDescent="0.3">
      <c r="A1835" s="1617"/>
      <c r="B1835" s="2073"/>
      <c r="C1835" s="716"/>
      <c r="D1835" s="1304"/>
      <c r="E1835" s="1630"/>
      <c r="F1835" s="941"/>
      <c r="G1835" s="740"/>
      <c r="H1835" s="970"/>
      <c r="I1835" s="1823"/>
    </row>
    <row r="1836" spans="1:9" s="511" customFormat="1" x14ac:dyDescent="0.3">
      <c r="A1836" s="1617"/>
      <c r="B1836" s="1854"/>
      <c r="C1836" s="716"/>
      <c r="D1836" s="1304"/>
      <c r="E1836" s="1018"/>
      <c r="F1836" s="376"/>
      <c r="G1836" s="740"/>
      <c r="H1836" s="970"/>
      <c r="I1836" s="1823"/>
    </row>
    <row r="1837" spans="1:9" s="511" customFormat="1" x14ac:dyDescent="0.3">
      <c r="A1837" s="2343"/>
      <c r="B1837" s="1853"/>
      <c r="C1837" s="2093"/>
      <c r="D1837" s="2036"/>
      <c r="E1837" s="1018"/>
      <c r="F1837" s="376"/>
      <c r="G1837" s="1204"/>
      <c r="H1837" s="925"/>
      <c r="I1837" s="1823"/>
    </row>
    <row r="1838" spans="1:9" s="511" customFormat="1" ht="15.6" x14ac:dyDescent="0.3">
      <c r="A1838" s="1617"/>
      <c r="B1838" s="2094"/>
      <c r="C1838" s="1680"/>
      <c r="D1838" s="1058"/>
      <c r="E1838" s="1639"/>
      <c r="F1838" s="941"/>
      <c r="G1838" s="740"/>
      <c r="H1838" s="970"/>
      <c r="I1838" s="1823"/>
    </row>
    <row r="1839" spans="1:9" s="511" customFormat="1" ht="15.6" x14ac:dyDescent="0.3">
      <c r="A1839" s="1617"/>
      <c r="B1839" s="2094"/>
      <c r="C1839" s="1680"/>
      <c r="D1839" s="1058"/>
      <c r="E1839" s="1639"/>
      <c r="F1839" s="941"/>
      <c r="G1839" s="740"/>
      <c r="H1839" s="970"/>
      <c r="I1839" s="2032"/>
    </row>
    <row r="1840" spans="1:9" s="511" customFormat="1" ht="15.6" x14ac:dyDescent="0.3">
      <c r="A1840" s="2289"/>
      <c r="B1840" s="2094"/>
      <c r="C1840" s="1493"/>
      <c r="D1840" s="1762"/>
      <c r="E1840" s="1751"/>
      <c r="F1840" s="1475"/>
      <c r="G1840" s="1204"/>
      <c r="H1840" s="970"/>
      <c r="I1840" s="201"/>
    </row>
    <row r="1841" spans="1:9" s="511" customFormat="1" ht="15.6" x14ac:dyDescent="0.3">
      <c r="A1841" s="2289"/>
      <c r="B1841" s="2094"/>
      <c r="C1841" s="1680"/>
      <c r="D1841" s="1173"/>
      <c r="E1841" s="1459"/>
      <c r="F1841" s="1776"/>
      <c r="G1841" s="740"/>
      <c r="H1841" s="970"/>
      <c r="I1841" s="2034"/>
    </row>
    <row r="1842" spans="1:9" x14ac:dyDescent="0.3">
      <c r="A1842" s="2289"/>
      <c r="B1842" s="680"/>
      <c r="C1842" s="1680"/>
      <c r="D1842" s="1173"/>
      <c r="E1842" s="2037"/>
      <c r="F1842" s="764"/>
      <c r="G1842" s="2038"/>
      <c r="H1842" s="2033"/>
      <c r="I1842" s="2034"/>
    </row>
    <row r="1843" spans="1:9" x14ac:dyDescent="0.3">
      <c r="A1843" s="265"/>
      <c r="B1843" s="11"/>
      <c r="C1843" s="11"/>
      <c r="D1843" s="160" t="s">
        <v>4264</v>
      </c>
      <c r="E1843" s="2035">
        <f>SUM(E1809:E1817)</f>
        <v>7050000</v>
      </c>
      <c r="F1843" s="498"/>
      <c r="G1843" s="501"/>
      <c r="H1843" s="984"/>
      <c r="I1843" s="268"/>
    </row>
    <row r="1844" spans="1:9" ht="15.6" x14ac:dyDescent="0.3">
      <c r="A1844" s="2329"/>
      <c r="B1844" s="171"/>
      <c r="C1844" s="171"/>
      <c r="D1844" s="1522" t="s">
        <v>3764</v>
      </c>
      <c r="E1844" s="502"/>
      <c r="F1844" s="11"/>
      <c r="G1844" s="11"/>
      <c r="H1844" s="2"/>
      <c r="I1844" s="2"/>
    </row>
    <row r="1847" spans="1:9" ht="18" x14ac:dyDescent="0.35">
      <c r="A1847" s="3815" t="s">
        <v>4497</v>
      </c>
      <c r="B1847" s="3816"/>
      <c r="C1847" s="3816"/>
      <c r="D1847" s="3816"/>
      <c r="E1847" s="3816"/>
      <c r="F1847" s="11"/>
    </row>
    <row r="1848" spans="1:9" ht="18" x14ac:dyDescent="0.35">
      <c r="A1848" s="1428" t="s">
        <v>4498</v>
      </c>
      <c r="B1848" s="1428" t="s">
        <v>3754</v>
      </c>
      <c r="C1848" s="1428" t="s">
        <v>4499</v>
      </c>
      <c r="D1848" s="1429" t="s">
        <v>4500</v>
      </c>
      <c r="E1848" s="1430" t="s">
        <v>4123</v>
      </c>
      <c r="F1848" s="11"/>
    </row>
    <row r="1849" spans="1:9" ht="15.6" x14ac:dyDescent="0.3">
      <c r="A1849" s="2330"/>
      <c r="B1849" s="1861"/>
      <c r="C1849" s="1553"/>
      <c r="D1849" s="1553"/>
      <c r="E1849" s="1555"/>
      <c r="F1849" s="117"/>
    </row>
    <row r="1850" spans="1:9" ht="15.6" x14ac:dyDescent="0.3">
      <c r="A1850" s="2329"/>
      <c r="B1850" s="1528"/>
      <c r="C1850" s="11"/>
      <c r="D1850" s="11"/>
      <c r="E1850" s="1426"/>
      <c r="F1850" s="117"/>
    </row>
    <row r="1851" spans="1:9" ht="15.6" x14ac:dyDescent="0.3">
      <c r="A1851" s="2318"/>
      <c r="B1851" s="1532"/>
      <c r="C1851" s="1239"/>
      <c r="D1851" s="1533"/>
      <c r="E1851" s="1533"/>
      <c r="F1851" s="117"/>
    </row>
    <row r="1852" spans="1:9" ht="15.6" x14ac:dyDescent="0.3">
      <c r="A1852" s="2319"/>
      <c r="B1852" s="1619"/>
      <c r="C1852" s="1426"/>
      <c r="D1852" s="1426"/>
      <c r="E1852" s="1426"/>
      <c r="F1852" s="117"/>
    </row>
    <row r="1853" spans="1:9" ht="15.6" x14ac:dyDescent="0.3">
      <c r="A1853" s="2307"/>
      <c r="B1853" s="1427"/>
      <c r="C1853" s="716"/>
      <c r="D1853" s="1426"/>
      <c r="E1853" s="1426"/>
      <c r="F1853" s="117"/>
    </row>
    <row r="1854" spans="1:9" ht="15.6" x14ac:dyDescent="0.3">
      <c r="A1854" s="2307"/>
      <c r="B1854" s="1427"/>
      <c r="C1854" s="716"/>
      <c r="D1854" s="1426"/>
      <c r="E1854" s="1426"/>
      <c r="F1854" s="117"/>
    </row>
    <row r="1855" spans="1:9" x14ac:dyDescent="0.3">
      <c r="A1855" s="2300"/>
      <c r="B1855" s="1424"/>
      <c r="C1855" s="1239"/>
      <c r="D1855" s="1239"/>
      <c r="E1855" s="1239"/>
      <c r="F1855" s="910"/>
    </row>
    <row r="1856" spans="1:9" ht="18" x14ac:dyDescent="0.35">
      <c r="A1856" s="1425"/>
      <c r="B1856" s="898"/>
      <c r="C1856" s="898"/>
      <c r="D1856" s="1197"/>
      <c r="E1856" s="907"/>
      <c r="F1856" s="11"/>
    </row>
    <row r="1857" spans="1:6" ht="18" x14ac:dyDescent="0.35">
      <c r="A1857" s="898"/>
      <c r="B1857" s="898"/>
      <c r="C1857" s="898"/>
      <c r="D1857" s="1197"/>
      <c r="E1857" s="10"/>
      <c r="F1857" s="11"/>
    </row>
    <row r="1859" spans="1:6" x14ac:dyDescent="0.3">
      <c r="A1859" s="3720" t="s">
        <v>3064</v>
      </c>
      <c r="B1859" s="3800"/>
      <c r="C1859" s="79"/>
      <c r="D1859" s="1249">
        <f>E1843</f>
        <v>7050000</v>
      </c>
    </row>
    <row r="1860" spans="1:6" x14ac:dyDescent="0.3">
      <c r="A1860" s="3721" t="s">
        <v>3065</v>
      </c>
      <c r="B1860" s="3801"/>
      <c r="C1860" s="41"/>
      <c r="D1860" s="1437" t="s">
        <v>5265</v>
      </c>
    </row>
    <row r="1861" spans="1:6" x14ac:dyDescent="0.3">
      <c r="A1861" s="3722" t="s">
        <v>3066</v>
      </c>
      <c r="B1861" s="3793"/>
      <c r="C1861" s="45"/>
      <c r="D1861" s="1438" t="s">
        <v>5266</v>
      </c>
    </row>
    <row r="1862" spans="1:6" x14ac:dyDescent="0.3">
      <c r="A1862" s="3609" t="s">
        <v>3067</v>
      </c>
      <c r="B1862" s="3794"/>
      <c r="C1862" s="651"/>
      <c r="D1862" s="1573" t="s">
        <v>5265</v>
      </c>
    </row>
    <row r="1863" spans="1:6" x14ac:dyDescent="0.3">
      <c r="A1863" s="3725" t="s">
        <v>3068</v>
      </c>
      <c r="B1863" s="3795"/>
      <c r="C1863" s="1513"/>
      <c r="D1863" s="729"/>
    </row>
    <row r="1864" spans="1:6" x14ac:dyDescent="0.3">
      <c r="A1864" s="2320" t="s">
        <v>3069</v>
      </c>
      <c r="B1864" s="1778"/>
      <c r="C1864" s="1513"/>
      <c r="D1864" s="729"/>
    </row>
    <row r="1865" spans="1:6" x14ac:dyDescent="0.3">
      <c r="A1865" s="2234"/>
      <c r="B1865" s="43" t="s">
        <v>3070</v>
      </c>
      <c r="C1865" s="43"/>
      <c r="D1865" s="1157" t="s">
        <v>3133</v>
      </c>
    </row>
  </sheetData>
  <mergeCells count="278">
    <mergeCell ref="A1737:H1738"/>
    <mergeCell ref="A1766:H1767"/>
    <mergeCell ref="A1789:H1790"/>
    <mergeCell ref="A1806:H1807"/>
    <mergeCell ref="A1847:E1847"/>
    <mergeCell ref="A1862:B1862"/>
    <mergeCell ref="A1863:B1863"/>
    <mergeCell ref="A1684:J1684"/>
    <mergeCell ref="K1684:N1684"/>
    <mergeCell ref="A1688:A1699"/>
    <mergeCell ref="L1698:N1698"/>
    <mergeCell ref="A1702:J1702"/>
    <mergeCell ref="A1708:A1716"/>
    <mergeCell ref="L1715:N1715"/>
    <mergeCell ref="A1719:J1719"/>
    <mergeCell ref="A1724:A1733"/>
    <mergeCell ref="L1732:N1732"/>
    <mergeCell ref="A1859:B1859"/>
    <mergeCell ref="A1860:B1860"/>
    <mergeCell ref="A1861:B1861"/>
    <mergeCell ref="A1648:J1648"/>
    <mergeCell ref="A1650:J1650"/>
    <mergeCell ref="K1650:N1650"/>
    <mergeCell ref="L1664:N1664"/>
    <mergeCell ref="A1668:J1668"/>
    <mergeCell ref="K1668:N1668"/>
    <mergeCell ref="A1670:A1681"/>
    <mergeCell ref="L1680:N1680"/>
    <mergeCell ref="A1495:H1496"/>
    <mergeCell ref="A1522:H1523"/>
    <mergeCell ref="A1590:H1591"/>
    <mergeCell ref="A1631:E1631"/>
    <mergeCell ref="A1639:B1639"/>
    <mergeCell ref="A1640:B1640"/>
    <mergeCell ref="A1576:H1577"/>
    <mergeCell ref="A1652:A1665"/>
    <mergeCell ref="A1416:J1416"/>
    <mergeCell ref="K1416:N1416"/>
    <mergeCell ref="L1434:N1434"/>
    <mergeCell ref="A1438:J1438"/>
    <mergeCell ref="L1468:N1468"/>
    <mergeCell ref="A1472:J1472"/>
    <mergeCell ref="L1490:N1490"/>
    <mergeCell ref="A1419:A1435"/>
    <mergeCell ref="A1440:A1469"/>
    <mergeCell ref="A1474:A1491"/>
    <mergeCell ref="A1384:J1384"/>
    <mergeCell ref="A1386:J1386"/>
    <mergeCell ref="K1386:N1386"/>
    <mergeCell ref="L1401:N1401"/>
    <mergeCell ref="A1405:J1405"/>
    <mergeCell ref="K1405:N1405"/>
    <mergeCell ref="A1407:A1413"/>
    <mergeCell ref="L1412:N1412"/>
    <mergeCell ref="A943:A950"/>
    <mergeCell ref="A972:A987"/>
    <mergeCell ref="A955:A967"/>
    <mergeCell ref="A993:A1007"/>
    <mergeCell ref="A1012:A1022"/>
    <mergeCell ref="A1246:H1247"/>
    <mergeCell ref="A1285:H1286"/>
    <mergeCell ref="A1318:H1319"/>
    <mergeCell ref="A1359:E1359"/>
    <mergeCell ref="A1151:J1151"/>
    <mergeCell ref="A1153:J1153"/>
    <mergeCell ref="A1059:H1060"/>
    <mergeCell ref="A1089:H1090"/>
    <mergeCell ref="A1126:E1126"/>
    <mergeCell ref="A1139:B1139"/>
    <mergeCell ref="A1140:B1140"/>
    <mergeCell ref="A1141:B1141"/>
    <mergeCell ref="A1142:B1142"/>
    <mergeCell ref="A1010:J1010"/>
    <mergeCell ref="A1144:B1144"/>
    <mergeCell ref="A1155:A1167"/>
    <mergeCell ref="A1172:A1187"/>
    <mergeCell ref="A1192:A1205"/>
    <mergeCell ref="A1371:B1371"/>
    <mergeCell ref="A1372:B1372"/>
    <mergeCell ref="A1373:B1373"/>
    <mergeCell ref="A1374:B1374"/>
    <mergeCell ref="A1375:B1375"/>
    <mergeCell ref="L1204:N1204"/>
    <mergeCell ref="A1208:J1208"/>
    <mergeCell ref="L1226:N1226"/>
    <mergeCell ref="A1230:J1230"/>
    <mergeCell ref="L1241:N1241"/>
    <mergeCell ref="A1210:A1227"/>
    <mergeCell ref="A1233:A1242"/>
    <mergeCell ref="K1153:N1153"/>
    <mergeCell ref="L1166:N1166"/>
    <mergeCell ref="A1170:J1170"/>
    <mergeCell ref="K1170:N1170"/>
    <mergeCell ref="L1186:N1186"/>
    <mergeCell ref="A1190:J1190"/>
    <mergeCell ref="K1190:N1190"/>
    <mergeCell ref="A931:B931"/>
    <mergeCell ref="A932:B932"/>
    <mergeCell ref="A939:J939"/>
    <mergeCell ref="A941:J941"/>
    <mergeCell ref="K941:N941"/>
    <mergeCell ref="L950:N950"/>
    <mergeCell ref="A953:J953"/>
    <mergeCell ref="K953:N953"/>
    <mergeCell ref="L967:N967"/>
    <mergeCell ref="A970:J970"/>
    <mergeCell ref="K970:N970"/>
    <mergeCell ref="L986:N986"/>
    <mergeCell ref="A990:J990"/>
    <mergeCell ref="L1007:N1007"/>
    <mergeCell ref="A1143:B1143"/>
    <mergeCell ref="A1026:H1027"/>
    <mergeCell ref="L1021:N1021"/>
    <mergeCell ref="L812:N812"/>
    <mergeCell ref="A816:H817"/>
    <mergeCell ref="A881:H882"/>
    <mergeCell ref="A921:E921"/>
    <mergeCell ref="A928:B928"/>
    <mergeCell ref="A929:B929"/>
    <mergeCell ref="A930:B930"/>
    <mergeCell ref="A858:H859"/>
    <mergeCell ref="A764:J764"/>
    <mergeCell ref="K764:N764"/>
    <mergeCell ref="L776:N776"/>
    <mergeCell ref="A780:J780"/>
    <mergeCell ref="L798:N798"/>
    <mergeCell ref="A802:J802"/>
    <mergeCell ref="A805:A811"/>
    <mergeCell ref="A766:A777"/>
    <mergeCell ref="A783:A799"/>
    <mergeCell ref="A727:J727"/>
    <mergeCell ref="A729:J729"/>
    <mergeCell ref="K729:N729"/>
    <mergeCell ref="L744:N744"/>
    <mergeCell ref="A748:J748"/>
    <mergeCell ref="K748:N748"/>
    <mergeCell ref="L760:N760"/>
    <mergeCell ref="A732:A745"/>
    <mergeCell ref="A751:A761"/>
    <mergeCell ref="A719:B719"/>
    <mergeCell ref="A720:B720"/>
    <mergeCell ref="A589:J589"/>
    <mergeCell ref="L574:N574"/>
    <mergeCell ref="A578:J578"/>
    <mergeCell ref="K578:N578"/>
    <mergeCell ref="A580:A585"/>
    <mergeCell ref="L584:N584"/>
    <mergeCell ref="L599:N599"/>
    <mergeCell ref="A603:J603"/>
    <mergeCell ref="L614:N614"/>
    <mergeCell ref="A617:H618"/>
    <mergeCell ref="A626:H627"/>
    <mergeCell ref="A677:H678"/>
    <mergeCell ref="A716:B716"/>
    <mergeCell ref="A717:B717"/>
    <mergeCell ref="A718:B718"/>
    <mergeCell ref="A645:H646"/>
    <mergeCell ref="A708:E708"/>
    <mergeCell ref="A564:A575"/>
    <mergeCell ref="A592:A600"/>
    <mergeCell ref="A605:A611"/>
    <mergeCell ref="A466:A474"/>
    <mergeCell ref="L473:N473"/>
    <mergeCell ref="A545:J545"/>
    <mergeCell ref="A547:J547"/>
    <mergeCell ref="K547:N547"/>
    <mergeCell ref="A550:A559"/>
    <mergeCell ref="L558:N558"/>
    <mergeCell ref="A562:J562"/>
    <mergeCell ref="K562:N562"/>
    <mergeCell ref="A535:B535"/>
    <mergeCell ref="A536:B536"/>
    <mergeCell ref="A537:B537"/>
    <mergeCell ref="A538:B538"/>
    <mergeCell ref="A539:B539"/>
    <mergeCell ref="A476:H477"/>
    <mergeCell ref="A496:H497"/>
    <mergeCell ref="A511:H512"/>
    <mergeCell ref="A455:J455"/>
    <mergeCell ref="A464:J464"/>
    <mergeCell ref="K441:N441"/>
    <mergeCell ref="L451:N451"/>
    <mergeCell ref="A422:J422"/>
    <mergeCell ref="A424:J424"/>
    <mergeCell ref="K424:N424"/>
    <mergeCell ref="L437:N437"/>
    <mergeCell ref="K455:N455"/>
    <mergeCell ref="A457:A461"/>
    <mergeCell ref="L460:N460"/>
    <mergeCell ref="K464:N464"/>
    <mergeCell ref="A412:B412"/>
    <mergeCell ref="A413:B413"/>
    <mergeCell ref="A414:B414"/>
    <mergeCell ref="A415:B415"/>
    <mergeCell ref="A416:B416"/>
    <mergeCell ref="A443:A452"/>
    <mergeCell ref="A426:A438"/>
    <mergeCell ref="A343:A348"/>
    <mergeCell ref="K347:M347"/>
    <mergeCell ref="A353:H354"/>
    <mergeCell ref="A366:H367"/>
    <mergeCell ref="A388:H389"/>
    <mergeCell ref="A441:J441"/>
    <mergeCell ref="A329:J329"/>
    <mergeCell ref="K329:N329"/>
    <mergeCell ref="A332:A339"/>
    <mergeCell ref="L338:N338"/>
    <mergeCell ref="A342:J342"/>
    <mergeCell ref="K342:N342"/>
    <mergeCell ref="A311:J311"/>
    <mergeCell ref="A313:J313"/>
    <mergeCell ref="K313:N313"/>
    <mergeCell ref="A315:A326"/>
    <mergeCell ref="L325:N325"/>
    <mergeCell ref="A213:J213"/>
    <mergeCell ref="K213:N213"/>
    <mergeCell ref="A304:B304"/>
    <mergeCell ref="A268:H269"/>
    <mergeCell ref="A280:H281"/>
    <mergeCell ref="A300:B300"/>
    <mergeCell ref="A301:B301"/>
    <mergeCell ref="A302:B302"/>
    <mergeCell ref="A303:B303"/>
    <mergeCell ref="A240:A246"/>
    <mergeCell ref="K247:M247"/>
    <mergeCell ref="A251:H252"/>
    <mergeCell ref="A228:J228"/>
    <mergeCell ref="K228:N228"/>
    <mergeCell ref="A230:A236"/>
    <mergeCell ref="L236:N236"/>
    <mergeCell ref="A239:J239"/>
    <mergeCell ref="K239:N239"/>
    <mergeCell ref="A218:A225"/>
    <mergeCell ref="L224:N224"/>
    <mergeCell ref="K100:N100"/>
    <mergeCell ref="A83:J83"/>
    <mergeCell ref="A85:J85"/>
    <mergeCell ref="K85:N85"/>
    <mergeCell ref="L96:N96"/>
    <mergeCell ref="A88:A97"/>
    <mergeCell ref="K4:N4"/>
    <mergeCell ref="A6:A9"/>
    <mergeCell ref="L9:N9"/>
    <mergeCell ref="A11:J11"/>
    <mergeCell ref="K11:N11"/>
    <mergeCell ref="L18:N18"/>
    <mergeCell ref="A20:J20"/>
    <mergeCell ref="K20:N20"/>
    <mergeCell ref="A21:A25"/>
    <mergeCell ref="L25:N25"/>
    <mergeCell ref="A2:J2"/>
    <mergeCell ref="A4:J4"/>
    <mergeCell ref="A14:A18"/>
    <mergeCell ref="A72:B72"/>
    <mergeCell ref="A28:H29"/>
    <mergeCell ref="A73:B73"/>
    <mergeCell ref="A74:B74"/>
    <mergeCell ref="A100:J100"/>
    <mergeCell ref="A45:H46"/>
    <mergeCell ref="A53:H54"/>
    <mergeCell ref="A62:H63"/>
    <mergeCell ref="A75:B75"/>
    <mergeCell ref="L110:N110"/>
    <mergeCell ref="A114:J114"/>
    <mergeCell ref="K114:N114"/>
    <mergeCell ref="A102:A111"/>
    <mergeCell ref="A211:J211"/>
    <mergeCell ref="K124:M124"/>
    <mergeCell ref="A129:H130"/>
    <mergeCell ref="A142:H143"/>
    <mergeCell ref="A155:H156"/>
    <mergeCell ref="A176:H177"/>
    <mergeCell ref="A201:B201"/>
    <mergeCell ref="A202:B202"/>
    <mergeCell ref="A203:B203"/>
    <mergeCell ref="A115:A125"/>
    <mergeCell ref="A140:I140"/>
    <mergeCell ref="A204:B204"/>
  </mergeCells>
  <pageMargins left="0.7" right="0.7" top="0.75" bottom="0.75" header="0.3" footer="0.3"/>
  <pageSetup paperSize="9" fitToWidth="0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D02A-F051-41B8-B711-CF8DAB70B1B4}">
  <sheetPr>
    <pageSetUpPr fitToPage="1"/>
  </sheetPr>
  <dimension ref="A2:L1366"/>
  <sheetViews>
    <sheetView topLeftCell="A1342" workbookViewId="0">
      <selection activeCell="A1365" sqref="A1343:J1366"/>
    </sheetView>
  </sheetViews>
  <sheetFormatPr baseColWidth="10" defaultColWidth="8.88671875" defaultRowHeight="14.4" x14ac:dyDescent="0.3"/>
  <cols>
    <col min="1" max="1" width="17" customWidth="1"/>
    <col min="7" max="7" width="13" customWidth="1"/>
  </cols>
  <sheetData>
    <row r="2" spans="1:10" x14ac:dyDescent="0.3">
      <c r="A2" s="246" t="s">
        <v>3988</v>
      </c>
      <c r="B2" s="247" t="s">
        <v>3988</v>
      </c>
      <c r="C2" s="3895" t="s">
        <v>5267</v>
      </c>
      <c r="D2" s="3895"/>
      <c r="E2" s="3895"/>
      <c r="F2" s="3896"/>
      <c r="G2" s="247" t="s">
        <v>3988</v>
      </c>
      <c r="H2" s="1789" t="s">
        <v>3988</v>
      </c>
      <c r="I2" s="1789" t="s">
        <v>3988</v>
      </c>
      <c r="J2" s="248" t="s">
        <v>3988</v>
      </c>
    </row>
    <row r="3" spans="1:10" ht="15.6" x14ac:dyDescent="0.3">
      <c r="A3" s="249" t="s">
        <v>3988</v>
      </c>
      <c r="B3" s="231"/>
      <c r="C3" s="3897" t="s">
        <v>3986</v>
      </c>
      <c r="D3" s="3897"/>
      <c r="E3" s="3897"/>
      <c r="F3" s="3898"/>
      <c r="G3" s="1790" t="s">
        <v>3988</v>
      </c>
      <c r="H3" s="3899" t="s">
        <v>5268</v>
      </c>
      <c r="I3" s="3899"/>
      <c r="J3" s="250" t="s">
        <v>3988</v>
      </c>
    </row>
    <row r="4" spans="1:10" ht="17.399999999999999" x14ac:dyDescent="0.3">
      <c r="A4" s="249" t="s">
        <v>3988</v>
      </c>
      <c r="B4" s="232"/>
      <c r="C4" s="3901" t="s">
        <v>5269</v>
      </c>
      <c r="D4" s="3901"/>
      <c r="E4" s="3901"/>
      <c r="F4" s="3902"/>
      <c r="G4" s="233" t="s">
        <v>5270</v>
      </c>
      <c r="H4" s="3900"/>
      <c r="I4" s="3900"/>
      <c r="J4" s="250" t="s">
        <v>3988</v>
      </c>
    </row>
    <row r="5" spans="1:10" x14ac:dyDescent="0.3">
      <c r="A5" s="249" t="s">
        <v>3988</v>
      </c>
      <c r="B5" s="232" t="s">
        <v>3988</v>
      </c>
      <c r="C5" s="3903" t="s">
        <v>5271</v>
      </c>
      <c r="D5" s="3903"/>
      <c r="E5" s="3903"/>
      <c r="F5" s="3904"/>
      <c r="G5" s="1790" t="s">
        <v>3988</v>
      </c>
      <c r="H5" s="234" t="s">
        <v>3988</v>
      </c>
      <c r="I5" s="234" t="s">
        <v>3988</v>
      </c>
      <c r="J5" s="251" t="s">
        <v>3988</v>
      </c>
    </row>
    <row r="6" spans="1:10" ht="31.8" x14ac:dyDescent="0.3">
      <c r="A6" s="242" t="s">
        <v>5272</v>
      </c>
      <c r="B6" s="245" t="s">
        <v>3988</v>
      </c>
      <c r="C6" s="547" t="s">
        <v>5273</v>
      </c>
      <c r="D6" s="243"/>
      <c r="E6" s="244"/>
      <c r="F6" s="241" t="s">
        <v>5274</v>
      </c>
      <c r="G6" s="240" t="s">
        <v>5275</v>
      </c>
      <c r="H6" s="1791" t="s">
        <v>5276</v>
      </c>
      <c r="I6" s="1791" t="s">
        <v>5277</v>
      </c>
      <c r="J6" s="252" t="s">
        <v>5278</v>
      </c>
    </row>
    <row r="7" spans="1:10" x14ac:dyDescent="0.3">
      <c r="A7" s="3908"/>
      <c r="B7" s="3909"/>
      <c r="C7" s="3909"/>
      <c r="D7" s="3909"/>
      <c r="E7" s="3910"/>
      <c r="F7" s="3911"/>
      <c r="G7" s="3912"/>
      <c r="H7" s="256">
        <v>20</v>
      </c>
      <c r="I7" s="256">
        <v>1</v>
      </c>
      <c r="J7" s="257">
        <v>2021</v>
      </c>
    </row>
    <row r="8" spans="1:10" x14ac:dyDescent="0.3">
      <c r="A8" s="3913" t="s">
        <v>5279</v>
      </c>
      <c r="B8" s="3914"/>
      <c r="C8" s="3914"/>
      <c r="D8" s="3914"/>
      <c r="E8" s="3915"/>
      <c r="F8" s="258" t="s">
        <v>5280</v>
      </c>
      <c r="G8" s="1787" t="s">
        <v>3988</v>
      </c>
      <c r="H8" s="259" t="s">
        <v>5281</v>
      </c>
      <c r="I8" s="260" t="s">
        <v>3988</v>
      </c>
      <c r="J8" s="261" t="s">
        <v>3988</v>
      </c>
    </row>
    <row r="9" spans="1:10" x14ac:dyDescent="0.3">
      <c r="A9" s="3913" t="s">
        <v>5282</v>
      </c>
      <c r="B9" s="3914"/>
      <c r="C9" s="3914"/>
      <c r="D9" s="3914"/>
      <c r="E9" s="3915"/>
      <c r="F9" s="3911" t="s">
        <v>5283</v>
      </c>
      <c r="G9" s="3912"/>
      <c r="H9" s="3911" t="s">
        <v>125</v>
      </c>
      <c r="I9" s="3911"/>
      <c r="J9" s="3916"/>
    </row>
    <row r="10" spans="1:10" x14ac:dyDescent="0.3">
      <c r="A10" s="262" t="s">
        <v>5284</v>
      </c>
      <c r="B10" s="3911" t="s">
        <v>5285</v>
      </c>
      <c r="C10" s="3911"/>
      <c r="D10" s="3911"/>
      <c r="E10" s="3912"/>
      <c r="F10" s="3917" t="s">
        <v>3752</v>
      </c>
      <c r="G10" s="3918"/>
      <c r="H10" s="3911" t="s">
        <v>5286</v>
      </c>
      <c r="I10" s="3911"/>
      <c r="J10" s="3916"/>
    </row>
    <row r="11" spans="1:10" x14ac:dyDescent="0.3">
      <c r="A11" s="263">
        <v>4</v>
      </c>
      <c r="B11" s="3887" t="s">
        <v>4002</v>
      </c>
      <c r="C11" s="3887"/>
      <c r="D11" s="3887"/>
      <c r="E11" s="3887"/>
      <c r="F11" s="3888">
        <v>1000</v>
      </c>
      <c r="G11" s="3889"/>
      <c r="H11" s="3887">
        <f>F11*A11</f>
        <v>4000</v>
      </c>
      <c r="I11" s="3887"/>
      <c r="J11" s="3890"/>
    </row>
    <row r="12" spans="1:10" x14ac:dyDescent="0.3">
      <c r="A12" s="263" t="s">
        <v>3988</v>
      </c>
      <c r="B12" s="3887" t="s">
        <v>3988</v>
      </c>
      <c r="C12" s="3887"/>
      <c r="D12" s="3887"/>
      <c r="E12" s="3887"/>
      <c r="F12" s="3888" t="s">
        <v>3988</v>
      </c>
      <c r="G12" s="3889"/>
      <c r="H12" s="3887" t="s">
        <v>3988</v>
      </c>
      <c r="I12" s="3887"/>
      <c r="J12" s="3890"/>
    </row>
    <row r="13" spans="1:10" x14ac:dyDescent="0.3">
      <c r="A13" s="263" t="s">
        <v>3988</v>
      </c>
      <c r="B13" s="264" t="s">
        <v>3988</v>
      </c>
      <c r="C13" s="264" t="s">
        <v>3988</v>
      </c>
      <c r="D13" s="264" t="s">
        <v>3988</v>
      </c>
      <c r="E13" s="264" t="s">
        <v>3988</v>
      </c>
      <c r="F13" s="3888" t="s">
        <v>3988</v>
      </c>
      <c r="G13" s="3889"/>
      <c r="H13" s="3887" t="s">
        <v>5287</v>
      </c>
      <c r="I13" s="3887"/>
      <c r="J13" s="3890"/>
    </row>
    <row r="14" spans="1:10" x14ac:dyDescent="0.3">
      <c r="A14" s="253" t="s">
        <v>3988</v>
      </c>
      <c r="B14" s="236" t="s">
        <v>3988</v>
      </c>
      <c r="C14" s="236" t="s">
        <v>3988</v>
      </c>
      <c r="D14" s="236" t="s">
        <v>3988</v>
      </c>
      <c r="E14" s="236" t="s">
        <v>3988</v>
      </c>
      <c r="F14" s="3891" t="s">
        <v>3988</v>
      </c>
      <c r="G14" s="3892"/>
      <c r="H14" s="3893" t="s">
        <v>5287</v>
      </c>
      <c r="I14" s="3893"/>
      <c r="J14" s="3894"/>
    </row>
    <row r="15" spans="1:10" x14ac:dyDescent="0.3">
      <c r="A15" s="253" t="s">
        <v>3988</v>
      </c>
      <c r="B15" s="236" t="s">
        <v>3988</v>
      </c>
      <c r="C15" s="236" t="s">
        <v>3988</v>
      </c>
      <c r="D15" s="236" t="s">
        <v>3988</v>
      </c>
      <c r="E15" s="236" t="s">
        <v>3988</v>
      </c>
      <c r="F15" s="3891" t="s">
        <v>3988</v>
      </c>
      <c r="G15" s="3892"/>
      <c r="H15" s="3893" t="s">
        <v>5287</v>
      </c>
      <c r="I15" s="3893"/>
      <c r="J15" s="3894"/>
    </row>
    <row r="16" spans="1:10" x14ac:dyDescent="0.3">
      <c r="A16" s="253" t="s">
        <v>3988</v>
      </c>
      <c r="B16" s="236" t="s">
        <v>3988</v>
      </c>
      <c r="C16" s="236" t="s">
        <v>3988</v>
      </c>
      <c r="D16" s="236" t="s">
        <v>3988</v>
      </c>
      <c r="E16" s="236" t="s">
        <v>3988</v>
      </c>
      <c r="F16" s="3891" t="s">
        <v>3988</v>
      </c>
      <c r="G16" s="3892"/>
      <c r="H16" s="3893" t="s">
        <v>5287</v>
      </c>
      <c r="I16" s="3893"/>
      <c r="J16" s="3894"/>
    </row>
    <row r="17" spans="1:10" x14ac:dyDescent="0.3">
      <c r="A17" s="253" t="s">
        <v>3988</v>
      </c>
      <c r="B17" s="236" t="s">
        <v>3988</v>
      </c>
      <c r="C17" s="236" t="s">
        <v>3988</v>
      </c>
      <c r="D17" s="236" t="s">
        <v>3988</v>
      </c>
      <c r="E17" s="236" t="s">
        <v>3988</v>
      </c>
      <c r="F17" s="3891" t="s">
        <v>3988</v>
      </c>
      <c r="G17" s="3892"/>
      <c r="H17" s="3893" t="s">
        <v>5287</v>
      </c>
      <c r="I17" s="3893"/>
      <c r="J17" s="3894"/>
    </row>
    <row r="18" spans="1:10" x14ac:dyDescent="0.3">
      <c r="A18" s="253" t="s">
        <v>3988</v>
      </c>
      <c r="B18" s="236" t="s">
        <v>3988</v>
      </c>
      <c r="C18" s="236" t="s">
        <v>3988</v>
      </c>
      <c r="D18" s="236" t="s">
        <v>3988</v>
      </c>
      <c r="E18" s="236" t="s">
        <v>3988</v>
      </c>
      <c r="F18" s="3891" t="s">
        <v>3988</v>
      </c>
      <c r="G18" s="3892"/>
      <c r="H18" s="3893" t="s">
        <v>5287</v>
      </c>
      <c r="I18" s="3893"/>
      <c r="J18" s="3894"/>
    </row>
    <row r="19" spans="1:10" x14ac:dyDescent="0.3">
      <c r="A19" s="253" t="s">
        <v>3988</v>
      </c>
      <c r="B19" s="236" t="s">
        <v>3988</v>
      </c>
      <c r="C19" s="236" t="s">
        <v>3988</v>
      </c>
      <c r="D19" s="236" t="s">
        <v>3988</v>
      </c>
      <c r="E19" s="236" t="s">
        <v>3988</v>
      </c>
      <c r="F19" s="3891" t="s">
        <v>3988</v>
      </c>
      <c r="G19" s="3892"/>
      <c r="H19" s="3893" t="s">
        <v>5287</v>
      </c>
      <c r="I19" s="3893"/>
      <c r="J19" s="3894"/>
    </row>
    <row r="20" spans="1:10" x14ac:dyDescent="0.3">
      <c r="A20" s="1788" t="s">
        <v>3753</v>
      </c>
      <c r="B20" s="235" t="s">
        <v>3988</v>
      </c>
      <c r="C20" s="235" t="s">
        <v>3988</v>
      </c>
      <c r="D20" s="235" t="s">
        <v>3988</v>
      </c>
      <c r="E20" s="3859" t="s">
        <v>5288</v>
      </c>
      <c r="F20" s="3860"/>
      <c r="G20" s="3861">
        <f>H11</f>
        <v>4000</v>
      </c>
      <c r="H20" s="3861"/>
      <c r="I20" s="3862"/>
      <c r="J20" s="254"/>
    </row>
    <row r="21" spans="1:10" x14ac:dyDescent="0.3">
      <c r="A21" s="255" t="s">
        <v>3988</v>
      </c>
      <c r="B21" s="237" t="s">
        <v>3988</v>
      </c>
      <c r="C21" s="237" t="s">
        <v>3988</v>
      </c>
      <c r="D21" s="237" t="s">
        <v>3988</v>
      </c>
      <c r="E21" s="237" t="s">
        <v>3988</v>
      </c>
      <c r="F21" s="238" t="s">
        <v>5289</v>
      </c>
      <c r="G21" s="239" t="s">
        <v>5290</v>
      </c>
      <c r="H21" s="3863" t="s">
        <v>5291</v>
      </c>
      <c r="I21" s="3863"/>
      <c r="J21" s="3864"/>
    </row>
    <row r="22" spans="1:10" x14ac:dyDescent="0.3">
      <c r="A22" s="3865" t="s">
        <v>5292</v>
      </c>
      <c r="B22" s="3866"/>
      <c r="C22" s="3866"/>
      <c r="D22" s="3866"/>
      <c r="E22" s="3867"/>
      <c r="F22" s="3871" t="s">
        <v>5293</v>
      </c>
      <c r="G22" s="3872"/>
      <c r="H22" s="3875">
        <f>G20</f>
        <v>4000</v>
      </c>
      <c r="I22" s="3876"/>
      <c r="J22" s="3877"/>
    </row>
    <row r="23" spans="1:10" x14ac:dyDescent="0.3">
      <c r="A23" s="3868"/>
      <c r="B23" s="3869"/>
      <c r="C23" s="3869"/>
      <c r="D23" s="3869"/>
      <c r="E23" s="3870"/>
      <c r="F23" s="3873"/>
      <c r="G23" s="3874"/>
      <c r="H23" s="3878"/>
      <c r="I23" s="3879"/>
      <c r="J23" s="3880"/>
    </row>
    <row r="24" spans="1:10" x14ac:dyDescent="0.3">
      <c r="A24" s="3881" t="s">
        <v>5294</v>
      </c>
      <c r="B24" s="3882"/>
      <c r="C24" s="3882"/>
      <c r="D24" s="3882"/>
      <c r="E24" s="3882"/>
      <c r="F24" s="3882"/>
      <c r="G24" s="3882"/>
      <c r="H24" s="3882"/>
      <c r="I24" s="3882"/>
      <c r="J24" s="3883"/>
    </row>
    <row r="25" spans="1:10" x14ac:dyDescent="0.3">
      <c r="A25" s="3884"/>
      <c r="B25" s="3885"/>
      <c r="C25" s="3885"/>
      <c r="D25" s="3885"/>
      <c r="E25" s="3885"/>
      <c r="F25" s="3885"/>
      <c r="G25" s="3885"/>
      <c r="H25" s="3885"/>
      <c r="I25" s="3885"/>
      <c r="J25" s="3886"/>
    </row>
    <row r="29" spans="1:10" x14ac:dyDescent="0.3">
      <c r="A29" s="246" t="s">
        <v>3988</v>
      </c>
      <c r="B29" s="247" t="s">
        <v>3988</v>
      </c>
      <c r="C29" s="3895" t="s">
        <v>5267</v>
      </c>
      <c r="D29" s="3895"/>
      <c r="E29" s="3895"/>
      <c r="F29" s="3896"/>
      <c r="G29" s="247" t="s">
        <v>3988</v>
      </c>
      <c r="H29" s="1789" t="s">
        <v>3988</v>
      </c>
      <c r="I29" s="1789" t="s">
        <v>3988</v>
      </c>
      <c r="J29" s="248" t="s">
        <v>3988</v>
      </c>
    </row>
    <row r="30" spans="1:10" ht="15.6" x14ac:dyDescent="0.3">
      <c r="A30" s="249" t="s">
        <v>3988</v>
      </c>
      <c r="B30" s="231"/>
      <c r="C30" s="3897" t="s">
        <v>3986</v>
      </c>
      <c r="D30" s="3897"/>
      <c r="E30" s="3897"/>
      <c r="F30" s="3898"/>
      <c r="G30" s="1790" t="s">
        <v>3988</v>
      </c>
      <c r="H30" s="3899" t="s">
        <v>5295</v>
      </c>
      <c r="I30" s="3899"/>
      <c r="J30" s="250" t="s">
        <v>3988</v>
      </c>
    </row>
    <row r="31" spans="1:10" ht="17.399999999999999" x14ac:dyDescent="0.3">
      <c r="A31" s="249" t="s">
        <v>3988</v>
      </c>
      <c r="B31" s="232"/>
      <c r="C31" s="3901" t="s">
        <v>5269</v>
      </c>
      <c r="D31" s="3901"/>
      <c r="E31" s="3901"/>
      <c r="F31" s="3902"/>
      <c r="G31" s="233" t="s">
        <v>5270</v>
      </c>
      <c r="H31" s="3900"/>
      <c r="I31" s="3900"/>
      <c r="J31" s="250" t="s">
        <v>3988</v>
      </c>
    </row>
    <row r="32" spans="1:10" x14ac:dyDescent="0.3">
      <c r="A32" s="249" t="s">
        <v>3988</v>
      </c>
      <c r="B32" s="232" t="s">
        <v>3988</v>
      </c>
      <c r="C32" s="3903" t="s">
        <v>5271</v>
      </c>
      <c r="D32" s="3903"/>
      <c r="E32" s="3903"/>
      <c r="F32" s="3904"/>
      <c r="G32" s="1790" t="s">
        <v>3988</v>
      </c>
      <c r="H32" s="234" t="s">
        <v>3988</v>
      </c>
      <c r="I32" s="234" t="s">
        <v>3988</v>
      </c>
      <c r="J32" s="251" t="s">
        <v>3988</v>
      </c>
    </row>
    <row r="33" spans="1:10" ht="31.8" x14ac:dyDescent="0.3">
      <c r="A33" s="242" t="s">
        <v>5272</v>
      </c>
      <c r="B33" s="245" t="s">
        <v>3988</v>
      </c>
      <c r="C33" s="548" t="s">
        <v>5296</v>
      </c>
      <c r="D33" s="243"/>
      <c r="E33" s="244"/>
      <c r="F33" s="241" t="s">
        <v>5274</v>
      </c>
      <c r="G33" s="240" t="s">
        <v>4004</v>
      </c>
      <c r="H33" s="1791" t="s">
        <v>5276</v>
      </c>
      <c r="I33" s="1791" t="s">
        <v>5277</v>
      </c>
      <c r="J33" s="252" t="s">
        <v>5278</v>
      </c>
    </row>
    <row r="34" spans="1:10" x14ac:dyDescent="0.3">
      <c r="A34" s="3908"/>
      <c r="B34" s="3909"/>
      <c r="C34" s="3909"/>
      <c r="D34" s="3909"/>
      <c r="E34" s="3910"/>
      <c r="F34" s="3911"/>
      <c r="G34" s="3912"/>
      <c r="H34" s="256">
        <v>27</v>
      </c>
      <c r="I34" s="256">
        <v>1</v>
      </c>
      <c r="J34" s="257">
        <v>2021</v>
      </c>
    </row>
    <row r="35" spans="1:10" x14ac:dyDescent="0.3">
      <c r="A35" s="3913" t="s">
        <v>5279</v>
      </c>
      <c r="B35" s="3914"/>
      <c r="C35" s="3914"/>
      <c r="D35" s="3914"/>
      <c r="E35" s="3915"/>
      <c r="F35" s="258" t="s">
        <v>5280</v>
      </c>
      <c r="G35" s="1787" t="s">
        <v>3988</v>
      </c>
      <c r="H35" s="259" t="s">
        <v>5281</v>
      </c>
      <c r="I35" s="260" t="s">
        <v>3988</v>
      </c>
      <c r="J35" s="261" t="s">
        <v>3988</v>
      </c>
    </row>
    <row r="36" spans="1:10" x14ac:dyDescent="0.3">
      <c r="A36" s="3913" t="s">
        <v>5297</v>
      </c>
      <c r="B36" s="3914"/>
      <c r="C36" s="3914"/>
      <c r="D36" s="3914"/>
      <c r="E36" s="3915"/>
      <c r="F36" s="3911">
        <v>2998351</v>
      </c>
      <c r="G36" s="3912"/>
      <c r="H36" s="3911" t="s">
        <v>125</v>
      </c>
      <c r="I36" s="3911"/>
      <c r="J36" s="3916"/>
    </row>
    <row r="37" spans="1:10" x14ac:dyDescent="0.3">
      <c r="A37" s="262" t="s">
        <v>5284</v>
      </c>
      <c r="B37" s="3911" t="s">
        <v>5285</v>
      </c>
      <c r="C37" s="3911"/>
      <c r="D37" s="3911"/>
      <c r="E37" s="3912"/>
      <c r="F37" s="3917" t="s">
        <v>3752</v>
      </c>
      <c r="G37" s="3918"/>
      <c r="H37" s="3911" t="s">
        <v>5286</v>
      </c>
      <c r="I37" s="3911"/>
      <c r="J37" s="3916"/>
    </row>
    <row r="38" spans="1:10" x14ac:dyDescent="0.3">
      <c r="A38" s="263">
        <v>2</v>
      </c>
      <c r="B38" s="3887" t="s">
        <v>4002</v>
      </c>
      <c r="C38" s="3887"/>
      <c r="D38" s="3887"/>
      <c r="E38" s="3887"/>
      <c r="F38" s="3888">
        <v>1500</v>
      </c>
      <c r="G38" s="3889"/>
      <c r="H38" s="3887">
        <f>A38*F38</f>
        <v>3000</v>
      </c>
      <c r="I38" s="3887"/>
      <c r="J38" s="3890"/>
    </row>
    <row r="39" spans="1:10" x14ac:dyDescent="0.3">
      <c r="A39" s="263" t="s">
        <v>3988</v>
      </c>
      <c r="B39" s="3887" t="s">
        <v>3988</v>
      </c>
      <c r="C39" s="3887"/>
      <c r="D39" s="3887"/>
      <c r="E39" s="3887"/>
      <c r="F39" s="3888" t="s">
        <v>3988</v>
      </c>
      <c r="G39" s="3889"/>
      <c r="H39" s="3887" t="s">
        <v>3988</v>
      </c>
      <c r="I39" s="3887"/>
      <c r="J39" s="3890"/>
    </row>
    <row r="40" spans="1:10" x14ac:dyDescent="0.3">
      <c r="A40" s="263" t="s">
        <v>3988</v>
      </c>
      <c r="B40" s="264" t="s">
        <v>3988</v>
      </c>
      <c r="C40" s="264" t="s">
        <v>3988</v>
      </c>
      <c r="D40" s="264" t="s">
        <v>3988</v>
      </c>
      <c r="E40" s="264" t="s">
        <v>3988</v>
      </c>
      <c r="F40" s="3888" t="s">
        <v>3988</v>
      </c>
      <c r="G40" s="3889"/>
      <c r="H40" s="3887" t="s">
        <v>5287</v>
      </c>
      <c r="I40" s="3887"/>
      <c r="J40" s="3890"/>
    </row>
    <row r="41" spans="1:10" x14ac:dyDescent="0.3">
      <c r="A41" s="253" t="s">
        <v>3988</v>
      </c>
      <c r="B41" s="236" t="s">
        <v>3988</v>
      </c>
      <c r="C41" s="236" t="s">
        <v>3988</v>
      </c>
      <c r="D41" s="236" t="s">
        <v>3988</v>
      </c>
      <c r="E41" s="236" t="s">
        <v>3988</v>
      </c>
      <c r="F41" s="3891" t="s">
        <v>3988</v>
      </c>
      <c r="G41" s="3892"/>
      <c r="H41" s="3893" t="s">
        <v>5287</v>
      </c>
      <c r="I41" s="3893"/>
      <c r="J41" s="3894"/>
    </row>
    <row r="42" spans="1:10" x14ac:dyDescent="0.3">
      <c r="A42" s="253" t="s">
        <v>3988</v>
      </c>
      <c r="B42" s="236" t="s">
        <v>3988</v>
      </c>
      <c r="C42" s="236" t="s">
        <v>3988</v>
      </c>
      <c r="D42" s="236" t="s">
        <v>3988</v>
      </c>
      <c r="E42" s="236" t="s">
        <v>3988</v>
      </c>
      <c r="F42" s="3891" t="s">
        <v>3988</v>
      </c>
      <c r="G42" s="3892"/>
      <c r="H42" s="3893" t="s">
        <v>5287</v>
      </c>
      <c r="I42" s="3893"/>
      <c r="J42" s="3894"/>
    </row>
    <row r="43" spans="1:10" x14ac:dyDescent="0.3">
      <c r="A43" s="253" t="s">
        <v>3988</v>
      </c>
      <c r="B43" s="236" t="s">
        <v>3988</v>
      </c>
      <c r="C43" s="236" t="s">
        <v>3988</v>
      </c>
      <c r="D43" s="236" t="s">
        <v>3988</v>
      </c>
      <c r="E43" s="236" t="s">
        <v>3988</v>
      </c>
      <c r="F43" s="3891" t="s">
        <v>3988</v>
      </c>
      <c r="G43" s="3892"/>
      <c r="H43" s="3893" t="s">
        <v>5287</v>
      </c>
      <c r="I43" s="3893"/>
      <c r="J43" s="3894"/>
    </row>
    <row r="44" spans="1:10" x14ac:dyDescent="0.3">
      <c r="A44" s="253" t="s">
        <v>3988</v>
      </c>
      <c r="B44" s="236" t="s">
        <v>3988</v>
      </c>
      <c r="C44" s="236" t="s">
        <v>3988</v>
      </c>
      <c r="D44" s="236" t="s">
        <v>3988</v>
      </c>
      <c r="E44" s="236" t="s">
        <v>3988</v>
      </c>
      <c r="F44" s="3891" t="s">
        <v>3988</v>
      </c>
      <c r="G44" s="3892"/>
      <c r="H44" s="3893" t="s">
        <v>5287</v>
      </c>
      <c r="I44" s="3893"/>
      <c r="J44" s="3894"/>
    </row>
    <row r="45" spans="1:10" x14ac:dyDescent="0.3">
      <c r="A45" s="253" t="s">
        <v>3988</v>
      </c>
      <c r="B45" s="236" t="s">
        <v>3988</v>
      </c>
      <c r="C45" s="236" t="s">
        <v>3988</v>
      </c>
      <c r="D45" s="236" t="s">
        <v>3988</v>
      </c>
      <c r="E45" s="236" t="s">
        <v>3988</v>
      </c>
      <c r="F45" s="3891" t="s">
        <v>3988</v>
      </c>
      <c r="G45" s="3892"/>
      <c r="H45" s="3893" t="s">
        <v>5287</v>
      </c>
      <c r="I45" s="3893"/>
      <c r="J45" s="3894"/>
    </row>
    <row r="46" spans="1:10" x14ac:dyDescent="0.3">
      <c r="A46" s="253" t="s">
        <v>3988</v>
      </c>
      <c r="B46" s="236" t="s">
        <v>3988</v>
      </c>
      <c r="C46" s="236" t="s">
        <v>3988</v>
      </c>
      <c r="D46" s="236" t="s">
        <v>3988</v>
      </c>
      <c r="E46" s="236" t="s">
        <v>3988</v>
      </c>
      <c r="F46" s="3891" t="s">
        <v>3988</v>
      </c>
      <c r="G46" s="3892"/>
      <c r="H46" s="3893" t="s">
        <v>5287</v>
      </c>
      <c r="I46" s="3893"/>
      <c r="J46" s="3894"/>
    </row>
    <row r="47" spans="1:10" x14ac:dyDescent="0.3">
      <c r="A47" s="1788" t="s">
        <v>3753</v>
      </c>
      <c r="B47" s="235" t="s">
        <v>3988</v>
      </c>
      <c r="C47" s="235" t="s">
        <v>3988</v>
      </c>
      <c r="D47" s="235" t="s">
        <v>3988</v>
      </c>
      <c r="E47" s="3859" t="s">
        <v>5288</v>
      </c>
      <c r="F47" s="3860"/>
      <c r="G47" s="3861">
        <f>H38</f>
        <v>3000</v>
      </c>
      <c r="H47" s="3861"/>
      <c r="I47" s="3862"/>
      <c r="J47" s="254"/>
    </row>
    <row r="48" spans="1:10" x14ac:dyDescent="0.3">
      <c r="A48" s="255" t="s">
        <v>3988</v>
      </c>
      <c r="B48" s="237" t="s">
        <v>3988</v>
      </c>
      <c r="C48" s="237" t="s">
        <v>3988</v>
      </c>
      <c r="D48" s="237" t="s">
        <v>3988</v>
      </c>
      <c r="E48" s="237" t="s">
        <v>3988</v>
      </c>
      <c r="F48" s="238" t="s">
        <v>5289</v>
      </c>
      <c r="G48" s="239" t="s">
        <v>5290</v>
      </c>
      <c r="H48" s="3863" t="s">
        <v>5291</v>
      </c>
      <c r="I48" s="3863"/>
      <c r="J48" s="3864"/>
    </row>
    <row r="49" spans="1:10" x14ac:dyDescent="0.3">
      <c r="A49" s="3865" t="s">
        <v>5292</v>
      </c>
      <c r="B49" s="3866"/>
      <c r="C49" s="3866"/>
      <c r="D49" s="3866"/>
      <c r="E49" s="3867"/>
      <c r="F49" s="3871" t="s">
        <v>5293</v>
      </c>
      <c r="G49" s="3872"/>
      <c r="H49" s="3875">
        <f>G47</f>
        <v>3000</v>
      </c>
      <c r="I49" s="3876"/>
      <c r="J49" s="3877"/>
    </row>
    <row r="50" spans="1:10" x14ac:dyDescent="0.3">
      <c r="A50" s="3868"/>
      <c r="B50" s="3869"/>
      <c r="C50" s="3869"/>
      <c r="D50" s="3869"/>
      <c r="E50" s="3870"/>
      <c r="F50" s="3873"/>
      <c r="G50" s="3874"/>
      <c r="H50" s="3878"/>
      <c r="I50" s="3879"/>
      <c r="J50" s="3880"/>
    </row>
    <row r="51" spans="1:10" x14ac:dyDescent="0.3">
      <c r="A51" s="3881" t="s">
        <v>5294</v>
      </c>
      <c r="B51" s="3882"/>
      <c r="C51" s="3882"/>
      <c r="D51" s="3882"/>
      <c r="E51" s="3882"/>
      <c r="F51" s="3882"/>
      <c r="G51" s="3882"/>
      <c r="H51" s="3882"/>
      <c r="I51" s="3882"/>
      <c r="J51" s="3883"/>
    </row>
    <row r="52" spans="1:10" x14ac:dyDescent="0.3">
      <c r="A52" s="3884"/>
      <c r="B52" s="3885"/>
      <c r="C52" s="3885"/>
      <c r="D52" s="3885"/>
      <c r="E52" s="3885"/>
      <c r="F52" s="3885"/>
      <c r="G52" s="3885"/>
      <c r="H52" s="3885"/>
      <c r="I52" s="3885"/>
      <c r="J52" s="3886"/>
    </row>
    <row r="56" spans="1:10" x14ac:dyDescent="0.3">
      <c r="A56" s="246" t="s">
        <v>3988</v>
      </c>
      <c r="B56" s="247" t="s">
        <v>3988</v>
      </c>
      <c r="C56" s="3895" t="s">
        <v>5267</v>
      </c>
      <c r="D56" s="3895"/>
      <c r="E56" s="3895"/>
      <c r="F56" s="3896"/>
      <c r="G56" s="247" t="s">
        <v>3988</v>
      </c>
      <c r="H56" s="1789" t="s">
        <v>3988</v>
      </c>
      <c r="I56" s="1789" t="s">
        <v>3988</v>
      </c>
      <c r="J56" s="248" t="s">
        <v>3988</v>
      </c>
    </row>
    <row r="57" spans="1:10" ht="15.6" x14ac:dyDescent="0.3">
      <c r="A57" s="249" t="s">
        <v>3988</v>
      </c>
      <c r="B57" s="231"/>
      <c r="C57" s="3897" t="s">
        <v>3986</v>
      </c>
      <c r="D57" s="3897"/>
      <c r="E57" s="3897"/>
      <c r="F57" s="3898"/>
      <c r="G57" s="1790" t="s">
        <v>3988</v>
      </c>
      <c r="H57" s="3899" t="s">
        <v>5298</v>
      </c>
      <c r="I57" s="3899"/>
      <c r="J57" s="250" t="s">
        <v>3988</v>
      </c>
    </row>
    <row r="58" spans="1:10" ht="17.399999999999999" x14ac:dyDescent="0.3">
      <c r="A58" s="249" t="s">
        <v>3988</v>
      </c>
      <c r="B58" s="232"/>
      <c r="C58" s="3901" t="s">
        <v>5269</v>
      </c>
      <c r="D58" s="3901"/>
      <c r="E58" s="3901"/>
      <c r="F58" s="3902"/>
      <c r="G58" s="233" t="s">
        <v>5270</v>
      </c>
      <c r="H58" s="3900"/>
      <c r="I58" s="3900"/>
      <c r="J58" s="250" t="s">
        <v>3988</v>
      </c>
    </row>
    <row r="59" spans="1:10" x14ac:dyDescent="0.3">
      <c r="A59" s="249" t="s">
        <v>3988</v>
      </c>
      <c r="B59" s="232" t="s">
        <v>3988</v>
      </c>
      <c r="C59" s="3903" t="s">
        <v>5271</v>
      </c>
      <c r="D59" s="3903"/>
      <c r="E59" s="3903"/>
      <c r="F59" s="3904"/>
      <c r="G59" s="1790" t="s">
        <v>3988</v>
      </c>
      <c r="H59" s="234" t="s">
        <v>3988</v>
      </c>
      <c r="I59" s="234" t="s">
        <v>3988</v>
      </c>
      <c r="J59" s="251" t="s">
        <v>3988</v>
      </c>
    </row>
    <row r="60" spans="1:10" ht="31.8" x14ac:dyDescent="0.3">
      <c r="A60" s="242" t="s">
        <v>5272</v>
      </c>
      <c r="B60" s="245" t="s">
        <v>3988</v>
      </c>
      <c r="C60" s="548" t="s">
        <v>4062</v>
      </c>
      <c r="D60" s="243"/>
      <c r="E60" s="244"/>
      <c r="F60" s="241" t="s">
        <v>5274</v>
      </c>
      <c r="G60" s="240" t="s">
        <v>4007</v>
      </c>
      <c r="H60" s="1791" t="s">
        <v>5276</v>
      </c>
      <c r="I60" s="1791" t="s">
        <v>5277</v>
      </c>
      <c r="J60" s="252" t="s">
        <v>5278</v>
      </c>
    </row>
    <row r="61" spans="1:10" x14ac:dyDescent="0.3">
      <c r="A61" s="3908"/>
      <c r="B61" s="3909"/>
      <c r="C61" s="3909"/>
      <c r="D61" s="3909"/>
      <c r="E61" s="3910"/>
      <c r="F61" s="3911"/>
      <c r="G61" s="3912"/>
      <c r="H61" s="256">
        <v>3</v>
      </c>
      <c r="I61" s="256">
        <v>2</v>
      </c>
      <c r="J61" s="257">
        <v>2021</v>
      </c>
    </row>
    <row r="62" spans="1:10" x14ac:dyDescent="0.3">
      <c r="A62" s="3913" t="s">
        <v>5279</v>
      </c>
      <c r="B62" s="3914"/>
      <c r="C62" s="3914"/>
      <c r="D62" s="3914"/>
      <c r="E62" s="3915"/>
      <c r="F62" s="258" t="s">
        <v>5280</v>
      </c>
      <c r="G62" s="1787" t="s">
        <v>3988</v>
      </c>
      <c r="H62" s="259" t="s">
        <v>5281</v>
      </c>
      <c r="I62" s="260" t="s">
        <v>3988</v>
      </c>
      <c r="J62" s="261" t="s">
        <v>3988</v>
      </c>
    </row>
    <row r="63" spans="1:10" x14ac:dyDescent="0.3">
      <c r="A63" s="3913" t="s">
        <v>5299</v>
      </c>
      <c r="B63" s="3914"/>
      <c r="C63" s="3914"/>
      <c r="D63" s="3914"/>
      <c r="E63" s="3915"/>
      <c r="F63" s="3911">
        <v>2755591</v>
      </c>
      <c r="G63" s="3912"/>
      <c r="H63" s="3911" t="s">
        <v>125</v>
      </c>
      <c r="I63" s="3911"/>
      <c r="J63" s="3916"/>
    </row>
    <row r="64" spans="1:10" x14ac:dyDescent="0.3">
      <c r="A64" s="262" t="s">
        <v>5284</v>
      </c>
      <c r="B64" s="3911" t="s">
        <v>5285</v>
      </c>
      <c r="C64" s="3911"/>
      <c r="D64" s="3911"/>
      <c r="E64" s="3912"/>
      <c r="F64" s="3917" t="s">
        <v>3752</v>
      </c>
      <c r="G64" s="3918"/>
      <c r="H64" s="3911" t="s">
        <v>5286</v>
      </c>
      <c r="I64" s="3911"/>
      <c r="J64" s="3916"/>
    </row>
    <row r="65" spans="1:10" x14ac:dyDescent="0.3">
      <c r="A65" s="263">
        <v>3</v>
      </c>
      <c r="B65" s="3887" t="s">
        <v>4002</v>
      </c>
      <c r="C65" s="3887"/>
      <c r="D65" s="3887"/>
      <c r="E65" s="3887"/>
      <c r="F65" s="3888">
        <v>1500</v>
      </c>
      <c r="G65" s="3889"/>
      <c r="H65" s="3887">
        <f>A65*F65</f>
        <v>4500</v>
      </c>
      <c r="I65" s="3887"/>
      <c r="J65" s="3890"/>
    </row>
    <row r="66" spans="1:10" x14ac:dyDescent="0.3">
      <c r="A66" s="263" t="s">
        <v>3988</v>
      </c>
      <c r="B66" s="3887" t="s">
        <v>3988</v>
      </c>
      <c r="C66" s="3887"/>
      <c r="D66" s="3887"/>
      <c r="E66" s="3887"/>
      <c r="F66" s="3888" t="s">
        <v>3988</v>
      </c>
      <c r="G66" s="3889"/>
      <c r="H66" s="3887" t="s">
        <v>3988</v>
      </c>
      <c r="I66" s="3887"/>
      <c r="J66" s="3890"/>
    </row>
    <row r="67" spans="1:10" x14ac:dyDescent="0.3">
      <c r="A67" s="263" t="s">
        <v>3988</v>
      </c>
      <c r="B67" s="264" t="s">
        <v>3988</v>
      </c>
      <c r="C67" s="264" t="s">
        <v>3988</v>
      </c>
      <c r="D67" s="264" t="s">
        <v>3988</v>
      </c>
      <c r="E67" s="264" t="s">
        <v>3988</v>
      </c>
      <c r="F67" s="3888" t="s">
        <v>3988</v>
      </c>
      <c r="G67" s="3889"/>
      <c r="H67" s="3887" t="s">
        <v>5287</v>
      </c>
      <c r="I67" s="3887"/>
      <c r="J67" s="3890"/>
    </row>
    <row r="68" spans="1:10" x14ac:dyDescent="0.3">
      <c r="A68" s="253" t="s">
        <v>3988</v>
      </c>
      <c r="B68" s="236" t="s">
        <v>3988</v>
      </c>
      <c r="C68" s="236" t="s">
        <v>3988</v>
      </c>
      <c r="D68" s="236" t="s">
        <v>3988</v>
      </c>
      <c r="E68" s="236" t="s">
        <v>3988</v>
      </c>
      <c r="F68" s="3891" t="s">
        <v>3988</v>
      </c>
      <c r="G68" s="3892"/>
      <c r="H68" s="3893" t="s">
        <v>5287</v>
      </c>
      <c r="I68" s="3893"/>
      <c r="J68" s="3894"/>
    </row>
    <row r="69" spans="1:10" x14ac:dyDescent="0.3">
      <c r="A69" s="253" t="s">
        <v>3988</v>
      </c>
      <c r="B69" s="236" t="s">
        <v>3988</v>
      </c>
      <c r="C69" s="236" t="s">
        <v>3988</v>
      </c>
      <c r="D69" s="236" t="s">
        <v>3988</v>
      </c>
      <c r="E69" s="236" t="s">
        <v>3988</v>
      </c>
      <c r="F69" s="3891" t="s">
        <v>3988</v>
      </c>
      <c r="G69" s="3892"/>
      <c r="H69" s="3893" t="s">
        <v>5287</v>
      </c>
      <c r="I69" s="3893"/>
      <c r="J69" s="3894"/>
    </row>
    <row r="70" spans="1:10" x14ac:dyDescent="0.3">
      <c r="A70" s="253" t="s">
        <v>3988</v>
      </c>
      <c r="B70" s="236" t="s">
        <v>3988</v>
      </c>
      <c r="C70" s="236" t="s">
        <v>3988</v>
      </c>
      <c r="D70" s="236" t="s">
        <v>3988</v>
      </c>
      <c r="E70" s="236" t="s">
        <v>3988</v>
      </c>
      <c r="F70" s="3891" t="s">
        <v>3988</v>
      </c>
      <c r="G70" s="3892"/>
      <c r="H70" s="3893" t="s">
        <v>5287</v>
      </c>
      <c r="I70" s="3893"/>
      <c r="J70" s="3894"/>
    </row>
    <row r="71" spans="1:10" x14ac:dyDescent="0.3">
      <c r="A71" s="253" t="s">
        <v>3988</v>
      </c>
      <c r="B71" s="236" t="s">
        <v>3988</v>
      </c>
      <c r="C71" s="236" t="s">
        <v>3988</v>
      </c>
      <c r="D71" s="236" t="s">
        <v>3988</v>
      </c>
      <c r="E71" s="236" t="s">
        <v>3988</v>
      </c>
      <c r="F71" s="3891" t="s">
        <v>3988</v>
      </c>
      <c r="G71" s="3892"/>
      <c r="H71" s="3893" t="s">
        <v>5287</v>
      </c>
      <c r="I71" s="3893"/>
      <c r="J71" s="3894"/>
    </row>
    <row r="72" spans="1:10" x14ac:dyDescent="0.3">
      <c r="A72" s="253" t="s">
        <v>3988</v>
      </c>
      <c r="B72" s="236" t="s">
        <v>3988</v>
      </c>
      <c r="C72" s="236" t="s">
        <v>3988</v>
      </c>
      <c r="D72" s="236" t="s">
        <v>3988</v>
      </c>
      <c r="E72" s="236" t="s">
        <v>3988</v>
      </c>
      <c r="F72" s="3891" t="s">
        <v>3988</v>
      </c>
      <c r="G72" s="3892"/>
      <c r="H72" s="3893" t="s">
        <v>5287</v>
      </c>
      <c r="I72" s="3893"/>
      <c r="J72" s="3894"/>
    </row>
    <row r="73" spans="1:10" x14ac:dyDescent="0.3">
      <c r="A73" s="253" t="s">
        <v>3988</v>
      </c>
      <c r="B73" s="236" t="s">
        <v>3988</v>
      </c>
      <c r="C73" s="236" t="s">
        <v>3988</v>
      </c>
      <c r="D73" s="236" t="s">
        <v>3988</v>
      </c>
      <c r="E73" s="236" t="s">
        <v>3988</v>
      </c>
      <c r="F73" s="3891" t="s">
        <v>3988</v>
      </c>
      <c r="G73" s="3892"/>
      <c r="H73" s="3893" t="s">
        <v>5287</v>
      </c>
      <c r="I73" s="3893"/>
      <c r="J73" s="3894"/>
    </row>
    <row r="74" spans="1:10" x14ac:dyDescent="0.3">
      <c r="A74" s="1788" t="s">
        <v>3753</v>
      </c>
      <c r="B74" s="235" t="s">
        <v>3988</v>
      </c>
      <c r="C74" s="235" t="s">
        <v>3988</v>
      </c>
      <c r="D74" s="235" t="s">
        <v>3988</v>
      </c>
      <c r="E74" s="3859" t="s">
        <v>5288</v>
      </c>
      <c r="F74" s="3860"/>
      <c r="G74" s="3861">
        <f>H65</f>
        <v>4500</v>
      </c>
      <c r="H74" s="3861"/>
      <c r="I74" s="3862"/>
      <c r="J74" s="254"/>
    </row>
    <row r="75" spans="1:10" x14ac:dyDescent="0.3">
      <c r="A75" s="255" t="s">
        <v>3988</v>
      </c>
      <c r="B75" s="237" t="s">
        <v>3988</v>
      </c>
      <c r="C75" s="237" t="s">
        <v>3988</v>
      </c>
      <c r="D75" s="237" t="s">
        <v>3988</v>
      </c>
      <c r="E75" s="237" t="s">
        <v>3988</v>
      </c>
      <c r="F75" s="238" t="s">
        <v>5289</v>
      </c>
      <c r="G75" s="239" t="s">
        <v>5290</v>
      </c>
      <c r="H75" s="3863" t="s">
        <v>5291</v>
      </c>
      <c r="I75" s="3863"/>
      <c r="J75" s="3864"/>
    </row>
    <row r="76" spans="1:10" x14ac:dyDescent="0.3">
      <c r="A76" s="3865" t="s">
        <v>5292</v>
      </c>
      <c r="B76" s="3866"/>
      <c r="C76" s="3866"/>
      <c r="D76" s="3866"/>
      <c r="E76" s="3867"/>
      <c r="F76" s="3871" t="s">
        <v>5293</v>
      </c>
      <c r="G76" s="3872"/>
      <c r="H76" s="3875">
        <f>G74</f>
        <v>4500</v>
      </c>
      <c r="I76" s="3876"/>
      <c r="J76" s="3877"/>
    </row>
    <row r="77" spans="1:10" x14ac:dyDescent="0.3">
      <c r="A77" s="3868"/>
      <c r="B77" s="3869"/>
      <c r="C77" s="3869"/>
      <c r="D77" s="3869"/>
      <c r="E77" s="3870"/>
      <c r="F77" s="3873"/>
      <c r="G77" s="3874"/>
      <c r="H77" s="3878"/>
      <c r="I77" s="3879"/>
      <c r="J77" s="3880"/>
    </row>
    <row r="78" spans="1:10" x14ac:dyDescent="0.3">
      <c r="A78" s="3881" t="s">
        <v>5294</v>
      </c>
      <c r="B78" s="3882"/>
      <c r="C78" s="3882"/>
      <c r="D78" s="3882"/>
      <c r="E78" s="3882"/>
      <c r="F78" s="3882"/>
      <c r="G78" s="3882"/>
      <c r="H78" s="3882"/>
      <c r="I78" s="3882"/>
      <c r="J78" s="3883"/>
    </row>
    <row r="79" spans="1:10" x14ac:dyDescent="0.3">
      <c r="A79" s="3884"/>
      <c r="B79" s="3885"/>
      <c r="C79" s="3885"/>
      <c r="D79" s="3885"/>
      <c r="E79" s="3885"/>
      <c r="F79" s="3885"/>
      <c r="G79" s="3885"/>
      <c r="H79" s="3885"/>
      <c r="I79" s="3885"/>
      <c r="J79" s="3886"/>
    </row>
    <row r="83" spans="1:10" x14ac:dyDescent="0.3">
      <c r="A83" s="246" t="s">
        <v>3988</v>
      </c>
      <c r="B83" s="247" t="s">
        <v>3988</v>
      </c>
      <c r="C83" s="3895" t="s">
        <v>5267</v>
      </c>
      <c r="D83" s="3895"/>
      <c r="E83" s="3895"/>
      <c r="F83" s="3896"/>
      <c r="G83" s="247" t="s">
        <v>3988</v>
      </c>
      <c r="H83" s="1789" t="s">
        <v>3988</v>
      </c>
      <c r="I83" s="1789" t="s">
        <v>3988</v>
      </c>
      <c r="J83" s="248" t="s">
        <v>3988</v>
      </c>
    </row>
    <row r="84" spans="1:10" ht="15.6" x14ac:dyDescent="0.3">
      <c r="A84" s="249" t="s">
        <v>3988</v>
      </c>
      <c r="B84" s="231"/>
      <c r="C84" s="3897" t="s">
        <v>3986</v>
      </c>
      <c r="D84" s="3897"/>
      <c r="E84" s="3897"/>
      <c r="F84" s="3898"/>
      <c r="G84" s="1790" t="s">
        <v>3988</v>
      </c>
      <c r="H84" s="3899" t="s">
        <v>5300</v>
      </c>
      <c r="I84" s="3899"/>
      <c r="J84" s="250" t="s">
        <v>3988</v>
      </c>
    </row>
    <row r="85" spans="1:10" ht="17.399999999999999" x14ac:dyDescent="0.3">
      <c r="A85" s="249" t="s">
        <v>3988</v>
      </c>
      <c r="B85" s="232"/>
      <c r="C85" s="3901" t="s">
        <v>5269</v>
      </c>
      <c r="D85" s="3901"/>
      <c r="E85" s="3901"/>
      <c r="F85" s="3902"/>
      <c r="G85" s="233" t="s">
        <v>5270</v>
      </c>
      <c r="H85" s="3900"/>
      <c r="I85" s="3900"/>
      <c r="J85" s="250" t="s">
        <v>3988</v>
      </c>
    </row>
    <row r="86" spans="1:10" x14ac:dyDescent="0.3">
      <c r="A86" s="249" t="s">
        <v>3988</v>
      </c>
      <c r="B86" s="232" t="s">
        <v>3988</v>
      </c>
      <c r="C86" s="3903" t="s">
        <v>5271</v>
      </c>
      <c r="D86" s="3903"/>
      <c r="E86" s="3903"/>
      <c r="F86" s="3904"/>
      <c r="G86" s="1790" t="s">
        <v>3988</v>
      </c>
      <c r="H86" s="234" t="s">
        <v>3988</v>
      </c>
      <c r="I86" s="234" t="s">
        <v>3988</v>
      </c>
      <c r="J86" s="251" t="s">
        <v>3988</v>
      </c>
    </row>
    <row r="87" spans="1:10" ht="31.8" x14ac:dyDescent="0.3">
      <c r="A87" s="242" t="s">
        <v>5272</v>
      </c>
      <c r="B87" s="245" t="s">
        <v>3988</v>
      </c>
      <c r="C87" s="546" t="s">
        <v>5301</v>
      </c>
      <c r="D87" s="243"/>
      <c r="E87" s="244"/>
      <c r="F87" s="241" t="s">
        <v>5274</v>
      </c>
      <c r="G87" s="240" t="s">
        <v>3988</v>
      </c>
      <c r="H87" s="1791" t="s">
        <v>5276</v>
      </c>
      <c r="I87" s="1791" t="s">
        <v>5277</v>
      </c>
      <c r="J87" s="252" t="s">
        <v>5278</v>
      </c>
    </row>
    <row r="88" spans="1:10" x14ac:dyDescent="0.3">
      <c r="A88" s="3908"/>
      <c r="B88" s="3909"/>
      <c r="C88" s="3909"/>
      <c r="D88" s="3909"/>
      <c r="E88" s="3910"/>
      <c r="F88" s="3911"/>
      <c r="G88" s="3912"/>
      <c r="H88" s="256">
        <v>10</v>
      </c>
      <c r="I88" s="256">
        <v>2</v>
      </c>
      <c r="J88" s="257">
        <v>2021</v>
      </c>
    </row>
    <row r="89" spans="1:10" x14ac:dyDescent="0.3">
      <c r="A89" s="3913" t="s">
        <v>5279</v>
      </c>
      <c r="B89" s="3914"/>
      <c r="C89" s="3914"/>
      <c r="D89" s="3914"/>
      <c r="E89" s="3915"/>
      <c r="F89" s="258" t="s">
        <v>5280</v>
      </c>
      <c r="G89" s="1787" t="s">
        <v>3988</v>
      </c>
      <c r="H89" s="259" t="s">
        <v>5281</v>
      </c>
      <c r="I89" s="260" t="s">
        <v>3988</v>
      </c>
      <c r="J89" s="261" t="s">
        <v>3988</v>
      </c>
    </row>
    <row r="90" spans="1:10" x14ac:dyDescent="0.3">
      <c r="A90" s="3913" t="s">
        <v>5302</v>
      </c>
      <c r="B90" s="3914"/>
      <c r="C90" s="3914"/>
      <c r="D90" s="3914"/>
      <c r="E90" s="3915"/>
      <c r="F90" s="3911">
        <v>4614611</v>
      </c>
      <c r="G90" s="3912"/>
      <c r="H90" s="3911" t="s">
        <v>125</v>
      </c>
      <c r="I90" s="3911"/>
      <c r="J90" s="3916"/>
    </row>
    <row r="91" spans="1:10" x14ac:dyDescent="0.3">
      <c r="A91" s="262" t="s">
        <v>5284</v>
      </c>
      <c r="B91" s="3911" t="s">
        <v>5285</v>
      </c>
      <c r="C91" s="3911"/>
      <c r="D91" s="3911"/>
      <c r="E91" s="3912"/>
      <c r="F91" s="3917" t="s">
        <v>3752</v>
      </c>
      <c r="G91" s="3918"/>
      <c r="H91" s="3911" t="s">
        <v>5286</v>
      </c>
      <c r="I91" s="3911"/>
      <c r="J91" s="3916"/>
    </row>
    <row r="92" spans="1:10" x14ac:dyDescent="0.3">
      <c r="A92" s="263">
        <v>1</v>
      </c>
      <c r="B92" s="3887" t="s">
        <v>5303</v>
      </c>
      <c r="C92" s="3887"/>
      <c r="D92" s="3887"/>
      <c r="E92" s="3887"/>
      <c r="F92" s="3888">
        <v>4500</v>
      </c>
      <c r="G92" s="3889"/>
      <c r="H92" s="3887">
        <v>4500</v>
      </c>
      <c r="I92" s="3887"/>
      <c r="J92" s="3890"/>
    </row>
    <row r="93" spans="1:10" x14ac:dyDescent="0.3">
      <c r="A93" s="263" t="s">
        <v>3988</v>
      </c>
      <c r="B93" s="3887" t="s">
        <v>3988</v>
      </c>
      <c r="C93" s="3887"/>
      <c r="D93" s="3887"/>
      <c r="E93" s="3887"/>
      <c r="F93" s="3888" t="s">
        <v>3988</v>
      </c>
      <c r="G93" s="3889"/>
      <c r="H93" s="3887" t="s">
        <v>3988</v>
      </c>
      <c r="I93" s="3887"/>
      <c r="J93" s="3890"/>
    </row>
    <row r="94" spans="1:10" x14ac:dyDescent="0.3">
      <c r="A94" s="263" t="s">
        <v>3988</v>
      </c>
      <c r="B94" s="264" t="s">
        <v>3988</v>
      </c>
      <c r="C94" s="264" t="s">
        <v>3988</v>
      </c>
      <c r="D94" s="264" t="s">
        <v>3988</v>
      </c>
      <c r="E94" s="264" t="s">
        <v>3988</v>
      </c>
      <c r="F94" s="3888" t="s">
        <v>3988</v>
      </c>
      <c r="G94" s="3889"/>
      <c r="H94" s="3887" t="s">
        <v>5287</v>
      </c>
      <c r="I94" s="3887"/>
      <c r="J94" s="3890"/>
    </row>
    <row r="95" spans="1:10" x14ac:dyDescent="0.3">
      <c r="A95" s="253" t="s">
        <v>3988</v>
      </c>
      <c r="B95" s="236" t="s">
        <v>3988</v>
      </c>
      <c r="C95" s="236" t="s">
        <v>3988</v>
      </c>
      <c r="D95" s="236" t="s">
        <v>3988</v>
      </c>
      <c r="E95" s="236" t="s">
        <v>3988</v>
      </c>
      <c r="F95" s="3891" t="s">
        <v>3988</v>
      </c>
      <c r="G95" s="3892"/>
      <c r="H95" s="3893" t="s">
        <v>5287</v>
      </c>
      <c r="I95" s="3893"/>
      <c r="J95" s="3894"/>
    </row>
    <row r="96" spans="1:10" x14ac:dyDescent="0.3">
      <c r="A96" s="253" t="s">
        <v>3988</v>
      </c>
      <c r="B96" s="236" t="s">
        <v>3988</v>
      </c>
      <c r="C96" s="236" t="s">
        <v>3988</v>
      </c>
      <c r="D96" s="236" t="s">
        <v>3988</v>
      </c>
      <c r="E96" s="236" t="s">
        <v>3988</v>
      </c>
      <c r="F96" s="3891" t="s">
        <v>3988</v>
      </c>
      <c r="G96" s="3892"/>
      <c r="H96" s="3893" t="s">
        <v>5287</v>
      </c>
      <c r="I96" s="3893"/>
      <c r="J96" s="3894"/>
    </row>
    <row r="97" spans="1:10" x14ac:dyDescent="0.3">
      <c r="A97" s="253" t="s">
        <v>3988</v>
      </c>
      <c r="B97" s="236" t="s">
        <v>3988</v>
      </c>
      <c r="C97" s="236" t="s">
        <v>3988</v>
      </c>
      <c r="D97" s="236" t="s">
        <v>3988</v>
      </c>
      <c r="E97" s="236" t="s">
        <v>3988</v>
      </c>
      <c r="F97" s="3891" t="s">
        <v>3988</v>
      </c>
      <c r="G97" s="3892"/>
      <c r="H97" s="3893" t="s">
        <v>5287</v>
      </c>
      <c r="I97" s="3893"/>
      <c r="J97" s="3894"/>
    </row>
    <row r="98" spans="1:10" x14ac:dyDescent="0.3">
      <c r="A98" s="253" t="s">
        <v>3988</v>
      </c>
      <c r="B98" s="236" t="s">
        <v>3988</v>
      </c>
      <c r="C98" s="236" t="s">
        <v>3988</v>
      </c>
      <c r="D98" s="236" t="s">
        <v>3988</v>
      </c>
      <c r="E98" s="236" t="s">
        <v>3988</v>
      </c>
      <c r="F98" s="3891" t="s">
        <v>3988</v>
      </c>
      <c r="G98" s="3892"/>
      <c r="H98" s="3893" t="s">
        <v>5287</v>
      </c>
      <c r="I98" s="3893"/>
      <c r="J98" s="3894"/>
    </row>
    <row r="99" spans="1:10" x14ac:dyDescent="0.3">
      <c r="A99" s="253" t="s">
        <v>3988</v>
      </c>
      <c r="B99" s="236" t="s">
        <v>3988</v>
      </c>
      <c r="C99" s="236" t="s">
        <v>3988</v>
      </c>
      <c r="D99" s="236" t="s">
        <v>3988</v>
      </c>
      <c r="E99" s="236" t="s">
        <v>3988</v>
      </c>
      <c r="F99" s="3891" t="s">
        <v>3988</v>
      </c>
      <c r="G99" s="3892"/>
      <c r="H99" s="3893" t="s">
        <v>5287</v>
      </c>
      <c r="I99" s="3893"/>
      <c r="J99" s="3894"/>
    </row>
    <row r="100" spans="1:10" x14ac:dyDescent="0.3">
      <c r="A100" s="253" t="s">
        <v>3988</v>
      </c>
      <c r="B100" s="236" t="s">
        <v>3988</v>
      </c>
      <c r="C100" s="236" t="s">
        <v>3988</v>
      </c>
      <c r="D100" s="236" t="s">
        <v>3988</v>
      </c>
      <c r="E100" s="236" t="s">
        <v>3988</v>
      </c>
      <c r="F100" s="3891" t="s">
        <v>3988</v>
      </c>
      <c r="G100" s="3892"/>
      <c r="H100" s="3893" t="s">
        <v>5287</v>
      </c>
      <c r="I100" s="3893"/>
      <c r="J100" s="3894"/>
    </row>
    <row r="101" spans="1:10" x14ac:dyDescent="0.3">
      <c r="A101" s="1788" t="s">
        <v>3753</v>
      </c>
      <c r="B101" s="235" t="s">
        <v>3988</v>
      </c>
      <c r="C101" s="235" t="s">
        <v>3988</v>
      </c>
      <c r="D101" s="235" t="s">
        <v>3988</v>
      </c>
      <c r="E101" s="3859" t="s">
        <v>5288</v>
      </c>
      <c r="F101" s="3860"/>
      <c r="G101" s="3861">
        <f>H92</f>
        <v>4500</v>
      </c>
      <c r="H101" s="3861"/>
      <c r="I101" s="3862"/>
      <c r="J101" s="254"/>
    </row>
    <row r="102" spans="1:10" x14ac:dyDescent="0.3">
      <c r="A102" s="255" t="s">
        <v>3988</v>
      </c>
      <c r="B102" s="237" t="s">
        <v>3988</v>
      </c>
      <c r="C102" s="237" t="s">
        <v>3988</v>
      </c>
      <c r="D102" s="237" t="s">
        <v>3988</v>
      </c>
      <c r="E102" s="237" t="s">
        <v>3988</v>
      </c>
      <c r="F102" s="238" t="s">
        <v>5289</v>
      </c>
      <c r="G102" s="239" t="s">
        <v>5290</v>
      </c>
      <c r="H102" s="3863" t="s">
        <v>5291</v>
      </c>
      <c r="I102" s="3863"/>
      <c r="J102" s="3864"/>
    </row>
    <row r="103" spans="1:10" x14ac:dyDescent="0.3">
      <c r="A103" s="3865" t="s">
        <v>5292</v>
      </c>
      <c r="B103" s="3866"/>
      <c r="C103" s="3866"/>
      <c r="D103" s="3866"/>
      <c r="E103" s="3867"/>
      <c r="F103" s="3871" t="s">
        <v>5293</v>
      </c>
      <c r="G103" s="3872"/>
      <c r="H103" s="3875">
        <f>G101</f>
        <v>4500</v>
      </c>
      <c r="I103" s="3876"/>
      <c r="J103" s="3877"/>
    </row>
    <row r="104" spans="1:10" x14ac:dyDescent="0.3">
      <c r="A104" s="3868"/>
      <c r="B104" s="3869"/>
      <c r="C104" s="3869"/>
      <c r="D104" s="3869"/>
      <c r="E104" s="3870"/>
      <c r="F104" s="3873"/>
      <c r="G104" s="3874"/>
      <c r="H104" s="3878"/>
      <c r="I104" s="3879"/>
      <c r="J104" s="3880"/>
    </row>
    <row r="105" spans="1:10" x14ac:dyDescent="0.3">
      <c r="A105" s="3881" t="s">
        <v>5294</v>
      </c>
      <c r="B105" s="3882"/>
      <c r="C105" s="3882"/>
      <c r="D105" s="3882"/>
      <c r="E105" s="3882"/>
      <c r="F105" s="3882"/>
      <c r="G105" s="3882"/>
      <c r="H105" s="3882"/>
      <c r="I105" s="3882"/>
      <c r="J105" s="3883"/>
    </row>
    <row r="106" spans="1:10" x14ac:dyDescent="0.3">
      <c r="A106" s="3884"/>
      <c r="B106" s="3885"/>
      <c r="C106" s="3885"/>
      <c r="D106" s="3885"/>
      <c r="E106" s="3885"/>
      <c r="F106" s="3885"/>
      <c r="G106" s="3885"/>
      <c r="H106" s="3885"/>
      <c r="I106" s="3885"/>
      <c r="J106" s="3886"/>
    </row>
    <row r="110" spans="1:10" x14ac:dyDescent="0.3">
      <c r="A110" s="246" t="s">
        <v>3988</v>
      </c>
      <c r="B110" s="247" t="s">
        <v>3988</v>
      </c>
      <c r="C110" s="3895" t="s">
        <v>5267</v>
      </c>
      <c r="D110" s="3895"/>
      <c r="E110" s="3895"/>
      <c r="F110" s="3896"/>
      <c r="G110" s="247" t="s">
        <v>3988</v>
      </c>
      <c r="H110" s="1789" t="s">
        <v>3988</v>
      </c>
      <c r="I110" s="1789" t="s">
        <v>3988</v>
      </c>
      <c r="J110" s="248" t="s">
        <v>3988</v>
      </c>
    </row>
    <row r="111" spans="1:10" ht="15.6" x14ac:dyDescent="0.3">
      <c r="A111" s="249" t="s">
        <v>3988</v>
      </c>
      <c r="B111" s="231"/>
      <c r="C111" s="3897" t="s">
        <v>3986</v>
      </c>
      <c r="D111" s="3897"/>
      <c r="E111" s="3897"/>
      <c r="F111" s="3898"/>
      <c r="G111" s="1790" t="s">
        <v>3988</v>
      </c>
      <c r="H111" s="3899" t="s">
        <v>5304</v>
      </c>
      <c r="I111" s="3899"/>
      <c r="J111" s="250" t="s">
        <v>3988</v>
      </c>
    </row>
    <row r="112" spans="1:10" ht="17.399999999999999" x14ac:dyDescent="0.3">
      <c r="A112" s="249" t="s">
        <v>3988</v>
      </c>
      <c r="B112" s="232"/>
      <c r="C112" s="3901" t="s">
        <v>5269</v>
      </c>
      <c r="D112" s="3901"/>
      <c r="E112" s="3901"/>
      <c r="F112" s="3902"/>
      <c r="G112" s="233" t="s">
        <v>5270</v>
      </c>
      <c r="H112" s="3900"/>
      <c r="I112" s="3900"/>
      <c r="J112" s="250" t="s">
        <v>3988</v>
      </c>
    </row>
    <row r="113" spans="1:10" x14ac:dyDescent="0.3">
      <c r="A113" s="249" t="s">
        <v>3988</v>
      </c>
      <c r="B113" s="232" t="s">
        <v>3988</v>
      </c>
      <c r="C113" s="3903" t="s">
        <v>5271</v>
      </c>
      <c r="D113" s="3903"/>
      <c r="E113" s="3903"/>
      <c r="F113" s="3904"/>
      <c r="G113" s="1790" t="s">
        <v>3988</v>
      </c>
      <c r="H113" s="234" t="s">
        <v>3988</v>
      </c>
      <c r="I113" s="234" t="s">
        <v>3988</v>
      </c>
      <c r="J113" s="251" t="s">
        <v>3988</v>
      </c>
    </row>
    <row r="114" spans="1:10" ht="31.8" x14ac:dyDescent="0.3">
      <c r="A114" s="242" t="s">
        <v>5272</v>
      </c>
      <c r="B114" s="245" t="s">
        <v>3988</v>
      </c>
      <c r="C114" s="546" t="s">
        <v>5301</v>
      </c>
      <c r="D114" s="243"/>
      <c r="E114" s="244"/>
      <c r="F114" s="241" t="s">
        <v>5274</v>
      </c>
      <c r="G114" s="240" t="s">
        <v>3988</v>
      </c>
      <c r="H114" s="1791" t="s">
        <v>5276</v>
      </c>
      <c r="I114" s="1791" t="s">
        <v>5277</v>
      </c>
      <c r="J114" s="252" t="s">
        <v>5278</v>
      </c>
    </row>
    <row r="115" spans="1:10" x14ac:dyDescent="0.3">
      <c r="A115" s="3908"/>
      <c r="B115" s="3909"/>
      <c r="C115" s="3909"/>
      <c r="D115" s="3909"/>
      <c r="E115" s="3910"/>
      <c r="F115" s="3911"/>
      <c r="G115" s="3912"/>
      <c r="H115" s="256">
        <v>20</v>
      </c>
      <c r="I115" s="256">
        <v>2</v>
      </c>
      <c r="J115" s="257">
        <v>2021</v>
      </c>
    </row>
    <row r="116" spans="1:10" x14ac:dyDescent="0.3">
      <c r="A116" s="3913" t="s">
        <v>5279</v>
      </c>
      <c r="B116" s="3914"/>
      <c r="C116" s="3914"/>
      <c r="D116" s="3914"/>
      <c r="E116" s="3915"/>
      <c r="F116" s="258" t="s">
        <v>5280</v>
      </c>
      <c r="G116" s="1787" t="s">
        <v>3988</v>
      </c>
      <c r="H116" s="259" t="s">
        <v>5281</v>
      </c>
      <c r="I116" s="260" t="s">
        <v>3988</v>
      </c>
      <c r="J116" s="261" t="s">
        <v>3988</v>
      </c>
    </row>
    <row r="117" spans="1:10" x14ac:dyDescent="0.3">
      <c r="A117" s="3913" t="s">
        <v>5302</v>
      </c>
      <c r="B117" s="3914"/>
      <c r="C117" s="3914"/>
      <c r="D117" s="3914"/>
      <c r="E117" s="3915"/>
      <c r="F117" s="3911">
        <v>4614611</v>
      </c>
      <c r="G117" s="3912"/>
      <c r="H117" s="3911" t="s">
        <v>125</v>
      </c>
      <c r="I117" s="3911"/>
      <c r="J117" s="3916"/>
    </row>
    <row r="118" spans="1:10" x14ac:dyDescent="0.3">
      <c r="A118" s="262" t="s">
        <v>5284</v>
      </c>
      <c r="B118" s="3911" t="s">
        <v>5285</v>
      </c>
      <c r="C118" s="3911"/>
      <c r="D118" s="3911"/>
      <c r="E118" s="3912"/>
      <c r="F118" s="3917" t="s">
        <v>3752</v>
      </c>
      <c r="G118" s="3918"/>
      <c r="H118" s="3911" t="s">
        <v>5286</v>
      </c>
      <c r="I118" s="3911"/>
      <c r="J118" s="3916"/>
    </row>
    <row r="119" spans="1:10" x14ac:dyDescent="0.3">
      <c r="A119" s="263">
        <v>1</v>
      </c>
      <c r="B119" s="3887" t="s">
        <v>4067</v>
      </c>
      <c r="C119" s="3887"/>
      <c r="D119" s="3887"/>
      <c r="E119" s="3887"/>
      <c r="F119" s="3888">
        <v>4200</v>
      </c>
      <c r="G119" s="3889"/>
      <c r="H119" s="3887">
        <f>F119*A119</f>
        <v>4200</v>
      </c>
      <c r="I119" s="3887"/>
      <c r="J119" s="3890"/>
    </row>
    <row r="120" spans="1:10" x14ac:dyDescent="0.3">
      <c r="A120" s="263" t="s">
        <v>3988</v>
      </c>
      <c r="B120" s="3887" t="s">
        <v>3988</v>
      </c>
      <c r="C120" s="3887"/>
      <c r="D120" s="3887"/>
      <c r="E120" s="3887"/>
      <c r="F120" s="3888" t="s">
        <v>3988</v>
      </c>
      <c r="G120" s="3889"/>
      <c r="H120" s="3887" t="s">
        <v>3988</v>
      </c>
      <c r="I120" s="3887"/>
      <c r="J120" s="3890"/>
    </row>
    <row r="121" spans="1:10" x14ac:dyDescent="0.3">
      <c r="A121" s="263" t="s">
        <v>3988</v>
      </c>
      <c r="B121" s="264" t="s">
        <v>3988</v>
      </c>
      <c r="C121" s="264" t="s">
        <v>3988</v>
      </c>
      <c r="D121" s="264" t="s">
        <v>3988</v>
      </c>
      <c r="E121" s="264" t="s">
        <v>3988</v>
      </c>
      <c r="F121" s="3888" t="s">
        <v>3988</v>
      </c>
      <c r="G121" s="3889"/>
      <c r="H121" s="3887" t="s">
        <v>5287</v>
      </c>
      <c r="I121" s="3887"/>
      <c r="J121" s="3890"/>
    </row>
    <row r="122" spans="1:10" x14ac:dyDescent="0.3">
      <c r="A122" s="253" t="s">
        <v>3988</v>
      </c>
      <c r="B122" s="236" t="s">
        <v>3988</v>
      </c>
      <c r="C122" s="236" t="s">
        <v>3988</v>
      </c>
      <c r="D122" s="236" t="s">
        <v>3988</v>
      </c>
      <c r="E122" s="236" t="s">
        <v>3988</v>
      </c>
      <c r="F122" s="3891" t="s">
        <v>3988</v>
      </c>
      <c r="G122" s="3892"/>
      <c r="H122" s="3893" t="s">
        <v>5287</v>
      </c>
      <c r="I122" s="3893"/>
      <c r="J122" s="3894"/>
    </row>
    <row r="123" spans="1:10" x14ac:dyDescent="0.3">
      <c r="A123" s="253" t="s">
        <v>3988</v>
      </c>
      <c r="B123" s="236" t="s">
        <v>3988</v>
      </c>
      <c r="C123" s="236" t="s">
        <v>3988</v>
      </c>
      <c r="D123" s="236" t="s">
        <v>3988</v>
      </c>
      <c r="E123" s="236" t="s">
        <v>3988</v>
      </c>
      <c r="F123" s="3891" t="s">
        <v>3988</v>
      </c>
      <c r="G123" s="3892"/>
      <c r="H123" s="3893" t="s">
        <v>5287</v>
      </c>
      <c r="I123" s="3893"/>
      <c r="J123" s="3894"/>
    </row>
    <row r="124" spans="1:10" x14ac:dyDescent="0.3">
      <c r="A124" s="253" t="s">
        <v>3988</v>
      </c>
      <c r="B124" s="236" t="s">
        <v>3988</v>
      </c>
      <c r="C124" s="236" t="s">
        <v>3988</v>
      </c>
      <c r="D124" s="236" t="s">
        <v>3988</v>
      </c>
      <c r="E124" s="236" t="s">
        <v>3988</v>
      </c>
      <c r="F124" s="3891" t="s">
        <v>3988</v>
      </c>
      <c r="G124" s="3892"/>
      <c r="H124" s="3893" t="s">
        <v>5287</v>
      </c>
      <c r="I124" s="3893"/>
      <c r="J124" s="3894"/>
    </row>
    <row r="125" spans="1:10" x14ac:dyDescent="0.3">
      <c r="A125" s="253" t="s">
        <v>3988</v>
      </c>
      <c r="B125" s="236" t="s">
        <v>3988</v>
      </c>
      <c r="C125" s="236" t="s">
        <v>3988</v>
      </c>
      <c r="D125" s="236" t="s">
        <v>3988</v>
      </c>
      <c r="E125" s="236" t="s">
        <v>3988</v>
      </c>
      <c r="F125" s="3891" t="s">
        <v>3988</v>
      </c>
      <c r="G125" s="3892"/>
      <c r="H125" s="3893" t="s">
        <v>5287</v>
      </c>
      <c r="I125" s="3893"/>
      <c r="J125" s="3894"/>
    </row>
    <row r="126" spans="1:10" x14ac:dyDescent="0.3">
      <c r="A126" s="253" t="s">
        <v>3988</v>
      </c>
      <c r="B126" s="236" t="s">
        <v>3988</v>
      </c>
      <c r="C126" s="236" t="s">
        <v>3988</v>
      </c>
      <c r="D126" s="236" t="s">
        <v>3988</v>
      </c>
      <c r="E126" s="236" t="s">
        <v>3988</v>
      </c>
      <c r="F126" s="3891" t="s">
        <v>3988</v>
      </c>
      <c r="G126" s="3892"/>
      <c r="H126" s="3893" t="s">
        <v>5287</v>
      </c>
      <c r="I126" s="3893"/>
      <c r="J126" s="3894"/>
    </row>
    <row r="127" spans="1:10" x14ac:dyDescent="0.3">
      <c r="A127" s="253" t="s">
        <v>3988</v>
      </c>
      <c r="B127" s="236" t="s">
        <v>3988</v>
      </c>
      <c r="C127" s="236" t="s">
        <v>3988</v>
      </c>
      <c r="D127" s="236" t="s">
        <v>3988</v>
      </c>
      <c r="E127" s="236" t="s">
        <v>3988</v>
      </c>
      <c r="F127" s="3891" t="s">
        <v>3988</v>
      </c>
      <c r="G127" s="3892"/>
      <c r="H127" s="3893" t="s">
        <v>5287</v>
      </c>
      <c r="I127" s="3893"/>
      <c r="J127" s="3894"/>
    </row>
    <row r="128" spans="1:10" x14ac:dyDescent="0.3">
      <c r="A128" s="1788" t="s">
        <v>3753</v>
      </c>
      <c r="B128" s="235" t="s">
        <v>3988</v>
      </c>
      <c r="C128" s="235" t="s">
        <v>3988</v>
      </c>
      <c r="D128" s="235" t="s">
        <v>3988</v>
      </c>
      <c r="E128" s="3859" t="s">
        <v>5288</v>
      </c>
      <c r="F128" s="3860"/>
      <c r="G128" s="3861">
        <f>H119</f>
        <v>4200</v>
      </c>
      <c r="H128" s="3861"/>
      <c r="I128" s="3862"/>
      <c r="J128" s="254"/>
    </row>
    <row r="129" spans="1:10" x14ac:dyDescent="0.3">
      <c r="A129" s="255" t="s">
        <v>3988</v>
      </c>
      <c r="B129" s="237" t="s">
        <v>3988</v>
      </c>
      <c r="C129" s="237" t="s">
        <v>3988</v>
      </c>
      <c r="D129" s="237" t="s">
        <v>3988</v>
      </c>
      <c r="E129" s="237" t="s">
        <v>3988</v>
      </c>
      <c r="F129" s="238" t="s">
        <v>5289</v>
      </c>
      <c r="G129" s="239" t="s">
        <v>5290</v>
      </c>
      <c r="H129" s="3863" t="s">
        <v>5291</v>
      </c>
      <c r="I129" s="3863"/>
      <c r="J129" s="3864"/>
    </row>
    <row r="130" spans="1:10" x14ac:dyDescent="0.3">
      <c r="A130" s="3865" t="s">
        <v>5292</v>
      </c>
      <c r="B130" s="3866"/>
      <c r="C130" s="3866"/>
      <c r="D130" s="3866"/>
      <c r="E130" s="3867"/>
      <c r="F130" s="3871" t="s">
        <v>5293</v>
      </c>
      <c r="G130" s="3872"/>
      <c r="H130" s="3875">
        <f>G128</f>
        <v>4200</v>
      </c>
      <c r="I130" s="3876"/>
      <c r="J130" s="3877"/>
    </row>
    <row r="131" spans="1:10" x14ac:dyDescent="0.3">
      <c r="A131" s="3868"/>
      <c r="B131" s="3869"/>
      <c r="C131" s="3869"/>
      <c r="D131" s="3869"/>
      <c r="E131" s="3870"/>
      <c r="F131" s="3873"/>
      <c r="G131" s="3874"/>
      <c r="H131" s="3878"/>
      <c r="I131" s="3879"/>
      <c r="J131" s="3880"/>
    </row>
    <row r="132" spans="1:10" x14ac:dyDescent="0.3">
      <c r="A132" s="3881" t="s">
        <v>5294</v>
      </c>
      <c r="B132" s="3882"/>
      <c r="C132" s="3882"/>
      <c r="D132" s="3882"/>
      <c r="E132" s="3882"/>
      <c r="F132" s="3882"/>
      <c r="G132" s="3882"/>
      <c r="H132" s="3882"/>
      <c r="I132" s="3882"/>
      <c r="J132" s="3883"/>
    </row>
    <row r="133" spans="1:10" x14ac:dyDescent="0.3">
      <c r="A133" s="3884"/>
      <c r="B133" s="3885"/>
      <c r="C133" s="3885"/>
      <c r="D133" s="3885"/>
      <c r="E133" s="3885"/>
      <c r="F133" s="3885"/>
      <c r="G133" s="3885"/>
      <c r="H133" s="3885"/>
      <c r="I133" s="3885"/>
      <c r="J133" s="3886"/>
    </row>
    <row r="136" spans="1:10" x14ac:dyDescent="0.3">
      <c r="A136" s="246" t="s">
        <v>3988</v>
      </c>
      <c r="B136" s="247" t="s">
        <v>3988</v>
      </c>
      <c r="C136" s="3895" t="s">
        <v>5267</v>
      </c>
      <c r="D136" s="3895"/>
      <c r="E136" s="3895"/>
      <c r="F136" s="3896"/>
      <c r="G136" s="247" t="s">
        <v>3988</v>
      </c>
      <c r="H136" s="1789" t="s">
        <v>3988</v>
      </c>
      <c r="I136" s="1789" t="s">
        <v>3988</v>
      </c>
      <c r="J136" s="248" t="s">
        <v>3988</v>
      </c>
    </row>
    <row r="137" spans="1:10" ht="15.6" x14ac:dyDescent="0.3">
      <c r="A137" s="249" t="s">
        <v>3988</v>
      </c>
      <c r="B137" s="231"/>
      <c r="C137" s="3897" t="s">
        <v>3986</v>
      </c>
      <c r="D137" s="3897"/>
      <c r="E137" s="3897"/>
      <c r="F137" s="3898"/>
      <c r="G137" s="1790" t="s">
        <v>3988</v>
      </c>
      <c r="H137" s="3899" t="s">
        <v>5305</v>
      </c>
      <c r="I137" s="3899"/>
      <c r="J137" s="250" t="s">
        <v>3988</v>
      </c>
    </row>
    <row r="138" spans="1:10" ht="17.399999999999999" x14ac:dyDescent="0.3">
      <c r="A138" s="249" t="s">
        <v>3988</v>
      </c>
      <c r="B138" s="232"/>
      <c r="C138" s="3901" t="s">
        <v>5269</v>
      </c>
      <c r="D138" s="3901"/>
      <c r="E138" s="3901"/>
      <c r="F138" s="3902"/>
      <c r="G138" s="233" t="s">
        <v>5270</v>
      </c>
      <c r="H138" s="3900"/>
      <c r="I138" s="3900"/>
      <c r="J138" s="250" t="s">
        <v>3988</v>
      </c>
    </row>
    <row r="139" spans="1:10" x14ac:dyDescent="0.3">
      <c r="A139" s="249" t="s">
        <v>3988</v>
      </c>
      <c r="B139" s="232" t="s">
        <v>3988</v>
      </c>
      <c r="C139" s="3903" t="s">
        <v>5271</v>
      </c>
      <c r="D139" s="3903"/>
      <c r="E139" s="3903"/>
      <c r="F139" s="3904"/>
      <c r="G139" s="1790" t="s">
        <v>3988</v>
      </c>
      <c r="H139" s="234" t="s">
        <v>3988</v>
      </c>
      <c r="I139" s="234" t="s">
        <v>3988</v>
      </c>
      <c r="J139" s="251" t="s">
        <v>3988</v>
      </c>
    </row>
    <row r="140" spans="1:10" ht="33.75" customHeight="1" x14ac:dyDescent="0.3">
      <c r="A140" s="242" t="s">
        <v>5272</v>
      </c>
      <c r="B140" s="3905" t="s">
        <v>5306</v>
      </c>
      <c r="C140" s="3906"/>
      <c r="D140" s="3906"/>
      <c r="E140" s="3907"/>
      <c r="F140" s="241" t="s">
        <v>5274</v>
      </c>
      <c r="G140" s="240">
        <v>1017271064</v>
      </c>
      <c r="H140" s="1791" t="s">
        <v>5276</v>
      </c>
      <c r="I140" s="1791" t="s">
        <v>5277</v>
      </c>
      <c r="J140" s="252" t="s">
        <v>5278</v>
      </c>
    </row>
    <row r="141" spans="1:10" x14ac:dyDescent="0.3">
      <c r="A141" s="3908"/>
      <c r="B141" s="3909"/>
      <c r="C141" s="3909"/>
      <c r="D141" s="3909"/>
      <c r="E141" s="3910"/>
      <c r="F141" s="3911"/>
      <c r="G141" s="3912"/>
      <c r="H141" s="256">
        <v>25</v>
      </c>
      <c r="I141" s="256">
        <v>2</v>
      </c>
      <c r="J141" s="257">
        <v>2021</v>
      </c>
    </row>
    <row r="142" spans="1:10" x14ac:dyDescent="0.3">
      <c r="A142" s="3913" t="s">
        <v>5279</v>
      </c>
      <c r="B142" s="3914"/>
      <c r="C142" s="3914"/>
      <c r="D142" s="3914"/>
      <c r="E142" s="3915"/>
      <c r="F142" s="258" t="s">
        <v>5280</v>
      </c>
      <c r="G142" s="1787" t="s">
        <v>3988</v>
      </c>
      <c r="H142" s="259" t="s">
        <v>5281</v>
      </c>
      <c r="I142" s="260" t="s">
        <v>3988</v>
      </c>
      <c r="J142" s="261" t="s">
        <v>3988</v>
      </c>
    </row>
    <row r="143" spans="1:10" x14ac:dyDescent="0.3">
      <c r="A143" s="3913" t="s">
        <v>5307</v>
      </c>
      <c r="B143" s="3914"/>
      <c r="C143" s="3914"/>
      <c r="D143" s="3914"/>
      <c r="E143" s="3915"/>
      <c r="F143" s="3911">
        <v>3197024967</v>
      </c>
      <c r="G143" s="3912"/>
      <c r="H143" s="3911" t="s">
        <v>125</v>
      </c>
      <c r="I143" s="3911"/>
      <c r="J143" s="3916"/>
    </row>
    <row r="144" spans="1:10" x14ac:dyDescent="0.3">
      <c r="A144" s="262" t="s">
        <v>5284</v>
      </c>
      <c r="B144" s="3911" t="s">
        <v>5285</v>
      </c>
      <c r="C144" s="3911"/>
      <c r="D144" s="3911"/>
      <c r="E144" s="3912"/>
      <c r="F144" s="3917" t="s">
        <v>3752</v>
      </c>
      <c r="G144" s="3918"/>
      <c r="H144" s="3911" t="s">
        <v>5286</v>
      </c>
      <c r="I144" s="3911"/>
      <c r="J144" s="3916"/>
    </row>
    <row r="145" spans="1:10" x14ac:dyDescent="0.3">
      <c r="A145" s="263">
        <v>1</v>
      </c>
      <c r="B145" s="3887" t="s">
        <v>5308</v>
      </c>
      <c r="C145" s="3887"/>
      <c r="D145" s="3887"/>
      <c r="E145" s="3887"/>
      <c r="F145" s="3888">
        <v>25000</v>
      </c>
      <c r="G145" s="3889"/>
      <c r="H145" s="3887">
        <f>F145*A145</f>
        <v>25000</v>
      </c>
      <c r="I145" s="3887"/>
      <c r="J145" s="3890"/>
    </row>
    <row r="146" spans="1:10" x14ac:dyDescent="0.3">
      <c r="A146" s="263" t="s">
        <v>3988</v>
      </c>
      <c r="B146" s="3887" t="s">
        <v>3988</v>
      </c>
      <c r="C146" s="3887"/>
      <c r="D146" s="3887"/>
      <c r="E146" s="3887"/>
      <c r="F146" s="3888" t="s">
        <v>3988</v>
      </c>
      <c r="G146" s="3889"/>
      <c r="H146" s="3887" t="s">
        <v>3988</v>
      </c>
      <c r="I146" s="3887"/>
      <c r="J146" s="3890"/>
    </row>
    <row r="147" spans="1:10" x14ac:dyDescent="0.3">
      <c r="A147" s="263" t="s">
        <v>3988</v>
      </c>
      <c r="B147" s="264" t="s">
        <v>3988</v>
      </c>
      <c r="C147" s="264" t="s">
        <v>3988</v>
      </c>
      <c r="D147" s="264" t="s">
        <v>3988</v>
      </c>
      <c r="E147" s="264" t="s">
        <v>3988</v>
      </c>
      <c r="F147" s="3888" t="s">
        <v>3988</v>
      </c>
      <c r="G147" s="3889"/>
      <c r="H147" s="3887" t="s">
        <v>5287</v>
      </c>
      <c r="I147" s="3887"/>
      <c r="J147" s="3890"/>
    </row>
    <row r="148" spans="1:10" x14ac:dyDescent="0.3">
      <c r="A148" s="253" t="s">
        <v>3988</v>
      </c>
      <c r="B148" s="236" t="s">
        <v>3988</v>
      </c>
      <c r="C148" s="236" t="s">
        <v>3988</v>
      </c>
      <c r="D148" s="236" t="s">
        <v>3988</v>
      </c>
      <c r="E148" s="236" t="s">
        <v>3988</v>
      </c>
      <c r="F148" s="3891" t="s">
        <v>3988</v>
      </c>
      <c r="G148" s="3892"/>
      <c r="H148" s="3893" t="s">
        <v>5287</v>
      </c>
      <c r="I148" s="3893"/>
      <c r="J148" s="3894"/>
    </row>
    <row r="149" spans="1:10" x14ac:dyDescent="0.3">
      <c r="A149" s="253" t="s">
        <v>3988</v>
      </c>
      <c r="B149" s="236" t="s">
        <v>3988</v>
      </c>
      <c r="C149" s="236" t="s">
        <v>3988</v>
      </c>
      <c r="D149" s="236" t="s">
        <v>3988</v>
      </c>
      <c r="E149" s="236" t="s">
        <v>3988</v>
      </c>
      <c r="F149" s="3891" t="s">
        <v>3988</v>
      </c>
      <c r="G149" s="3892"/>
      <c r="H149" s="3893" t="s">
        <v>5287</v>
      </c>
      <c r="I149" s="3893"/>
      <c r="J149" s="3894"/>
    </row>
    <row r="150" spans="1:10" x14ac:dyDescent="0.3">
      <c r="A150" s="253" t="s">
        <v>3988</v>
      </c>
      <c r="B150" s="236" t="s">
        <v>3988</v>
      </c>
      <c r="C150" s="236" t="s">
        <v>3988</v>
      </c>
      <c r="D150" s="236" t="s">
        <v>3988</v>
      </c>
      <c r="E150" s="236" t="s">
        <v>3988</v>
      </c>
      <c r="F150" s="3891" t="s">
        <v>3988</v>
      </c>
      <c r="G150" s="3892"/>
      <c r="H150" s="3893" t="s">
        <v>5287</v>
      </c>
      <c r="I150" s="3893"/>
      <c r="J150" s="3894"/>
    </row>
    <row r="151" spans="1:10" x14ac:dyDescent="0.3">
      <c r="A151" s="253" t="s">
        <v>3988</v>
      </c>
      <c r="B151" s="236" t="s">
        <v>3988</v>
      </c>
      <c r="C151" s="236" t="s">
        <v>3988</v>
      </c>
      <c r="D151" s="236" t="s">
        <v>3988</v>
      </c>
      <c r="E151" s="236" t="s">
        <v>3988</v>
      </c>
      <c r="F151" s="3891" t="s">
        <v>3988</v>
      </c>
      <c r="G151" s="3892"/>
      <c r="H151" s="3893" t="s">
        <v>5287</v>
      </c>
      <c r="I151" s="3893"/>
      <c r="J151" s="3894"/>
    </row>
    <row r="152" spans="1:10" x14ac:dyDescent="0.3">
      <c r="A152" s="253" t="s">
        <v>3988</v>
      </c>
      <c r="B152" s="236" t="s">
        <v>3988</v>
      </c>
      <c r="C152" s="236" t="s">
        <v>3988</v>
      </c>
      <c r="D152" s="236" t="s">
        <v>3988</v>
      </c>
      <c r="E152" s="236" t="s">
        <v>3988</v>
      </c>
      <c r="F152" s="3891" t="s">
        <v>3988</v>
      </c>
      <c r="G152" s="3892"/>
      <c r="H152" s="3893" t="s">
        <v>5287</v>
      </c>
      <c r="I152" s="3893"/>
      <c r="J152" s="3894"/>
    </row>
    <row r="153" spans="1:10" x14ac:dyDescent="0.3">
      <c r="A153" s="253" t="s">
        <v>3988</v>
      </c>
      <c r="B153" s="236" t="s">
        <v>3988</v>
      </c>
      <c r="C153" s="236" t="s">
        <v>3988</v>
      </c>
      <c r="D153" s="236" t="s">
        <v>3988</v>
      </c>
      <c r="E153" s="236" t="s">
        <v>3988</v>
      </c>
      <c r="F153" s="3891" t="s">
        <v>3988</v>
      </c>
      <c r="G153" s="3892"/>
      <c r="H153" s="3893" t="s">
        <v>5287</v>
      </c>
      <c r="I153" s="3893"/>
      <c r="J153" s="3894"/>
    </row>
    <row r="154" spans="1:10" x14ac:dyDescent="0.3">
      <c r="A154" s="1788" t="s">
        <v>3753</v>
      </c>
      <c r="B154" s="235" t="s">
        <v>3988</v>
      </c>
      <c r="C154" s="235" t="s">
        <v>3988</v>
      </c>
      <c r="D154" s="235" t="s">
        <v>3988</v>
      </c>
      <c r="E154" s="3859" t="s">
        <v>5288</v>
      </c>
      <c r="F154" s="3860"/>
      <c r="G154" s="3861">
        <f>H145</f>
        <v>25000</v>
      </c>
      <c r="H154" s="3861"/>
      <c r="I154" s="3862"/>
      <c r="J154" s="254"/>
    </row>
    <row r="155" spans="1:10" x14ac:dyDescent="0.3">
      <c r="A155" s="255" t="s">
        <v>3988</v>
      </c>
      <c r="B155" s="237" t="s">
        <v>3988</v>
      </c>
      <c r="C155" s="237" t="s">
        <v>3988</v>
      </c>
      <c r="D155" s="237" t="s">
        <v>3988</v>
      </c>
      <c r="E155" s="237" t="s">
        <v>3988</v>
      </c>
      <c r="F155" s="238" t="s">
        <v>5289</v>
      </c>
      <c r="G155" s="239" t="s">
        <v>5290</v>
      </c>
      <c r="H155" s="3863" t="s">
        <v>5291</v>
      </c>
      <c r="I155" s="3863"/>
      <c r="J155" s="3864"/>
    </row>
    <row r="156" spans="1:10" x14ac:dyDescent="0.3">
      <c r="A156" s="3865" t="s">
        <v>5292</v>
      </c>
      <c r="B156" s="3866"/>
      <c r="C156" s="3866"/>
      <c r="D156" s="3866"/>
      <c r="E156" s="3867"/>
      <c r="F156" s="3871" t="s">
        <v>5293</v>
      </c>
      <c r="G156" s="3872"/>
      <c r="H156" s="3875">
        <f>G154</f>
        <v>25000</v>
      </c>
      <c r="I156" s="3876"/>
      <c r="J156" s="3877"/>
    </row>
    <row r="157" spans="1:10" x14ac:dyDescent="0.3">
      <c r="A157" s="3868"/>
      <c r="B157" s="3869"/>
      <c r="C157" s="3869"/>
      <c r="D157" s="3869"/>
      <c r="E157" s="3870"/>
      <c r="F157" s="3873"/>
      <c r="G157" s="3874"/>
      <c r="H157" s="3878"/>
      <c r="I157" s="3879"/>
      <c r="J157" s="3880"/>
    </row>
    <row r="158" spans="1:10" x14ac:dyDescent="0.3">
      <c r="A158" s="3881" t="s">
        <v>5294</v>
      </c>
      <c r="B158" s="3882"/>
      <c r="C158" s="3882"/>
      <c r="D158" s="3882"/>
      <c r="E158" s="3882"/>
      <c r="F158" s="3882"/>
      <c r="G158" s="3882"/>
      <c r="H158" s="3882"/>
      <c r="I158" s="3882"/>
      <c r="J158" s="3883"/>
    </row>
    <row r="159" spans="1:10" x14ac:dyDescent="0.3">
      <c r="A159" s="3884"/>
      <c r="B159" s="3885"/>
      <c r="C159" s="3885"/>
      <c r="D159" s="3885"/>
      <c r="E159" s="3885"/>
      <c r="F159" s="3885"/>
      <c r="G159" s="3885"/>
      <c r="H159" s="3885"/>
      <c r="I159" s="3885"/>
      <c r="J159" s="3886"/>
    </row>
    <row r="160" spans="1:10" x14ac:dyDescent="0.3">
      <c r="A160" s="601"/>
      <c r="B160" s="601"/>
      <c r="C160" s="601"/>
      <c r="D160" s="601"/>
      <c r="E160" s="601"/>
      <c r="F160" s="601"/>
      <c r="G160" s="601"/>
      <c r="H160" s="601"/>
      <c r="I160" s="601"/>
      <c r="J160" s="601"/>
    </row>
    <row r="162" spans="1:10" x14ac:dyDescent="0.3">
      <c r="A162" s="246" t="s">
        <v>3988</v>
      </c>
      <c r="B162" s="247" t="s">
        <v>3988</v>
      </c>
      <c r="C162" s="3895" t="s">
        <v>5267</v>
      </c>
      <c r="D162" s="3895"/>
      <c r="E162" s="3895"/>
      <c r="F162" s="3896"/>
      <c r="G162" s="247" t="s">
        <v>3988</v>
      </c>
      <c r="H162" s="1789" t="s">
        <v>3988</v>
      </c>
      <c r="I162" s="1789" t="s">
        <v>3988</v>
      </c>
      <c r="J162" s="248" t="s">
        <v>3988</v>
      </c>
    </row>
    <row r="163" spans="1:10" ht="15.6" x14ac:dyDescent="0.3">
      <c r="A163" s="249" t="s">
        <v>3988</v>
      </c>
      <c r="B163" s="231"/>
      <c r="C163" s="3897" t="s">
        <v>3986</v>
      </c>
      <c r="D163" s="3897"/>
      <c r="E163" s="3897"/>
      <c r="F163" s="3898"/>
      <c r="G163" s="1790" t="s">
        <v>3988</v>
      </c>
      <c r="H163" s="3899" t="s">
        <v>5309</v>
      </c>
      <c r="I163" s="3899"/>
      <c r="J163" s="250" t="s">
        <v>3988</v>
      </c>
    </row>
    <row r="164" spans="1:10" ht="17.399999999999999" x14ac:dyDescent="0.3">
      <c r="A164" s="249" t="s">
        <v>3988</v>
      </c>
      <c r="B164" s="232"/>
      <c r="C164" s="3901" t="s">
        <v>5269</v>
      </c>
      <c r="D164" s="3901"/>
      <c r="E164" s="3901"/>
      <c r="F164" s="3902"/>
      <c r="G164" s="233" t="s">
        <v>5270</v>
      </c>
      <c r="H164" s="3900"/>
      <c r="I164" s="3900"/>
      <c r="J164" s="250" t="s">
        <v>3988</v>
      </c>
    </row>
    <row r="165" spans="1:10" x14ac:dyDescent="0.3">
      <c r="A165" s="249" t="s">
        <v>3988</v>
      </c>
      <c r="B165" s="232" t="s">
        <v>3988</v>
      </c>
      <c r="C165" s="3903" t="s">
        <v>5271</v>
      </c>
      <c r="D165" s="3903"/>
      <c r="E165" s="3903"/>
      <c r="F165" s="3904"/>
      <c r="G165" s="1790" t="s">
        <v>3988</v>
      </c>
      <c r="H165" s="234" t="s">
        <v>3988</v>
      </c>
      <c r="I165" s="234" t="s">
        <v>3988</v>
      </c>
      <c r="J165" s="251" t="s">
        <v>3988</v>
      </c>
    </row>
    <row r="166" spans="1:10" ht="31.8" x14ac:dyDescent="0.3">
      <c r="A166" s="242" t="s">
        <v>5272</v>
      </c>
      <c r="B166" s="3905" t="s">
        <v>5310</v>
      </c>
      <c r="C166" s="3906"/>
      <c r="D166" s="3906"/>
      <c r="E166" s="3907"/>
      <c r="F166" s="241" t="s">
        <v>5274</v>
      </c>
      <c r="G166" s="240" t="s">
        <v>4028</v>
      </c>
      <c r="H166" s="1791" t="s">
        <v>5276</v>
      </c>
      <c r="I166" s="1791" t="s">
        <v>5277</v>
      </c>
      <c r="J166" s="252" t="s">
        <v>5278</v>
      </c>
    </row>
    <row r="167" spans="1:10" x14ac:dyDescent="0.3">
      <c r="A167" s="3908"/>
      <c r="B167" s="3909"/>
      <c r="C167" s="3909"/>
      <c r="D167" s="3909"/>
      <c r="E167" s="3910"/>
      <c r="F167" s="3911"/>
      <c r="G167" s="3912"/>
      <c r="H167" s="256">
        <v>1</v>
      </c>
      <c r="I167" s="256">
        <v>3</v>
      </c>
      <c r="J167" s="257">
        <v>2021</v>
      </c>
    </row>
    <row r="168" spans="1:10" x14ac:dyDescent="0.3">
      <c r="A168" s="3913" t="s">
        <v>5279</v>
      </c>
      <c r="B168" s="3914"/>
      <c r="C168" s="3914"/>
      <c r="D168" s="3914"/>
      <c r="E168" s="3915"/>
      <c r="F168" s="258" t="s">
        <v>5280</v>
      </c>
      <c r="G168" s="1787" t="s">
        <v>3988</v>
      </c>
      <c r="H168" s="259" t="s">
        <v>5281</v>
      </c>
      <c r="I168" s="260" t="s">
        <v>3988</v>
      </c>
      <c r="J168" s="261" t="s">
        <v>3988</v>
      </c>
    </row>
    <row r="169" spans="1:10" x14ac:dyDescent="0.3">
      <c r="A169" s="3913" t="s">
        <v>5311</v>
      </c>
      <c r="B169" s="3914"/>
      <c r="C169" s="3914"/>
      <c r="D169" s="3914"/>
      <c r="E169" s="3915"/>
      <c r="F169" s="3911">
        <v>4641136</v>
      </c>
      <c r="G169" s="3912"/>
      <c r="H169" s="3911" t="s">
        <v>125</v>
      </c>
      <c r="I169" s="3911"/>
      <c r="J169" s="3916"/>
    </row>
    <row r="170" spans="1:10" x14ac:dyDescent="0.3">
      <c r="A170" s="262" t="s">
        <v>5284</v>
      </c>
      <c r="B170" s="3911" t="s">
        <v>5285</v>
      </c>
      <c r="C170" s="3911"/>
      <c r="D170" s="3911"/>
      <c r="E170" s="3912"/>
      <c r="F170" s="3917" t="s">
        <v>3752</v>
      </c>
      <c r="G170" s="3918"/>
      <c r="H170" s="3911" t="s">
        <v>5286</v>
      </c>
      <c r="I170" s="3911"/>
      <c r="J170" s="3916"/>
    </row>
    <row r="171" spans="1:10" x14ac:dyDescent="0.3">
      <c r="A171" s="263">
        <v>3</v>
      </c>
      <c r="B171" s="3887" t="s">
        <v>4073</v>
      </c>
      <c r="C171" s="3887"/>
      <c r="D171" s="3887"/>
      <c r="E171" s="3887"/>
      <c r="F171" s="3888">
        <v>2000</v>
      </c>
      <c r="G171" s="3889"/>
      <c r="H171" s="3887">
        <f>F171*A171</f>
        <v>6000</v>
      </c>
      <c r="I171" s="3887"/>
      <c r="J171" s="3890"/>
    </row>
    <row r="172" spans="1:10" x14ac:dyDescent="0.3">
      <c r="A172" s="263" t="s">
        <v>3988</v>
      </c>
      <c r="B172" s="3887" t="s">
        <v>3988</v>
      </c>
      <c r="C172" s="3887"/>
      <c r="D172" s="3887"/>
      <c r="E172" s="3887"/>
      <c r="F172" s="3888" t="s">
        <v>3988</v>
      </c>
      <c r="G172" s="3889"/>
      <c r="H172" s="3887" t="s">
        <v>3988</v>
      </c>
      <c r="I172" s="3887"/>
      <c r="J172" s="3890"/>
    </row>
    <row r="173" spans="1:10" x14ac:dyDescent="0.3">
      <c r="A173" s="263" t="s">
        <v>3988</v>
      </c>
      <c r="B173" s="264" t="s">
        <v>3988</v>
      </c>
      <c r="C173" s="264" t="s">
        <v>3988</v>
      </c>
      <c r="D173" s="264" t="s">
        <v>3988</v>
      </c>
      <c r="E173" s="264" t="s">
        <v>3988</v>
      </c>
      <c r="F173" s="3888" t="s">
        <v>3988</v>
      </c>
      <c r="G173" s="3889"/>
      <c r="H173" s="3887" t="s">
        <v>5287</v>
      </c>
      <c r="I173" s="3887"/>
      <c r="J173" s="3890"/>
    </row>
    <row r="174" spans="1:10" x14ac:dyDescent="0.3">
      <c r="A174" s="253" t="s">
        <v>3988</v>
      </c>
      <c r="B174" s="236" t="s">
        <v>3988</v>
      </c>
      <c r="C174" s="236" t="s">
        <v>3988</v>
      </c>
      <c r="D174" s="236" t="s">
        <v>3988</v>
      </c>
      <c r="E174" s="236" t="s">
        <v>3988</v>
      </c>
      <c r="F174" s="3891" t="s">
        <v>3988</v>
      </c>
      <c r="G174" s="3892"/>
      <c r="H174" s="3893" t="s">
        <v>5287</v>
      </c>
      <c r="I174" s="3893"/>
      <c r="J174" s="3894"/>
    </row>
    <row r="175" spans="1:10" x14ac:dyDescent="0.3">
      <c r="A175" s="253" t="s">
        <v>3988</v>
      </c>
      <c r="B175" s="236" t="s">
        <v>3988</v>
      </c>
      <c r="C175" s="236" t="s">
        <v>3988</v>
      </c>
      <c r="D175" s="236" t="s">
        <v>3988</v>
      </c>
      <c r="E175" s="236" t="s">
        <v>3988</v>
      </c>
      <c r="F175" s="3891" t="s">
        <v>3988</v>
      </c>
      <c r="G175" s="3892"/>
      <c r="H175" s="3893" t="s">
        <v>5287</v>
      </c>
      <c r="I175" s="3893"/>
      <c r="J175" s="3894"/>
    </row>
    <row r="176" spans="1:10" x14ac:dyDescent="0.3">
      <c r="A176" s="253" t="s">
        <v>3988</v>
      </c>
      <c r="B176" s="236" t="s">
        <v>3988</v>
      </c>
      <c r="C176" s="236" t="s">
        <v>3988</v>
      </c>
      <c r="D176" s="236" t="s">
        <v>3988</v>
      </c>
      <c r="E176" s="236" t="s">
        <v>3988</v>
      </c>
      <c r="F176" s="3891" t="s">
        <v>3988</v>
      </c>
      <c r="G176" s="3892"/>
      <c r="H176" s="3893" t="s">
        <v>5287</v>
      </c>
      <c r="I176" s="3893"/>
      <c r="J176" s="3894"/>
    </row>
    <row r="177" spans="1:10" x14ac:dyDescent="0.3">
      <c r="A177" s="253" t="s">
        <v>3988</v>
      </c>
      <c r="B177" s="236" t="s">
        <v>3988</v>
      </c>
      <c r="C177" s="236" t="s">
        <v>3988</v>
      </c>
      <c r="D177" s="236" t="s">
        <v>3988</v>
      </c>
      <c r="E177" s="236" t="s">
        <v>3988</v>
      </c>
      <c r="F177" s="3891" t="s">
        <v>3988</v>
      </c>
      <c r="G177" s="3892"/>
      <c r="H177" s="3893" t="s">
        <v>5287</v>
      </c>
      <c r="I177" s="3893"/>
      <c r="J177" s="3894"/>
    </row>
    <row r="178" spans="1:10" x14ac:dyDescent="0.3">
      <c r="A178" s="253" t="s">
        <v>3988</v>
      </c>
      <c r="B178" s="236" t="s">
        <v>3988</v>
      </c>
      <c r="C178" s="236" t="s">
        <v>3988</v>
      </c>
      <c r="D178" s="236" t="s">
        <v>3988</v>
      </c>
      <c r="E178" s="236" t="s">
        <v>3988</v>
      </c>
      <c r="F178" s="3891" t="s">
        <v>3988</v>
      </c>
      <c r="G178" s="3892"/>
      <c r="H178" s="3893" t="s">
        <v>5287</v>
      </c>
      <c r="I178" s="3893"/>
      <c r="J178" s="3894"/>
    </row>
    <row r="179" spans="1:10" x14ac:dyDescent="0.3">
      <c r="A179" s="253" t="s">
        <v>3988</v>
      </c>
      <c r="B179" s="236" t="s">
        <v>3988</v>
      </c>
      <c r="C179" s="236" t="s">
        <v>3988</v>
      </c>
      <c r="D179" s="236" t="s">
        <v>3988</v>
      </c>
      <c r="E179" s="236" t="s">
        <v>3988</v>
      </c>
      <c r="F179" s="3891" t="s">
        <v>3988</v>
      </c>
      <c r="G179" s="3892"/>
      <c r="H179" s="3893" t="s">
        <v>5287</v>
      </c>
      <c r="I179" s="3893"/>
      <c r="J179" s="3894"/>
    </row>
    <row r="180" spans="1:10" x14ac:dyDescent="0.3">
      <c r="A180" s="1788" t="s">
        <v>3753</v>
      </c>
      <c r="B180" s="235" t="s">
        <v>3988</v>
      </c>
      <c r="C180" s="235" t="s">
        <v>3988</v>
      </c>
      <c r="D180" s="235" t="s">
        <v>3988</v>
      </c>
      <c r="E180" s="3859" t="s">
        <v>5288</v>
      </c>
      <c r="F180" s="3860"/>
      <c r="G180" s="3861">
        <f>H171</f>
        <v>6000</v>
      </c>
      <c r="H180" s="3861"/>
      <c r="I180" s="3862"/>
      <c r="J180" s="254"/>
    </row>
    <row r="181" spans="1:10" x14ac:dyDescent="0.3">
      <c r="A181" s="255" t="s">
        <v>3988</v>
      </c>
      <c r="B181" s="237" t="s">
        <v>3988</v>
      </c>
      <c r="C181" s="237" t="s">
        <v>3988</v>
      </c>
      <c r="D181" s="237" t="s">
        <v>3988</v>
      </c>
      <c r="E181" s="237" t="s">
        <v>3988</v>
      </c>
      <c r="F181" s="238" t="s">
        <v>5289</v>
      </c>
      <c r="G181" s="239" t="s">
        <v>5290</v>
      </c>
      <c r="H181" s="3863" t="s">
        <v>5291</v>
      </c>
      <c r="I181" s="3863"/>
      <c r="J181" s="3864"/>
    </row>
    <row r="182" spans="1:10" x14ac:dyDescent="0.3">
      <c r="A182" s="3865" t="s">
        <v>5292</v>
      </c>
      <c r="B182" s="3866"/>
      <c r="C182" s="3866"/>
      <c r="D182" s="3866"/>
      <c r="E182" s="3867"/>
      <c r="F182" s="3871" t="s">
        <v>5293</v>
      </c>
      <c r="G182" s="3872"/>
      <c r="H182" s="3875">
        <f>G180</f>
        <v>6000</v>
      </c>
      <c r="I182" s="3876"/>
      <c r="J182" s="3877"/>
    </row>
    <row r="183" spans="1:10" x14ac:dyDescent="0.3">
      <c r="A183" s="3868"/>
      <c r="B183" s="3869"/>
      <c r="C183" s="3869"/>
      <c r="D183" s="3869"/>
      <c r="E183" s="3870"/>
      <c r="F183" s="3873"/>
      <c r="G183" s="3874"/>
      <c r="H183" s="3878"/>
      <c r="I183" s="3879"/>
      <c r="J183" s="3880"/>
    </row>
    <row r="184" spans="1:10" x14ac:dyDescent="0.3">
      <c r="A184" s="3881" t="s">
        <v>5294</v>
      </c>
      <c r="B184" s="3882"/>
      <c r="C184" s="3882"/>
      <c r="D184" s="3882"/>
      <c r="E184" s="3882"/>
      <c r="F184" s="3882"/>
      <c r="G184" s="3882"/>
      <c r="H184" s="3882"/>
      <c r="I184" s="3882"/>
      <c r="J184" s="3883"/>
    </row>
    <row r="185" spans="1:10" x14ac:dyDescent="0.3">
      <c r="A185" s="3884"/>
      <c r="B185" s="3885"/>
      <c r="C185" s="3885"/>
      <c r="D185" s="3885"/>
      <c r="E185" s="3885"/>
      <c r="F185" s="3885"/>
      <c r="G185" s="3885"/>
      <c r="H185" s="3885"/>
      <c r="I185" s="3885"/>
      <c r="J185" s="3886"/>
    </row>
    <row r="186" spans="1:10" x14ac:dyDescent="0.3">
      <c r="A186" s="1786"/>
      <c r="B186" s="1786"/>
      <c r="C186" s="1786"/>
      <c r="D186" s="1786"/>
      <c r="E186" s="1786"/>
      <c r="F186" s="1786"/>
      <c r="G186" s="1786"/>
      <c r="H186" s="1786"/>
      <c r="I186" s="1786"/>
      <c r="J186" s="1786"/>
    </row>
    <row r="187" spans="1:10" x14ac:dyDescent="0.3">
      <c r="A187" s="1786"/>
      <c r="B187" s="1786"/>
      <c r="C187" s="1786"/>
      <c r="D187" s="1786"/>
      <c r="E187" s="1786"/>
      <c r="F187" s="1786"/>
      <c r="G187" s="1786"/>
      <c r="H187" s="1786"/>
      <c r="I187" s="1786"/>
      <c r="J187" s="1786"/>
    </row>
    <row r="190" spans="1:10" x14ac:dyDescent="0.3">
      <c r="A190" s="246" t="s">
        <v>3988</v>
      </c>
      <c r="B190" s="247" t="s">
        <v>3988</v>
      </c>
      <c r="C190" s="3895" t="s">
        <v>5267</v>
      </c>
      <c r="D190" s="3895"/>
      <c r="E190" s="3895"/>
      <c r="F190" s="3896"/>
      <c r="G190" s="247" t="s">
        <v>3988</v>
      </c>
      <c r="H190" s="1789" t="s">
        <v>3988</v>
      </c>
      <c r="I190" s="1789" t="s">
        <v>3988</v>
      </c>
      <c r="J190" s="248" t="s">
        <v>3988</v>
      </c>
    </row>
    <row r="191" spans="1:10" ht="15.6" x14ac:dyDescent="0.3">
      <c r="A191" s="249" t="s">
        <v>3988</v>
      </c>
      <c r="B191" s="231"/>
      <c r="C191" s="3897" t="s">
        <v>3986</v>
      </c>
      <c r="D191" s="3897"/>
      <c r="E191" s="3897"/>
      <c r="F191" s="3898"/>
      <c r="G191" s="1790" t="s">
        <v>3988</v>
      </c>
      <c r="H191" s="3899" t="s">
        <v>5312</v>
      </c>
      <c r="I191" s="3899"/>
      <c r="J191" s="250" t="s">
        <v>3988</v>
      </c>
    </row>
    <row r="192" spans="1:10" ht="17.399999999999999" x14ac:dyDescent="0.3">
      <c r="A192" s="249" t="s">
        <v>3988</v>
      </c>
      <c r="B192" s="232"/>
      <c r="C192" s="3901" t="s">
        <v>5269</v>
      </c>
      <c r="D192" s="3901"/>
      <c r="E192" s="3901"/>
      <c r="F192" s="3902"/>
      <c r="G192" s="233" t="s">
        <v>5270</v>
      </c>
      <c r="H192" s="3900"/>
      <c r="I192" s="3900"/>
      <c r="J192" s="250" t="s">
        <v>3988</v>
      </c>
    </row>
    <row r="193" spans="1:10" x14ac:dyDescent="0.3">
      <c r="A193" s="249" t="s">
        <v>3988</v>
      </c>
      <c r="B193" s="232" t="s">
        <v>3988</v>
      </c>
      <c r="C193" s="3903" t="s">
        <v>5271</v>
      </c>
      <c r="D193" s="3903"/>
      <c r="E193" s="3903"/>
      <c r="F193" s="3904"/>
      <c r="G193" s="1790" t="s">
        <v>3988</v>
      </c>
      <c r="H193" s="234" t="s">
        <v>3988</v>
      </c>
      <c r="I193" s="234" t="s">
        <v>3988</v>
      </c>
      <c r="J193" s="251" t="s">
        <v>3988</v>
      </c>
    </row>
    <row r="194" spans="1:10" ht="31.8" x14ac:dyDescent="0.3">
      <c r="A194" s="242" t="s">
        <v>5272</v>
      </c>
      <c r="B194" s="3905" t="s">
        <v>4033</v>
      </c>
      <c r="C194" s="3906"/>
      <c r="D194" s="3906"/>
      <c r="E194" s="3907"/>
      <c r="F194" s="241" t="s">
        <v>5274</v>
      </c>
      <c r="G194" s="240" t="s">
        <v>4032</v>
      </c>
      <c r="H194" s="1791" t="s">
        <v>5276</v>
      </c>
      <c r="I194" s="1791" t="s">
        <v>5277</v>
      </c>
      <c r="J194" s="252" t="s">
        <v>5278</v>
      </c>
    </row>
    <row r="195" spans="1:10" x14ac:dyDescent="0.3">
      <c r="A195" s="3908"/>
      <c r="B195" s="3909"/>
      <c r="C195" s="3909"/>
      <c r="D195" s="3909"/>
      <c r="E195" s="3910"/>
      <c r="F195" s="3911"/>
      <c r="G195" s="3912"/>
      <c r="H195" s="256">
        <v>2</v>
      </c>
      <c r="I195" s="256">
        <v>3</v>
      </c>
      <c r="J195" s="257">
        <v>2021</v>
      </c>
    </row>
    <row r="196" spans="1:10" x14ac:dyDescent="0.3">
      <c r="A196" s="3913" t="s">
        <v>5279</v>
      </c>
      <c r="B196" s="3914"/>
      <c r="C196" s="3914"/>
      <c r="D196" s="3914"/>
      <c r="E196" s="3915"/>
      <c r="F196" s="258" t="s">
        <v>5280</v>
      </c>
      <c r="G196" s="1787" t="s">
        <v>3988</v>
      </c>
      <c r="H196" s="259" t="s">
        <v>5281</v>
      </c>
      <c r="I196" s="260" t="s">
        <v>3988</v>
      </c>
      <c r="J196" s="261" t="s">
        <v>3988</v>
      </c>
    </row>
    <row r="197" spans="1:10" x14ac:dyDescent="0.3">
      <c r="A197" s="3913" t="s">
        <v>5313</v>
      </c>
      <c r="B197" s="3914"/>
      <c r="C197" s="3914"/>
      <c r="D197" s="3914"/>
      <c r="E197" s="3915"/>
      <c r="F197" s="3911" t="s">
        <v>5314</v>
      </c>
      <c r="G197" s="3912"/>
      <c r="H197" s="3911" t="s">
        <v>125</v>
      </c>
      <c r="I197" s="3911"/>
      <c r="J197" s="3916"/>
    </row>
    <row r="198" spans="1:10" x14ac:dyDescent="0.3">
      <c r="A198" s="262" t="s">
        <v>5284</v>
      </c>
      <c r="B198" s="3911" t="s">
        <v>5285</v>
      </c>
      <c r="C198" s="3911"/>
      <c r="D198" s="3911"/>
      <c r="E198" s="3912"/>
      <c r="F198" s="3917" t="s">
        <v>3752</v>
      </c>
      <c r="G198" s="3918"/>
      <c r="H198" s="3911" t="s">
        <v>5286</v>
      </c>
      <c r="I198" s="3911"/>
      <c r="J198" s="3916"/>
    </row>
    <row r="199" spans="1:10" x14ac:dyDescent="0.3">
      <c r="A199" s="263">
        <v>1</v>
      </c>
      <c r="B199" s="3887" t="s">
        <v>5315</v>
      </c>
      <c r="C199" s="3887"/>
      <c r="D199" s="3887"/>
      <c r="E199" s="3887"/>
      <c r="F199" s="3888">
        <v>12000</v>
      </c>
      <c r="G199" s="3889"/>
      <c r="H199" s="3887">
        <f>F199*A199</f>
        <v>12000</v>
      </c>
      <c r="I199" s="3887"/>
      <c r="J199" s="3890"/>
    </row>
    <row r="200" spans="1:10" x14ac:dyDescent="0.3">
      <c r="A200" s="263" t="s">
        <v>3988</v>
      </c>
      <c r="B200" s="3887" t="s">
        <v>3988</v>
      </c>
      <c r="C200" s="3887"/>
      <c r="D200" s="3887"/>
      <c r="E200" s="3887"/>
      <c r="F200" s="3888" t="s">
        <v>3988</v>
      </c>
      <c r="G200" s="3889"/>
      <c r="H200" s="3887" t="s">
        <v>3988</v>
      </c>
      <c r="I200" s="3887"/>
      <c r="J200" s="3890"/>
    </row>
    <row r="201" spans="1:10" x14ac:dyDescent="0.3">
      <c r="A201" s="263" t="s">
        <v>3988</v>
      </c>
      <c r="B201" s="264" t="s">
        <v>3988</v>
      </c>
      <c r="C201" s="264" t="s">
        <v>3988</v>
      </c>
      <c r="D201" s="264" t="s">
        <v>3988</v>
      </c>
      <c r="E201" s="264" t="s">
        <v>3988</v>
      </c>
      <c r="F201" s="3888" t="s">
        <v>3988</v>
      </c>
      <c r="G201" s="3889"/>
      <c r="H201" s="3887" t="s">
        <v>5287</v>
      </c>
      <c r="I201" s="3887"/>
      <c r="J201" s="3890"/>
    </row>
    <row r="202" spans="1:10" x14ac:dyDescent="0.3">
      <c r="A202" s="253" t="s">
        <v>3988</v>
      </c>
      <c r="B202" s="236" t="s">
        <v>3988</v>
      </c>
      <c r="C202" s="236" t="s">
        <v>3988</v>
      </c>
      <c r="D202" s="236" t="s">
        <v>3988</v>
      </c>
      <c r="E202" s="236" t="s">
        <v>3988</v>
      </c>
      <c r="F202" s="3891" t="s">
        <v>3988</v>
      </c>
      <c r="G202" s="3892"/>
      <c r="H202" s="3893" t="s">
        <v>5287</v>
      </c>
      <c r="I202" s="3893"/>
      <c r="J202" s="3894"/>
    </row>
    <row r="203" spans="1:10" x14ac:dyDescent="0.3">
      <c r="A203" s="253" t="s">
        <v>3988</v>
      </c>
      <c r="B203" s="236" t="s">
        <v>3988</v>
      </c>
      <c r="C203" s="236" t="s">
        <v>3988</v>
      </c>
      <c r="D203" s="236" t="s">
        <v>3988</v>
      </c>
      <c r="E203" s="236" t="s">
        <v>3988</v>
      </c>
      <c r="F203" s="3891" t="s">
        <v>3988</v>
      </c>
      <c r="G203" s="3892"/>
      <c r="H203" s="3893" t="s">
        <v>5287</v>
      </c>
      <c r="I203" s="3893"/>
      <c r="J203" s="3894"/>
    </row>
    <row r="204" spans="1:10" x14ac:dyDescent="0.3">
      <c r="A204" s="253" t="s">
        <v>3988</v>
      </c>
      <c r="B204" s="236" t="s">
        <v>3988</v>
      </c>
      <c r="C204" s="236" t="s">
        <v>3988</v>
      </c>
      <c r="D204" s="236" t="s">
        <v>3988</v>
      </c>
      <c r="E204" s="236" t="s">
        <v>3988</v>
      </c>
      <c r="F204" s="3891" t="s">
        <v>3988</v>
      </c>
      <c r="G204" s="3892"/>
      <c r="H204" s="3893" t="s">
        <v>5287</v>
      </c>
      <c r="I204" s="3893"/>
      <c r="J204" s="3894"/>
    </row>
    <row r="205" spans="1:10" x14ac:dyDescent="0.3">
      <c r="A205" s="253" t="s">
        <v>3988</v>
      </c>
      <c r="B205" s="236" t="s">
        <v>3988</v>
      </c>
      <c r="C205" s="236" t="s">
        <v>3988</v>
      </c>
      <c r="D205" s="236" t="s">
        <v>3988</v>
      </c>
      <c r="E205" s="236" t="s">
        <v>3988</v>
      </c>
      <c r="F205" s="3891" t="s">
        <v>3988</v>
      </c>
      <c r="G205" s="3892"/>
      <c r="H205" s="3893" t="s">
        <v>5287</v>
      </c>
      <c r="I205" s="3893"/>
      <c r="J205" s="3894"/>
    </row>
    <row r="206" spans="1:10" x14ac:dyDescent="0.3">
      <c r="A206" s="253" t="s">
        <v>3988</v>
      </c>
      <c r="B206" s="236" t="s">
        <v>3988</v>
      </c>
      <c r="C206" s="236" t="s">
        <v>3988</v>
      </c>
      <c r="D206" s="236" t="s">
        <v>3988</v>
      </c>
      <c r="E206" s="236" t="s">
        <v>3988</v>
      </c>
      <c r="F206" s="3891" t="s">
        <v>3988</v>
      </c>
      <c r="G206" s="3892"/>
      <c r="H206" s="3893" t="s">
        <v>5287</v>
      </c>
      <c r="I206" s="3893"/>
      <c r="J206" s="3894"/>
    </row>
    <row r="207" spans="1:10" x14ac:dyDescent="0.3">
      <c r="A207" s="253" t="s">
        <v>3988</v>
      </c>
      <c r="B207" s="236" t="s">
        <v>3988</v>
      </c>
      <c r="C207" s="236" t="s">
        <v>3988</v>
      </c>
      <c r="D207" s="236" t="s">
        <v>3988</v>
      </c>
      <c r="E207" s="236" t="s">
        <v>3988</v>
      </c>
      <c r="F207" s="3891" t="s">
        <v>3988</v>
      </c>
      <c r="G207" s="3892"/>
      <c r="H207" s="3893" t="s">
        <v>5287</v>
      </c>
      <c r="I207" s="3893"/>
      <c r="J207" s="3894"/>
    </row>
    <row r="208" spans="1:10" x14ac:dyDescent="0.3">
      <c r="A208" s="1788" t="s">
        <v>3753</v>
      </c>
      <c r="B208" s="235" t="s">
        <v>3988</v>
      </c>
      <c r="C208" s="235" t="s">
        <v>3988</v>
      </c>
      <c r="D208" s="235" t="s">
        <v>3988</v>
      </c>
      <c r="E208" s="3859" t="s">
        <v>5288</v>
      </c>
      <c r="F208" s="3860"/>
      <c r="G208" s="3861">
        <f>H199</f>
        <v>12000</v>
      </c>
      <c r="H208" s="3861"/>
      <c r="I208" s="3862"/>
      <c r="J208" s="254"/>
    </row>
    <row r="209" spans="1:10" x14ac:dyDescent="0.3">
      <c r="A209" s="255" t="s">
        <v>3988</v>
      </c>
      <c r="B209" s="237" t="s">
        <v>3988</v>
      </c>
      <c r="C209" s="237" t="s">
        <v>3988</v>
      </c>
      <c r="D209" s="237" t="s">
        <v>3988</v>
      </c>
      <c r="E209" s="237" t="s">
        <v>3988</v>
      </c>
      <c r="F209" s="238" t="s">
        <v>5289</v>
      </c>
      <c r="G209" s="239" t="s">
        <v>5290</v>
      </c>
      <c r="H209" s="3863" t="s">
        <v>5291</v>
      </c>
      <c r="I209" s="3863"/>
      <c r="J209" s="3864"/>
    </row>
    <row r="210" spans="1:10" x14ac:dyDescent="0.3">
      <c r="A210" s="3865" t="s">
        <v>5292</v>
      </c>
      <c r="B210" s="3866"/>
      <c r="C210" s="3866"/>
      <c r="D210" s="3866"/>
      <c r="E210" s="3867"/>
      <c r="F210" s="3871" t="s">
        <v>5293</v>
      </c>
      <c r="G210" s="3872"/>
      <c r="H210" s="3875">
        <f>G208</f>
        <v>12000</v>
      </c>
      <c r="I210" s="3876"/>
      <c r="J210" s="3877"/>
    </row>
    <row r="211" spans="1:10" x14ac:dyDescent="0.3">
      <c r="A211" s="3868"/>
      <c r="B211" s="3869"/>
      <c r="C211" s="3869"/>
      <c r="D211" s="3869"/>
      <c r="E211" s="3870"/>
      <c r="F211" s="3873"/>
      <c r="G211" s="3874"/>
      <c r="H211" s="3878"/>
      <c r="I211" s="3879"/>
      <c r="J211" s="3880"/>
    </row>
    <row r="212" spans="1:10" x14ac:dyDescent="0.3">
      <c r="A212" s="3881" t="s">
        <v>5294</v>
      </c>
      <c r="B212" s="3882"/>
      <c r="C212" s="3882"/>
      <c r="D212" s="3882"/>
      <c r="E212" s="3882"/>
      <c r="F212" s="3882"/>
      <c r="G212" s="3882"/>
      <c r="H212" s="3882"/>
      <c r="I212" s="3882"/>
      <c r="J212" s="3883"/>
    </row>
    <row r="213" spans="1:10" x14ac:dyDescent="0.3">
      <c r="A213" s="3884"/>
      <c r="B213" s="3885"/>
      <c r="C213" s="3885"/>
      <c r="D213" s="3885"/>
      <c r="E213" s="3885"/>
      <c r="F213" s="3885"/>
      <c r="G213" s="3885"/>
      <c r="H213" s="3885"/>
      <c r="I213" s="3885"/>
      <c r="J213" s="3886"/>
    </row>
    <row r="216" spans="1:10" x14ac:dyDescent="0.3">
      <c r="A216" s="246" t="s">
        <v>3988</v>
      </c>
      <c r="B216" s="247" t="s">
        <v>3988</v>
      </c>
      <c r="C216" s="3895" t="s">
        <v>5267</v>
      </c>
      <c r="D216" s="3895"/>
      <c r="E216" s="3895"/>
      <c r="F216" s="3896"/>
      <c r="G216" s="247" t="s">
        <v>3988</v>
      </c>
      <c r="H216" s="1789" t="s">
        <v>3988</v>
      </c>
      <c r="I216" s="1789" t="s">
        <v>3988</v>
      </c>
      <c r="J216" s="248" t="s">
        <v>3988</v>
      </c>
    </row>
    <row r="217" spans="1:10" ht="15.6" x14ac:dyDescent="0.3">
      <c r="A217" s="249" t="s">
        <v>3988</v>
      </c>
      <c r="B217" s="231"/>
      <c r="C217" s="3897" t="s">
        <v>3986</v>
      </c>
      <c r="D217" s="3897"/>
      <c r="E217" s="3897"/>
      <c r="F217" s="3898"/>
      <c r="G217" s="1790" t="s">
        <v>3988</v>
      </c>
      <c r="H217" s="3899" t="s">
        <v>5316</v>
      </c>
      <c r="I217" s="3899"/>
      <c r="J217" s="250" t="s">
        <v>3988</v>
      </c>
    </row>
    <row r="218" spans="1:10" ht="17.399999999999999" x14ac:dyDescent="0.3">
      <c r="A218" s="249" t="s">
        <v>3988</v>
      </c>
      <c r="B218" s="232"/>
      <c r="C218" s="3901" t="s">
        <v>5269</v>
      </c>
      <c r="D218" s="3901"/>
      <c r="E218" s="3901"/>
      <c r="F218" s="3902"/>
      <c r="G218" s="233" t="s">
        <v>5270</v>
      </c>
      <c r="H218" s="3900"/>
      <c r="I218" s="3900"/>
      <c r="J218" s="250" t="s">
        <v>3988</v>
      </c>
    </row>
    <row r="219" spans="1:10" x14ac:dyDescent="0.3">
      <c r="A219" s="249" t="s">
        <v>3988</v>
      </c>
      <c r="B219" s="232" t="s">
        <v>3988</v>
      </c>
      <c r="C219" s="3903" t="s">
        <v>5271</v>
      </c>
      <c r="D219" s="3903"/>
      <c r="E219" s="3903"/>
      <c r="F219" s="3904"/>
      <c r="G219" s="1790" t="s">
        <v>3988</v>
      </c>
      <c r="H219" s="234" t="s">
        <v>3988</v>
      </c>
      <c r="I219" s="234" t="s">
        <v>3988</v>
      </c>
      <c r="J219" s="251" t="s">
        <v>3988</v>
      </c>
    </row>
    <row r="220" spans="1:10" ht="31.8" x14ac:dyDescent="0.3">
      <c r="A220" s="242" t="s">
        <v>5272</v>
      </c>
      <c r="B220" s="3905" t="s">
        <v>5301</v>
      </c>
      <c r="C220" s="3906"/>
      <c r="D220" s="3906"/>
      <c r="E220" s="3907"/>
      <c r="F220" s="241" t="s">
        <v>5274</v>
      </c>
      <c r="G220" s="240"/>
      <c r="H220" s="1791" t="s">
        <v>5276</v>
      </c>
      <c r="I220" s="1791" t="s">
        <v>5277</v>
      </c>
      <c r="J220" s="252" t="s">
        <v>5278</v>
      </c>
    </row>
    <row r="221" spans="1:10" x14ac:dyDescent="0.3">
      <c r="A221" s="3908"/>
      <c r="B221" s="3909"/>
      <c r="C221" s="3909"/>
      <c r="D221" s="3909"/>
      <c r="E221" s="3910"/>
      <c r="F221" s="3911"/>
      <c r="G221" s="3912"/>
      <c r="H221" s="256">
        <v>4</v>
      </c>
      <c r="I221" s="256">
        <v>3</v>
      </c>
      <c r="J221" s="257">
        <v>2021</v>
      </c>
    </row>
    <row r="222" spans="1:10" x14ac:dyDescent="0.3">
      <c r="A222" s="3913" t="s">
        <v>5279</v>
      </c>
      <c r="B222" s="3914"/>
      <c r="C222" s="3914"/>
      <c r="D222" s="3914"/>
      <c r="E222" s="3915"/>
      <c r="F222" s="258" t="s">
        <v>5280</v>
      </c>
      <c r="G222" s="1787" t="s">
        <v>3988</v>
      </c>
      <c r="H222" s="259" t="s">
        <v>5281</v>
      </c>
      <c r="I222" s="260" t="s">
        <v>3988</v>
      </c>
      <c r="J222" s="261" t="s">
        <v>3988</v>
      </c>
    </row>
    <row r="223" spans="1:10" x14ac:dyDescent="0.3">
      <c r="A223" s="3913" t="s">
        <v>5302</v>
      </c>
      <c r="B223" s="3914"/>
      <c r="C223" s="3914"/>
      <c r="D223" s="3914"/>
      <c r="E223" s="3915"/>
      <c r="F223" s="3911">
        <v>4614611</v>
      </c>
      <c r="G223" s="3912"/>
      <c r="H223" s="3911" t="s">
        <v>125</v>
      </c>
      <c r="I223" s="3911"/>
      <c r="J223" s="3916"/>
    </row>
    <row r="224" spans="1:10" x14ac:dyDescent="0.3">
      <c r="A224" s="262" t="s">
        <v>5284</v>
      </c>
      <c r="B224" s="3911" t="s">
        <v>5285</v>
      </c>
      <c r="C224" s="3911"/>
      <c r="D224" s="3911"/>
      <c r="E224" s="3912"/>
      <c r="F224" s="3917" t="s">
        <v>3752</v>
      </c>
      <c r="G224" s="3918"/>
      <c r="H224" s="3911" t="s">
        <v>5286</v>
      </c>
      <c r="I224" s="3911"/>
      <c r="J224" s="3916"/>
    </row>
    <row r="225" spans="1:10" x14ac:dyDescent="0.3">
      <c r="A225" s="263">
        <v>1</v>
      </c>
      <c r="B225" s="3887" t="s">
        <v>5317</v>
      </c>
      <c r="C225" s="3887"/>
      <c r="D225" s="3887"/>
      <c r="E225" s="3887"/>
      <c r="F225" s="3888">
        <v>2200</v>
      </c>
      <c r="G225" s="3889"/>
      <c r="H225" s="3887">
        <f>F225*A225</f>
        <v>2200</v>
      </c>
      <c r="I225" s="3887"/>
      <c r="J225" s="3890"/>
    </row>
    <row r="226" spans="1:10" x14ac:dyDescent="0.3">
      <c r="A226" s="263" t="s">
        <v>3988</v>
      </c>
      <c r="B226" s="3887" t="s">
        <v>3988</v>
      </c>
      <c r="C226" s="3887"/>
      <c r="D226" s="3887"/>
      <c r="E226" s="3887"/>
      <c r="F226" s="3888" t="s">
        <v>3988</v>
      </c>
      <c r="G226" s="3889"/>
      <c r="H226" s="3887" t="s">
        <v>3988</v>
      </c>
      <c r="I226" s="3887"/>
      <c r="J226" s="3890"/>
    </row>
    <row r="227" spans="1:10" x14ac:dyDescent="0.3">
      <c r="A227" s="263" t="s">
        <v>3988</v>
      </c>
      <c r="B227" s="264" t="s">
        <v>3988</v>
      </c>
      <c r="C227" s="264" t="s">
        <v>3988</v>
      </c>
      <c r="D227" s="264" t="s">
        <v>3988</v>
      </c>
      <c r="E227" s="264" t="s">
        <v>3988</v>
      </c>
      <c r="F227" s="3888" t="s">
        <v>3988</v>
      </c>
      <c r="G227" s="3889"/>
      <c r="H227" s="3887" t="s">
        <v>5287</v>
      </c>
      <c r="I227" s="3887"/>
      <c r="J227" s="3890"/>
    </row>
    <row r="228" spans="1:10" x14ac:dyDescent="0.3">
      <c r="A228" s="253" t="s">
        <v>3988</v>
      </c>
      <c r="B228" s="236" t="s">
        <v>3988</v>
      </c>
      <c r="C228" s="236" t="s">
        <v>3988</v>
      </c>
      <c r="D228" s="236" t="s">
        <v>3988</v>
      </c>
      <c r="E228" s="236" t="s">
        <v>3988</v>
      </c>
      <c r="F228" s="3891" t="s">
        <v>3988</v>
      </c>
      <c r="G228" s="3892"/>
      <c r="H228" s="3893" t="s">
        <v>5287</v>
      </c>
      <c r="I228" s="3893"/>
      <c r="J228" s="3894"/>
    </row>
    <row r="229" spans="1:10" x14ac:dyDescent="0.3">
      <c r="A229" s="253" t="s">
        <v>3988</v>
      </c>
      <c r="B229" s="236" t="s">
        <v>3988</v>
      </c>
      <c r="C229" s="236" t="s">
        <v>3988</v>
      </c>
      <c r="D229" s="236" t="s">
        <v>3988</v>
      </c>
      <c r="E229" s="236" t="s">
        <v>3988</v>
      </c>
      <c r="F229" s="3891" t="s">
        <v>3988</v>
      </c>
      <c r="G229" s="3892"/>
      <c r="H229" s="3893" t="s">
        <v>5287</v>
      </c>
      <c r="I229" s="3893"/>
      <c r="J229" s="3894"/>
    </row>
    <row r="230" spans="1:10" x14ac:dyDescent="0.3">
      <c r="A230" s="253" t="s">
        <v>3988</v>
      </c>
      <c r="B230" s="236" t="s">
        <v>3988</v>
      </c>
      <c r="C230" s="236" t="s">
        <v>3988</v>
      </c>
      <c r="D230" s="236" t="s">
        <v>3988</v>
      </c>
      <c r="E230" s="236" t="s">
        <v>3988</v>
      </c>
      <c r="F230" s="3891" t="s">
        <v>3988</v>
      </c>
      <c r="G230" s="3892"/>
      <c r="H230" s="3893" t="s">
        <v>5287</v>
      </c>
      <c r="I230" s="3893"/>
      <c r="J230" s="3894"/>
    </row>
    <row r="231" spans="1:10" x14ac:dyDescent="0.3">
      <c r="A231" s="253" t="s">
        <v>3988</v>
      </c>
      <c r="B231" s="236" t="s">
        <v>3988</v>
      </c>
      <c r="C231" s="236" t="s">
        <v>3988</v>
      </c>
      <c r="D231" s="236" t="s">
        <v>3988</v>
      </c>
      <c r="E231" s="236" t="s">
        <v>3988</v>
      </c>
      <c r="F231" s="3891" t="s">
        <v>3988</v>
      </c>
      <c r="G231" s="3892"/>
      <c r="H231" s="3893" t="s">
        <v>5287</v>
      </c>
      <c r="I231" s="3893"/>
      <c r="J231" s="3894"/>
    </row>
    <row r="232" spans="1:10" x14ac:dyDescent="0.3">
      <c r="A232" s="253" t="s">
        <v>3988</v>
      </c>
      <c r="B232" s="236" t="s">
        <v>3988</v>
      </c>
      <c r="C232" s="236" t="s">
        <v>3988</v>
      </c>
      <c r="D232" s="236" t="s">
        <v>3988</v>
      </c>
      <c r="E232" s="236" t="s">
        <v>3988</v>
      </c>
      <c r="F232" s="3891" t="s">
        <v>3988</v>
      </c>
      <c r="G232" s="3892"/>
      <c r="H232" s="3893" t="s">
        <v>5287</v>
      </c>
      <c r="I232" s="3893"/>
      <c r="J232" s="3894"/>
    </row>
    <row r="233" spans="1:10" x14ac:dyDescent="0.3">
      <c r="A233" s="253" t="s">
        <v>3988</v>
      </c>
      <c r="B233" s="236" t="s">
        <v>3988</v>
      </c>
      <c r="C233" s="236" t="s">
        <v>3988</v>
      </c>
      <c r="D233" s="236" t="s">
        <v>3988</v>
      </c>
      <c r="E233" s="236" t="s">
        <v>3988</v>
      </c>
      <c r="F233" s="3891" t="s">
        <v>3988</v>
      </c>
      <c r="G233" s="3892"/>
      <c r="H233" s="3893" t="s">
        <v>5287</v>
      </c>
      <c r="I233" s="3893"/>
      <c r="J233" s="3894"/>
    </row>
    <row r="234" spans="1:10" x14ac:dyDescent="0.3">
      <c r="A234" s="1788" t="s">
        <v>3753</v>
      </c>
      <c r="B234" s="235" t="s">
        <v>3988</v>
      </c>
      <c r="C234" s="235" t="s">
        <v>3988</v>
      </c>
      <c r="D234" s="235" t="s">
        <v>3988</v>
      </c>
      <c r="E234" s="3859" t="s">
        <v>5288</v>
      </c>
      <c r="F234" s="3860"/>
      <c r="G234" s="3861">
        <f>H225</f>
        <v>2200</v>
      </c>
      <c r="H234" s="3861"/>
      <c r="I234" s="3862"/>
      <c r="J234" s="254"/>
    </row>
    <row r="235" spans="1:10" x14ac:dyDescent="0.3">
      <c r="A235" s="255" t="s">
        <v>3988</v>
      </c>
      <c r="B235" s="237" t="s">
        <v>3988</v>
      </c>
      <c r="C235" s="237" t="s">
        <v>3988</v>
      </c>
      <c r="D235" s="237" t="s">
        <v>3988</v>
      </c>
      <c r="E235" s="237" t="s">
        <v>3988</v>
      </c>
      <c r="F235" s="238" t="s">
        <v>5289</v>
      </c>
      <c r="G235" s="239" t="s">
        <v>5290</v>
      </c>
      <c r="H235" s="3863" t="s">
        <v>5291</v>
      </c>
      <c r="I235" s="3863"/>
      <c r="J235" s="3864"/>
    </row>
    <row r="236" spans="1:10" x14ac:dyDescent="0.3">
      <c r="A236" s="3865" t="s">
        <v>5292</v>
      </c>
      <c r="B236" s="3866"/>
      <c r="C236" s="3866"/>
      <c r="D236" s="3866"/>
      <c r="E236" s="3867"/>
      <c r="F236" s="3871" t="s">
        <v>5293</v>
      </c>
      <c r="G236" s="3872"/>
      <c r="H236" s="3875">
        <f>G234</f>
        <v>2200</v>
      </c>
      <c r="I236" s="3876"/>
      <c r="J236" s="3877"/>
    </row>
    <row r="237" spans="1:10" x14ac:dyDescent="0.3">
      <c r="A237" s="3868"/>
      <c r="B237" s="3869"/>
      <c r="C237" s="3869"/>
      <c r="D237" s="3869"/>
      <c r="E237" s="3870"/>
      <c r="F237" s="3873"/>
      <c r="G237" s="3874"/>
      <c r="H237" s="3878"/>
      <c r="I237" s="3879"/>
      <c r="J237" s="3880"/>
    </row>
    <row r="238" spans="1:10" x14ac:dyDescent="0.3">
      <c r="A238" s="3881" t="s">
        <v>5294</v>
      </c>
      <c r="B238" s="3882"/>
      <c r="C238" s="3882"/>
      <c r="D238" s="3882"/>
      <c r="E238" s="3882"/>
      <c r="F238" s="3882"/>
      <c r="G238" s="3882"/>
      <c r="H238" s="3882"/>
      <c r="I238" s="3882"/>
      <c r="J238" s="3883"/>
    </row>
    <row r="239" spans="1:10" x14ac:dyDescent="0.3">
      <c r="A239" s="3884"/>
      <c r="B239" s="3885"/>
      <c r="C239" s="3885"/>
      <c r="D239" s="3885"/>
      <c r="E239" s="3885"/>
      <c r="F239" s="3885"/>
      <c r="G239" s="3885"/>
      <c r="H239" s="3885"/>
      <c r="I239" s="3885"/>
      <c r="J239" s="3886"/>
    </row>
    <row r="240" spans="1:10" x14ac:dyDescent="0.3">
      <c r="A240" s="1786"/>
      <c r="B240" s="1786"/>
      <c r="C240" s="1786"/>
      <c r="D240" s="1786"/>
      <c r="E240" s="1786"/>
      <c r="F240" s="1786"/>
      <c r="G240" s="1786"/>
      <c r="H240" s="1786"/>
      <c r="I240" s="1786"/>
      <c r="J240" s="1786"/>
    </row>
    <row r="241" spans="1:10" x14ac:dyDescent="0.3">
      <c r="A241" s="1786"/>
      <c r="B241" s="1786"/>
      <c r="C241" s="1786"/>
      <c r="D241" s="1786"/>
      <c r="E241" s="1786"/>
      <c r="F241" s="1786"/>
      <c r="G241" s="1786"/>
      <c r="H241" s="1786"/>
      <c r="I241" s="1786"/>
      <c r="J241" s="1786"/>
    </row>
    <row r="244" spans="1:10" x14ac:dyDescent="0.3">
      <c r="A244" s="246" t="s">
        <v>3988</v>
      </c>
      <c r="B244" s="247" t="s">
        <v>3988</v>
      </c>
      <c r="C244" s="3895" t="s">
        <v>5267</v>
      </c>
      <c r="D244" s="3895"/>
      <c r="E244" s="3895"/>
      <c r="F244" s="3896"/>
      <c r="G244" s="247" t="s">
        <v>3988</v>
      </c>
      <c r="H244" s="1789" t="s">
        <v>3988</v>
      </c>
      <c r="I244" s="1789" t="s">
        <v>3988</v>
      </c>
      <c r="J244" s="248" t="s">
        <v>3988</v>
      </c>
    </row>
    <row r="245" spans="1:10" ht="15.6" x14ac:dyDescent="0.3">
      <c r="A245" s="249" t="s">
        <v>3988</v>
      </c>
      <c r="B245" s="231"/>
      <c r="C245" s="3897" t="s">
        <v>3986</v>
      </c>
      <c r="D245" s="3897"/>
      <c r="E245" s="3897"/>
      <c r="F245" s="3898"/>
      <c r="G245" s="1790" t="s">
        <v>3988</v>
      </c>
      <c r="H245" s="3899" t="s">
        <v>5318</v>
      </c>
      <c r="I245" s="3899"/>
      <c r="J245" s="250" t="s">
        <v>3988</v>
      </c>
    </row>
    <row r="246" spans="1:10" ht="17.399999999999999" x14ac:dyDescent="0.3">
      <c r="A246" s="249" t="s">
        <v>3988</v>
      </c>
      <c r="B246" s="232"/>
      <c r="C246" s="3901" t="s">
        <v>5269</v>
      </c>
      <c r="D246" s="3901"/>
      <c r="E246" s="3901"/>
      <c r="F246" s="3902"/>
      <c r="G246" s="233" t="s">
        <v>5270</v>
      </c>
      <c r="H246" s="3900"/>
      <c r="I246" s="3900"/>
      <c r="J246" s="250" t="s">
        <v>3988</v>
      </c>
    </row>
    <row r="247" spans="1:10" x14ac:dyDescent="0.3">
      <c r="A247" s="249" t="s">
        <v>3988</v>
      </c>
      <c r="B247" s="232" t="s">
        <v>3988</v>
      </c>
      <c r="C247" s="3903" t="s">
        <v>5271</v>
      </c>
      <c r="D247" s="3903"/>
      <c r="E247" s="3903"/>
      <c r="F247" s="3904"/>
      <c r="G247" s="1790" t="s">
        <v>3988</v>
      </c>
      <c r="H247" s="234" t="s">
        <v>3988</v>
      </c>
      <c r="I247" s="234" t="s">
        <v>3988</v>
      </c>
      <c r="J247" s="251" t="s">
        <v>3988</v>
      </c>
    </row>
    <row r="248" spans="1:10" ht="31.8" x14ac:dyDescent="0.3">
      <c r="A248" s="242" t="s">
        <v>5272</v>
      </c>
      <c r="B248" s="3905" t="s">
        <v>4045</v>
      </c>
      <c r="C248" s="3906"/>
      <c r="D248" s="3906"/>
      <c r="E248" s="3907"/>
      <c r="F248" s="241" t="s">
        <v>5274</v>
      </c>
      <c r="G248" s="240" t="s">
        <v>5319</v>
      </c>
      <c r="H248" s="1791" t="s">
        <v>5276</v>
      </c>
      <c r="I248" s="1791" t="s">
        <v>5277</v>
      </c>
      <c r="J248" s="252" t="s">
        <v>5278</v>
      </c>
    </row>
    <row r="249" spans="1:10" x14ac:dyDescent="0.3">
      <c r="A249" s="3908"/>
      <c r="B249" s="3909"/>
      <c r="C249" s="3909"/>
      <c r="D249" s="3909"/>
      <c r="E249" s="3910"/>
      <c r="F249" s="3911"/>
      <c r="G249" s="3912"/>
      <c r="H249" s="256">
        <v>5</v>
      </c>
      <c r="I249" s="256">
        <v>3</v>
      </c>
      <c r="J249" s="257">
        <v>2021</v>
      </c>
    </row>
    <row r="250" spans="1:10" x14ac:dyDescent="0.3">
      <c r="A250" s="3913" t="s">
        <v>5279</v>
      </c>
      <c r="B250" s="3914"/>
      <c r="C250" s="3914"/>
      <c r="D250" s="3914"/>
      <c r="E250" s="3915"/>
      <c r="F250" s="258" t="s">
        <v>5280</v>
      </c>
      <c r="G250" s="1787" t="s">
        <v>3988</v>
      </c>
      <c r="H250" s="259" t="s">
        <v>5281</v>
      </c>
      <c r="I250" s="260" t="s">
        <v>3988</v>
      </c>
      <c r="J250" s="261" t="s">
        <v>3988</v>
      </c>
    </row>
    <row r="251" spans="1:10" x14ac:dyDescent="0.3">
      <c r="A251" s="3913" t="s">
        <v>5320</v>
      </c>
      <c r="B251" s="3914"/>
      <c r="C251" s="3914"/>
      <c r="D251" s="3914"/>
      <c r="E251" s="3915"/>
      <c r="F251" s="3911"/>
      <c r="G251" s="3912"/>
      <c r="H251" s="3911" t="s">
        <v>125</v>
      </c>
      <c r="I251" s="3911"/>
      <c r="J251" s="3916"/>
    </row>
    <row r="252" spans="1:10" x14ac:dyDescent="0.3">
      <c r="A252" s="262" t="s">
        <v>5284</v>
      </c>
      <c r="B252" s="3911" t="s">
        <v>5285</v>
      </c>
      <c r="C252" s="3911"/>
      <c r="D252" s="3911"/>
      <c r="E252" s="3912"/>
      <c r="F252" s="3917" t="s">
        <v>3752</v>
      </c>
      <c r="G252" s="3918"/>
      <c r="H252" s="3911" t="s">
        <v>5286</v>
      </c>
      <c r="I252" s="3911"/>
      <c r="J252" s="3916"/>
    </row>
    <row r="253" spans="1:10" x14ac:dyDescent="0.3">
      <c r="A253" s="263">
        <v>2</v>
      </c>
      <c r="B253" s="3887" t="s">
        <v>4073</v>
      </c>
      <c r="C253" s="3887"/>
      <c r="D253" s="3887"/>
      <c r="E253" s="3887"/>
      <c r="F253" s="3888">
        <v>2000</v>
      </c>
      <c r="G253" s="3889"/>
      <c r="H253" s="3887">
        <f>F253*A253</f>
        <v>4000</v>
      </c>
      <c r="I253" s="3887"/>
      <c r="J253" s="3890"/>
    </row>
    <row r="254" spans="1:10" x14ac:dyDescent="0.3">
      <c r="A254" s="263" t="s">
        <v>3988</v>
      </c>
      <c r="B254" s="3887" t="s">
        <v>3988</v>
      </c>
      <c r="C254" s="3887"/>
      <c r="D254" s="3887"/>
      <c r="E254" s="3887"/>
      <c r="F254" s="3888" t="s">
        <v>3988</v>
      </c>
      <c r="G254" s="3889"/>
      <c r="H254" s="3887" t="s">
        <v>3988</v>
      </c>
      <c r="I254" s="3887"/>
      <c r="J254" s="3890"/>
    </row>
    <row r="255" spans="1:10" x14ac:dyDescent="0.3">
      <c r="A255" s="263" t="s">
        <v>3988</v>
      </c>
      <c r="B255" s="264" t="s">
        <v>3988</v>
      </c>
      <c r="C255" s="264" t="s">
        <v>3988</v>
      </c>
      <c r="D255" s="264" t="s">
        <v>3988</v>
      </c>
      <c r="E255" s="264" t="s">
        <v>3988</v>
      </c>
      <c r="F255" s="3888" t="s">
        <v>3988</v>
      </c>
      <c r="G255" s="3889"/>
      <c r="H255" s="3887" t="s">
        <v>5287</v>
      </c>
      <c r="I255" s="3887"/>
      <c r="J255" s="3890"/>
    </row>
    <row r="256" spans="1:10" x14ac:dyDescent="0.3">
      <c r="A256" s="253" t="s">
        <v>3988</v>
      </c>
      <c r="B256" s="236" t="s">
        <v>3988</v>
      </c>
      <c r="C256" s="236" t="s">
        <v>3988</v>
      </c>
      <c r="D256" s="236" t="s">
        <v>3988</v>
      </c>
      <c r="E256" s="236" t="s">
        <v>3988</v>
      </c>
      <c r="F256" s="3891" t="s">
        <v>3988</v>
      </c>
      <c r="G256" s="3892"/>
      <c r="H256" s="3893" t="s">
        <v>5287</v>
      </c>
      <c r="I256" s="3893"/>
      <c r="J256" s="3894"/>
    </row>
    <row r="257" spans="1:10" x14ac:dyDescent="0.3">
      <c r="A257" s="253" t="s">
        <v>3988</v>
      </c>
      <c r="B257" s="236" t="s">
        <v>3988</v>
      </c>
      <c r="C257" s="236" t="s">
        <v>3988</v>
      </c>
      <c r="D257" s="236" t="s">
        <v>3988</v>
      </c>
      <c r="E257" s="236" t="s">
        <v>3988</v>
      </c>
      <c r="F257" s="3891" t="s">
        <v>3988</v>
      </c>
      <c r="G257" s="3892"/>
      <c r="H257" s="3893" t="s">
        <v>5287</v>
      </c>
      <c r="I257" s="3893"/>
      <c r="J257" s="3894"/>
    </row>
    <row r="258" spans="1:10" x14ac:dyDescent="0.3">
      <c r="A258" s="253" t="s">
        <v>3988</v>
      </c>
      <c r="B258" s="236" t="s">
        <v>3988</v>
      </c>
      <c r="C258" s="236" t="s">
        <v>3988</v>
      </c>
      <c r="D258" s="236" t="s">
        <v>3988</v>
      </c>
      <c r="E258" s="236" t="s">
        <v>3988</v>
      </c>
      <c r="F258" s="3891" t="s">
        <v>3988</v>
      </c>
      <c r="G258" s="3892"/>
      <c r="H258" s="3893" t="s">
        <v>5287</v>
      </c>
      <c r="I258" s="3893"/>
      <c r="J258" s="3894"/>
    </row>
    <row r="259" spans="1:10" x14ac:dyDescent="0.3">
      <c r="A259" s="253" t="s">
        <v>3988</v>
      </c>
      <c r="B259" s="236" t="s">
        <v>3988</v>
      </c>
      <c r="C259" s="236" t="s">
        <v>3988</v>
      </c>
      <c r="D259" s="236" t="s">
        <v>3988</v>
      </c>
      <c r="E259" s="236" t="s">
        <v>3988</v>
      </c>
      <c r="F259" s="3891" t="s">
        <v>3988</v>
      </c>
      <c r="G259" s="3892"/>
      <c r="H259" s="3893" t="s">
        <v>5287</v>
      </c>
      <c r="I259" s="3893"/>
      <c r="J259" s="3894"/>
    </row>
    <row r="260" spans="1:10" x14ac:dyDescent="0.3">
      <c r="A260" s="253" t="s">
        <v>3988</v>
      </c>
      <c r="B260" s="236" t="s">
        <v>3988</v>
      </c>
      <c r="C260" s="236" t="s">
        <v>3988</v>
      </c>
      <c r="D260" s="236" t="s">
        <v>3988</v>
      </c>
      <c r="E260" s="236" t="s">
        <v>3988</v>
      </c>
      <c r="F260" s="3891" t="s">
        <v>3988</v>
      </c>
      <c r="G260" s="3892"/>
      <c r="H260" s="3893" t="s">
        <v>5287</v>
      </c>
      <c r="I260" s="3893"/>
      <c r="J260" s="3894"/>
    </row>
    <row r="261" spans="1:10" x14ac:dyDescent="0.3">
      <c r="A261" s="253" t="s">
        <v>3988</v>
      </c>
      <c r="B261" s="236" t="s">
        <v>3988</v>
      </c>
      <c r="C261" s="236" t="s">
        <v>3988</v>
      </c>
      <c r="D261" s="236" t="s">
        <v>3988</v>
      </c>
      <c r="E261" s="236" t="s">
        <v>3988</v>
      </c>
      <c r="F261" s="3891" t="s">
        <v>3988</v>
      </c>
      <c r="G261" s="3892"/>
      <c r="H261" s="3893" t="s">
        <v>5287</v>
      </c>
      <c r="I261" s="3893"/>
      <c r="J261" s="3894"/>
    </row>
    <row r="262" spans="1:10" x14ac:dyDescent="0.3">
      <c r="A262" s="1788" t="s">
        <v>3753</v>
      </c>
      <c r="B262" s="235" t="s">
        <v>3988</v>
      </c>
      <c r="C262" s="235" t="s">
        <v>3988</v>
      </c>
      <c r="D262" s="235" t="s">
        <v>3988</v>
      </c>
      <c r="E262" s="3859" t="s">
        <v>5288</v>
      </c>
      <c r="F262" s="3860"/>
      <c r="G262" s="3861">
        <f>H253</f>
        <v>4000</v>
      </c>
      <c r="H262" s="3861"/>
      <c r="I262" s="3862"/>
      <c r="J262" s="254"/>
    </row>
    <row r="263" spans="1:10" x14ac:dyDescent="0.3">
      <c r="A263" s="255" t="s">
        <v>3988</v>
      </c>
      <c r="B263" s="237" t="s">
        <v>3988</v>
      </c>
      <c r="C263" s="237" t="s">
        <v>3988</v>
      </c>
      <c r="D263" s="237" t="s">
        <v>3988</v>
      </c>
      <c r="E263" s="237" t="s">
        <v>3988</v>
      </c>
      <c r="F263" s="238" t="s">
        <v>5289</v>
      </c>
      <c r="G263" s="239" t="s">
        <v>5290</v>
      </c>
      <c r="H263" s="3863" t="s">
        <v>5291</v>
      </c>
      <c r="I263" s="3863"/>
      <c r="J263" s="3864"/>
    </row>
    <row r="264" spans="1:10" x14ac:dyDescent="0.3">
      <c r="A264" s="3865" t="s">
        <v>5292</v>
      </c>
      <c r="B264" s="3866"/>
      <c r="C264" s="3866"/>
      <c r="D264" s="3866"/>
      <c r="E264" s="3867"/>
      <c r="F264" s="3871" t="s">
        <v>5293</v>
      </c>
      <c r="G264" s="3872"/>
      <c r="H264" s="3875">
        <f>G262</f>
        <v>4000</v>
      </c>
      <c r="I264" s="3876"/>
      <c r="J264" s="3877"/>
    </row>
    <row r="265" spans="1:10" x14ac:dyDescent="0.3">
      <c r="A265" s="3868"/>
      <c r="B265" s="3869"/>
      <c r="C265" s="3869"/>
      <c r="D265" s="3869"/>
      <c r="E265" s="3870"/>
      <c r="F265" s="3873"/>
      <c r="G265" s="3874"/>
      <c r="H265" s="3878"/>
      <c r="I265" s="3879"/>
      <c r="J265" s="3880"/>
    </row>
    <row r="266" spans="1:10" x14ac:dyDescent="0.3">
      <c r="A266" s="3881" t="s">
        <v>5294</v>
      </c>
      <c r="B266" s="3882"/>
      <c r="C266" s="3882"/>
      <c r="D266" s="3882"/>
      <c r="E266" s="3882"/>
      <c r="F266" s="3882"/>
      <c r="G266" s="3882"/>
      <c r="H266" s="3882"/>
      <c r="I266" s="3882"/>
      <c r="J266" s="3883"/>
    </row>
    <row r="267" spans="1:10" x14ac:dyDescent="0.3">
      <c r="A267" s="3884"/>
      <c r="B267" s="3885"/>
      <c r="C267" s="3885"/>
      <c r="D267" s="3885"/>
      <c r="E267" s="3885"/>
      <c r="F267" s="3885"/>
      <c r="G267" s="3885"/>
      <c r="H267" s="3885"/>
      <c r="I267" s="3885"/>
      <c r="J267" s="3886"/>
    </row>
    <row r="270" spans="1:10" x14ac:dyDescent="0.3">
      <c r="A270" s="246" t="s">
        <v>3988</v>
      </c>
      <c r="B270" s="247" t="s">
        <v>3988</v>
      </c>
      <c r="C270" s="3895" t="s">
        <v>5267</v>
      </c>
      <c r="D270" s="3895"/>
      <c r="E270" s="3895"/>
      <c r="F270" s="3896"/>
      <c r="G270" s="247" t="s">
        <v>3988</v>
      </c>
      <c r="H270" s="1789" t="s">
        <v>3988</v>
      </c>
      <c r="I270" s="1789" t="s">
        <v>3988</v>
      </c>
      <c r="J270" s="248" t="s">
        <v>3988</v>
      </c>
    </row>
    <row r="271" spans="1:10" ht="15.6" x14ac:dyDescent="0.3">
      <c r="A271" s="249" t="s">
        <v>3988</v>
      </c>
      <c r="B271" s="231"/>
      <c r="C271" s="3897" t="s">
        <v>3986</v>
      </c>
      <c r="D271" s="3897"/>
      <c r="E271" s="3897"/>
      <c r="F271" s="3898"/>
      <c r="G271" s="1790" t="s">
        <v>3988</v>
      </c>
      <c r="H271" s="3899" t="s">
        <v>5321</v>
      </c>
      <c r="I271" s="3899"/>
      <c r="J271" s="250" t="s">
        <v>3988</v>
      </c>
    </row>
    <row r="272" spans="1:10" ht="17.399999999999999" x14ac:dyDescent="0.3">
      <c r="A272" s="249" t="s">
        <v>3988</v>
      </c>
      <c r="B272" s="232"/>
      <c r="C272" s="3901" t="s">
        <v>5269</v>
      </c>
      <c r="D272" s="3901"/>
      <c r="E272" s="3901"/>
      <c r="F272" s="3902"/>
      <c r="G272" s="233" t="s">
        <v>5270</v>
      </c>
      <c r="H272" s="3900"/>
      <c r="I272" s="3900"/>
      <c r="J272" s="250" t="s">
        <v>3988</v>
      </c>
    </row>
    <row r="273" spans="1:10" x14ac:dyDescent="0.3">
      <c r="A273" s="249" t="s">
        <v>3988</v>
      </c>
      <c r="B273" s="232" t="s">
        <v>3988</v>
      </c>
      <c r="C273" s="3903" t="s">
        <v>5271</v>
      </c>
      <c r="D273" s="3903"/>
      <c r="E273" s="3903"/>
      <c r="F273" s="3904"/>
      <c r="G273" s="1790" t="s">
        <v>3988</v>
      </c>
      <c r="H273" s="234" t="s">
        <v>3988</v>
      </c>
      <c r="I273" s="234" t="s">
        <v>3988</v>
      </c>
      <c r="J273" s="251" t="s">
        <v>3988</v>
      </c>
    </row>
    <row r="274" spans="1:10" ht="31.8" x14ac:dyDescent="0.3">
      <c r="A274" s="242" t="s">
        <v>5272</v>
      </c>
      <c r="B274" s="3905" t="s">
        <v>5322</v>
      </c>
      <c r="C274" s="3906"/>
      <c r="D274" s="3906"/>
      <c r="E274" s="3907"/>
      <c r="F274" s="241" t="s">
        <v>5274</v>
      </c>
      <c r="G274" s="240" t="s">
        <v>4047</v>
      </c>
      <c r="H274" s="1791" t="s">
        <v>5276</v>
      </c>
      <c r="I274" s="1791" t="s">
        <v>5277</v>
      </c>
      <c r="J274" s="252" t="s">
        <v>5278</v>
      </c>
    </row>
    <row r="275" spans="1:10" x14ac:dyDescent="0.3">
      <c r="A275" s="3908"/>
      <c r="B275" s="3909"/>
      <c r="C275" s="3909"/>
      <c r="D275" s="3909"/>
      <c r="E275" s="3910"/>
      <c r="F275" s="3911"/>
      <c r="G275" s="3912"/>
      <c r="H275" s="256">
        <v>20</v>
      </c>
      <c r="I275" s="256">
        <v>4</v>
      </c>
      <c r="J275" s="257">
        <v>2021</v>
      </c>
    </row>
    <row r="276" spans="1:10" x14ac:dyDescent="0.3">
      <c r="A276" s="3913" t="s">
        <v>5279</v>
      </c>
      <c r="B276" s="3914"/>
      <c r="C276" s="3914"/>
      <c r="D276" s="3914"/>
      <c r="E276" s="3915"/>
      <c r="F276" s="258" t="s">
        <v>5280</v>
      </c>
      <c r="G276" s="1787" t="s">
        <v>3988</v>
      </c>
      <c r="H276" s="259" t="s">
        <v>5281</v>
      </c>
      <c r="I276" s="260" t="s">
        <v>3988</v>
      </c>
      <c r="J276" s="261" t="s">
        <v>3988</v>
      </c>
    </row>
    <row r="277" spans="1:10" x14ac:dyDescent="0.3">
      <c r="A277" s="3913" t="s">
        <v>5323</v>
      </c>
      <c r="B277" s="3914"/>
      <c r="C277" s="3914"/>
      <c r="D277" s="3914"/>
      <c r="E277" s="3915"/>
      <c r="F277" s="3911"/>
      <c r="G277" s="3912"/>
      <c r="H277" s="3911" t="s">
        <v>125</v>
      </c>
      <c r="I277" s="3911"/>
      <c r="J277" s="3916"/>
    </row>
    <row r="278" spans="1:10" x14ac:dyDescent="0.3">
      <c r="A278" s="262" t="s">
        <v>5284</v>
      </c>
      <c r="B278" s="3911" t="s">
        <v>5285</v>
      </c>
      <c r="C278" s="3911"/>
      <c r="D278" s="3911"/>
      <c r="E278" s="3912"/>
      <c r="F278" s="3917" t="s">
        <v>3752</v>
      </c>
      <c r="G278" s="3918"/>
      <c r="H278" s="3911" t="s">
        <v>5286</v>
      </c>
      <c r="I278" s="3911"/>
      <c r="J278" s="3916"/>
    </row>
    <row r="279" spans="1:10" x14ac:dyDescent="0.3">
      <c r="A279" s="263">
        <v>2</v>
      </c>
      <c r="B279" s="3887" t="s">
        <v>5324</v>
      </c>
      <c r="C279" s="3887"/>
      <c r="D279" s="3887"/>
      <c r="E279" s="3887"/>
      <c r="F279" s="3888">
        <v>1000</v>
      </c>
      <c r="G279" s="3889"/>
      <c r="H279" s="3887">
        <f>F279*A279</f>
        <v>2000</v>
      </c>
      <c r="I279" s="3887"/>
      <c r="J279" s="3890"/>
    </row>
    <row r="280" spans="1:10" x14ac:dyDescent="0.3">
      <c r="A280" s="263" t="s">
        <v>3988</v>
      </c>
      <c r="B280" s="3887" t="s">
        <v>3988</v>
      </c>
      <c r="C280" s="3887"/>
      <c r="D280" s="3887"/>
      <c r="E280" s="3887"/>
      <c r="F280" s="3888" t="s">
        <v>3988</v>
      </c>
      <c r="G280" s="3889"/>
      <c r="H280" s="3887" t="s">
        <v>3988</v>
      </c>
      <c r="I280" s="3887"/>
      <c r="J280" s="3890"/>
    </row>
    <row r="281" spans="1:10" x14ac:dyDescent="0.3">
      <c r="A281" s="263" t="s">
        <v>3988</v>
      </c>
      <c r="B281" s="264" t="s">
        <v>3988</v>
      </c>
      <c r="C281" s="264" t="s">
        <v>3988</v>
      </c>
      <c r="D281" s="264" t="s">
        <v>3988</v>
      </c>
      <c r="E281" s="264" t="s">
        <v>3988</v>
      </c>
      <c r="F281" s="3888" t="s">
        <v>3988</v>
      </c>
      <c r="G281" s="3889"/>
      <c r="H281" s="3887" t="s">
        <v>5287</v>
      </c>
      <c r="I281" s="3887"/>
      <c r="J281" s="3890"/>
    </row>
    <row r="282" spans="1:10" x14ac:dyDescent="0.3">
      <c r="A282" s="253" t="s">
        <v>3988</v>
      </c>
      <c r="B282" s="236" t="s">
        <v>3988</v>
      </c>
      <c r="C282" s="236" t="s">
        <v>3988</v>
      </c>
      <c r="D282" s="236" t="s">
        <v>3988</v>
      </c>
      <c r="E282" s="236" t="s">
        <v>3988</v>
      </c>
      <c r="F282" s="3891" t="s">
        <v>3988</v>
      </c>
      <c r="G282" s="3892"/>
      <c r="H282" s="3893" t="s">
        <v>5287</v>
      </c>
      <c r="I282" s="3893"/>
      <c r="J282" s="3894"/>
    </row>
    <row r="283" spans="1:10" x14ac:dyDescent="0.3">
      <c r="A283" s="253" t="s">
        <v>3988</v>
      </c>
      <c r="B283" s="236" t="s">
        <v>3988</v>
      </c>
      <c r="C283" s="236" t="s">
        <v>3988</v>
      </c>
      <c r="D283" s="236" t="s">
        <v>3988</v>
      </c>
      <c r="E283" s="236" t="s">
        <v>3988</v>
      </c>
      <c r="F283" s="3891" t="s">
        <v>3988</v>
      </c>
      <c r="G283" s="3892"/>
      <c r="H283" s="3893" t="s">
        <v>5287</v>
      </c>
      <c r="I283" s="3893"/>
      <c r="J283" s="3894"/>
    </row>
    <row r="284" spans="1:10" x14ac:dyDescent="0.3">
      <c r="A284" s="253" t="s">
        <v>3988</v>
      </c>
      <c r="B284" s="236" t="s">
        <v>3988</v>
      </c>
      <c r="C284" s="236" t="s">
        <v>3988</v>
      </c>
      <c r="D284" s="236" t="s">
        <v>3988</v>
      </c>
      <c r="E284" s="236" t="s">
        <v>3988</v>
      </c>
      <c r="F284" s="3891" t="s">
        <v>3988</v>
      </c>
      <c r="G284" s="3892"/>
      <c r="H284" s="3893" t="s">
        <v>5287</v>
      </c>
      <c r="I284" s="3893"/>
      <c r="J284" s="3894"/>
    </row>
    <row r="285" spans="1:10" x14ac:dyDescent="0.3">
      <c r="A285" s="253" t="s">
        <v>3988</v>
      </c>
      <c r="B285" s="236" t="s">
        <v>3988</v>
      </c>
      <c r="C285" s="236" t="s">
        <v>3988</v>
      </c>
      <c r="D285" s="236" t="s">
        <v>3988</v>
      </c>
      <c r="E285" s="236" t="s">
        <v>3988</v>
      </c>
      <c r="F285" s="3891" t="s">
        <v>3988</v>
      </c>
      <c r="G285" s="3892"/>
      <c r="H285" s="3893" t="s">
        <v>5287</v>
      </c>
      <c r="I285" s="3893"/>
      <c r="J285" s="3894"/>
    </row>
    <row r="286" spans="1:10" x14ac:dyDescent="0.3">
      <c r="A286" s="253" t="s">
        <v>3988</v>
      </c>
      <c r="B286" s="236" t="s">
        <v>3988</v>
      </c>
      <c r="C286" s="236" t="s">
        <v>3988</v>
      </c>
      <c r="D286" s="236" t="s">
        <v>3988</v>
      </c>
      <c r="E286" s="236" t="s">
        <v>3988</v>
      </c>
      <c r="F286" s="3891" t="s">
        <v>3988</v>
      </c>
      <c r="G286" s="3892"/>
      <c r="H286" s="3893" t="s">
        <v>5287</v>
      </c>
      <c r="I286" s="3893"/>
      <c r="J286" s="3894"/>
    </row>
    <row r="287" spans="1:10" x14ac:dyDescent="0.3">
      <c r="A287" s="253" t="s">
        <v>3988</v>
      </c>
      <c r="B287" s="236" t="s">
        <v>3988</v>
      </c>
      <c r="C287" s="236" t="s">
        <v>3988</v>
      </c>
      <c r="D287" s="236" t="s">
        <v>3988</v>
      </c>
      <c r="E287" s="236" t="s">
        <v>3988</v>
      </c>
      <c r="F287" s="3891" t="s">
        <v>3988</v>
      </c>
      <c r="G287" s="3892"/>
      <c r="H287" s="3893" t="s">
        <v>5287</v>
      </c>
      <c r="I287" s="3893"/>
      <c r="J287" s="3894"/>
    </row>
    <row r="288" spans="1:10" x14ac:dyDescent="0.3">
      <c r="A288" s="1788" t="s">
        <v>3753</v>
      </c>
      <c r="B288" s="235" t="s">
        <v>3988</v>
      </c>
      <c r="C288" s="235" t="s">
        <v>3988</v>
      </c>
      <c r="D288" s="235" t="s">
        <v>3988</v>
      </c>
      <c r="E288" s="3859" t="s">
        <v>5288</v>
      </c>
      <c r="F288" s="3860"/>
      <c r="G288" s="3861">
        <f>H279</f>
        <v>2000</v>
      </c>
      <c r="H288" s="3861"/>
      <c r="I288" s="3862"/>
      <c r="J288" s="254"/>
    </row>
    <row r="289" spans="1:10" x14ac:dyDescent="0.3">
      <c r="A289" s="255" t="s">
        <v>3988</v>
      </c>
      <c r="B289" s="237" t="s">
        <v>3988</v>
      </c>
      <c r="C289" s="237" t="s">
        <v>3988</v>
      </c>
      <c r="D289" s="237" t="s">
        <v>3988</v>
      </c>
      <c r="E289" s="237" t="s">
        <v>3988</v>
      </c>
      <c r="F289" s="238" t="s">
        <v>5289</v>
      </c>
      <c r="G289" s="239" t="s">
        <v>5290</v>
      </c>
      <c r="H289" s="3863" t="s">
        <v>5291</v>
      </c>
      <c r="I289" s="3863"/>
      <c r="J289" s="3864"/>
    </row>
    <row r="290" spans="1:10" x14ac:dyDescent="0.3">
      <c r="A290" s="3865" t="s">
        <v>5292</v>
      </c>
      <c r="B290" s="3866"/>
      <c r="C290" s="3866"/>
      <c r="D290" s="3866"/>
      <c r="E290" s="3867"/>
      <c r="F290" s="3871" t="s">
        <v>5293</v>
      </c>
      <c r="G290" s="3872"/>
      <c r="H290" s="3875">
        <f>G288</f>
        <v>2000</v>
      </c>
      <c r="I290" s="3876"/>
      <c r="J290" s="3877"/>
    </row>
    <row r="291" spans="1:10" x14ac:dyDescent="0.3">
      <c r="A291" s="3868"/>
      <c r="B291" s="3869"/>
      <c r="C291" s="3869"/>
      <c r="D291" s="3869"/>
      <c r="E291" s="3870"/>
      <c r="F291" s="3873"/>
      <c r="G291" s="3874"/>
      <c r="H291" s="3878"/>
      <c r="I291" s="3879"/>
      <c r="J291" s="3880"/>
    </row>
    <row r="292" spans="1:10" x14ac:dyDescent="0.3">
      <c r="A292" s="3881" t="s">
        <v>5294</v>
      </c>
      <c r="B292" s="3882"/>
      <c r="C292" s="3882"/>
      <c r="D292" s="3882"/>
      <c r="E292" s="3882"/>
      <c r="F292" s="3882"/>
      <c r="G292" s="3882"/>
      <c r="H292" s="3882"/>
      <c r="I292" s="3882"/>
      <c r="J292" s="3883"/>
    </row>
    <row r="293" spans="1:10" x14ac:dyDescent="0.3">
      <c r="A293" s="3884"/>
      <c r="B293" s="3885"/>
      <c r="C293" s="3885"/>
      <c r="D293" s="3885"/>
      <c r="E293" s="3885"/>
      <c r="F293" s="3885"/>
      <c r="G293" s="3885"/>
      <c r="H293" s="3885"/>
      <c r="I293" s="3885"/>
      <c r="J293" s="3886"/>
    </row>
    <row r="294" spans="1:10" x14ac:dyDescent="0.3">
      <c r="A294" s="1786"/>
      <c r="B294" s="1786"/>
      <c r="C294" s="1786"/>
      <c r="D294" s="1786"/>
      <c r="E294" s="1786"/>
      <c r="F294" s="1786"/>
      <c r="G294" s="1786"/>
      <c r="H294" s="1786"/>
      <c r="I294" s="1786"/>
      <c r="J294" s="1786"/>
    </row>
    <row r="295" spans="1:10" x14ac:dyDescent="0.3">
      <c r="A295" s="1786"/>
      <c r="B295" s="1786"/>
      <c r="C295" s="1786"/>
      <c r="D295" s="1786"/>
      <c r="E295" s="1786"/>
      <c r="F295" s="1786"/>
      <c r="G295" s="1786"/>
      <c r="H295" s="1786"/>
      <c r="I295" s="1786"/>
      <c r="J295" s="1786"/>
    </row>
    <row r="298" spans="1:10" x14ac:dyDescent="0.3">
      <c r="A298" s="246" t="s">
        <v>3988</v>
      </c>
      <c r="B298" s="247" t="s">
        <v>3988</v>
      </c>
      <c r="C298" s="3895" t="s">
        <v>5267</v>
      </c>
      <c r="D298" s="3895"/>
      <c r="E298" s="3895"/>
      <c r="F298" s="3896"/>
      <c r="G298" s="247" t="s">
        <v>3988</v>
      </c>
      <c r="H298" s="1789" t="s">
        <v>3988</v>
      </c>
      <c r="I298" s="1789" t="s">
        <v>3988</v>
      </c>
      <c r="J298" s="248" t="s">
        <v>3988</v>
      </c>
    </row>
    <row r="299" spans="1:10" ht="15.6" x14ac:dyDescent="0.3">
      <c r="A299" s="249" t="s">
        <v>3988</v>
      </c>
      <c r="B299" s="231"/>
      <c r="C299" s="3897" t="s">
        <v>3986</v>
      </c>
      <c r="D299" s="3897"/>
      <c r="E299" s="3897"/>
      <c r="F299" s="3898"/>
      <c r="G299" s="1790" t="s">
        <v>3988</v>
      </c>
      <c r="H299" s="3899" t="s">
        <v>5325</v>
      </c>
      <c r="I299" s="3899"/>
      <c r="J299" s="250" t="s">
        <v>3988</v>
      </c>
    </row>
    <row r="300" spans="1:10" ht="17.399999999999999" x14ac:dyDescent="0.3">
      <c r="A300" s="249" t="s">
        <v>3988</v>
      </c>
      <c r="B300" s="232"/>
      <c r="C300" s="3901" t="s">
        <v>5269</v>
      </c>
      <c r="D300" s="3901"/>
      <c r="E300" s="3901"/>
      <c r="F300" s="3902"/>
      <c r="G300" s="233" t="s">
        <v>5270</v>
      </c>
      <c r="H300" s="3900"/>
      <c r="I300" s="3900"/>
      <c r="J300" s="250" t="s">
        <v>3988</v>
      </c>
    </row>
    <row r="301" spans="1:10" x14ac:dyDescent="0.3">
      <c r="A301" s="249" t="s">
        <v>3988</v>
      </c>
      <c r="B301" s="232" t="s">
        <v>3988</v>
      </c>
      <c r="C301" s="3903" t="s">
        <v>5271</v>
      </c>
      <c r="D301" s="3903"/>
      <c r="E301" s="3903"/>
      <c r="F301" s="3904"/>
      <c r="G301" s="1790" t="s">
        <v>3988</v>
      </c>
      <c r="H301" s="234" t="s">
        <v>3988</v>
      </c>
      <c r="I301" s="234" t="s">
        <v>3988</v>
      </c>
      <c r="J301" s="251" t="s">
        <v>3988</v>
      </c>
    </row>
    <row r="302" spans="1:10" ht="31.8" x14ac:dyDescent="0.3">
      <c r="A302" s="242" t="s">
        <v>5272</v>
      </c>
      <c r="B302" s="3905" t="s">
        <v>5322</v>
      </c>
      <c r="C302" s="3906"/>
      <c r="D302" s="3906"/>
      <c r="E302" s="3907"/>
      <c r="F302" s="241" t="s">
        <v>5274</v>
      </c>
      <c r="G302" s="240" t="s">
        <v>4047</v>
      </c>
      <c r="H302" s="1791" t="s">
        <v>5276</v>
      </c>
      <c r="I302" s="1791" t="s">
        <v>5277</v>
      </c>
      <c r="J302" s="252" t="s">
        <v>5278</v>
      </c>
    </row>
    <row r="303" spans="1:10" x14ac:dyDescent="0.3">
      <c r="A303" s="3908"/>
      <c r="B303" s="3909"/>
      <c r="C303" s="3909"/>
      <c r="D303" s="3909"/>
      <c r="E303" s="3910"/>
      <c r="F303" s="3911"/>
      <c r="G303" s="3912"/>
      <c r="H303" s="256">
        <v>20</v>
      </c>
      <c r="I303" s="256">
        <v>4</v>
      </c>
      <c r="J303" s="257">
        <v>2021</v>
      </c>
    </row>
    <row r="304" spans="1:10" x14ac:dyDescent="0.3">
      <c r="A304" s="3913" t="s">
        <v>5279</v>
      </c>
      <c r="B304" s="3914"/>
      <c r="C304" s="3914"/>
      <c r="D304" s="3914"/>
      <c r="E304" s="3915"/>
      <c r="F304" s="258" t="s">
        <v>5280</v>
      </c>
      <c r="G304" s="1787" t="s">
        <v>3988</v>
      </c>
      <c r="H304" s="259" t="s">
        <v>5281</v>
      </c>
      <c r="I304" s="260" t="s">
        <v>3988</v>
      </c>
      <c r="J304" s="261" t="s">
        <v>3988</v>
      </c>
    </row>
    <row r="305" spans="1:10" x14ac:dyDescent="0.3">
      <c r="A305" s="3913" t="s">
        <v>5323</v>
      </c>
      <c r="B305" s="3914"/>
      <c r="C305" s="3914"/>
      <c r="D305" s="3914"/>
      <c r="E305" s="3915"/>
      <c r="F305" s="3911"/>
      <c r="G305" s="3912"/>
      <c r="H305" s="3911" t="s">
        <v>125</v>
      </c>
      <c r="I305" s="3911"/>
      <c r="J305" s="3916"/>
    </row>
    <row r="306" spans="1:10" x14ac:dyDescent="0.3">
      <c r="A306" s="262" t="s">
        <v>5284</v>
      </c>
      <c r="B306" s="3911" t="s">
        <v>5285</v>
      </c>
      <c r="C306" s="3911"/>
      <c r="D306" s="3911"/>
      <c r="E306" s="3912"/>
      <c r="F306" s="3917" t="s">
        <v>3752</v>
      </c>
      <c r="G306" s="3918"/>
      <c r="H306" s="3911" t="s">
        <v>5286</v>
      </c>
      <c r="I306" s="3911"/>
      <c r="J306" s="3916"/>
    </row>
    <row r="307" spans="1:10" x14ac:dyDescent="0.3">
      <c r="A307" s="263">
        <v>1</v>
      </c>
      <c r="B307" s="3887" t="s">
        <v>5324</v>
      </c>
      <c r="C307" s="3887"/>
      <c r="D307" s="3887"/>
      <c r="E307" s="3887"/>
      <c r="F307" s="3888">
        <v>1000</v>
      </c>
      <c r="G307" s="3889"/>
      <c r="H307" s="3887">
        <f>F307*A307</f>
        <v>1000</v>
      </c>
      <c r="I307" s="3887"/>
      <c r="J307" s="3890"/>
    </row>
    <row r="308" spans="1:10" x14ac:dyDescent="0.3">
      <c r="A308" s="263" t="s">
        <v>3988</v>
      </c>
      <c r="B308" s="3887" t="s">
        <v>3988</v>
      </c>
      <c r="C308" s="3887"/>
      <c r="D308" s="3887"/>
      <c r="E308" s="3887"/>
      <c r="F308" s="3888" t="s">
        <v>3988</v>
      </c>
      <c r="G308" s="3889"/>
      <c r="H308" s="3887" t="s">
        <v>3988</v>
      </c>
      <c r="I308" s="3887"/>
      <c r="J308" s="3890"/>
    </row>
    <row r="309" spans="1:10" x14ac:dyDescent="0.3">
      <c r="A309" s="263" t="s">
        <v>3988</v>
      </c>
      <c r="B309" s="264" t="s">
        <v>3988</v>
      </c>
      <c r="C309" s="264" t="s">
        <v>3988</v>
      </c>
      <c r="D309" s="264" t="s">
        <v>3988</v>
      </c>
      <c r="E309" s="264" t="s">
        <v>3988</v>
      </c>
      <c r="F309" s="3888" t="s">
        <v>3988</v>
      </c>
      <c r="G309" s="3889"/>
      <c r="H309" s="3887" t="s">
        <v>5287</v>
      </c>
      <c r="I309" s="3887"/>
      <c r="J309" s="3890"/>
    </row>
    <row r="310" spans="1:10" x14ac:dyDescent="0.3">
      <c r="A310" s="253" t="s">
        <v>3988</v>
      </c>
      <c r="B310" s="236" t="s">
        <v>3988</v>
      </c>
      <c r="C310" s="236" t="s">
        <v>3988</v>
      </c>
      <c r="D310" s="236" t="s">
        <v>3988</v>
      </c>
      <c r="E310" s="236" t="s">
        <v>3988</v>
      </c>
      <c r="F310" s="3891" t="s">
        <v>3988</v>
      </c>
      <c r="G310" s="3892"/>
      <c r="H310" s="3893" t="s">
        <v>5287</v>
      </c>
      <c r="I310" s="3893"/>
      <c r="J310" s="3894"/>
    </row>
    <row r="311" spans="1:10" x14ac:dyDescent="0.3">
      <c r="A311" s="253" t="s">
        <v>3988</v>
      </c>
      <c r="B311" s="236" t="s">
        <v>3988</v>
      </c>
      <c r="C311" s="236" t="s">
        <v>3988</v>
      </c>
      <c r="D311" s="236" t="s">
        <v>3988</v>
      </c>
      <c r="E311" s="236" t="s">
        <v>3988</v>
      </c>
      <c r="F311" s="3891" t="s">
        <v>3988</v>
      </c>
      <c r="G311" s="3892"/>
      <c r="H311" s="3893" t="s">
        <v>5287</v>
      </c>
      <c r="I311" s="3893"/>
      <c r="J311" s="3894"/>
    </row>
    <row r="312" spans="1:10" x14ac:dyDescent="0.3">
      <c r="A312" s="253" t="s">
        <v>3988</v>
      </c>
      <c r="B312" s="236" t="s">
        <v>3988</v>
      </c>
      <c r="C312" s="236" t="s">
        <v>3988</v>
      </c>
      <c r="D312" s="236" t="s">
        <v>3988</v>
      </c>
      <c r="E312" s="236" t="s">
        <v>3988</v>
      </c>
      <c r="F312" s="3891" t="s">
        <v>3988</v>
      </c>
      <c r="G312" s="3892"/>
      <c r="H312" s="3893" t="s">
        <v>5287</v>
      </c>
      <c r="I312" s="3893"/>
      <c r="J312" s="3894"/>
    </row>
    <row r="313" spans="1:10" x14ac:dyDescent="0.3">
      <c r="A313" s="253" t="s">
        <v>3988</v>
      </c>
      <c r="B313" s="236" t="s">
        <v>3988</v>
      </c>
      <c r="C313" s="236" t="s">
        <v>3988</v>
      </c>
      <c r="D313" s="236" t="s">
        <v>3988</v>
      </c>
      <c r="E313" s="236" t="s">
        <v>3988</v>
      </c>
      <c r="F313" s="3891" t="s">
        <v>3988</v>
      </c>
      <c r="G313" s="3892"/>
      <c r="H313" s="3893" t="s">
        <v>5287</v>
      </c>
      <c r="I313" s="3893"/>
      <c r="J313" s="3894"/>
    </row>
    <row r="314" spans="1:10" x14ac:dyDescent="0.3">
      <c r="A314" s="253" t="s">
        <v>3988</v>
      </c>
      <c r="B314" s="236" t="s">
        <v>3988</v>
      </c>
      <c r="C314" s="236" t="s">
        <v>3988</v>
      </c>
      <c r="D314" s="236" t="s">
        <v>3988</v>
      </c>
      <c r="E314" s="236" t="s">
        <v>3988</v>
      </c>
      <c r="F314" s="3891" t="s">
        <v>3988</v>
      </c>
      <c r="G314" s="3892"/>
      <c r="H314" s="3893" t="s">
        <v>5287</v>
      </c>
      <c r="I314" s="3893"/>
      <c r="J314" s="3894"/>
    </row>
    <row r="315" spans="1:10" x14ac:dyDescent="0.3">
      <c r="A315" s="253" t="s">
        <v>3988</v>
      </c>
      <c r="B315" s="236" t="s">
        <v>3988</v>
      </c>
      <c r="C315" s="236" t="s">
        <v>3988</v>
      </c>
      <c r="D315" s="236" t="s">
        <v>3988</v>
      </c>
      <c r="E315" s="236" t="s">
        <v>3988</v>
      </c>
      <c r="F315" s="3891" t="s">
        <v>3988</v>
      </c>
      <c r="G315" s="3892"/>
      <c r="H315" s="3893" t="s">
        <v>5287</v>
      </c>
      <c r="I315" s="3893"/>
      <c r="J315" s="3894"/>
    </row>
    <row r="316" spans="1:10" x14ac:dyDescent="0.3">
      <c r="A316" s="1788" t="s">
        <v>3753</v>
      </c>
      <c r="B316" s="235" t="s">
        <v>3988</v>
      </c>
      <c r="C316" s="235" t="s">
        <v>3988</v>
      </c>
      <c r="D316" s="235" t="s">
        <v>3988</v>
      </c>
      <c r="E316" s="3859" t="s">
        <v>5288</v>
      </c>
      <c r="F316" s="3860"/>
      <c r="G316" s="3861">
        <f>H307</f>
        <v>1000</v>
      </c>
      <c r="H316" s="3861"/>
      <c r="I316" s="3862"/>
      <c r="J316" s="254"/>
    </row>
    <row r="317" spans="1:10" x14ac:dyDescent="0.3">
      <c r="A317" s="255" t="s">
        <v>3988</v>
      </c>
      <c r="B317" s="237" t="s">
        <v>3988</v>
      </c>
      <c r="C317" s="237" t="s">
        <v>3988</v>
      </c>
      <c r="D317" s="237" t="s">
        <v>3988</v>
      </c>
      <c r="E317" s="237" t="s">
        <v>3988</v>
      </c>
      <c r="F317" s="238" t="s">
        <v>5289</v>
      </c>
      <c r="G317" s="239" t="s">
        <v>5290</v>
      </c>
      <c r="H317" s="3863" t="s">
        <v>5291</v>
      </c>
      <c r="I317" s="3863"/>
      <c r="J317" s="3864"/>
    </row>
    <row r="318" spans="1:10" x14ac:dyDescent="0.3">
      <c r="A318" s="3865" t="s">
        <v>5292</v>
      </c>
      <c r="B318" s="3866"/>
      <c r="C318" s="3866"/>
      <c r="D318" s="3866"/>
      <c r="E318" s="3867"/>
      <c r="F318" s="3871" t="s">
        <v>5293</v>
      </c>
      <c r="G318" s="3872"/>
      <c r="H318" s="3875">
        <f>G316</f>
        <v>1000</v>
      </c>
      <c r="I318" s="3876"/>
      <c r="J318" s="3877"/>
    </row>
    <row r="319" spans="1:10" x14ac:dyDescent="0.3">
      <c r="A319" s="3868"/>
      <c r="B319" s="3869"/>
      <c r="C319" s="3869"/>
      <c r="D319" s="3869"/>
      <c r="E319" s="3870"/>
      <c r="F319" s="3873"/>
      <c r="G319" s="3874"/>
      <c r="H319" s="3878"/>
      <c r="I319" s="3879"/>
      <c r="J319" s="3880"/>
    </row>
    <row r="320" spans="1:10" x14ac:dyDescent="0.3">
      <c r="A320" s="3881" t="s">
        <v>5294</v>
      </c>
      <c r="B320" s="3882"/>
      <c r="C320" s="3882"/>
      <c r="D320" s="3882"/>
      <c r="E320" s="3882"/>
      <c r="F320" s="3882"/>
      <c r="G320" s="3882"/>
      <c r="H320" s="3882"/>
      <c r="I320" s="3882"/>
      <c r="J320" s="3883"/>
    </row>
    <row r="321" spans="1:10" x14ac:dyDescent="0.3">
      <c r="A321" s="3884"/>
      <c r="B321" s="3885"/>
      <c r="C321" s="3885"/>
      <c r="D321" s="3885"/>
      <c r="E321" s="3885"/>
      <c r="F321" s="3885"/>
      <c r="G321" s="3885"/>
      <c r="H321" s="3885"/>
      <c r="I321" s="3885"/>
      <c r="J321" s="3886"/>
    </row>
    <row r="324" spans="1:10" x14ac:dyDescent="0.3">
      <c r="A324" s="246" t="s">
        <v>3988</v>
      </c>
      <c r="B324" s="247" t="s">
        <v>3988</v>
      </c>
      <c r="C324" s="3895" t="s">
        <v>5267</v>
      </c>
      <c r="D324" s="3895"/>
      <c r="E324" s="3895"/>
      <c r="F324" s="3896"/>
      <c r="G324" s="247" t="s">
        <v>3988</v>
      </c>
      <c r="H324" s="1789" t="s">
        <v>3988</v>
      </c>
      <c r="I324" s="1789" t="s">
        <v>3988</v>
      </c>
      <c r="J324" s="248" t="s">
        <v>3988</v>
      </c>
    </row>
    <row r="325" spans="1:10" ht="15.6" x14ac:dyDescent="0.3">
      <c r="A325" s="249" t="s">
        <v>3988</v>
      </c>
      <c r="B325" s="231"/>
      <c r="C325" s="3897" t="s">
        <v>3986</v>
      </c>
      <c r="D325" s="3897"/>
      <c r="E325" s="3897"/>
      <c r="F325" s="3898"/>
      <c r="G325" s="1790" t="s">
        <v>3988</v>
      </c>
      <c r="H325" s="3899" t="s">
        <v>5326</v>
      </c>
      <c r="I325" s="3899"/>
      <c r="J325" s="250" t="s">
        <v>3988</v>
      </c>
    </row>
    <row r="326" spans="1:10" ht="17.399999999999999" x14ac:dyDescent="0.3">
      <c r="A326" s="249" t="s">
        <v>3988</v>
      </c>
      <c r="B326" s="232"/>
      <c r="C326" s="3901" t="s">
        <v>5269</v>
      </c>
      <c r="D326" s="3901"/>
      <c r="E326" s="3901"/>
      <c r="F326" s="3902"/>
      <c r="G326" s="233" t="s">
        <v>5270</v>
      </c>
      <c r="H326" s="3900"/>
      <c r="I326" s="3900"/>
      <c r="J326" s="250" t="s">
        <v>3988</v>
      </c>
    </row>
    <row r="327" spans="1:10" x14ac:dyDescent="0.3">
      <c r="A327" s="249" t="s">
        <v>3988</v>
      </c>
      <c r="B327" s="232" t="s">
        <v>3988</v>
      </c>
      <c r="C327" s="3903" t="s">
        <v>5271</v>
      </c>
      <c r="D327" s="3903"/>
      <c r="E327" s="3903"/>
      <c r="F327" s="3904"/>
      <c r="G327" s="1790" t="s">
        <v>3988</v>
      </c>
      <c r="H327" s="234" t="s">
        <v>3988</v>
      </c>
      <c r="I327" s="234" t="s">
        <v>3988</v>
      </c>
      <c r="J327" s="251" t="s">
        <v>3988</v>
      </c>
    </row>
    <row r="328" spans="1:10" ht="31.8" x14ac:dyDescent="0.3">
      <c r="A328" s="242" t="s">
        <v>5272</v>
      </c>
      <c r="B328" s="3905" t="s">
        <v>5310</v>
      </c>
      <c r="C328" s="3906"/>
      <c r="D328" s="3906"/>
      <c r="E328" s="3907"/>
      <c r="F328" s="241" t="s">
        <v>5274</v>
      </c>
      <c r="G328" s="240" t="s">
        <v>4028</v>
      </c>
      <c r="H328" s="1791" t="s">
        <v>5276</v>
      </c>
      <c r="I328" s="1791" t="s">
        <v>5277</v>
      </c>
      <c r="J328" s="252" t="s">
        <v>5278</v>
      </c>
    </row>
    <row r="329" spans="1:10" x14ac:dyDescent="0.3">
      <c r="A329" s="3908"/>
      <c r="B329" s="3909"/>
      <c r="C329" s="3909"/>
      <c r="D329" s="3909"/>
      <c r="E329" s="3910"/>
      <c r="F329" s="3911"/>
      <c r="G329" s="3912"/>
      <c r="H329" s="256">
        <v>11</v>
      </c>
      <c r="I329" s="256">
        <v>5</v>
      </c>
      <c r="J329" s="257">
        <v>2021</v>
      </c>
    </row>
    <row r="330" spans="1:10" x14ac:dyDescent="0.3">
      <c r="A330" s="3913" t="s">
        <v>5279</v>
      </c>
      <c r="B330" s="3914"/>
      <c r="C330" s="3914"/>
      <c r="D330" s="3914"/>
      <c r="E330" s="3915"/>
      <c r="F330" s="258" t="s">
        <v>5280</v>
      </c>
      <c r="G330" s="1787" t="s">
        <v>3988</v>
      </c>
      <c r="H330" s="259" t="s">
        <v>5281</v>
      </c>
      <c r="I330" s="260" t="s">
        <v>3988</v>
      </c>
      <c r="J330" s="261" t="s">
        <v>3988</v>
      </c>
    </row>
    <row r="331" spans="1:10" x14ac:dyDescent="0.3">
      <c r="A331" s="3913" t="s">
        <v>5311</v>
      </c>
      <c r="B331" s="3914"/>
      <c r="C331" s="3914"/>
      <c r="D331" s="3914"/>
      <c r="E331" s="3915"/>
      <c r="F331" s="3911">
        <v>4641136</v>
      </c>
      <c r="G331" s="3912"/>
      <c r="H331" s="3911" t="s">
        <v>125</v>
      </c>
      <c r="I331" s="3911"/>
      <c r="J331" s="3916"/>
    </row>
    <row r="332" spans="1:10" x14ac:dyDescent="0.3">
      <c r="A332" s="262" t="s">
        <v>5284</v>
      </c>
      <c r="B332" s="3911" t="s">
        <v>5285</v>
      </c>
      <c r="C332" s="3911"/>
      <c r="D332" s="3911"/>
      <c r="E332" s="3912"/>
      <c r="F332" s="3917" t="s">
        <v>3752</v>
      </c>
      <c r="G332" s="3918"/>
      <c r="H332" s="3911" t="s">
        <v>5286</v>
      </c>
      <c r="I332" s="3911"/>
      <c r="J332" s="3916"/>
    </row>
    <row r="333" spans="1:10" x14ac:dyDescent="0.3">
      <c r="A333" s="263">
        <v>2</v>
      </c>
      <c r="B333" s="3887" t="s">
        <v>4073</v>
      </c>
      <c r="C333" s="3887"/>
      <c r="D333" s="3887"/>
      <c r="E333" s="3887"/>
      <c r="F333" s="3888">
        <v>2000</v>
      </c>
      <c r="G333" s="3889"/>
      <c r="H333" s="3887">
        <f>F333*A333</f>
        <v>4000</v>
      </c>
      <c r="I333" s="3887"/>
      <c r="J333" s="3890"/>
    </row>
    <row r="334" spans="1:10" x14ac:dyDescent="0.3">
      <c r="A334" s="263" t="s">
        <v>3988</v>
      </c>
      <c r="B334" s="3887" t="s">
        <v>3988</v>
      </c>
      <c r="C334" s="3887"/>
      <c r="D334" s="3887"/>
      <c r="E334" s="3887"/>
      <c r="F334" s="3888" t="s">
        <v>3988</v>
      </c>
      <c r="G334" s="3889"/>
      <c r="H334" s="3887" t="s">
        <v>3988</v>
      </c>
      <c r="I334" s="3887"/>
      <c r="J334" s="3890"/>
    </row>
    <row r="335" spans="1:10" x14ac:dyDescent="0.3">
      <c r="A335" s="263" t="s">
        <v>3988</v>
      </c>
      <c r="B335" s="264" t="s">
        <v>3988</v>
      </c>
      <c r="C335" s="264" t="s">
        <v>3988</v>
      </c>
      <c r="D335" s="264" t="s">
        <v>3988</v>
      </c>
      <c r="E335" s="264" t="s">
        <v>3988</v>
      </c>
      <c r="F335" s="3888" t="s">
        <v>3988</v>
      </c>
      <c r="G335" s="3889"/>
      <c r="H335" s="3887" t="s">
        <v>5287</v>
      </c>
      <c r="I335" s="3887"/>
      <c r="J335" s="3890"/>
    </row>
    <row r="336" spans="1:10" x14ac:dyDescent="0.3">
      <c r="A336" s="253" t="s">
        <v>3988</v>
      </c>
      <c r="B336" s="236" t="s">
        <v>3988</v>
      </c>
      <c r="C336" s="236" t="s">
        <v>3988</v>
      </c>
      <c r="D336" s="236" t="s">
        <v>3988</v>
      </c>
      <c r="E336" s="236" t="s">
        <v>3988</v>
      </c>
      <c r="F336" s="3891" t="s">
        <v>3988</v>
      </c>
      <c r="G336" s="3892"/>
      <c r="H336" s="3893" t="s">
        <v>5287</v>
      </c>
      <c r="I336" s="3893"/>
      <c r="J336" s="3894"/>
    </row>
    <row r="337" spans="1:10" x14ac:dyDescent="0.3">
      <c r="A337" s="253" t="s">
        <v>3988</v>
      </c>
      <c r="B337" s="236" t="s">
        <v>3988</v>
      </c>
      <c r="C337" s="236" t="s">
        <v>3988</v>
      </c>
      <c r="D337" s="236" t="s">
        <v>3988</v>
      </c>
      <c r="E337" s="236" t="s">
        <v>3988</v>
      </c>
      <c r="F337" s="3891" t="s">
        <v>3988</v>
      </c>
      <c r="G337" s="3892"/>
      <c r="H337" s="3893" t="s">
        <v>5287</v>
      </c>
      <c r="I337" s="3893"/>
      <c r="J337" s="3894"/>
    </row>
    <row r="338" spans="1:10" x14ac:dyDescent="0.3">
      <c r="A338" s="253" t="s">
        <v>3988</v>
      </c>
      <c r="B338" s="236" t="s">
        <v>3988</v>
      </c>
      <c r="C338" s="236" t="s">
        <v>3988</v>
      </c>
      <c r="D338" s="236" t="s">
        <v>3988</v>
      </c>
      <c r="E338" s="236" t="s">
        <v>3988</v>
      </c>
      <c r="F338" s="3891" t="s">
        <v>3988</v>
      </c>
      <c r="G338" s="3892"/>
      <c r="H338" s="3893" t="s">
        <v>5287</v>
      </c>
      <c r="I338" s="3893"/>
      <c r="J338" s="3894"/>
    </row>
    <row r="339" spans="1:10" x14ac:dyDescent="0.3">
      <c r="A339" s="253" t="s">
        <v>3988</v>
      </c>
      <c r="B339" s="236" t="s">
        <v>3988</v>
      </c>
      <c r="C339" s="236" t="s">
        <v>3988</v>
      </c>
      <c r="D339" s="236" t="s">
        <v>3988</v>
      </c>
      <c r="E339" s="236" t="s">
        <v>3988</v>
      </c>
      <c r="F339" s="3891" t="s">
        <v>3988</v>
      </c>
      <c r="G339" s="3892"/>
      <c r="H339" s="3893" t="s">
        <v>5287</v>
      </c>
      <c r="I339" s="3893"/>
      <c r="J339" s="3894"/>
    </row>
    <row r="340" spans="1:10" x14ac:dyDescent="0.3">
      <c r="A340" s="253" t="s">
        <v>3988</v>
      </c>
      <c r="B340" s="236" t="s">
        <v>3988</v>
      </c>
      <c r="C340" s="236" t="s">
        <v>3988</v>
      </c>
      <c r="D340" s="236" t="s">
        <v>3988</v>
      </c>
      <c r="E340" s="236" t="s">
        <v>3988</v>
      </c>
      <c r="F340" s="3891" t="s">
        <v>3988</v>
      </c>
      <c r="G340" s="3892"/>
      <c r="H340" s="3893" t="s">
        <v>5287</v>
      </c>
      <c r="I340" s="3893"/>
      <c r="J340" s="3894"/>
    </row>
    <row r="341" spans="1:10" x14ac:dyDescent="0.3">
      <c r="A341" s="253" t="s">
        <v>3988</v>
      </c>
      <c r="B341" s="236" t="s">
        <v>3988</v>
      </c>
      <c r="C341" s="236" t="s">
        <v>3988</v>
      </c>
      <c r="D341" s="236" t="s">
        <v>3988</v>
      </c>
      <c r="E341" s="236" t="s">
        <v>3988</v>
      </c>
      <c r="F341" s="3891" t="s">
        <v>3988</v>
      </c>
      <c r="G341" s="3892"/>
      <c r="H341" s="3893" t="s">
        <v>5287</v>
      </c>
      <c r="I341" s="3893"/>
      <c r="J341" s="3894"/>
    </row>
    <row r="342" spans="1:10" x14ac:dyDescent="0.3">
      <c r="A342" s="1788" t="s">
        <v>3753</v>
      </c>
      <c r="B342" s="235" t="s">
        <v>3988</v>
      </c>
      <c r="C342" s="235" t="s">
        <v>3988</v>
      </c>
      <c r="D342" s="235" t="s">
        <v>3988</v>
      </c>
      <c r="E342" s="3859" t="s">
        <v>5288</v>
      </c>
      <c r="F342" s="3860"/>
      <c r="G342" s="3861">
        <f>H333</f>
        <v>4000</v>
      </c>
      <c r="H342" s="3861"/>
      <c r="I342" s="3862"/>
      <c r="J342" s="254"/>
    </row>
    <row r="343" spans="1:10" x14ac:dyDescent="0.3">
      <c r="A343" s="255" t="s">
        <v>3988</v>
      </c>
      <c r="B343" s="237" t="s">
        <v>3988</v>
      </c>
      <c r="C343" s="237" t="s">
        <v>3988</v>
      </c>
      <c r="D343" s="237" t="s">
        <v>3988</v>
      </c>
      <c r="E343" s="237" t="s">
        <v>3988</v>
      </c>
      <c r="F343" s="238" t="s">
        <v>5289</v>
      </c>
      <c r="G343" s="239" t="s">
        <v>5290</v>
      </c>
      <c r="H343" s="3863" t="s">
        <v>5291</v>
      </c>
      <c r="I343" s="3863"/>
      <c r="J343" s="3864"/>
    </row>
    <row r="344" spans="1:10" x14ac:dyDescent="0.3">
      <c r="A344" s="3865" t="s">
        <v>5292</v>
      </c>
      <c r="B344" s="3866"/>
      <c r="C344" s="3866"/>
      <c r="D344" s="3866"/>
      <c r="E344" s="3867"/>
      <c r="F344" s="3871" t="s">
        <v>5293</v>
      </c>
      <c r="G344" s="3872"/>
      <c r="H344" s="3875">
        <f>G342</f>
        <v>4000</v>
      </c>
      <c r="I344" s="3876"/>
      <c r="J344" s="3877"/>
    </row>
    <row r="345" spans="1:10" x14ac:dyDescent="0.3">
      <c r="A345" s="3868"/>
      <c r="B345" s="3869"/>
      <c r="C345" s="3869"/>
      <c r="D345" s="3869"/>
      <c r="E345" s="3870"/>
      <c r="F345" s="3873"/>
      <c r="G345" s="3874"/>
      <c r="H345" s="3878"/>
      <c r="I345" s="3879"/>
      <c r="J345" s="3880"/>
    </row>
    <row r="346" spans="1:10" x14ac:dyDescent="0.3">
      <c r="A346" s="3881" t="s">
        <v>5294</v>
      </c>
      <c r="B346" s="3882"/>
      <c r="C346" s="3882"/>
      <c r="D346" s="3882"/>
      <c r="E346" s="3882"/>
      <c r="F346" s="3882"/>
      <c r="G346" s="3882"/>
      <c r="H346" s="3882"/>
      <c r="I346" s="3882"/>
      <c r="J346" s="3883"/>
    </row>
    <row r="347" spans="1:10" x14ac:dyDescent="0.3">
      <c r="A347" s="3884"/>
      <c r="B347" s="3885"/>
      <c r="C347" s="3885"/>
      <c r="D347" s="3885"/>
      <c r="E347" s="3885"/>
      <c r="F347" s="3885"/>
      <c r="G347" s="3885"/>
      <c r="H347" s="3885"/>
      <c r="I347" s="3885"/>
      <c r="J347" s="3886"/>
    </row>
    <row r="350" spans="1:10" x14ac:dyDescent="0.3">
      <c r="A350" s="246" t="s">
        <v>3988</v>
      </c>
      <c r="B350" s="247" t="s">
        <v>3988</v>
      </c>
      <c r="C350" s="3895" t="s">
        <v>5267</v>
      </c>
      <c r="D350" s="3895"/>
      <c r="E350" s="3895"/>
      <c r="F350" s="3896"/>
      <c r="G350" s="247" t="s">
        <v>3988</v>
      </c>
      <c r="H350" s="1789" t="s">
        <v>3988</v>
      </c>
      <c r="I350" s="1789" t="s">
        <v>3988</v>
      </c>
      <c r="J350" s="248" t="s">
        <v>3988</v>
      </c>
    </row>
    <row r="351" spans="1:10" ht="15.6" x14ac:dyDescent="0.3">
      <c r="A351" s="249" t="s">
        <v>3988</v>
      </c>
      <c r="B351" s="231"/>
      <c r="C351" s="3897" t="s">
        <v>3986</v>
      </c>
      <c r="D351" s="3897"/>
      <c r="E351" s="3897"/>
      <c r="F351" s="3898"/>
      <c r="G351" s="1790" t="s">
        <v>3988</v>
      </c>
      <c r="H351" s="3899" t="s">
        <v>5327</v>
      </c>
      <c r="I351" s="3899"/>
      <c r="J351" s="250" t="s">
        <v>3988</v>
      </c>
    </row>
    <row r="352" spans="1:10" ht="17.399999999999999" x14ac:dyDescent="0.3">
      <c r="A352" s="249" t="s">
        <v>3988</v>
      </c>
      <c r="B352" s="232"/>
      <c r="C352" s="3901" t="s">
        <v>5269</v>
      </c>
      <c r="D352" s="3901"/>
      <c r="E352" s="3901"/>
      <c r="F352" s="3902"/>
      <c r="G352" s="233" t="s">
        <v>5270</v>
      </c>
      <c r="H352" s="3900"/>
      <c r="I352" s="3900"/>
      <c r="J352" s="250" t="s">
        <v>3988</v>
      </c>
    </row>
    <row r="353" spans="1:10" x14ac:dyDescent="0.3">
      <c r="A353" s="249" t="s">
        <v>3988</v>
      </c>
      <c r="B353" s="232" t="s">
        <v>3988</v>
      </c>
      <c r="C353" s="3903" t="s">
        <v>5271</v>
      </c>
      <c r="D353" s="3903"/>
      <c r="E353" s="3903"/>
      <c r="F353" s="3904"/>
      <c r="G353" s="1790" t="s">
        <v>3988</v>
      </c>
      <c r="H353" s="234" t="s">
        <v>3988</v>
      </c>
      <c r="I353" s="234" t="s">
        <v>3988</v>
      </c>
      <c r="J353" s="251" t="s">
        <v>3988</v>
      </c>
    </row>
    <row r="354" spans="1:10" ht="31.8" x14ac:dyDescent="0.3">
      <c r="A354" s="242" t="s">
        <v>5272</v>
      </c>
      <c r="B354" s="3905" t="s">
        <v>5301</v>
      </c>
      <c r="C354" s="3906"/>
      <c r="D354" s="3906"/>
      <c r="E354" s="3907"/>
      <c r="F354" s="241" t="s">
        <v>5274</v>
      </c>
      <c r="G354" s="240"/>
      <c r="H354" s="1791" t="s">
        <v>5276</v>
      </c>
      <c r="I354" s="1791" t="s">
        <v>5277</v>
      </c>
      <c r="J354" s="252" t="s">
        <v>5278</v>
      </c>
    </row>
    <row r="355" spans="1:10" x14ac:dyDescent="0.3">
      <c r="A355" s="3908"/>
      <c r="B355" s="3909"/>
      <c r="C355" s="3909"/>
      <c r="D355" s="3909"/>
      <c r="E355" s="3910"/>
      <c r="F355" s="3911"/>
      <c r="G355" s="3912"/>
      <c r="H355" s="256">
        <v>27</v>
      </c>
      <c r="I355" s="256">
        <v>5</v>
      </c>
      <c r="J355" s="257">
        <v>2021</v>
      </c>
    </row>
    <row r="356" spans="1:10" x14ac:dyDescent="0.3">
      <c r="A356" s="3913" t="s">
        <v>5279</v>
      </c>
      <c r="B356" s="3914"/>
      <c r="C356" s="3914"/>
      <c r="D356" s="3914"/>
      <c r="E356" s="3915"/>
      <c r="F356" s="258" t="s">
        <v>5280</v>
      </c>
      <c r="G356" s="1787" t="s">
        <v>3988</v>
      </c>
      <c r="H356" s="259" t="s">
        <v>5281</v>
      </c>
      <c r="I356" s="260" t="s">
        <v>3988</v>
      </c>
      <c r="J356" s="261" t="s">
        <v>3988</v>
      </c>
    </row>
    <row r="357" spans="1:10" x14ac:dyDescent="0.3">
      <c r="A357" s="3913" t="s">
        <v>5302</v>
      </c>
      <c r="B357" s="3914"/>
      <c r="C357" s="3914"/>
      <c r="D357" s="3914"/>
      <c r="E357" s="3915"/>
      <c r="F357" s="3911">
        <v>4614611</v>
      </c>
      <c r="G357" s="3912"/>
      <c r="H357" s="3911" t="s">
        <v>125</v>
      </c>
      <c r="I357" s="3911"/>
      <c r="J357" s="3916"/>
    </row>
    <row r="358" spans="1:10" x14ac:dyDescent="0.3">
      <c r="A358" s="262" t="s">
        <v>5284</v>
      </c>
      <c r="B358" s="3911" t="s">
        <v>5285</v>
      </c>
      <c r="C358" s="3911"/>
      <c r="D358" s="3911"/>
      <c r="E358" s="3912"/>
      <c r="F358" s="3917" t="s">
        <v>3752</v>
      </c>
      <c r="G358" s="3918"/>
      <c r="H358" s="3911" t="s">
        <v>5286</v>
      </c>
      <c r="I358" s="3911"/>
      <c r="J358" s="3916"/>
    </row>
    <row r="359" spans="1:10" x14ac:dyDescent="0.3">
      <c r="A359" s="263">
        <v>1</v>
      </c>
      <c r="B359" s="3887" t="s">
        <v>5328</v>
      </c>
      <c r="C359" s="3887"/>
      <c r="D359" s="3887"/>
      <c r="E359" s="3887"/>
      <c r="F359" s="3888">
        <v>5900</v>
      </c>
      <c r="G359" s="3889"/>
      <c r="H359" s="3887">
        <f>F359*A359</f>
        <v>5900</v>
      </c>
      <c r="I359" s="3887"/>
      <c r="J359" s="3890"/>
    </row>
    <row r="360" spans="1:10" x14ac:dyDescent="0.3">
      <c r="A360" s="263" t="s">
        <v>3988</v>
      </c>
      <c r="B360" s="3887" t="s">
        <v>3988</v>
      </c>
      <c r="C360" s="3887"/>
      <c r="D360" s="3887"/>
      <c r="E360" s="3887"/>
      <c r="F360" s="3888" t="s">
        <v>3988</v>
      </c>
      <c r="G360" s="3889"/>
      <c r="H360" s="3887" t="s">
        <v>3988</v>
      </c>
      <c r="I360" s="3887"/>
      <c r="J360" s="3890"/>
    </row>
    <row r="361" spans="1:10" x14ac:dyDescent="0.3">
      <c r="A361" s="263" t="s">
        <v>3988</v>
      </c>
      <c r="B361" s="264" t="s">
        <v>3988</v>
      </c>
      <c r="C361" s="264" t="s">
        <v>3988</v>
      </c>
      <c r="D361" s="264" t="s">
        <v>3988</v>
      </c>
      <c r="E361" s="264" t="s">
        <v>3988</v>
      </c>
      <c r="F361" s="3888" t="s">
        <v>3988</v>
      </c>
      <c r="G361" s="3889"/>
      <c r="H361" s="3887" t="s">
        <v>5287</v>
      </c>
      <c r="I361" s="3887"/>
      <c r="J361" s="3890"/>
    </row>
    <row r="362" spans="1:10" x14ac:dyDescent="0.3">
      <c r="A362" s="253" t="s">
        <v>3988</v>
      </c>
      <c r="B362" s="236" t="s">
        <v>3988</v>
      </c>
      <c r="C362" s="236" t="s">
        <v>3988</v>
      </c>
      <c r="D362" s="236" t="s">
        <v>3988</v>
      </c>
      <c r="E362" s="236" t="s">
        <v>3988</v>
      </c>
      <c r="F362" s="3891" t="s">
        <v>3988</v>
      </c>
      <c r="G362" s="3892"/>
      <c r="H362" s="3893" t="s">
        <v>5287</v>
      </c>
      <c r="I362" s="3893"/>
      <c r="J362" s="3894"/>
    </row>
    <row r="363" spans="1:10" x14ac:dyDescent="0.3">
      <c r="A363" s="253" t="s">
        <v>3988</v>
      </c>
      <c r="B363" s="236" t="s">
        <v>3988</v>
      </c>
      <c r="C363" s="236" t="s">
        <v>3988</v>
      </c>
      <c r="D363" s="236" t="s">
        <v>3988</v>
      </c>
      <c r="E363" s="236" t="s">
        <v>3988</v>
      </c>
      <c r="F363" s="3891" t="s">
        <v>3988</v>
      </c>
      <c r="G363" s="3892"/>
      <c r="H363" s="3893" t="s">
        <v>5287</v>
      </c>
      <c r="I363" s="3893"/>
      <c r="J363" s="3894"/>
    </row>
    <row r="364" spans="1:10" x14ac:dyDescent="0.3">
      <c r="A364" s="253" t="s">
        <v>3988</v>
      </c>
      <c r="B364" s="236" t="s">
        <v>3988</v>
      </c>
      <c r="C364" s="236" t="s">
        <v>3988</v>
      </c>
      <c r="D364" s="236" t="s">
        <v>3988</v>
      </c>
      <c r="E364" s="236" t="s">
        <v>3988</v>
      </c>
      <c r="F364" s="3891" t="s">
        <v>3988</v>
      </c>
      <c r="G364" s="3892"/>
      <c r="H364" s="3893" t="s">
        <v>5287</v>
      </c>
      <c r="I364" s="3893"/>
      <c r="J364" s="3894"/>
    </row>
    <row r="365" spans="1:10" x14ac:dyDescent="0.3">
      <c r="A365" s="253" t="s">
        <v>3988</v>
      </c>
      <c r="B365" s="236" t="s">
        <v>3988</v>
      </c>
      <c r="C365" s="236" t="s">
        <v>3988</v>
      </c>
      <c r="D365" s="236" t="s">
        <v>3988</v>
      </c>
      <c r="E365" s="236" t="s">
        <v>3988</v>
      </c>
      <c r="F365" s="3891" t="s">
        <v>3988</v>
      </c>
      <c r="G365" s="3892"/>
      <c r="H365" s="3893" t="s">
        <v>5287</v>
      </c>
      <c r="I365" s="3893"/>
      <c r="J365" s="3894"/>
    </row>
    <row r="366" spans="1:10" x14ac:dyDescent="0.3">
      <c r="A366" s="253" t="s">
        <v>3988</v>
      </c>
      <c r="B366" s="236" t="s">
        <v>3988</v>
      </c>
      <c r="C366" s="236" t="s">
        <v>3988</v>
      </c>
      <c r="D366" s="236" t="s">
        <v>3988</v>
      </c>
      <c r="E366" s="236" t="s">
        <v>3988</v>
      </c>
      <c r="F366" s="3891" t="s">
        <v>3988</v>
      </c>
      <c r="G366" s="3892"/>
      <c r="H366" s="3893" t="s">
        <v>5287</v>
      </c>
      <c r="I366" s="3893"/>
      <c r="J366" s="3894"/>
    </row>
    <row r="367" spans="1:10" x14ac:dyDescent="0.3">
      <c r="A367" s="253" t="s">
        <v>3988</v>
      </c>
      <c r="B367" s="236" t="s">
        <v>3988</v>
      </c>
      <c r="C367" s="236" t="s">
        <v>3988</v>
      </c>
      <c r="D367" s="236" t="s">
        <v>3988</v>
      </c>
      <c r="E367" s="236" t="s">
        <v>3988</v>
      </c>
      <c r="F367" s="3891" t="s">
        <v>3988</v>
      </c>
      <c r="G367" s="3892"/>
      <c r="H367" s="3893" t="s">
        <v>5287</v>
      </c>
      <c r="I367" s="3893"/>
      <c r="J367" s="3894"/>
    </row>
    <row r="368" spans="1:10" x14ac:dyDescent="0.3">
      <c r="A368" s="1788" t="s">
        <v>3753</v>
      </c>
      <c r="B368" s="235" t="s">
        <v>3988</v>
      </c>
      <c r="C368" s="235" t="s">
        <v>3988</v>
      </c>
      <c r="D368" s="235" t="s">
        <v>3988</v>
      </c>
      <c r="E368" s="3859" t="s">
        <v>5288</v>
      </c>
      <c r="F368" s="3860"/>
      <c r="G368" s="3861">
        <f>H359</f>
        <v>5900</v>
      </c>
      <c r="H368" s="3861"/>
      <c r="I368" s="3862"/>
      <c r="J368" s="254"/>
    </row>
    <row r="369" spans="1:10" x14ac:dyDescent="0.3">
      <c r="A369" s="255" t="s">
        <v>3988</v>
      </c>
      <c r="B369" s="237" t="s">
        <v>3988</v>
      </c>
      <c r="C369" s="237" t="s">
        <v>3988</v>
      </c>
      <c r="D369" s="237" t="s">
        <v>3988</v>
      </c>
      <c r="E369" s="237" t="s">
        <v>3988</v>
      </c>
      <c r="F369" s="238" t="s">
        <v>5289</v>
      </c>
      <c r="G369" s="239" t="s">
        <v>5290</v>
      </c>
      <c r="H369" s="3863" t="s">
        <v>5291</v>
      </c>
      <c r="I369" s="3863"/>
      <c r="J369" s="3864"/>
    </row>
    <row r="370" spans="1:10" x14ac:dyDescent="0.3">
      <c r="A370" s="3865" t="s">
        <v>5292</v>
      </c>
      <c r="B370" s="3866"/>
      <c r="C370" s="3866"/>
      <c r="D370" s="3866"/>
      <c r="E370" s="3867"/>
      <c r="F370" s="3871" t="s">
        <v>5293</v>
      </c>
      <c r="G370" s="3872"/>
      <c r="H370" s="3875">
        <f>G368</f>
        <v>5900</v>
      </c>
      <c r="I370" s="3876"/>
      <c r="J370" s="3877"/>
    </row>
    <row r="371" spans="1:10" x14ac:dyDescent="0.3">
      <c r="A371" s="3868"/>
      <c r="B371" s="3869"/>
      <c r="C371" s="3869"/>
      <c r="D371" s="3869"/>
      <c r="E371" s="3870"/>
      <c r="F371" s="3873"/>
      <c r="G371" s="3874"/>
      <c r="H371" s="3878"/>
      <c r="I371" s="3879"/>
      <c r="J371" s="3880"/>
    </row>
    <row r="372" spans="1:10" x14ac:dyDescent="0.3">
      <c r="A372" s="3881" t="s">
        <v>5294</v>
      </c>
      <c r="B372" s="3882"/>
      <c r="C372" s="3882"/>
      <c r="D372" s="3882"/>
      <c r="E372" s="3882"/>
      <c r="F372" s="3882"/>
      <c r="G372" s="3882"/>
      <c r="H372" s="3882"/>
      <c r="I372" s="3882"/>
      <c r="J372" s="3883"/>
    </row>
    <row r="373" spans="1:10" x14ac:dyDescent="0.3">
      <c r="A373" s="3884"/>
      <c r="B373" s="3885"/>
      <c r="C373" s="3885"/>
      <c r="D373" s="3885"/>
      <c r="E373" s="3885"/>
      <c r="F373" s="3885"/>
      <c r="G373" s="3885"/>
      <c r="H373" s="3885"/>
      <c r="I373" s="3885"/>
      <c r="J373" s="3886"/>
    </row>
    <row r="374" spans="1:10" x14ac:dyDescent="0.3">
      <c r="A374" s="601"/>
      <c r="B374" s="601"/>
      <c r="C374" s="601"/>
      <c r="D374" s="601"/>
      <c r="E374" s="601"/>
      <c r="F374" s="601"/>
      <c r="G374" s="601"/>
      <c r="H374" s="601"/>
      <c r="I374" s="601"/>
      <c r="J374" s="601"/>
    </row>
    <row r="376" spans="1:10" x14ac:dyDescent="0.3">
      <c r="A376" s="246" t="s">
        <v>3988</v>
      </c>
      <c r="B376" s="247" t="s">
        <v>3988</v>
      </c>
      <c r="C376" s="3895" t="s">
        <v>5267</v>
      </c>
      <c r="D376" s="3895"/>
      <c r="E376" s="3895"/>
      <c r="F376" s="3896"/>
      <c r="G376" s="247" t="s">
        <v>3988</v>
      </c>
      <c r="H376" s="1789" t="s">
        <v>3988</v>
      </c>
      <c r="I376" s="1789" t="s">
        <v>3988</v>
      </c>
      <c r="J376" s="248" t="s">
        <v>3988</v>
      </c>
    </row>
    <row r="377" spans="1:10" ht="15.6" x14ac:dyDescent="0.3">
      <c r="A377" s="249" t="s">
        <v>3988</v>
      </c>
      <c r="B377" s="231"/>
      <c r="C377" s="3897" t="s">
        <v>3986</v>
      </c>
      <c r="D377" s="3897"/>
      <c r="E377" s="3897"/>
      <c r="F377" s="3898"/>
      <c r="G377" s="1790" t="s">
        <v>3988</v>
      </c>
      <c r="H377" s="3899" t="s">
        <v>5329</v>
      </c>
      <c r="I377" s="3899"/>
      <c r="J377" s="250" t="s">
        <v>3988</v>
      </c>
    </row>
    <row r="378" spans="1:10" ht="17.399999999999999" x14ac:dyDescent="0.3">
      <c r="A378" s="249" t="s">
        <v>3988</v>
      </c>
      <c r="B378" s="232"/>
      <c r="C378" s="3901" t="s">
        <v>5269</v>
      </c>
      <c r="D378" s="3901"/>
      <c r="E378" s="3901"/>
      <c r="F378" s="3902"/>
      <c r="G378" s="233" t="s">
        <v>5270</v>
      </c>
      <c r="H378" s="3900"/>
      <c r="I378" s="3900"/>
      <c r="J378" s="250" t="s">
        <v>3988</v>
      </c>
    </row>
    <row r="379" spans="1:10" x14ac:dyDescent="0.3">
      <c r="A379" s="249" t="s">
        <v>3988</v>
      </c>
      <c r="B379" s="232" t="s">
        <v>3988</v>
      </c>
      <c r="C379" s="3903" t="s">
        <v>5271</v>
      </c>
      <c r="D379" s="3903"/>
      <c r="E379" s="3903"/>
      <c r="F379" s="3904"/>
      <c r="G379" s="1790" t="s">
        <v>3988</v>
      </c>
      <c r="H379" s="234" t="s">
        <v>3988</v>
      </c>
      <c r="I379" s="234" t="s">
        <v>3988</v>
      </c>
      <c r="J379" s="251" t="s">
        <v>3988</v>
      </c>
    </row>
    <row r="380" spans="1:10" ht="31.8" x14ac:dyDescent="0.3">
      <c r="A380" s="242" t="s">
        <v>5272</v>
      </c>
      <c r="B380" s="3905" t="s">
        <v>4029</v>
      </c>
      <c r="C380" s="3906"/>
      <c r="D380" s="3906"/>
      <c r="E380" s="3907"/>
      <c r="F380" s="241" t="s">
        <v>5274</v>
      </c>
      <c r="G380" s="240">
        <v>70720539</v>
      </c>
      <c r="H380" s="1791" t="s">
        <v>5276</v>
      </c>
      <c r="I380" s="1791" t="s">
        <v>5277</v>
      </c>
      <c r="J380" s="252" t="s">
        <v>5278</v>
      </c>
    </row>
    <row r="381" spans="1:10" x14ac:dyDescent="0.3">
      <c r="A381" s="3908"/>
      <c r="B381" s="3909"/>
      <c r="C381" s="3909"/>
      <c r="D381" s="3909"/>
      <c r="E381" s="3910"/>
      <c r="F381" s="3911"/>
      <c r="G381" s="3912"/>
      <c r="H381" s="256">
        <v>4</v>
      </c>
      <c r="I381" s="256">
        <v>6</v>
      </c>
      <c r="J381" s="257">
        <v>2021</v>
      </c>
    </row>
    <row r="382" spans="1:10" x14ac:dyDescent="0.3">
      <c r="A382" s="3913" t="s">
        <v>5279</v>
      </c>
      <c r="B382" s="3914"/>
      <c r="C382" s="3914"/>
      <c r="D382" s="3914"/>
      <c r="E382" s="3915"/>
      <c r="F382" s="258" t="s">
        <v>5280</v>
      </c>
      <c r="G382" s="1787" t="s">
        <v>3988</v>
      </c>
      <c r="H382" s="259" t="s">
        <v>5281</v>
      </c>
      <c r="I382" s="260" t="s">
        <v>3988</v>
      </c>
      <c r="J382" s="261" t="s">
        <v>3988</v>
      </c>
    </row>
    <row r="383" spans="1:10" x14ac:dyDescent="0.3">
      <c r="A383" s="3913" t="s">
        <v>5330</v>
      </c>
      <c r="B383" s="3914"/>
      <c r="C383" s="3914"/>
      <c r="D383" s="3914"/>
      <c r="E383" s="3915"/>
      <c r="F383" s="3911">
        <v>4641136</v>
      </c>
      <c r="G383" s="3912"/>
      <c r="H383" s="3911" t="s">
        <v>125</v>
      </c>
      <c r="I383" s="3911"/>
      <c r="J383" s="3916"/>
    </row>
    <row r="384" spans="1:10" x14ac:dyDescent="0.3">
      <c r="A384" s="262" t="s">
        <v>5284</v>
      </c>
      <c r="B384" s="3911" t="s">
        <v>5285</v>
      </c>
      <c r="C384" s="3911"/>
      <c r="D384" s="3911"/>
      <c r="E384" s="3912"/>
      <c r="F384" s="3917" t="s">
        <v>3752</v>
      </c>
      <c r="G384" s="3918"/>
      <c r="H384" s="3911" t="s">
        <v>5286</v>
      </c>
      <c r="I384" s="3911"/>
      <c r="J384" s="3916"/>
    </row>
    <row r="385" spans="1:10" x14ac:dyDescent="0.3">
      <c r="A385" s="263">
        <v>1</v>
      </c>
      <c r="B385" s="3887" t="s">
        <v>5331</v>
      </c>
      <c r="C385" s="3887"/>
      <c r="D385" s="3887"/>
      <c r="E385" s="3887"/>
      <c r="F385" s="3888">
        <v>2500</v>
      </c>
      <c r="G385" s="3889"/>
      <c r="H385" s="3887">
        <f>F385*A385</f>
        <v>2500</v>
      </c>
      <c r="I385" s="3887"/>
      <c r="J385" s="3890"/>
    </row>
    <row r="386" spans="1:10" x14ac:dyDescent="0.3">
      <c r="A386" s="263" t="s">
        <v>3988</v>
      </c>
      <c r="B386" s="3887" t="s">
        <v>3988</v>
      </c>
      <c r="C386" s="3887"/>
      <c r="D386" s="3887"/>
      <c r="E386" s="3887"/>
      <c r="F386" s="3888" t="s">
        <v>3988</v>
      </c>
      <c r="G386" s="3889"/>
      <c r="H386" s="3887" t="s">
        <v>3988</v>
      </c>
      <c r="I386" s="3887"/>
      <c r="J386" s="3890"/>
    </row>
    <row r="387" spans="1:10" x14ac:dyDescent="0.3">
      <c r="A387" s="263" t="s">
        <v>3988</v>
      </c>
      <c r="B387" s="264" t="s">
        <v>3988</v>
      </c>
      <c r="C387" s="264" t="s">
        <v>3988</v>
      </c>
      <c r="D387" s="264" t="s">
        <v>3988</v>
      </c>
      <c r="E387" s="264" t="s">
        <v>3988</v>
      </c>
      <c r="F387" s="3888" t="s">
        <v>3988</v>
      </c>
      <c r="G387" s="3889"/>
      <c r="H387" s="3887" t="s">
        <v>5287</v>
      </c>
      <c r="I387" s="3887"/>
      <c r="J387" s="3890"/>
    </row>
    <row r="388" spans="1:10" x14ac:dyDescent="0.3">
      <c r="A388" s="253" t="s">
        <v>3988</v>
      </c>
      <c r="B388" s="236" t="s">
        <v>3988</v>
      </c>
      <c r="C388" s="236" t="s">
        <v>3988</v>
      </c>
      <c r="D388" s="236" t="s">
        <v>3988</v>
      </c>
      <c r="E388" s="236" t="s">
        <v>3988</v>
      </c>
      <c r="F388" s="3891" t="s">
        <v>3988</v>
      </c>
      <c r="G388" s="3892"/>
      <c r="H388" s="3893" t="s">
        <v>5287</v>
      </c>
      <c r="I388" s="3893"/>
      <c r="J388" s="3894"/>
    </row>
    <row r="389" spans="1:10" x14ac:dyDescent="0.3">
      <c r="A389" s="253" t="s">
        <v>3988</v>
      </c>
      <c r="B389" s="236" t="s">
        <v>3988</v>
      </c>
      <c r="C389" s="236" t="s">
        <v>3988</v>
      </c>
      <c r="D389" s="236" t="s">
        <v>3988</v>
      </c>
      <c r="E389" s="236" t="s">
        <v>3988</v>
      </c>
      <c r="F389" s="3891" t="s">
        <v>3988</v>
      </c>
      <c r="G389" s="3892"/>
      <c r="H389" s="3893" t="s">
        <v>5287</v>
      </c>
      <c r="I389" s="3893"/>
      <c r="J389" s="3894"/>
    </row>
    <row r="390" spans="1:10" x14ac:dyDescent="0.3">
      <c r="A390" s="253" t="s">
        <v>3988</v>
      </c>
      <c r="B390" s="236" t="s">
        <v>3988</v>
      </c>
      <c r="C390" s="236" t="s">
        <v>3988</v>
      </c>
      <c r="D390" s="236" t="s">
        <v>3988</v>
      </c>
      <c r="E390" s="236" t="s">
        <v>3988</v>
      </c>
      <c r="F390" s="3891" t="s">
        <v>3988</v>
      </c>
      <c r="G390" s="3892"/>
      <c r="H390" s="3893" t="s">
        <v>5287</v>
      </c>
      <c r="I390" s="3893"/>
      <c r="J390" s="3894"/>
    </row>
    <row r="391" spans="1:10" x14ac:dyDescent="0.3">
      <c r="A391" s="253" t="s">
        <v>3988</v>
      </c>
      <c r="B391" s="236" t="s">
        <v>3988</v>
      </c>
      <c r="C391" s="236" t="s">
        <v>3988</v>
      </c>
      <c r="D391" s="236" t="s">
        <v>3988</v>
      </c>
      <c r="E391" s="236" t="s">
        <v>3988</v>
      </c>
      <c r="F391" s="3891" t="s">
        <v>3988</v>
      </c>
      <c r="G391" s="3892"/>
      <c r="H391" s="3893" t="s">
        <v>5287</v>
      </c>
      <c r="I391" s="3893"/>
      <c r="J391" s="3894"/>
    </row>
    <row r="392" spans="1:10" x14ac:dyDescent="0.3">
      <c r="A392" s="253" t="s">
        <v>3988</v>
      </c>
      <c r="B392" s="236" t="s">
        <v>3988</v>
      </c>
      <c r="C392" s="236" t="s">
        <v>3988</v>
      </c>
      <c r="D392" s="236" t="s">
        <v>3988</v>
      </c>
      <c r="E392" s="236" t="s">
        <v>3988</v>
      </c>
      <c r="F392" s="3891" t="s">
        <v>3988</v>
      </c>
      <c r="G392" s="3892"/>
      <c r="H392" s="3893" t="s">
        <v>5287</v>
      </c>
      <c r="I392" s="3893"/>
      <c r="J392" s="3894"/>
    </row>
    <row r="393" spans="1:10" x14ac:dyDescent="0.3">
      <c r="A393" s="253" t="s">
        <v>3988</v>
      </c>
      <c r="B393" s="236" t="s">
        <v>3988</v>
      </c>
      <c r="C393" s="236" t="s">
        <v>3988</v>
      </c>
      <c r="D393" s="236" t="s">
        <v>3988</v>
      </c>
      <c r="E393" s="236" t="s">
        <v>3988</v>
      </c>
      <c r="F393" s="3891" t="s">
        <v>3988</v>
      </c>
      <c r="G393" s="3892"/>
      <c r="H393" s="3893" t="s">
        <v>5287</v>
      </c>
      <c r="I393" s="3893"/>
      <c r="J393" s="3894"/>
    </row>
    <row r="394" spans="1:10" x14ac:dyDescent="0.3">
      <c r="A394" s="1788" t="s">
        <v>3753</v>
      </c>
      <c r="B394" s="235" t="s">
        <v>3988</v>
      </c>
      <c r="C394" s="235" t="s">
        <v>3988</v>
      </c>
      <c r="D394" s="235" t="s">
        <v>3988</v>
      </c>
      <c r="E394" s="3859" t="s">
        <v>5288</v>
      </c>
      <c r="F394" s="3860"/>
      <c r="G394" s="3861">
        <f>H385</f>
        <v>2500</v>
      </c>
      <c r="H394" s="3861"/>
      <c r="I394" s="3862"/>
      <c r="J394" s="254"/>
    </row>
    <row r="395" spans="1:10" x14ac:dyDescent="0.3">
      <c r="A395" s="255" t="s">
        <v>3988</v>
      </c>
      <c r="B395" s="237" t="s">
        <v>3988</v>
      </c>
      <c r="C395" s="237" t="s">
        <v>3988</v>
      </c>
      <c r="D395" s="237" t="s">
        <v>3988</v>
      </c>
      <c r="E395" s="237" t="s">
        <v>3988</v>
      </c>
      <c r="F395" s="238" t="s">
        <v>5289</v>
      </c>
      <c r="G395" s="239" t="s">
        <v>5290</v>
      </c>
      <c r="H395" s="3863" t="s">
        <v>5291</v>
      </c>
      <c r="I395" s="3863"/>
      <c r="J395" s="3864"/>
    </row>
    <row r="396" spans="1:10" x14ac:dyDescent="0.3">
      <c r="A396" s="3865" t="s">
        <v>5292</v>
      </c>
      <c r="B396" s="3866"/>
      <c r="C396" s="3866"/>
      <c r="D396" s="3866"/>
      <c r="E396" s="3867"/>
      <c r="F396" s="3871" t="s">
        <v>5293</v>
      </c>
      <c r="G396" s="3872"/>
      <c r="H396" s="3875">
        <f>G394</f>
        <v>2500</v>
      </c>
      <c r="I396" s="3876"/>
      <c r="J396" s="3877"/>
    </row>
    <row r="397" spans="1:10" x14ac:dyDescent="0.3">
      <c r="A397" s="3868"/>
      <c r="B397" s="3869"/>
      <c r="C397" s="3869"/>
      <c r="D397" s="3869"/>
      <c r="E397" s="3870"/>
      <c r="F397" s="3873"/>
      <c r="G397" s="3874"/>
      <c r="H397" s="3878"/>
      <c r="I397" s="3879"/>
      <c r="J397" s="3880"/>
    </row>
    <row r="398" spans="1:10" x14ac:dyDescent="0.3">
      <c r="A398" s="3881" t="s">
        <v>5294</v>
      </c>
      <c r="B398" s="3882"/>
      <c r="C398" s="3882"/>
      <c r="D398" s="3882"/>
      <c r="E398" s="3882"/>
      <c r="F398" s="3882"/>
      <c r="G398" s="3882"/>
      <c r="H398" s="3882"/>
      <c r="I398" s="3882"/>
      <c r="J398" s="3883"/>
    </row>
    <row r="399" spans="1:10" x14ac:dyDescent="0.3">
      <c r="A399" s="3884"/>
      <c r="B399" s="3885"/>
      <c r="C399" s="3885"/>
      <c r="D399" s="3885"/>
      <c r="E399" s="3885"/>
      <c r="F399" s="3885"/>
      <c r="G399" s="3885"/>
      <c r="H399" s="3885"/>
      <c r="I399" s="3885"/>
      <c r="J399" s="3886"/>
    </row>
    <row r="402" spans="1:10" x14ac:dyDescent="0.3">
      <c r="A402" s="246" t="s">
        <v>3988</v>
      </c>
      <c r="B402" s="247" t="s">
        <v>3988</v>
      </c>
      <c r="C402" s="3895" t="s">
        <v>5267</v>
      </c>
      <c r="D402" s="3895"/>
      <c r="E402" s="3895"/>
      <c r="F402" s="3896"/>
      <c r="G402" s="247" t="s">
        <v>3988</v>
      </c>
      <c r="H402" s="1789" t="s">
        <v>3988</v>
      </c>
      <c r="I402" s="1789" t="s">
        <v>3988</v>
      </c>
      <c r="J402" s="248" t="s">
        <v>3988</v>
      </c>
    </row>
    <row r="403" spans="1:10" ht="15.6" x14ac:dyDescent="0.3">
      <c r="A403" s="249" t="s">
        <v>3988</v>
      </c>
      <c r="B403" s="231"/>
      <c r="C403" s="3897" t="s">
        <v>3986</v>
      </c>
      <c r="D403" s="3897"/>
      <c r="E403" s="3897"/>
      <c r="F403" s="3898"/>
      <c r="G403" s="1790" t="s">
        <v>3988</v>
      </c>
      <c r="H403" s="3899" t="s">
        <v>5332</v>
      </c>
      <c r="I403" s="3899"/>
      <c r="J403" s="250" t="s">
        <v>3988</v>
      </c>
    </row>
    <row r="404" spans="1:10" ht="17.399999999999999" x14ac:dyDescent="0.3">
      <c r="A404" s="249" t="s">
        <v>3988</v>
      </c>
      <c r="B404" s="232"/>
      <c r="C404" s="3901" t="s">
        <v>5269</v>
      </c>
      <c r="D404" s="3901"/>
      <c r="E404" s="3901"/>
      <c r="F404" s="3902"/>
      <c r="G404" s="233" t="s">
        <v>5270</v>
      </c>
      <c r="H404" s="3900"/>
      <c r="I404" s="3900"/>
      <c r="J404" s="250" t="s">
        <v>3988</v>
      </c>
    </row>
    <row r="405" spans="1:10" x14ac:dyDescent="0.3">
      <c r="A405" s="249" t="s">
        <v>3988</v>
      </c>
      <c r="B405" s="232" t="s">
        <v>3988</v>
      </c>
      <c r="C405" s="3903" t="s">
        <v>5271</v>
      </c>
      <c r="D405" s="3903"/>
      <c r="E405" s="3903"/>
      <c r="F405" s="3904"/>
      <c r="G405" s="1790" t="s">
        <v>3988</v>
      </c>
      <c r="H405" s="234" t="s">
        <v>3988</v>
      </c>
      <c r="I405" s="234" t="s">
        <v>3988</v>
      </c>
      <c r="J405" s="251" t="s">
        <v>3988</v>
      </c>
    </row>
    <row r="406" spans="1:10" ht="31.8" x14ac:dyDescent="0.3">
      <c r="A406" s="242" t="s">
        <v>5272</v>
      </c>
      <c r="B406" s="3905" t="s">
        <v>4062</v>
      </c>
      <c r="C406" s="3906"/>
      <c r="D406" s="3906"/>
      <c r="E406" s="3907"/>
      <c r="F406" s="241" t="s">
        <v>5274</v>
      </c>
      <c r="G406" s="240" t="s">
        <v>4007</v>
      </c>
      <c r="H406" s="1791" t="s">
        <v>5276</v>
      </c>
      <c r="I406" s="1791" t="s">
        <v>5277</v>
      </c>
      <c r="J406" s="252" t="s">
        <v>5278</v>
      </c>
    </row>
    <row r="407" spans="1:10" x14ac:dyDescent="0.3">
      <c r="A407" s="3908"/>
      <c r="B407" s="3909"/>
      <c r="C407" s="3909"/>
      <c r="D407" s="3909"/>
      <c r="E407" s="3910"/>
      <c r="F407" s="3911"/>
      <c r="G407" s="3912"/>
      <c r="H407" s="256">
        <v>5</v>
      </c>
      <c r="I407" s="256">
        <v>6</v>
      </c>
      <c r="J407" s="257">
        <v>2021</v>
      </c>
    </row>
    <row r="408" spans="1:10" x14ac:dyDescent="0.3">
      <c r="A408" s="3913" t="s">
        <v>5279</v>
      </c>
      <c r="B408" s="3914"/>
      <c r="C408" s="3914"/>
      <c r="D408" s="3914"/>
      <c r="E408" s="3915"/>
      <c r="F408" s="258" t="s">
        <v>5280</v>
      </c>
      <c r="G408" s="1787" t="s">
        <v>3988</v>
      </c>
      <c r="H408" s="259" t="s">
        <v>5281</v>
      </c>
      <c r="I408" s="260" t="s">
        <v>3988</v>
      </c>
      <c r="J408" s="261" t="s">
        <v>3988</v>
      </c>
    </row>
    <row r="409" spans="1:10" x14ac:dyDescent="0.3">
      <c r="A409" s="3913" t="s">
        <v>5333</v>
      </c>
      <c r="B409" s="3914"/>
      <c r="C409" s="3914"/>
      <c r="D409" s="3914"/>
      <c r="E409" s="3915"/>
      <c r="F409" s="3911">
        <v>2755591</v>
      </c>
      <c r="G409" s="3912"/>
      <c r="H409" s="3911" t="s">
        <v>125</v>
      </c>
      <c r="I409" s="3911"/>
      <c r="J409" s="3916"/>
    </row>
    <row r="410" spans="1:10" x14ac:dyDescent="0.3">
      <c r="A410" s="262" t="s">
        <v>5284</v>
      </c>
      <c r="B410" s="3911" t="s">
        <v>5285</v>
      </c>
      <c r="C410" s="3911"/>
      <c r="D410" s="3911"/>
      <c r="E410" s="3912"/>
      <c r="F410" s="3917" t="s">
        <v>3752</v>
      </c>
      <c r="G410" s="3918"/>
      <c r="H410" s="3911" t="s">
        <v>5286</v>
      </c>
      <c r="I410" s="3911"/>
      <c r="J410" s="3916"/>
    </row>
    <row r="411" spans="1:10" x14ac:dyDescent="0.3">
      <c r="A411" s="263">
        <v>4</v>
      </c>
      <c r="B411" s="3887" t="s">
        <v>5331</v>
      </c>
      <c r="C411" s="3887"/>
      <c r="D411" s="3887"/>
      <c r="E411" s="3887"/>
      <c r="F411" s="3888">
        <v>1500</v>
      </c>
      <c r="G411" s="3889"/>
      <c r="H411" s="3887">
        <f>F411*A411</f>
        <v>6000</v>
      </c>
      <c r="I411" s="3887"/>
      <c r="J411" s="3890"/>
    </row>
    <row r="412" spans="1:10" x14ac:dyDescent="0.3">
      <c r="A412" s="263" t="s">
        <v>3988</v>
      </c>
      <c r="B412" s="3887" t="s">
        <v>3988</v>
      </c>
      <c r="C412" s="3887"/>
      <c r="D412" s="3887"/>
      <c r="E412" s="3887"/>
      <c r="F412" s="3888" t="s">
        <v>3988</v>
      </c>
      <c r="G412" s="3889"/>
      <c r="H412" s="3887" t="s">
        <v>3988</v>
      </c>
      <c r="I412" s="3887"/>
      <c r="J412" s="3890"/>
    </row>
    <row r="413" spans="1:10" x14ac:dyDescent="0.3">
      <c r="A413" s="263" t="s">
        <v>3988</v>
      </c>
      <c r="B413" s="264" t="s">
        <v>3988</v>
      </c>
      <c r="C413" s="264" t="s">
        <v>3988</v>
      </c>
      <c r="D413" s="264" t="s">
        <v>3988</v>
      </c>
      <c r="E413" s="264" t="s">
        <v>3988</v>
      </c>
      <c r="F413" s="3888" t="s">
        <v>3988</v>
      </c>
      <c r="G413" s="3889"/>
      <c r="H413" s="3887" t="s">
        <v>5287</v>
      </c>
      <c r="I413" s="3887"/>
      <c r="J413" s="3890"/>
    </row>
    <row r="414" spans="1:10" x14ac:dyDescent="0.3">
      <c r="A414" s="253" t="s">
        <v>3988</v>
      </c>
      <c r="B414" s="236" t="s">
        <v>3988</v>
      </c>
      <c r="C414" s="236" t="s">
        <v>3988</v>
      </c>
      <c r="D414" s="236" t="s">
        <v>3988</v>
      </c>
      <c r="E414" s="236" t="s">
        <v>3988</v>
      </c>
      <c r="F414" s="3891" t="s">
        <v>3988</v>
      </c>
      <c r="G414" s="3892"/>
      <c r="H414" s="3893" t="s">
        <v>5287</v>
      </c>
      <c r="I414" s="3893"/>
      <c r="J414" s="3894"/>
    </row>
    <row r="415" spans="1:10" x14ac:dyDescent="0.3">
      <c r="A415" s="253" t="s">
        <v>3988</v>
      </c>
      <c r="B415" s="236" t="s">
        <v>3988</v>
      </c>
      <c r="C415" s="236" t="s">
        <v>3988</v>
      </c>
      <c r="D415" s="236" t="s">
        <v>3988</v>
      </c>
      <c r="E415" s="236" t="s">
        <v>3988</v>
      </c>
      <c r="F415" s="3891" t="s">
        <v>3988</v>
      </c>
      <c r="G415" s="3892"/>
      <c r="H415" s="3893" t="s">
        <v>5287</v>
      </c>
      <c r="I415" s="3893"/>
      <c r="J415" s="3894"/>
    </row>
    <row r="416" spans="1:10" x14ac:dyDescent="0.3">
      <c r="A416" s="253" t="s">
        <v>3988</v>
      </c>
      <c r="B416" s="236" t="s">
        <v>3988</v>
      </c>
      <c r="C416" s="236" t="s">
        <v>3988</v>
      </c>
      <c r="D416" s="236" t="s">
        <v>3988</v>
      </c>
      <c r="E416" s="236" t="s">
        <v>3988</v>
      </c>
      <c r="F416" s="3891" t="s">
        <v>3988</v>
      </c>
      <c r="G416" s="3892"/>
      <c r="H416" s="3893" t="s">
        <v>5287</v>
      </c>
      <c r="I416" s="3893"/>
      <c r="J416" s="3894"/>
    </row>
    <row r="417" spans="1:10" x14ac:dyDescent="0.3">
      <c r="A417" s="253" t="s">
        <v>3988</v>
      </c>
      <c r="B417" s="236" t="s">
        <v>3988</v>
      </c>
      <c r="C417" s="236" t="s">
        <v>3988</v>
      </c>
      <c r="D417" s="236" t="s">
        <v>3988</v>
      </c>
      <c r="E417" s="236" t="s">
        <v>3988</v>
      </c>
      <c r="F417" s="3891" t="s">
        <v>3988</v>
      </c>
      <c r="G417" s="3892"/>
      <c r="H417" s="3893" t="s">
        <v>5287</v>
      </c>
      <c r="I417" s="3893"/>
      <c r="J417" s="3894"/>
    </row>
    <row r="418" spans="1:10" x14ac:dyDescent="0.3">
      <c r="A418" s="253" t="s">
        <v>3988</v>
      </c>
      <c r="B418" s="236" t="s">
        <v>3988</v>
      </c>
      <c r="C418" s="236" t="s">
        <v>3988</v>
      </c>
      <c r="D418" s="236" t="s">
        <v>3988</v>
      </c>
      <c r="E418" s="236" t="s">
        <v>3988</v>
      </c>
      <c r="F418" s="3891" t="s">
        <v>3988</v>
      </c>
      <c r="G418" s="3892"/>
      <c r="H418" s="3893" t="s">
        <v>5287</v>
      </c>
      <c r="I418" s="3893"/>
      <c r="J418" s="3894"/>
    </row>
    <row r="419" spans="1:10" x14ac:dyDescent="0.3">
      <c r="A419" s="253" t="s">
        <v>3988</v>
      </c>
      <c r="B419" s="236" t="s">
        <v>3988</v>
      </c>
      <c r="C419" s="236" t="s">
        <v>3988</v>
      </c>
      <c r="D419" s="236" t="s">
        <v>3988</v>
      </c>
      <c r="E419" s="236" t="s">
        <v>3988</v>
      </c>
      <c r="F419" s="3891" t="s">
        <v>3988</v>
      </c>
      <c r="G419" s="3892"/>
      <c r="H419" s="3893" t="s">
        <v>5287</v>
      </c>
      <c r="I419" s="3893"/>
      <c r="J419" s="3894"/>
    </row>
    <row r="420" spans="1:10" x14ac:dyDescent="0.3">
      <c r="A420" s="1788" t="s">
        <v>3753</v>
      </c>
      <c r="B420" s="235" t="s">
        <v>3988</v>
      </c>
      <c r="C420" s="235" t="s">
        <v>3988</v>
      </c>
      <c r="D420" s="235" t="s">
        <v>3988</v>
      </c>
      <c r="E420" s="3859" t="s">
        <v>5288</v>
      </c>
      <c r="F420" s="3860"/>
      <c r="G420" s="3861">
        <f>H411</f>
        <v>6000</v>
      </c>
      <c r="H420" s="3861"/>
      <c r="I420" s="3862"/>
      <c r="J420" s="254"/>
    </row>
    <row r="421" spans="1:10" x14ac:dyDescent="0.3">
      <c r="A421" s="255" t="s">
        <v>3988</v>
      </c>
      <c r="B421" s="237" t="s">
        <v>3988</v>
      </c>
      <c r="C421" s="237" t="s">
        <v>3988</v>
      </c>
      <c r="D421" s="237" t="s">
        <v>3988</v>
      </c>
      <c r="E421" s="237" t="s">
        <v>3988</v>
      </c>
      <c r="F421" s="238" t="s">
        <v>5289</v>
      </c>
      <c r="G421" s="239" t="s">
        <v>5290</v>
      </c>
      <c r="H421" s="3863" t="s">
        <v>5291</v>
      </c>
      <c r="I421" s="3863"/>
      <c r="J421" s="3864"/>
    </row>
    <row r="422" spans="1:10" x14ac:dyDescent="0.3">
      <c r="A422" s="3865" t="s">
        <v>5292</v>
      </c>
      <c r="B422" s="3866"/>
      <c r="C422" s="3866"/>
      <c r="D422" s="3866"/>
      <c r="E422" s="3867"/>
      <c r="F422" s="3871" t="s">
        <v>5293</v>
      </c>
      <c r="G422" s="3872"/>
      <c r="H422" s="3875">
        <f>G420</f>
        <v>6000</v>
      </c>
      <c r="I422" s="3876"/>
      <c r="J422" s="3877"/>
    </row>
    <row r="423" spans="1:10" x14ac:dyDescent="0.3">
      <c r="A423" s="3868"/>
      <c r="B423" s="3869"/>
      <c r="C423" s="3869"/>
      <c r="D423" s="3869"/>
      <c r="E423" s="3870"/>
      <c r="F423" s="3873"/>
      <c r="G423" s="3874"/>
      <c r="H423" s="3878"/>
      <c r="I423" s="3879"/>
      <c r="J423" s="3880"/>
    </row>
    <row r="424" spans="1:10" x14ac:dyDescent="0.3">
      <c r="A424" s="3881" t="s">
        <v>5294</v>
      </c>
      <c r="B424" s="3882"/>
      <c r="C424" s="3882"/>
      <c r="D424" s="3882"/>
      <c r="E424" s="3882"/>
      <c r="F424" s="3882"/>
      <c r="G424" s="3882"/>
      <c r="H424" s="3882"/>
      <c r="I424" s="3882"/>
      <c r="J424" s="3883"/>
    </row>
    <row r="425" spans="1:10" x14ac:dyDescent="0.3">
      <c r="A425" s="3884"/>
      <c r="B425" s="3885"/>
      <c r="C425" s="3885"/>
      <c r="D425" s="3885"/>
      <c r="E425" s="3885"/>
      <c r="F425" s="3885"/>
      <c r="G425" s="3885"/>
      <c r="H425" s="3885"/>
      <c r="I425" s="3885"/>
      <c r="J425" s="3886"/>
    </row>
    <row r="428" spans="1:10" x14ac:dyDescent="0.3">
      <c r="A428" s="246" t="s">
        <v>3988</v>
      </c>
      <c r="B428" s="247" t="s">
        <v>3988</v>
      </c>
      <c r="C428" s="3895" t="s">
        <v>5267</v>
      </c>
      <c r="D428" s="3895"/>
      <c r="E428" s="3895"/>
      <c r="F428" s="3896"/>
      <c r="G428" s="247" t="s">
        <v>3988</v>
      </c>
      <c r="H428" s="1789" t="s">
        <v>3988</v>
      </c>
      <c r="I428" s="1789" t="s">
        <v>3988</v>
      </c>
      <c r="J428" s="248" t="s">
        <v>3988</v>
      </c>
    </row>
    <row r="429" spans="1:10" ht="15.6" x14ac:dyDescent="0.3">
      <c r="A429" s="249" t="s">
        <v>3988</v>
      </c>
      <c r="B429" s="231"/>
      <c r="C429" s="3897" t="s">
        <v>3986</v>
      </c>
      <c r="D429" s="3897"/>
      <c r="E429" s="3897"/>
      <c r="F429" s="3898"/>
      <c r="G429" s="1790" t="s">
        <v>3988</v>
      </c>
      <c r="H429" s="3899" t="s">
        <v>5334</v>
      </c>
      <c r="I429" s="3899"/>
      <c r="J429" s="250" t="s">
        <v>3988</v>
      </c>
    </row>
    <row r="430" spans="1:10" ht="17.399999999999999" x14ac:dyDescent="0.3">
      <c r="A430" s="249" t="s">
        <v>3988</v>
      </c>
      <c r="B430" s="232"/>
      <c r="C430" s="3901" t="s">
        <v>5269</v>
      </c>
      <c r="D430" s="3901"/>
      <c r="E430" s="3901"/>
      <c r="F430" s="3902"/>
      <c r="G430" s="233" t="s">
        <v>5270</v>
      </c>
      <c r="H430" s="3900"/>
      <c r="I430" s="3900"/>
      <c r="J430" s="250" t="s">
        <v>3988</v>
      </c>
    </row>
    <row r="431" spans="1:10" x14ac:dyDescent="0.3">
      <c r="A431" s="249" t="s">
        <v>3988</v>
      </c>
      <c r="B431" s="232" t="s">
        <v>3988</v>
      </c>
      <c r="C431" s="3903" t="s">
        <v>5271</v>
      </c>
      <c r="D431" s="3903"/>
      <c r="E431" s="3903"/>
      <c r="F431" s="3904"/>
      <c r="G431" s="1790" t="s">
        <v>3988</v>
      </c>
      <c r="H431" s="234" t="s">
        <v>3988</v>
      </c>
      <c r="I431" s="234" t="s">
        <v>3988</v>
      </c>
      <c r="J431" s="251" t="s">
        <v>3988</v>
      </c>
    </row>
    <row r="432" spans="1:10" ht="31.8" x14ac:dyDescent="0.3">
      <c r="A432" s="242" t="s">
        <v>5272</v>
      </c>
      <c r="B432" s="3924" t="s">
        <v>5335</v>
      </c>
      <c r="C432" s="3924"/>
      <c r="D432" s="3924"/>
      <c r="E432" s="3924"/>
      <c r="F432" s="241" t="s">
        <v>5274</v>
      </c>
      <c r="G432" s="240">
        <v>1017192428</v>
      </c>
      <c r="H432" s="1791" t="s">
        <v>5276</v>
      </c>
      <c r="I432" s="1791" t="s">
        <v>5277</v>
      </c>
      <c r="J432" s="252" t="s">
        <v>5278</v>
      </c>
    </row>
    <row r="433" spans="1:10" x14ac:dyDescent="0.3">
      <c r="A433" s="3908"/>
      <c r="B433" s="3909"/>
      <c r="C433" s="3909"/>
      <c r="D433" s="3909"/>
      <c r="E433" s="3910"/>
      <c r="F433" s="3911"/>
      <c r="G433" s="3912"/>
      <c r="H433" s="256">
        <v>10</v>
      </c>
      <c r="I433" s="256">
        <v>6</v>
      </c>
      <c r="J433" s="257">
        <v>2021</v>
      </c>
    </row>
    <row r="434" spans="1:10" x14ac:dyDescent="0.3">
      <c r="A434" s="3913" t="s">
        <v>5279</v>
      </c>
      <c r="B434" s="3914"/>
      <c r="C434" s="3914"/>
      <c r="D434" s="3914"/>
      <c r="E434" s="3915"/>
      <c r="F434" s="258" t="s">
        <v>5280</v>
      </c>
      <c r="G434" s="1787" t="s">
        <v>3988</v>
      </c>
      <c r="H434" s="259" t="s">
        <v>5281</v>
      </c>
      <c r="I434" s="260" t="s">
        <v>3988</v>
      </c>
      <c r="J434" s="261" t="s">
        <v>3988</v>
      </c>
    </row>
    <row r="435" spans="1:10" x14ac:dyDescent="0.3">
      <c r="A435" s="3913" t="s">
        <v>5336</v>
      </c>
      <c r="B435" s="3914"/>
      <c r="C435" s="3914"/>
      <c r="D435" s="3914"/>
      <c r="E435" s="3915"/>
      <c r="F435" s="3911">
        <v>2313211</v>
      </c>
      <c r="G435" s="3912"/>
      <c r="H435" s="3911" t="s">
        <v>216</v>
      </c>
      <c r="I435" s="3911"/>
      <c r="J435" s="3916"/>
    </row>
    <row r="436" spans="1:10" x14ac:dyDescent="0.3">
      <c r="A436" s="262" t="s">
        <v>5284</v>
      </c>
      <c r="B436" s="3911" t="s">
        <v>5285</v>
      </c>
      <c r="C436" s="3911"/>
      <c r="D436" s="3911"/>
      <c r="E436" s="3912"/>
      <c r="F436" s="3917" t="s">
        <v>3752</v>
      </c>
      <c r="G436" s="3918"/>
      <c r="H436" s="3911" t="s">
        <v>5286</v>
      </c>
      <c r="I436" s="3911"/>
      <c r="J436" s="3916"/>
    </row>
    <row r="437" spans="1:10" x14ac:dyDescent="0.3">
      <c r="A437" s="263">
        <v>1</v>
      </c>
      <c r="B437" s="3887" t="s">
        <v>4041</v>
      </c>
      <c r="C437" s="3887"/>
      <c r="D437" s="3887"/>
      <c r="E437" s="3887"/>
      <c r="F437" s="3888">
        <v>2800</v>
      </c>
      <c r="G437" s="3889"/>
      <c r="H437" s="3887">
        <f>F437*A437</f>
        <v>2800</v>
      </c>
      <c r="I437" s="3887"/>
      <c r="J437" s="3890"/>
    </row>
    <row r="438" spans="1:10" x14ac:dyDescent="0.3">
      <c r="A438" s="263" t="s">
        <v>3988</v>
      </c>
      <c r="B438" s="3887" t="s">
        <v>3988</v>
      </c>
      <c r="C438" s="3887"/>
      <c r="D438" s="3887"/>
      <c r="E438" s="3887"/>
      <c r="F438" s="3888" t="s">
        <v>3988</v>
      </c>
      <c r="G438" s="3889"/>
      <c r="H438" s="3887" t="s">
        <v>3988</v>
      </c>
      <c r="I438" s="3887"/>
      <c r="J438" s="3890"/>
    </row>
    <row r="439" spans="1:10" x14ac:dyDescent="0.3">
      <c r="A439" s="263" t="s">
        <v>3988</v>
      </c>
      <c r="B439" s="264" t="s">
        <v>3988</v>
      </c>
      <c r="C439" s="264" t="s">
        <v>3988</v>
      </c>
      <c r="D439" s="264" t="s">
        <v>3988</v>
      </c>
      <c r="E439" s="264" t="s">
        <v>3988</v>
      </c>
      <c r="F439" s="3888" t="s">
        <v>3988</v>
      </c>
      <c r="G439" s="3889"/>
      <c r="H439" s="3887" t="s">
        <v>5287</v>
      </c>
      <c r="I439" s="3887"/>
      <c r="J439" s="3890"/>
    </row>
    <row r="440" spans="1:10" x14ac:dyDescent="0.3">
      <c r="A440" s="253" t="s">
        <v>3988</v>
      </c>
      <c r="B440" s="236" t="s">
        <v>3988</v>
      </c>
      <c r="C440" s="236" t="s">
        <v>3988</v>
      </c>
      <c r="D440" s="236" t="s">
        <v>3988</v>
      </c>
      <c r="E440" s="236" t="s">
        <v>3988</v>
      </c>
      <c r="F440" s="3891" t="s">
        <v>3988</v>
      </c>
      <c r="G440" s="3892"/>
      <c r="H440" s="3893" t="s">
        <v>5287</v>
      </c>
      <c r="I440" s="3893"/>
      <c r="J440" s="3894"/>
    </row>
    <row r="441" spans="1:10" x14ac:dyDescent="0.3">
      <c r="A441" s="253" t="s">
        <v>3988</v>
      </c>
      <c r="B441" s="236" t="s">
        <v>3988</v>
      </c>
      <c r="C441" s="236" t="s">
        <v>3988</v>
      </c>
      <c r="D441" s="236" t="s">
        <v>3988</v>
      </c>
      <c r="E441" s="236" t="s">
        <v>3988</v>
      </c>
      <c r="F441" s="3891" t="s">
        <v>3988</v>
      </c>
      <c r="G441" s="3892"/>
      <c r="H441" s="3893" t="s">
        <v>5287</v>
      </c>
      <c r="I441" s="3893"/>
      <c r="J441" s="3894"/>
    </row>
    <row r="442" spans="1:10" x14ac:dyDescent="0.3">
      <c r="A442" s="253" t="s">
        <v>3988</v>
      </c>
      <c r="B442" s="236" t="s">
        <v>3988</v>
      </c>
      <c r="C442" s="236" t="s">
        <v>3988</v>
      </c>
      <c r="D442" s="236" t="s">
        <v>3988</v>
      </c>
      <c r="E442" s="236" t="s">
        <v>3988</v>
      </c>
      <c r="F442" s="3891" t="s">
        <v>3988</v>
      </c>
      <c r="G442" s="3892"/>
      <c r="H442" s="3893" t="s">
        <v>5287</v>
      </c>
      <c r="I442" s="3893"/>
      <c r="J442" s="3894"/>
    </row>
    <row r="443" spans="1:10" x14ac:dyDescent="0.3">
      <c r="A443" s="253" t="s">
        <v>3988</v>
      </c>
      <c r="B443" s="236" t="s">
        <v>3988</v>
      </c>
      <c r="C443" s="236" t="s">
        <v>3988</v>
      </c>
      <c r="D443" s="236" t="s">
        <v>3988</v>
      </c>
      <c r="E443" s="236" t="s">
        <v>3988</v>
      </c>
      <c r="F443" s="3891" t="s">
        <v>3988</v>
      </c>
      <c r="G443" s="3892"/>
      <c r="H443" s="3893" t="s">
        <v>5287</v>
      </c>
      <c r="I443" s="3893"/>
      <c r="J443" s="3894"/>
    </row>
    <row r="444" spans="1:10" x14ac:dyDescent="0.3">
      <c r="A444" s="253" t="s">
        <v>3988</v>
      </c>
      <c r="B444" s="236" t="s">
        <v>3988</v>
      </c>
      <c r="C444" s="236" t="s">
        <v>3988</v>
      </c>
      <c r="D444" s="236" t="s">
        <v>3988</v>
      </c>
      <c r="E444" s="236" t="s">
        <v>3988</v>
      </c>
      <c r="F444" s="3891" t="s">
        <v>3988</v>
      </c>
      <c r="G444" s="3892"/>
      <c r="H444" s="3893" t="s">
        <v>5287</v>
      </c>
      <c r="I444" s="3893"/>
      <c r="J444" s="3894"/>
    </row>
    <row r="445" spans="1:10" x14ac:dyDescent="0.3">
      <c r="A445" s="253" t="s">
        <v>3988</v>
      </c>
      <c r="B445" s="236" t="s">
        <v>3988</v>
      </c>
      <c r="C445" s="236" t="s">
        <v>3988</v>
      </c>
      <c r="D445" s="236" t="s">
        <v>3988</v>
      </c>
      <c r="E445" s="236" t="s">
        <v>3988</v>
      </c>
      <c r="F445" s="3891" t="s">
        <v>3988</v>
      </c>
      <c r="G445" s="3892"/>
      <c r="H445" s="3893" t="s">
        <v>5287</v>
      </c>
      <c r="I445" s="3893"/>
      <c r="J445" s="3894"/>
    </row>
    <row r="446" spans="1:10" x14ac:dyDescent="0.3">
      <c r="A446" s="1788" t="s">
        <v>3753</v>
      </c>
      <c r="B446" s="235" t="s">
        <v>3988</v>
      </c>
      <c r="C446" s="235" t="s">
        <v>3988</v>
      </c>
      <c r="D446" s="235" t="s">
        <v>3988</v>
      </c>
      <c r="E446" s="3859" t="s">
        <v>5288</v>
      </c>
      <c r="F446" s="3860"/>
      <c r="G446" s="3861">
        <f>H437</f>
        <v>2800</v>
      </c>
      <c r="H446" s="3861"/>
      <c r="I446" s="3862"/>
      <c r="J446" s="254"/>
    </row>
    <row r="447" spans="1:10" x14ac:dyDescent="0.3">
      <c r="A447" s="255" t="s">
        <v>3988</v>
      </c>
      <c r="B447" s="237" t="s">
        <v>3988</v>
      </c>
      <c r="C447" s="237" t="s">
        <v>3988</v>
      </c>
      <c r="D447" s="237" t="s">
        <v>3988</v>
      </c>
      <c r="E447" s="237" t="s">
        <v>3988</v>
      </c>
      <c r="F447" s="238" t="s">
        <v>5289</v>
      </c>
      <c r="G447" s="239" t="s">
        <v>5290</v>
      </c>
      <c r="H447" s="3863" t="s">
        <v>5291</v>
      </c>
      <c r="I447" s="3863"/>
      <c r="J447" s="3864"/>
    </row>
    <row r="448" spans="1:10" x14ac:dyDescent="0.3">
      <c r="A448" s="3865" t="s">
        <v>5292</v>
      </c>
      <c r="B448" s="3866"/>
      <c r="C448" s="3866"/>
      <c r="D448" s="3866"/>
      <c r="E448" s="3867"/>
      <c r="F448" s="3871" t="s">
        <v>5293</v>
      </c>
      <c r="G448" s="3872"/>
      <c r="H448" s="3875">
        <f>G446</f>
        <v>2800</v>
      </c>
      <c r="I448" s="3876"/>
      <c r="J448" s="3877"/>
    </row>
    <row r="449" spans="1:10" x14ac:dyDescent="0.3">
      <c r="A449" s="3868"/>
      <c r="B449" s="3869"/>
      <c r="C449" s="3869"/>
      <c r="D449" s="3869"/>
      <c r="E449" s="3870"/>
      <c r="F449" s="3873"/>
      <c r="G449" s="3874"/>
      <c r="H449" s="3878"/>
      <c r="I449" s="3879"/>
      <c r="J449" s="3880"/>
    </row>
    <row r="450" spans="1:10" x14ac:dyDescent="0.3">
      <c r="A450" s="3881" t="s">
        <v>5294</v>
      </c>
      <c r="B450" s="3882"/>
      <c r="C450" s="3882"/>
      <c r="D450" s="3882"/>
      <c r="E450" s="3882"/>
      <c r="F450" s="3882"/>
      <c r="G450" s="3882"/>
      <c r="H450" s="3882"/>
      <c r="I450" s="3882"/>
      <c r="J450" s="3883"/>
    </row>
    <row r="451" spans="1:10" x14ac:dyDescent="0.3">
      <c r="A451" s="3884"/>
      <c r="B451" s="3885"/>
      <c r="C451" s="3885"/>
      <c r="D451" s="3885"/>
      <c r="E451" s="3885"/>
      <c r="F451" s="3885"/>
      <c r="G451" s="3885"/>
      <c r="H451" s="3885"/>
      <c r="I451" s="3885"/>
      <c r="J451" s="3886"/>
    </row>
    <row r="454" spans="1:10" x14ac:dyDescent="0.3">
      <c r="A454" s="246" t="s">
        <v>3988</v>
      </c>
      <c r="B454" s="247" t="s">
        <v>3988</v>
      </c>
      <c r="C454" s="3895" t="s">
        <v>5267</v>
      </c>
      <c r="D454" s="3895"/>
      <c r="E454" s="3895"/>
      <c r="F454" s="3896"/>
      <c r="G454" s="247" t="s">
        <v>3988</v>
      </c>
      <c r="H454" s="1789" t="s">
        <v>3988</v>
      </c>
      <c r="I454" s="1789" t="s">
        <v>3988</v>
      </c>
      <c r="J454" s="248" t="s">
        <v>3988</v>
      </c>
    </row>
    <row r="455" spans="1:10" ht="15.6" x14ac:dyDescent="0.3">
      <c r="A455" s="249" t="s">
        <v>3988</v>
      </c>
      <c r="B455" s="231"/>
      <c r="C455" s="3897" t="s">
        <v>3986</v>
      </c>
      <c r="D455" s="3897"/>
      <c r="E455" s="3897"/>
      <c r="F455" s="3898"/>
      <c r="G455" s="1790" t="s">
        <v>3988</v>
      </c>
      <c r="H455" s="3899" t="s">
        <v>5337</v>
      </c>
      <c r="I455" s="3899"/>
      <c r="J455" s="250" t="s">
        <v>3988</v>
      </c>
    </row>
    <row r="456" spans="1:10" ht="17.399999999999999" x14ac:dyDescent="0.3">
      <c r="A456" s="249" t="s">
        <v>3988</v>
      </c>
      <c r="B456" s="232"/>
      <c r="C456" s="3901" t="s">
        <v>5269</v>
      </c>
      <c r="D456" s="3901"/>
      <c r="E456" s="3901"/>
      <c r="F456" s="3902"/>
      <c r="G456" s="233" t="s">
        <v>5270</v>
      </c>
      <c r="H456" s="3900"/>
      <c r="I456" s="3900"/>
      <c r="J456" s="250" t="s">
        <v>3988</v>
      </c>
    </row>
    <row r="457" spans="1:10" x14ac:dyDescent="0.3">
      <c r="A457" s="249" t="s">
        <v>3988</v>
      </c>
      <c r="B457" s="232" t="s">
        <v>3988</v>
      </c>
      <c r="C457" s="3903" t="s">
        <v>5271</v>
      </c>
      <c r="D457" s="3903"/>
      <c r="E457" s="3903"/>
      <c r="F457" s="3904"/>
      <c r="G457" s="1790" t="s">
        <v>3988</v>
      </c>
      <c r="H457" s="234" t="s">
        <v>3988</v>
      </c>
      <c r="I457" s="234" t="s">
        <v>3988</v>
      </c>
      <c r="J457" s="251" t="s">
        <v>3988</v>
      </c>
    </row>
    <row r="458" spans="1:10" ht="31.8" x14ac:dyDescent="0.3">
      <c r="A458" s="242" t="s">
        <v>5272</v>
      </c>
      <c r="B458" s="3905" t="s">
        <v>5301</v>
      </c>
      <c r="C458" s="3906"/>
      <c r="D458" s="3906"/>
      <c r="E458" s="3907"/>
      <c r="F458" s="241" t="s">
        <v>5274</v>
      </c>
      <c r="G458" s="240"/>
      <c r="H458" s="1791" t="s">
        <v>5276</v>
      </c>
      <c r="I458" s="1791" t="s">
        <v>5277</v>
      </c>
      <c r="J458" s="252" t="s">
        <v>5278</v>
      </c>
    </row>
    <row r="459" spans="1:10" x14ac:dyDescent="0.3">
      <c r="A459" s="3908"/>
      <c r="B459" s="3909"/>
      <c r="C459" s="3909"/>
      <c r="D459" s="3909"/>
      <c r="E459" s="3910"/>
      <c r="F459" s="3911"/>
      <c r="G459" s="3912"/>
      <c r="H459" s="256">
        <v>11</v>
      </c>
      <c r="I459" s="256">
        <v>6</v>
      </c>
      <c r="J459" s="257">
        <v>2021</v>
      </c>
    </row>
    <row r="460" spans="1:10" x14ac:dyDescent="0.3">
      <c r="A460" s="3913" t="s">
        <v>5279</v>
      </c>
      <c r="B460" s="3914"/>
      <c r="C460" s="3914"/>
      <c r="D460" s="3914"/>
      <c r="E460" s="3915"/>
      <c r="F460" s="258" t="s">
        <v>5280</v>
      </c>
      <c r="G460" s="1787" t="s">
        <v>3988</v>
      </c>
      <c r="H460" s="259" t="s">
        <v>5281</v>
      </c>
      <c r="I460" s="260" t="s">
        <v>3988</v>
      </c>
      <c r="J460" s="261" t="s">
        <v>3988</v>
      </c>
    </row>
    <row r="461" spans="1:10" x14ac:dyDescent="0.3">
      <c r="A461" s="3913" t="s">
        <v>5302</v>
      </c>
      <c r="B461" s="3914"/>
      <c r="C461" s="3914"/>
      <c r="D461" s="3914"/>
      <c r="E461" s="3915"/>
      <c r="F461" s="3911">
        <v>4614611</v>
      </c>
      <c r="G461" s="3912"/>
      <c r="H461" s="3911" t="s">
        <v>125</v>
      </c>
      <c r="I461" s="3911"/>
      <c r="J461" s="3916"/>
    </row>
    <row r="462" spans="1:10" x14ac:dyDescent="0.3">
      <c r="A462" s="262" t="s">
        <v>5284</v>
      </c>
      <c r="B462" s="3911" t="s">
        <v>5285</v>
      </c>
      <c r="C462" s="3911"/>
      <c r="D462" s="3911"/>
      <c r="E462" s="3912"/>
      <c r="F462" s="3917" t="s">
        <v>3752</v>
      </c>
      <c r="G462" s="3918"/>
      <c r="H462" s="3911" t="s">
        <v>5286</v>
      </c>
      <c r="I462" s="3911"/>
      <c r="J462" s="3916"/>
    </row>
    <row r="463" spans="1:10" x14ac:dyDescent="0.3">
      <c r="A463" s="263">
        <v>1</v>
      </c>
      <c r="B463" s="3887" t="s">
        <v>5338</v>
      </c>
      <c r="C463" s="3887"/>
      <c r="D463" s="3887"/>
      <c r="E463" s="3887"/>
      <c r="F463" s="3888">
        <v>2400</v>
      </c>
      <c r="G463" s="3889"/>
      <c r="H463" s="3887">
        <f>F463*A463</f>
        <v>2400</v>
      </c>
      <c r="I463" s="3887"/>
      <c r="J463" s="3890"/>
    </row>
    <row r="464" spans="1:10" x14ac:dyDescent="0.3">
      <c r="A464" s="263" t="s">
        <v>3988</v>
      </c>
      <c r="B464" s="3887" t="s">
        <v>3988</v>
      </c>
      <c r="C464" s="3887"/>
      <c r="D464" s="3887"/>
      <c r="E464" s="3887"/>
      <c r="F464" s="3888" t="s">
        <v>3988</v>
      </c>
      <c r="G464" s="3889"/>
      <c r="H464" s="3887" t="s">
        <v>3988</v>
      </c>
      <c r="I464" s="3887"/>
      <c r="J464" s="3890"/>
    </row>
    <row r="465" spans="1:10" x14ac:dyDescent="0.3">
      <c r="A465" s="263" t="s">
        <v>3988</v>
      </c>
      <c r="B465" s="264" t="s">
        <v>3988</v>
      </c>
      <c r="C465" s="264" t="s">
        <v>3988</v>
      </c>
      <c r="D465" s="264" t="s">
        <v>3988</v>
      </c>
      <c r="E465" s="264" t="s">
        <v>3988</v>
      </c>
      <c r="F465" s="3888" t="s">
        <v>3988</v>
      </c>
      <c r="G465" s="3889"/>
      <c r="H465" s="3887" t="s">
        <v>5287</v>
      </c>
      <c r="I465" s="3887"/>
      <c r="J465" s="3890"/>
    </row>
    <row r="466" spans="1:10" x14ac:dyDescent="0.3">
      <c r="A466" s="253" t="s">
        <v>3988</v>
      </c>
      <c r="B466" s="236" t="s">
        <v>3988</v>
      </c>
      <c r="C466" s="236" t="s">
        <v>3988</v>
      </c>
      <c r="D466" s="236" t="s">
        <v>3988</v>
      </c>
      <c r="E466" s="236" t="s">
        <v>3988</v>
      </c>
      <c r="F466" s="3891" t="s">
        <v>3988</v>
      </c>
      <c r="G466" s="3892"/>
      <c r="H466" s="3893" t="s">
        <v>5287</v>
      </c>
      <c r="I466" s="3893"/>
      <c r="J466" s="3894"/>
    </row>
    <row r="467" spans="1:10" x14ac:dyDescent="0.3">
      <c r="A467" s="253" t="s">
        <v>3988</v>
      </c>
      <c r="B467" s="236" t="s">
        <v>3988</v>
      </c>
      <c r="C467" s="236" t="s">
        <v>3988</v>
      </c>
      <c r="D467" s="236" t="s">
        <v>3988</v>
      </c>
      <c r="E467" s="236" t="s">
        <v>3988</v>
      </c>
      <c r="F467" s="3891" t="s">
        <v>3988</v>
      </c>
      <c r="G467" s="3892"/>
      <c r="H467" s="3893" t="s">
        <v>5287</v>
      </c>
      <c r="I467" s="3893"/>
      <c r="J467" s="3894"/>
    </row>
    <row r="468" spans="1:10" x14ac:dyDescent="0.3">
      <c r="A468" s="253" t="s">
        <v>3988</v>
      </c>
      <c r="B468" s="236" t="s">
        <v>3988</v>
      </c>
      <c r="C468" s="236" t="s">
        <v>3988</v>
      </c>
      <c r="D468" s="236" t="s">
        <v>3988</v>
      </c>
      <c r="E468" s="236" t="s">
        <v>3988</v>
      </c>
      <c r="F468" s="3891" t="s">
        <v>3988</v>
      </c>
      <c r="G468" s="3892"/>
      <c r="H468" s="3893" t="s">
        <v>5287</v>
      </c>
      <c r="I468" s="3893"/>
      <c r="J468" s="3894"/>
    </row>
    <row r="469" spans="1:10" x14ac:dyDescent="0.3">
      <c r="A469" s="253" t="s">
        <v>3988</v>
      </c>
      <c r="B469" s="236" t="s">
        <v>3988</v>
      </c>
      <c r="C469" s="236" t="s">
        <v>3988</v>
      </c>
      <c r="D469" s="236" t="s">
        <v>3988</v>
      </c>
      <c r="E469" s="236" t="s">
        <v>3988</v>
      </c>
      <c r="F469" s="3891" t="s">
        <v>3988</v>
      </c>
      <c r="G469" s="3892"/>
      <c r="H469" s="3893" t="s">
        <v>5287</v>
      </c>
      <c r="I469" s="3893"/>
      <c r="J469" s="3894"/>
    </row>
    <row r="470" spans="1:10" x14ac:dyDescent="0.3">
      <c r="A470" s="253" t="s">
        <v>3988</v>
      </c>
      <c r="B470" s="236" t="s">
        <v>3988</v>
      </c>
      <c r="C470" s="236" t="s">
        <v>3988</v>
      </c>
      <c r="D470" s="236" t="s">
        <v>3988</v>
      </c>
      <c r="E470" s="236" t="s">
        <v>3988</v>
      </c>
      <c r="F470" s="3891" t="s">
        <v>3988</v>
      </c>
      <c r="G470" s="3892"/>
      <c r="H470" s="3893" t="s">
        <v>5287</v>
      </c>
      <c r="I470" s="3893"/>
      <c r="J470" s="3894"/>
    </row>
    <row r="471" spans="1:10" x14ac:dyDescent="0.3">
      <c r="A471" s="253" t="s">
        <v>3988</v>
      </c>
      <c r="B471" s="236" t="s">
        <v>3988</v>
      </c>
      <c r="C471" s="236" t="s">
        <v>3988</v>
      </c>
      <c r="D471" s="236" t="s">
        <v>3988</v>
      </c>
      <c r="E471" s="236" t="s">
        <v>3988</v>
      </c>
      <c r="F471" s="3891" t="s">
        <v>3988</v>
      </c>
      <c r="G471" s="3892"/>
      <c r="H471" s="3893" t="s">
        <v>5287</v>
      </c>
      <c r="I471" s="3893"/>
      <c r="J471" s="3894"/>
    </row>
    <row r="472" spans="1:10" x14ac:dyDescent="0.3">
      <c r="A472" s="1788" t="s">
        <v>3753</v>
      </c>
      <c r="B472" s="235" t="s">
        <v>3988</v>
      </c>
      <c r="C472" s="235" t="s">
        <v>3988</v>
      </c>
      <c r="D472" s="235" t="s">
        <v>3988</v>
      </c>
      <c r="E472" s="3859" t="s">
        <v>5288</v>
      </c>
      <c r="F472" s="3860"/>
      <c r="G472" s="3861">
        <f>H463</f>
        <v>2400</v>
      </c>
      <c r="H472" s="3861"/>
      <c r="I472" s="3862"/>
      <c r="J472" s="254"/>
    </row>
    <row r="473" spans="1:10" x14ac:dyDescent="0.3">
      <c r="A473" s="255" t="s">
        <v>3988</v>
      </c>
      <c r="B473" s="237" t="s">
        <v>3988</v>
      </c>
      <c r="C473" s="237" t="s">
        <v>3988</v>
      </c>
      <c r="D473" s="237" t="s">
        <v>3988</v>
      </c>
      <c r="E473" s="237" t="s">
        <v>3988</v>
      </c>
      <c r="F473" s="238" t="s">
        <v>5289</v>
      </c>
      <c r="G473" s="239" t="s">
        <v>5290</v>
      </c>
      <c r="H473" s="3863" t="s">
        <v>5291</v>
      </c>
      <c r="I473" s="3863"/>
      <c r="J473" s="3864"/>
    </row>
    <row r="474" spans="1:10" x14ac:dyDescent="0.3">
      <c r="A474" s="3865" t="s">
        <v>5292</v>
      </c>
      <c r="B474" s="3866"/>
      <c r="C474" s="3866"/>
      <c r="D474" s="3866"/>
      <c r="E474" s="3867"/>
      <c r="F474" s="3871" t="s">
        <v>5293</v>
      </c>
      <c r="G474" s="3872"/>
      <c r="H474" s="3875">
        <f>G472</f>
        <v>2400</v>
      </c>
      <c r="I474" s="3876"/>
      <c r="J474" s="3877"/>
    </row>
    <row r="475" spans="1:10" x14ac:dyDescent="0.3">
      <c r="A475" s="3868"/>
      <c r="B475" s="3869"/>
      <c r="C475" s="3869"/>
      <c r="D475" s="3869"/>
      <c r="E475" s="3870"/>
      <c r="F475" s="3873"/>
      <c r="G475" s="3874"/>
      <c r="H475" s="3878"/>
      <c r="I475" s="3879"/>
      <c r="J475" s="3880"/>
    </row>
    <row r="476" spans="1:10" x14ac:dyDescent="0.3">
      <c r="A476" s="3881" t="s">
        <v>5294</v>
      </c>
      <c r="B476" s="3882"/>
      <c r="C476" s="3882"/>
      <c r="D476" s="3882"/>
      <c r="E476" s="3882"/>
      <c r="F476" s="3882"/>
      <c r="G476" s="3882"/>
      <c r="H476" s="3882"/>
      <c r="I476" s="3882"/>
      <c r="J476" s="3883"/>
    </row>
    <row r="477" spans="1:10" x14ac:dyDescent="0.3">
      <c r="A477" s="3884"/>
      <c r="B477" s="3885"/>
      <c r="C477" s="3885"/>
      <c r="D477" s="3885"/>
      <c r="E477" s="3885"/>
      <c r="F477" s="3885"/>
      <c r="G477" s="3885"/>
      <c r="H477" s="3885"/>
      <c r="I477" s="3885"/>
      <c r="J477" s="3886"/>
    </row>
    <row r="478" spans="1:10" x14ac:dyDescent="0.3">
      <c r="A478" s="1786"/>
      <c r="B478" s="1786"/>
      <c r="C478" s="1786"/>
      <c r="D478" s="1786"/>
      <c r="E478" s="1786"/>
      <c r="F478" s="1786"/>
      <c r="G478" s="1786"/>
      <c r="H478" s="1786"/>
      <c r="I478" s="1786"/>
      <c r="J478" s="1786"/>
    </row>
    <row r="479" spans="1:10" x14ac:dyDescent="0.3">
      <c r="A479" s="1786"/>
      <c r="B479" s="1786"/>
      <c r="C479" s="1786"/>
      <c r="D479" s="1786"/>
      <c r="E479" s="1786"/>
      <c r="F479" s="1786"/>
      <c r="G479" s="1786"/>
      <c r="H479" s="1786"/>
      <c r="I479" s="1786"/>
      <c r="J479" s="1786"/>
    </row>
    <row r="480" spans="1:10" x14ac:dyDescent="0.3">
      <c r="A480" s="246" t="s">
        <v>3988</v>
      </c>
      <c r="B480" s="247" t="s">
        <v>3988</v>
      </c>
      <c r="C480" s="3895" t="s">
        <v>5267</v>
      </c>
      <c r="D480" s="3895"/>
      <c r="E480" s="3895"/>
      <c r="F480" s="3896"/>
      <c r="G480" s="247" t="s">
        <v>3988</v>
      </c>
      <c r="H480" s="1789" t="s">
        <v>3988</v>
      </c>
      <c r="I480" s="1789" t="s">
        <v>3988</v>
      </c>
      <c r="J480" s="248" t="s">
        <v>3988</v>
      </c>
    </row>
    <row r="481" spans="1:10" ht="15.6" x14ac:dyDescent="0.3">
      <c r="A481" s="249" t="s">
        <v>3988</v>
      </c>
      <c r="B481" s="231"/>
      <c r="C481" s="3897" t="s">
        <v>3986</v>
      </c>
      <c r="D481" s="3897"/>
      <c r="E481" s="3897"/>
      <c r="F481" s="3898"/>
      <c r="G481" s="1790" t="s">
        <v>3988</v>
      </c>
      <c r="H481" s="3899" t="s">
        <v>5339</v>
      </c>
      <c r="I481" s="3899"/>
      <c r="J481" s="250" t="s">
        <v>3988</v>
      </c>
    </row>
    <row r="482" spans="1:10" ht="17.399999999999999" x14ac:dyDescent="0.3">
      <c r="A482" s="249" t="s">
        <v>3988</v>
      </c>
      <c r="B482" s="232"/>
      <c r="C482" s="3901" t="s">
        <v>5269</v>
      </c>
      <c r="D482" s="3901"/>
      <c r="E482" s="3901"/>
      <c r="F482" s="3902"/>
      <c r="G482" s="233" t="s">
        <v>5270</v>
      </c>
      <c r="H482" s="3900"/>
      <c r="I482" s="3900"/>
      <c r="J482" s="250" t="s">
        <v>3988</v>
      </c>
    </row>
    <row r="483" spans="1:10" x14ac:dyDescent="0.3">
      <c r="A483" s="249" t="s">
        <v>3988</v>
      </c>
      <c r="B483" s="232" t="s">
        <v>3988</v>
      </c>
      <c r="C483" s="3903" t="s">
        <v>5271</v>
      </c>
      <c r="D483" s="3903"/>
      <c r="E483" s="3903"/>
      <c r="F483" s="3904"/>
      <c r="G483" s="1790" t="s">
        <v>3988</v>
      </c>
      <c r="H483" s="234" t="s">
        <v>3988</v>
      </c>
      <c r="I483" s="234" t="s">
        <v>3988</v>
      </c>
      <c r="J483" s="251" t="s">
        <v>3988</v>
      </c>
    </row>
    <row r="484" spans="1:10" ht="31.8" x14ac:dyDescent="0.3">
      <c r="A484" s="242" t="s">
        <v>5272</v>
      </c>
      <c r="B484" s="3905" t="s">
        <v>4029</v>
      </c>
      <c r="C484" s="3906"/>
      <c r="D484" s="3906"/>
      <c r="E484" s="3907"/>
      <c r="F484" s="241" t="s">
        <v>5274</v>
      </c>
      <c r="G484" s="240">
        <v>70720539</v>
      </c>
      <c r="H484" s="1791" t="s">
        <v>5276</v>
      </c>
      <c r="I484" s="1791" t="s">
        <v>5277</v>
      </c>
      <c r="J484" s="252" t="s">
        <v>5278</v>
      </c>
    </row>
    <row r="485" spans="1:10" x14ac:dyDescent="0.3">
      <c r="A485" s="3908"/>
      <c r="B485" s="3909"/>
      <c r="C485" s="3909"/>
      <c r="D485" s="3909"/>
      <c r="E485" s="3910"/>
      <c r="F485" s="3911"/>
      <c r="G485" s="3912"/>
      <c r="H485" s="256">
        <v>30</v>
      </c>
      <c r="I485" s="256">
        <v>6</v>
      </c>
      <c r="J485" s="257">
        <v>2021</v>
      </c>
    </row>
    <row r="486" spans="1:10" x14ac:dyDescent="0.3">
      <c r="A486" s="3913" t="s">
        <v>5279</v>
      </c>
      <c r="B486" s="3914"/>
      <c r="C486" s="3914"/>
      <c r="D486" s="3914"/>
      <c r="E486" s="3915"/>
      <c r="F486" s="258" t="s">
        <v>5280</v>
      </c>
      <c r="G486" s="1787" t="s">
        <v>3988</v>
      </c>
      <c r="H486" s="259" t="s">
        <v>5281</v>
      </c>
      <c r="I486" s="260" t="s">
        <v>3988</v>
      </c>
      <c r="J486" s="261" t="s">
        <v>3988</v>
      </c>
    </row>
    <row r="487" spans="1:10" x14ac:dyDescent="0.3">
      <c r="A487" s="3913" t="s">
        <v>5330</v>
      </c>
      <c r="B487" s="3914"/>
      <c r="C487" s="3914"/>
      <c r="D487" s="3914"/>
      <c r="E487" s="3915"/>
      <c r="F487" s="3911">
        <v>4641136</v>
      </c>
      <c r="G487" s="3912"/>
      <c r="H487" s="3911" t="s">
        <v>125</v>
      </c>
      <c r="I487" s="3911"/>
      <c r="J487" s="3916"/>
    </row>
    <row r="488" spans="1:10" x14ac:dyDescent="0.3">
      <c r="A488" s="262" t="s">
        <v>5284</v>
      </c>
      <c r="B488" s="3911" t="s">
        <v>5285</v>
      </c>
      <c r="C488" s="3911"/>
      <c r="D488" s="3911"/>
      <c r="E488" s="3912"/>
      <c r="F488" s="3917" t="s">
        <v>3752</v>
      </c>
      <c r="G488" s="3918"/>
      <c r="H488" s="3911" t="s">
        <v>5286</v>
      </c>
      <c r="I488" s="3911"/>
      <c r="J488" s="3916"/>
    </row>
    <row r="489" spans="1:10" x14ac:dyDescent="0.3">
      <c r="A489" s="263">
        <v>2</v>
      </c>
      <c r="B489" s="3887" t="s">
        <v>5331</v>
      </c>
      <c r="C489" s="3887"/>
      <c r="D489" s="3887"/>
      <c r="E489" s="3887"/>
      <c r="F489" s="3888">
        <v>2000</v>
      </c>
      <c r="G489" s="3889"/>
      <c r="H489" s="3887">
        <f>F489*A489</f>
        <v>4000</v>
      </c>
      <c r="I489" s="3887"/>
      <c r="J489" s="3890"/>
    </row>
    <row r="490" spans="1:10" x14ac:dyDescent="0.3">
      <c r="A490" s="263" t="s">
        <v>3988</v>
      </c>
      <c r="B490" s="3887" t="s">
        <v>3988</v>
      </c>
      <c r="C490" s="3887"/>
      <c r="D490" s="3887"/>
      <c r="E490" s="3887"/>
      <c r="F490" s="3888" t="s">
        <v>3988</v>
      </c>
      <c r="G490" s="3889"/>
      <c r="H490" s="3887" t="s">
        <v>3988</v>
      </c>
      <c r="I490" s="3887"/>
      <c r="J490" s="3890"/>
    </row>
    <row r="491" spans="1:10" x14ac:dyDescent="0.3">
      <c r="A491" s="263" t="s">
        <v>3988</v>
      </c>
      <c r="B491" s="264" t="s">
        <v>3988</v>
      </c>
      <c r="C491" s="264" t="s">
        <v>3988</v>
      </c>
      <c r="D491" s="264" t="s">
        <v>3988</v>
      </c>
      <c r="E491" s="264" t="s">
        <v>3988</v>
      </c>
      <c r="F491" s="3888" t="s">
        <v>3988</v>
      </c>
      <c r="G491" s="3889"/>
      <c r="H491" s="3887" t="s">
        <v>5287</v>
      </c>
      <c r="I491" s="3887"/>
      <c r="J491" s="3890"/>
    </row>
    <row r="492" spans="1:10" x14ac:dyDescent="0.3">
      <c r="A492" s="253" t="s">
        <v>3988</v>
      </c>
      <c r="B492" s="236" t="s">
        <v>3988</v>
      </c>
      <c r="C492" s="236" t="s">
        <v>3988</v>
      </c>
      <c r="D492" s="236" t="s">
        <v>3988</v>
      </c>
      <c r="E492" s="236" t="s">
        <v>3988</v>
      </c>
      <c r="F492" s="3891" t="s">
        <v>3988</v>
      </c>
      <c r="G492" s="3892"/>
      <c r="H492" s="3893" t="s">
        <v>5287</v>
      </c>
      <c r="I492" s="3893"/>
      <c r="J492" s="3894"/>
    </row>
    <row r="493" spans="1:10" x14ac:dyDescent="0.3">
      <c r="A493" s="253" t="s">
        <v>3988</v>
      </c>
      <c r="B493" s="236" t="s">
        <v>3988</v>
      </c>
      <c r="C493" s="236" t="s">
        <v>3988</v>
      </c>
      <c r="D493" s="236" t="s">
        <v>3988</v>
      </c>
      <c r="E493" s="236" t="s">
        <v>3988</v>
      </c>
      <c r="F493" s="3891" t="s">
        <v>3988</v>
      </c>
      <c r="G493" s="3892"/>
      <c r="H493" s="3893" t="s">
        <v>5287</v>
      </c>
      <c r="I493" s="3893"/>
      <c r="J493" s="3894"/>
    </row>
    <row r="494" spans="1:10" x14ac:dyDescent="0.3">
      <c r="A494" s="253" t="s">
        <v>3988</v>
      </c>
      <c r="B494" s="236" t="s">
        <v>3988</v>
      </c>
      <c r="C494" s="236" t="s">
        <v>3988</v>
      </c>
      <c r="D494" s="236" t="s">
        <v>3988</v>
      </c>
      <c r="E494" s="236" t="s">
        <v>3988</v>
      </c>
      <c r="F494" s="3891" t="s">
        <v>3988</v>
      </c>
      <c r="G494" s="3892"/>
      <c r="H494" s="3893" t="s">
        <v>5287</v>
      </c>
      <c r="I494" s="3893"/>
      <c r="J494" s="3894"/>
    </row>
    <row r="495" spans="1:10" x14ac:dyDescent="0.3">
      <c r="A495" s="253" t="s">
        <v>3988</v>
      </c>
      <c r="B495" s="236" t="s">
        <v>3988</v>
      </c>
      <c r="C495" s="236" t="s">
        <v>3988</v>
      </c>
      <c r="D495" s="236" t="s">
        <v>3988</v>
      </c>
      <c r="E495" s="236" t="s">
        <v>3988</v>
      </c>
      <c r="F495" s="3891" t="s">
        <v>3988</v>
      </c>
      <c r="G495" s="3892"/>
      <c r="H495" s="3893" t="s">
        <v>5287</v>
      </c>
      <c r="I495" s="3893"/>
      <c r="J495" s="3894"/>
    </row>
    <row r="496" spans="1:10" x14ac:dyDescent="0.3">
      <c r="A496" s="253" t="s">
        <v>3988</v>
      </c>
      <c r="B496" s="236" t="s">
        <v>3988</v>
      </c>
      <c r="C496" s="236" t="s">
        <v>3988</v>
      </c>
      <c r="D496" s="236" t="s">
        <v>3988</v>
      </c>
      <c r="E496" s="236" t="s">
        <v>3988</v>
      </c>
      <c r="F496" s="3891" t="s">
        <v>3988</v>
      </c>
      <c r="G496" s="3892"/>
      <c r="H496" s="3893" t="s">
        <v>5287</v>
      </c>
      <c r="I496" s="3893"/>
      <c r="J496" s="3894"/>
    </row>
    <row r="497" spans="1:11" x14ac:dyDescent="0.3">
      <c r="A497" s="253" t="s">
        <v>3988</v>
      </c>
      <c r="B497" s="236" t="s">
        <v>3988</v>
      </c>
      <c r="C497" s="236" t="s">
        <v>3988</v>
      </c>
      <c r="D497" s="236" t="s">
        <v>3988</v>
      </c>
      <c r="E497" s="236" t="s">
        <v>3988</v>
      </c>
      <c r="F497" s="3891" t="s">
        <v>3988</v>
      </c>
      <c r="G497" s="3892"/>
      <c r="H497" s="3893" t="s">
        <v>5287</v>
      </c>
      <c r="I497" s="3893"/>
      <c r="J497" s="3894"/>
    </row>
    <row r="498" spans="1:11" x14ac:dyDescent="0.3">
      <c r="A498" s="1788" t="s">
        <v>3753</v>
      </c>
      <c r="B498" s="235" t="s">
        <v>3988</v>
      </c>
      <c r="C498" s="235" t="s">
        <v>3988</v>
      </c>
      <c r="D498" s="235" t="s">
        <v>3988</v>
      </c>
      <c r="E498" s="3859" t="s">
        <v>5288</v>
      </c>
      <c r="F498" s="3860"/>
      <c r="G498" s="3861">
        <f>H489</f>
        <v>4000</v>
      </c>
      <c r="H498" s="3861"/>
      <c r="I498" s="3862"/>
      <c r="J498" s="254"/>
    </row>
    <row r="499" spans="1:11" x14ac:dyDescent="0.3">
      <c r="A499" s="255" t="s">
        <v>3988</v>
      </c>
      <c r="B499" s="237" t="s">
        <v>3988</v>
      </c>
      <c r="C499" s="237" t="s">
        <v>3988</v>
      </c>
      <c r="D499" s="237" t="s">
        <v>3988</v>
      </c>
      <c r="E499" s="237" t="s">
        <v>3988</v>
      </c>
      <c r="F499" s="238" t="s">
        <v>5289</v>
      </c>
      <c r="G499" s="239" t="s">
        <v>5290</v>
      </c>
      <c r="H499" s="3863" t="s">
        <v>5291</v>
      </c>
      <c r="I499" s="3863"/>
      <c r="J499" s="3864"/>
    </row>
    <row r="500" spans="1:11" x14ac:dyDescent="0.3">
      <c r="A500" s="3865" t="s">
        <v>5292</v>
      </c>
      <c r="B500" s="3866"/>
      <c r="C500" s="3866"/>
      <c r="D500" s="3866"/>
      <c r="E500" s="3867"/>
      <c r="F500" s="3871" t="s">
        <v>5293</v>
      </c>
      <c r="G500" s="3872"/>
      <c r="H500" s="3875">
        <f>G498</f>
        <v>4000</v>
      </c>
      <c r="I500" s="3876"/>
      <c r="J500" s="3877"/>
    </row>
    <row r="501" spans="1:11" x14ac:dyDescent="0.3">
      <c r="A501" s="3868"/>
      <c r="B501" s="3869"/>
      <c r="C501" s="3869"/>
      <c r="D501" s="3869"/>
      <c r="E501" s="3870"/>
      <c r="F501" s="3873"/>
      <c r="G501" s="3874"/>
      <c r="H501" s="3878"/>
      <c r="I501" s="3879"/>
      <c r="J501" s="3880"/>
    </row>
    <row r="502" spans="1:11" x14ac:dyDescent="0.3">
      <c r="A502" s="3881" t="s">
        <v>5294</v>
      </c>
      <c r="B502" s="3882"/>
      <c r="C502" s="3882"/>
      <c r="D502" s="3882"/>
      <c r="E502" s="3882"/>
      <c r="F502" s="3882"/>
      <c r="G502" s="3882"/>
      <c r="H502" s="3882"/>
      <c r="I502" s="3882"/>
      <c r="J502" s="3883"/>
    </row>
    <row r="503" spans="1:11" x14ac:dyDescent="0.3">
      <c r="A503" s="3884"/>
      <c r="B503" s="3885"/>
      <c r="C503" s="3885"/>
      <c r="D503" s="3885"/>
      <c r="E503" s="3885"/>
      <c r="F503" s="3885"/>
      <c r="G503" s="3885"/>
      <c r="H503" s="3885"/>
      <c r="I503" s="3885"/>
      <c r="J503" s="3886"/>
    </row>
    <row r="504" spans="1:11" x14ac:dyDescent="0.3">
      <c r="A504" s="1423"/>
      <c r="B504" s="1786"/>
      <c r="C504" s="1786"/>
      <c r="D504" s="1786"/>
      <c r="E504" s="1786"/>
      <c r="F504" s="1786"/>
      <c r="G504" s="1786"/>
      <c r="H504" s="1786"/>
      <c r="I504" s="1786"/>
      <c r="J504" s="1786"/>
      <c r="K504" s="943"/>
    </row>
    <row r="505" spans="1:11" x14ac:dyDescent="0.3">
      <c r="A505" s="1423"/>
      <c r="B505" s="1786"/>
      <c r="C505" s="1786"/>
      <c r="D505" s="1786"/>
      <c r="E505" s="1786"/>
      <c r="F505" s="1786"/>
      <c r="G505" s="1786"/>
      <c r="H505" s="1786"/>
      <c r="I505" s="1786"/>
      <c r="J505" s="1786"/>
      <c r="K505" s="943"/>
    </row>
    <row r="506" spans="1:11" x14ac:dyDescent="0.3">
      <c r="A506" s="246" t="s">
        <v>3988</v>
      </c>
      <c r="B506" s="247" t="s">
        <v>3988</v>
      </c>
      <c r="C506" s="3895" t="s">
        <v>5267</v>
      </c>
      <c r="D506" s="3895"/>
      <c r="E506" s="3895"/>
      <c r="F506" s="3896"/>
      <c r="G506" s="247" t="s">
        <v>3988</v>
      </c>
      <c r="H506" s="1789" t="s">
        <v>3988</v>
      </c>
      <c r="I506" s="1789" t="s">
        <v>3988</v>
      </c>
      <c r="J506" s="248" t="s">
        <v>3988</v>
      </c>
    </row>
    <row r="507" spans="1:11" ht="15.6" x14ac:dyDescent="0.3">
      <c r="A507" s="249" t="s">
        <v>3988</v>
      </c>
      <c r="B507" s="231"/>
      <c r="C507" s="3897" t="s">
        <v>3986</v>
      </c>
      <c r="D507" s="3897"/>
      <c r="E507" s="3897"/>
      <c r="F507" s="3898"/>
      <c r="G507" s="1790" t="s">
        <v>3988</v>
      </c>
      <c r="H507" s="3899" t="s">
        <v>5340</v>
      </c>
      <c r="I507" s="3899"/>
      <c r="J507" s="250" t="s">
        <v>3988</v>
      </c>
    </row>
    <row r="508" spans="1:11" ht="17.399999999999999" x14ac:dyDescent="0.3">
      <c r="A508" s="249" t="s">
        <v>3988</v>
      </c>
      <c r="B508" s="232"/>
      <c r="C508" s="3901" t="s">
        <v>5269</v>
      </c>
      <c r="D508" s="3901"/>
      <c r="E508" s="3901"/>
      <c r="F508" s="3902"/>
      <c r="G508" s="233" t="s">
        <v>5270</v>
      </c>
      <c r="H508" s="3900"/>
      <c r="I508" s="3900"/>
      <c r="J508" s="250" t="s">
        <v>3988</v>
      </c>
    </row>
    <row r="509" spans="1:11" x14ac:dyDescent="0.3">
      <c r="A509" s="249" t="s">
        <v>3988</v>
      </c>
      <c r="B509" s="232" t="s">
        <v>3988</v>
      </c>
      <c r="C509" s="3903" t="s">
        <v>5271</v>
      </c>
      <c r="D509" s="3903"/>
      <c r="E509" s="3903"/>
      <c r="F509" s="3904"/>
      <c r="G509" s="1790" t="s">
        <v>3988</v>
      </c>
      <c r="H509" s="234" t="s">
        <v>3988</v>
      </c>
      <c r="I509" s="234" t="s">
        <v>3988</v>
      </c>
      <c r="J509" s="251" t="s">
        <v>3988</v>
      </c>
    </row>
    <row r="510" spans="1:11" ht="31.8" x14ac:dyDescent="0.3">
      <c r="A510" s="242" t="s">
        <v>5272</v>
      </c>
      <c r="B510" s="3905" t="s">
        <v>4070</v>
      </c>
      <c r="C510" s="3906"/>
      <c r="D510" s="3906"/>
      <c r="E510" s="3907"/>
      <c r="F510" s="241" t="s">
        <v>5274</v>
      </c>
      <c r="G510" s="240">
        <v>1035422600</v>
      </c>
      <c r="H510" s="1791" t="s">
        <v>5276</v>
      </c>
      <c r="I510" s="1791" t="s">
        <v>5277</v>
      </c>
      <c r="J510" s="252" t="s">
        <v>5278</v>
      </c>
    </row>
    <row r="511" spans="1:11" x14ac:dyDescent="0.3">
      <c r="A511" s="3908"/>
      <c r="B511" s="3909"/>
      <c r="C511" s="3909"/>
      <c r="D511" s="3909"/>
      <c r="E511" s="3910"/>
      <c r="F511" s="3911"/>
      <c r="G511" s="3912"/>
      <c r="H511" s="256">
        <v>1</v>
      </c>
      <c r="I511" s="256">
        <v>7</v>
      </c>
      <c r="J511" s="257">
        <v>2021</v>
      </c>
    </row>
    <row r="512" spans="1:11" x14ac:dyDescent="0.3">
      <c r="A512" s="3913" t="s">
        <v>5279</v>
      </c>
      <c r="B512" s="3914"/>
      <c r="C512" s="3914"/>
      <c r="D512" s="3914"/>
      <c r="E512" s="3915"/>
      <c r="F512" s="258" t="s">
        <v>5280</v>
      </c>
      <c r="G512" s="1787" t="s">
        <v>3988</v>
      </c>
      <c r="H512" s="259" t="s">
        <v>5281</v>
      </c>
      <c r="I512" s="260" t="s">
        <v>3988</v>
      </c>
      <c r="J512" s="261" t="s">
        <v>3988</v>
      </c>
    </row>
    <row r="513" spans="1:10" x14ac:dyDescent="0.3">
      <c r="A513" s="3913" t="s">
        <v>5341</v>
      </c>
      <c r="B513" s="3914"/>
      <c r="C513" s="3914"/>
      <c r="D513" s="3914"/>
      <c r="E513" s="3915"/>
      <c r="F513" s="3911">
        <v>4810090</v>
      </c>
      <c r="G513" s="3912"/>
      <c r="H513" s="3911" t="s">
        <v>128</v>
      </c>
      <c r="I513" s="3911"/>
      <c r="J513" s="3916"/>
    </row>
    <row r="514" spans="1:10" x14ac:dyDescent="0.3">
      <c r="A514" s="262" t="s">
        <v>5284</v>
      </c>
      <c r="B514" s="3911" t="s">
        <v>5285</v>
      </c>
      <c r="C514" s="3911"/>
      <c r="D514" s="3911"/>
      <c r="E514" s="3912"/>
      <c r="F514" s="3917" t="s">
        <v>3752</v>
      </c>
      <c r="G514" s="3918"/>
      <c r="H514" s="3911" t="s">
        <v>5286</v>
      </c>
      <c r="I514" s="3911"/>
      <c r="J514" s="3916"/>
    </row>
    <row r="515" spans="1:10" x14ac:dyDescent="0.3">
      <c r="A515" s="263">
        <v>2</v>
      </c>
      <c r="B515" s="3887" t="s">
        <v>5331</v>
      </c>
      <c r="C515" s="3887"/>
      <c r="D515" s="3887"/>
      <c r="E515" s="3887"/>
      <c r="F515" s="3888">
        <v>2000</v>
      </c>
      <c r="G515" s="3889"/>
      <c r="H515" s="3887">
        <f>F515*A515</f>
        <v>4000</v>
      </c>
      <c r="I515" s="3887"/>
      <c r="J515" s="3890"/>
    </row>
    <row r="516" spans="1:10" x14ac:dyDescent="0.3">
      <c r="A516" s="263" t="s">
        <v>3988</v>
      </c>
      <c r="B516" s="3887" t="s">
        <v>3988</v>
      </c>
      <c r="C516" s="3887"/>
      <c r="D516" s="3887"/>
      <c r="E516" s="3887"/>
      <c r="F516" s="3888" t="s">
        <v>3988</v>
      </c>
      <c r="G516" s="3889"/>
      <c r="H516" s="3887" t="s">
        <v>3988</v>
      </c>
      <c r="I516" s="3887"/>
      <c r="J516" s="3890"/>
    </row>
    <row r="517" spans="1:10" x14ac:dyDescent="0.3">
      <c r="A517" s="263" t="s">
        <v>3988</v>
      </c>
      <c r="B517" s="264" t="s">
        <v>3988</v>
      </c>
      <c r="C517" s="264" t="s">
        <v>3988</v>
      </c>
      <c r="D517" s="264" t="s">
        <v>3988</v>
      </c>
      <c r="E517" s="264" t="s">
        <v>3988</v>
      </c>
      <c r="F517" s="3888" t="s">
        <v>3988</v>
      </c>
      <c r="G517" s="3889"/>
      <c r="H517" s="3887" t="s">
        <v>5287</v>
      </c>
      <c r="I517" s="3887"/>
      <c r="J517" s="3890"/>
    </row>
    <row r="518" spans="1:10" x14ac:dyDescent="0.3">
      <c r="A518" s="253" t="s">
        <v>3988</v>
      </c>
      <c r="B518" s="236" t="s">
        <v>3988</v>
      </c>
      <c r="C518" s="236" t="s">
        <v>3988</v>
      </c>
      <c r="D518" s="236" t="s">
        <v>3988</v>
      </c>
      <c r="E518" s="236" t="s">
        <v>3988</v>
      </c>
      <c r="F518" s="3891" t="s">
        <v>3988</v>
      </c>
      <c r="G518" s="3892"/>
      <c r="H518" s="3893" t="s">
        <v>5287</v>
      </c>
      <c r="I518" s="3893"/>
      <c r="J518" s="3894"/>
    </row>
    <row r="519" spans="1:10" x14ac:dyDescent="0.3">
      <c r="A519" s="253" t="s">
        <v>3988</v>
      </c>
      <c r="B519" s="236" t="s">
        <v>3988</v>
      </c>
      <c r="C519" s="236" t="s">
        <v>3988</v>
      </c>
      <c r="D519" s="236" t="s">
        <v>3988</v>
      </c>
      <c r="E519" s="236" t="s">
        <v>3988</v>
      </c>
      <c r="F519" s="3891" t="s">
        <v>3988</v>
      </c>
      <c r="G519" s="3892"/>
      <c r="H519" s="3893" t="s">
        <v>5287</v>
      </c>
      <c r="I519" s="3893"/>
      <c r="J519" s="3894"/>
    </row>
    <row r="520" spans="1:10" x14ac:dyDescent="0.3">
      <c r="A520" s="253" t="s">
        <v>3988</v>
      </c>
      <c r="B520" s="236" t="s">
        <v>3988</v>
      </c>
      <c r="C520" s="236" t="s">
        <v>3988</v>
      </c>
      <c r="D520" s="236" t="s">
        <v>3988</v>
      </c>
      <c r="E520" s="236" t="s">
        <v>3988</v>
      </c>
      <c r="F520" s="3891" t="s">
        <v>3988</v>
      </c>
      <c r="G520" s="3892"/>
      <c r="H520" s="3893" t="s">
        <v>5287</v>
      </c>
      <c r="I520" s="3893"/>
      <c r="J520" s="3894"/>
    </row>
    <row r="521" spans="1:10" x14ac:dyDescent="0.3">
      <c r="A521" s="253" t="s">
        <v>3988</v>
      </c>
      <c r="B521" s="236" t="s">
        <v>3988</v>
      </c>
      <c r="C521" s="236" t="s">
        <v>3988</v>
      </c>
      <c r="D521" s="236" t="s">
        <v>3988</v>
      </c>
      <c r="E521" s="236" t="s">
        <v>3988</v>
      </c>
      <c r="F521" s="3891" t="s">
        <v>3988</v>
      </c>
      <c r="G521" s="3892"/>
      <c r="H521" s="3893" t="s">
        <v>5287</v>
      </c>
      <c r="I521" s="3893"/>
      <c r="J521" s="3894"/>
    </row>
    <row r="522" spans="1:10" x14ac:dyDescent="0.3">
      <c r="A522" s="253" t="s">
        <v>3988</v>
      </c>
      <c r="B522" s="236" t="s">
        <v>3988</v>
      </c>
      <c r="C522" s="236" t="s">
        <v>3988</v>
      </c>
      <c r="D522" s="236" t="s">
        <v>3988</v>
      </c>
      <c r="E522" s="236" t="s">
        <v>3988</v>
      </c>
      <c r="F522" s="3891" t="s">
        <v>3988</v>
      </c>
      <c r="G522" s="3892"/>
      <c r="H522" s="3893" t="s">
        <v>5287</v>
      </c>
      <c r="I522" s="3893"/>
      <c r="J522" s="3894"/>
    </row>
    <row r="523" spans="1:10" x14ac:dyDescent="0.3">
      <c r="A523" s="253" t="s">
        <v>3988</v>
      </c>
      <c r="B523" s="236" t="s">
        <v>3988</v>
      </c>
      <c r="C523" s="236" t="s">
        <v>3988</v>
      </c>
      <c r="D523" s="236" t="s">
        <v>3988</v>
      </c>
      <c r="E523" s="236" t="s">
        <v>3988</v>
      </c>
      <c r="F523" s="3891" t="s">
        <v>3988</v>
      </c>
      <c r="G523" s="3892"/>
      <c r="H523" s="3893" t="s">
        <v>5287</v>
      </c>
      <c r="I523" s="3893"/>
      <c r="J523" s="3894"/>
    </row>
    <row r="524" spans="1:10" x14ac:dyDescent="0.3">
      <c r="A524" s="1788" t="s">
        <v>3753</v>
      </c>
      <c r="B524" s="235" t="s">
        <v>3988</v>
      </c>
      <c r="C524" s="235" t="s">
        <v>3988</v>
      </c>
      <c r="D524" s="235" t="s">
        <v>3988</v>
      </c>
      <c r="E524" s="3859" t="s">
        <v>5288</v>
      </c>
      <c r="F524" s="3860"/>
      <c r="G524" s="3861">
        <f>H515</f>
        <v>4000</v>
      </c>
      <c r="H524" s="3861"/>
      <c r="I524" s="3862"/>
      <c r="J524" s="254"/>
    </row>
    <row r="525" spans="1:10" x14ac:dyDescent="0.3">
      <c r="A525" s="255" t="s">
        <v>3988</v>
      </c>
      <c r="B525" s="237" t="s">
        <v>3988</v>
      </c>
      <c r="C525" s="237" t="s">
        <v>3988</v>
      </c>
      <c r="D525" s="237" t="s">
        <v>3988</v>
      </c>
      <c r="E525" s="237" t="s">
        <v>3988</v>
      </c>
      <c r="F525" s="238" t="s">
        <v>5289</v>
      </c>
      <c r="G525" s="239" t="s">
        <v>5290</v>
      </c>
      <c r="H525" s="3863" t="s">
        <v>5291</v>
      </c>
      <c r="I525" s="3863"/>
      <c r="J525" s="3864"/>
    </row>
    <row r="526" spans="1:10" x14ac:dyDescent="0.3">
      <c r="A526" s="3865" t="s">
        <v>5292</v>
      </c>
      <c r="B526" s="3866"/>
      <c r="C526" s="3866"/>
      <c r="D526" s="3866"/>
      <c r="E526" s="3867"/>
      <c r="F526" s="3871" t="s">
        <v>5293</v>
      </c>
      <c r="G526" s="3872"/>
      <c r="H526" s="3875">
        <f>G524</f>
        <v>4000</v>
      </c>
      <c r="I526" s="3876"/>
      <c r="J526" s="3877"/>
    </row>
    <row r="527" spans="1:10" x14ac:dyDescent="0.3">
      <c r="A527" s="3868"/>
      <c r="B527" s="3869"/>
      <c r="C527" s="3869"/>
      <c r="D527" s="3869"/>
      <c r="E527" s="3870"/>
      <c r="F527" s="3873"/>
      <c r="G527" s="3874"/>
      <c r="H527" s="3878"/>
      <c r="I527" s="3879"/>
      <c r="J527" s="3880"/>
    </row>
    <row r="528" spans="1:10" x14ac:dyDescent="0.3">
      <c r="A528" s="3881" t="s">
        <v>5294</v>
      </c>
      <c r="B528" s="3882"/>
      <c r="C528" s="3882"/>
      <c r="D528" s="3882"/>
      <c r="E528" s="3882"/>
      <c r="F528" s="3882"/>
      <c r="G528" s="3882"/>
      <c r="H528" s="3882"/>
      <c r="I528" s="3882"/>
      <c r="J528" s="3883"/>
    </row>
    <row r="529" spans="1:10" x14ac:dyDescent="0.3">
      <c r="A529" s="3884"/>
      <c r="B529" s="3885"/>
      <c r="C529" s="3885"/>
      <c r="D529" s="3885"/>
      <c r="E529" s="3885"/>
      <c r="F529" s="3885"/>
      <c r="G529" s="3885"/>
      <c r="H529" s="3885"/>
      <c r="I529" s="3885"/>
      <c r="J529" s="3886"/>
    </row>
    <row r="532" spans="1:10" x14ac:dyDescent="0.3">
      <c r="A532" s="246" t="s">
        <v>3988</v>
      </c>
      <c r="B532" s="247" t="s">
        <v>3988</v>
      </c>
      <c r="C532" s="3895" t="s">
        <v>5267</v>
      </c>
      <c r="D532" s="3895"/>
      <c r="E532" s="3895"/>
      <c r="F532" s="3896"/>
      <c r="G532" s="247" t="s">
        <v>3988</v>
      </c>
      <c r="H532" s="1789" t="s">
        <v>3988</v>
      </c>
      <c r="I532" s="1789" t="s">
        <v>3988</v>
      </c>
      <c r="J532" s="248" t="s">
        <v>3988</v>
      </c>
    </row>
    <row r="533" spans="1:10" ht="15.6" x14ac:dyDescent="0.3">
      <c r="A533" s="249" t="s">
        <v>3988</v>
      </c>
      <c r="B533" s="231"/>
      <c r="C533" s="3897" t="s">
        <v>3986</v>
      </c>
      <c r="D533" s="3897"/>
      <c r="E533" s="3897"/>
      <c r="F533" s="3898"/>
      <c r="G533" s="1790" t="s">
        <v>3988</v>
      </c>
      <c r="H533" s="3899" t="s">
        <v>5342</v>
      </c>
      <c r="I533" s="3899"/>
      <c r="J533" s="250" t="s">
        <v>3988</v>
      </c>
    </row>
    <row r="534" spans="1:10" ht="17.399999999999999" x14ac:dyDescent="0.3">
      <c r="A534" s="249" t="s">
        <v>3988</v>
      </c>
      <c r="B534" s="232"/>
      <c r="C534" s="3901" t="s">
        <v>5269</v>
      </c>
      <c r="D534" s="3901"/>
      <c r="E534" s="3901"/>
      <c r="F534" s="3902"/>
      <c r="G534" s="233" t="s">
        <v>5270</v>
      </c>
      <c r="H534" s="3900"/>
      <c r="I534" s="3900"/>
      <c r="J534" s="250" t="s">
        <v>3988</v>
      </c>
    </row>
    <row r="535" spans="1:10" x14ac:dyDescent="0.3">
      <c r="A535" s="249" t="s">
        <v>3988</v>
      </c>
      <c r="B535" s="232" t="s">
        <v>3988</v>
      </c>
      <c r="C535" s="3903" t="s">
        <v>5271</v>
      </c>
      <c r="D535" s="3903"/>
      <c r="E535" s="3903"/>
      <c r="F535" s="3904"/>
      <c r="G535" s="1790" t="s">
        <v>3988</v>
      </c>
      <c r="H535" s="234" t="s">
        <v>3988</v>
      </c>
      <c r="I535" s="234" t="s">
        <v>3988</v>
      </c>
      <c r="J535" s="251" t="s">
        <v>3988</v>
      </c>
    </row>
    <row r="536" spans="1:10" ht="31.8" x14ac:dyDescent="0.3">
      <c r="A536" s="242" t="s">
        <v>5272</v>
      </c>
      <c r="B536" s="3905" t="s">
        <v>5343</v>
      </c>
      <c r="C536" s="3906"/>
      <c r="D536" s="3906"/>
      <c r="E536" s="3907"/>
      <c r="F536" s="241" t="s">
        <v>5274</v>
      </c>
      <c r="G536" s="240" t="s">
        <v>4071</v>
      </c>
      <c r="H536" s="1791" t="s">
        <v>5276</v>
      </c>
      <c r="I536" s="1791" t="s">
        <v>5277</v>
      </c>
      <c r="J536" s="252" t="s">
        <v>5278</v>
      </c>
    </row>
    <row r="537" spans="1:10" x14ac:dyDescent="0.3">
      <c r="A537" s="3908"/>
      <c r="B537" s="3909"/>
      <c r="C537" s="3909"/>
      <c r="D537" s="3909"/>
      <c r="E537" s="3910"/>
      <c r="F537" s="3911"/>
      <c r="G537" s="3912"/>
      <c r="H537" s="256">
        <v>2</v>
      </c>
      <c r="I537" s="256">
        <v>7</v>
      </c>
      <c r="J537" s="257">
        <v>2021</v>
      </c>
    </row>
    <row r="538" spans="1:10" x14ac:dyDescent="0.3">
      <c r="A538" s="3913" t="s">
        <v>5279</v>
      </c>
      <c r="B538" s="3914"/>
      <c r="C538" s="3914"/>
      <c r="D538" s="3914"/>
      <c r="E538" s="3915"/>
      <c r="F538" s="258" t="s">
        <v>5280</v>
      </c>
      <c r="G538" s="1787" t="s">
        <v>3988</v>
      </c>
      <c r="H538" s="259" t="s">
        <v>5281</v>
      </c>
      <c r="I538" s="260" t="s">
        <v>3988</v>
      </c>
      <c r="J538" s="261" t="s">
        <v>3988</v>
      </c>
    </row>
    <row r="539" spans="1:10" x14ac:dyDescent="0.3">
      <c r="A539" s="3913" t="s">
        <v>5344</v>
      </c>
      <c r="B539" s="3914"/>
      <c r="C539" s="3914"/>
      <c r="D539" s="3914"/>
      <c r="E539" s="3915"/>
      <c r="F539" s="3911">
        <v>4486921</v>
      </c>
      <c r="G539" s="3912"/>
      <c r="H539" s="3911" t="s">
        <v>216</v>
      </c>
      <c r="I539" s="3911"/>
      <c r="J539" s="3916"/>
    </row>
    <row r="540" spans="1:10" x14ac:dyDescent="0.3">
      <c r="A540" s="262" t="s">
        <v>5284</v>
      </c>
      <c r="B540" s="3911" t="s">
        <v>5285</v>
      </c>
      <c r="C540" s="3911"/>
      <c r="D540" s="3911"/>
      <c r="E540" s="3912"/>
      <c r="F540" s="3917" t="s">
        <v>3752</v>
      </c>
      <c r="G540" s="3918"/>
      <c r="H540" s="3911" t="s">
        <v>5286</v>
      </c>
      <c r="I540" s="3911"/>
      <c r="J540" s="3916"/>
    </row>
    <row r="541" spans="1:10" x14ac:dyDescent="0.3">
      <c r="A541" s="263">
        <v>1</v>
      </c>
      <c r="B541" s="3887" t="s">
        <v>5331</v>
      </c>
      <c r="C541" s="3887"/>
      <c r="D541" s="3887"/>
      <c r="E541" s="3887"/>
      <c r="F541" s="3888">
        <v>2000</v>
      </c>
      <c r="G541" s="3889"/>
      <c r="H541" s="3887">
        <f>F541*A541</f>
        <v>2000</v>
      </c>
      <c r="I541" s="3887"/>
      <c r="J541" s="3890"/>
    </row>
    <row r="542" spans="1:10" x14ac:dyDescent="0.3">
      <c r="A542" s="263" t="s">
        <v>3988</v>
      </c>
      <c r="B542" s="3887" t="s">
        <v>3988</v>
      </c>
      <c r="C542" s="3887"/>
      <c r="D542" s="3887"/>
      <c r="E542" s="3887"/>
      <c r="F542" s="3888" t="s">
        <v>3988</v>
      </c>
      <c r="G542" s="3889"/>
      <c r="H542" s="3887" t="s">
        <v>3988</v>
      </c>
      <c r="I542" s="3887"/>
      <c r="J542" s="3890"/>
    </row>
    <row r="543" spans="1:10" x14ac:dyDescent="0.3">
      <c r="A543" s="263" t="s">
        <v>3988</v>
      </c>
      <c r="B543" s="264" t="s">
        <v>3988</v>
      </c>
      <c r="C543" s="264" t="s">
        <v>3988</v>
      </c>
      <c r="D543" s="264" t="s">
        <v>3988</v>
      </c>
      <c r="E543" s="264" t="s">
        <v>3988</v>
      </c>
      <c r="F543" s="3888" t="s">
        <v>3988</v>
      </c>
      <c r="G543" s="3889"/>
      <c r="H543" s="3887" t="s">
        <v>5287</v>
      </c>
      <c r="I543" s="3887"/>
      <c r="J543" s="3890"/>
    </row>
    <row r="544" spans="1:10" x14ac:dyDescent="0.3">
      <c r="A544" s="253" t="s">
        <v>3988</v>
      </c>
      <c r="B544" s="236" t="s">
        <v>3988</v>
      </c>
      <c r="C544" s="236" t="s">
        <v>3988</v>
      </c>
      <c r="D544" s="236" t="s">
        <v>3988</v>
      </c>
      <c r="E544" s="236" t="s">
        <v>3988</v>
      </c>
      <c r="F544" s="3891" t="s">
        <v>3988</v>
      </c>
      <c r="G544" s="3892"/>
      <c r="H544" s="3893" t="s">
        <v>5287</v>
      </c>
      <c r="I544" s="3893"/>
      <c r="J544" s="3894"/>
    </row>
    <row r="545" spans="1:10" x14ac:dyDescent="0.3">
      <c r="A545" s="253" t="s">
        <v>3988</v>
      </c>
      <c r="B545" s="236" t="s">
        <v>3988</v>
      </c>
      <c r="C545" s="236" t="s">
        <v>3988</v>
      </c>
      <c r="D545" s="236" t="s">
        <v>3988</v>
      </c>
      <c r="E545" s="236" t="s">
        <v>3988</v>
      </c>
      <c r="F545" s="3891" t="s">
        <v>3988</v>
      </c>
      <c r="G545" s="3892"/>
      <c r="H545" s="3893" t="s">
        <v>5287</v>
      </c>
      <c r="I545" s="3893"/>
      <c r="J545" s="3894"/>
    </row>
    <row r="546" spans="1:10" x14ac:dyDescent="0.3">
      <c r="A546" s="253" t="s">
        <v>3988</v>
      </c>
      <c r="B546" s="236" t="s">
        <v>3988</v>
      </c>
      <c r="C546" s="236" t="s">
        <v>3988</v>
      </c>
      <c r="D546" s="236" t="s">
        <v>3988</v>
      </c>
      <c r="E546" s="236" t="s">
        <v>3988</v>
      </c>
      <c r="F546" s="3891" t="s">
        <v>3988</v>
      </c>
      <c r="G546" s="3892"/>
      <c r="H546" s="3893" t="s">
        <v>5287</v>
      </c>
      <c r="I546" s="3893"/>
      <c r="J546" s="3894"/>
    </row>
    <row r="547" spans="1:10" x14ac:dyDescent="0.3">
      <c r="A547" s="253" t="s">
        <v>3988</v>
      </c>
      <c r="B547" s="236" t="s">
        <v>3988</v>
      </c>
      <c r="C547" s="236" t="s">
        <v>3988</v>
      </c>
      <c r="D547" s="236" t="s">
        <v>3988</v>
      </c>
      <c r="E547" s="236" t="s">
        <v>3988</v>
      </c>
      <c r="F547" s="3891" t="s">
        <v>3988</v>
      </c>
      <c r="G547" s="3892"/>
      <c r="H547" s="3893" t="s">
        <v>5287</v>
      </c>
      <c r="I547" s="3893"/>
      <c r="J547" s="3894"/>
    </row>
    <row r="548" spans="1:10" x14ac:dyDescent="0.3">
      <c r="A548" s="253" t="s">
        <v>3988</v>
      </c>
      <c r="B548" s="236" t="s">
        <v>3988</v>
      </c>
      <c r="C548" s="236" t="s">
        <v>3988</v>
      </c>
      <c r="D548" s="236" t="s">
        <v>3988</v>
      </c>
      <c r="E548" s="236" t="s">
        <v>3988</v>
      </c>
      <c r="F548" s="3891" t="s">
        <v>3988</v>
      </c>
      <c r="G548" s="3892"/>
      <c r="H548" s="3893" t="s">
        <v>5287</v>
      </c>
      <c r="I548" s="3893"/>
      <c r="J548" s="3894"/>
    </row>
    <row r="549" spans="1:10" x14ac:dyDescent="0.3">
      <c r="A549" s="253" t="s">
        <v>3988</v>
      </c>
      <c r="B549" s="236" t="s">
        <v>3988</v>
      </c>
      <c r="C549" s="236" t="s">
        <v>3988</v>
      </c>
      <c r="D549" s="236" t="s">
        <v>3988</v>
      </c>
      <c r="E549" s="236" t="s">
        <v>3988</v>
      </c>
      <c r="F549" s="3891" t="s">
        <v>3988</v>
      </c>
      <c r="G549" s="3892"/>
      <c r="H549" s="3893" t="s">
        <v>5287</v>
      </c>
      <c r="I549" s="3893"/>
      <c r="J549" s="3894"/>
    </row>
    <row r="550" spans="1:10" x14ac:dyDescent="0.3">
      <c r="A550" s="1788" t="s">
        <v>3753</v>
      </c>
      <c r="B550" s="235" t="s">
        <v>3988</v>
      </c>
      <c r="C550" s="235" t="s">
        <v>3988</v>
      </c>
      <c r="D550" s="235" t="s">
        <v>3988</v>
      </c>
      <c r="E550" s="3859" t="s">
        <v>5288</v>
      </c>
      <c r="F550" s="3860"/>
      <c r="G550" s="3861">
        <f>H541</f>
        <v>2000</v>
      </c>
      <c r="H550" s="3861"/>
      <c r="I550" s="3862"/>
      <c r="J550" s="254"/>
    </row>
    <row r="551" spans="1:10" x14ac:dyDescent="0.3">
      <c r="A551" s="255" t="s">
        <v>3988</v>
      </c>
      <c r="B551" s="237" t="s">
        <v>3988</v>
      </c>
      <c r="C551" s="237" t="s">
        <v>3988</v>
      </c>
      <c r="D551" s="237" t="s">
        <v>3988</v>
      </c>
      <c r="E551" s="237" t="s">
        <v>3988</v>
      </c>
      <c r="F551" s="238" t="s">
        <v>5289</v>
      </c>
      <c r="G551" s="239" t="s">
        <v>5290</v>
      </c>
      <c r="H551" s="3863" t="s">
        <v>5291</v>
      </c>
      <c r="I551" s="3863"/>
      <c r="J551" s="3864"/>
    </row>
    <row r="552" spans="1:10" x14ac:dyDescent="0.3">
      <c r="A552" s="3865" t="s">
        <v>5292</v>
      </c>
      <c r="B552" s="3866"/>
      <c r="C552" s="3866"/>
      <c r="D552" s="3866"/>
      <c r="E552" s="3867"/>
      <c r="F552" s="3871" t="s">
        <v>5293</v>
      </c>
      <c r="G552" s="3872"/>
      <c r="H552" s="3875">
        <f>G550</f>
        <v>2000</v>
      </c>
      <c r="I552" s="3876"/>
      <c r="J552" s="3877"/>
    </row>
    <row r="553" spans="1:10" x14ac:dyDescent="0.3">
      <c r="A553" s="3868"/>
      <c r="B553" s="3869"/>
      <c r="C553" s="3869"/>
      <c r="D553" s="3869"/>
      <c r="E553" s="3870"/>
      <c r="F553" s="3873"/>
      <c r="G553" s="3874"/>
      <c r="H553" s="3878"/>
      <c r="I553" s="3879"/>
      <c r="J553" s="3880"/>
    </row>
    <row r="554" spans="1:10" x14ac:dyDescent="0.3">
      <c r="A554" s="3881" t="s">
        <v>5294</v>
      </c>
      <c r="B554" s="3882"/>
      <c r="C554" s="3882"/>
      <c r="D554" s="3882"/>
      <c r="E554" s="3882"/>
      <c r="F554" s="3882"/>
      <c r="G554" s="3882"/>
      <c r="H554" s="3882"/>
      <c r="I554" s="3882"/>
      <c r="J554" s="3883"/>
    </row>
    <row r="555" spans="1:10" x14ac:dyDescent="0.3">
      <c r="A555" s="3884"/>
      <c r="B555" s="3885"/>
      <c r="C555" s="3885"/>
      <c r="D555" s="3885"/>
      <c r="E555" s="3885"/>
      <c r="F555" s="3885"/>
      <c r="G555" s="3885"/>
      <c r="H555" s="3885"/>
      <c r="I555" s="3885"/>
      <c r="J555" s="3886"/>
    </row>
    <row r="558" spans="1:10" x14ac:dyDescent="0.3">
      <c r="A558" s="246" t="s">
        <v>3988</v>
      </c>
      <c r="B558" s="247" t="s">
        <v>3988</v>
      </c>
      <c r="C558" s="3895" t="s">
        <v>5267</v>
      </c>
      <c r="D558" s="3895"/>
      <c r="E558" s="3895"/>
      <c r="F558" s="3896"/>
      <c r="G558" s="247" t="s">
        <v>3988</v>
      </c>
      <c r="H558" s="1789" t="s">
        <v>3988</v>
      </c>
      <c r="I558" s="1789" t="s">
        <v>3988</v>
      </c>
      <c r="J558" s="248" t="s">
        <v>3988</v>
      </c>
    </row>
    <row r="559" spans="1:10" ht="15.6" x14ac:dyDescent="0.3">
      <c r="A559" s="249" t="s">
        <v>3988</v>
      </c>
      <c r="B559" s="231"/>
      <c r="C559" s="3897" t="s">
        <v>3986</v>
      </c>
      <c r="D559" s="3897"/>
      <c r="E559" s="3897"/>
      <c r="F559" s="3898"/>
      <c r="G559" s="1790" t="s">
        <v>3988</v>
      </c>
      <c r="H559" s="3899" t="s">
        <v>5345</v>
      </c>
      <c r="I559" s="3899"/>
      <c r="J559" s="250" t="s">
        <v>3988</v>
      </c>
    </row>
    <row r="560" spans="1:10" ht="17.399999999999999" x14ac:dyDescent="0.3">
      <c r="A560" s="249" t="s">
        <v>3988</v>
      </c>
      <c r="B560" s="232"/>
      <c r="C560" s="3901" t="s">
        <v>5269</v>
      </c>
      <c r="D560" s="3901"/>
      <c r="E560" s="3901"/>
      <c r="F560" s="3902"/>
      <c r="G560" s="233" t="s">
        <v>5270</v>
      </c>
      <c r="H560" s="3900"/>
      <c r="I560" s="3900"/>
      <c r="J560" s="250" t="s">
        <v>3988</v>
      </c>
    </row>
    <row r="561" spans="1:10" x14ac:dyDescent="0.3">
      <c r="A561" s="249" t="s">
        <v>3988</v>
      </c>
      <c r="B561" s="232" t="s">
        <v>3988</v>
      </c>
      <c r="C561" s="3903" t="s">
        <v>5271</v>
      </c>
      <c r="D561" s="3903"/>
      <c r="E561" s="3903"/>
      <c r="F561" s="3904"/>
      <c r="G561" s="1790" t="s">
        <v>3988</v>
      </c>
      <c r="H561" s="234" t="s">
        <v>3988</v>
      </c>
      <c r="I561" s="234" t="s">
        <v>3988</v>
      </c>
      <c r="J561" s="251" t="s">
        <v>3988</v>
      </c>
    </row>
    <row r="562" spans="1:10" ht="31.8" x14ac:dyDescent="0.3">
      <c r="A562" s="242" t="s">
        <v>5272</v>
      </c>
      <c r="B562" s="3905" t="s">
        <v>5346</v>
      </c>
      <c r="C562" s="3906"/>
      <c r="D562" s="3906"/>
      <c r="E562" s="3907"/>
      <c r="F562" s="241" t="s">
        <v>5274</v>
      </c>
      <c r="G562" s="240" t="s">
        <v>4074</v>
      </c>
      <c r="H562" s="1791" t="s">
        <v>5276</v>
      </c>
      <c r="I562" s="1791" t="s">
        <v>5277</v>
      </c>
      <c r="J562" s="252" t="s">
        <v>5278</v>
      </c>
    </row>
    <row r="563" spans="1:10" x14ac:dyDescent="0.3">
      <c r="A563" s="3908"/>
      <c r="B563" s="3909"/>
      <c r="C563" s="3909"/>
      <c r="D563" s="3909"/>
      <c r="E563" s="3910"/>
      <c r="F563" s="3911"/>
      <c r="G563" s="3912"/>
      <c r="H563" s="256">
        <v>9</v>
      </c>
      <c r="I563" s="256">
        <v>7</v>
      </c>
      <c r="J563" s="257">
        <v>2021</v>
      </c>
    </row>
    <row r="564" spans="1:10" x14ac:dyDescent="0.3">
      <c r="A564" s="3913" t="s">
        <v>5279</v>
      </c>
      <c r="B564" s="3914"/>
      <c r="C564" s="3914"/>
      <c r="D564" s="3914"/>
      <c r="E564" s="3915"/>
      <c r="F564" s="258" t="s">
        <v>5280</v>
      </c>
      <c r="G564" s="1787" t="s">
        <v>3988</v>
      </c>
      <c r="H564" s="259" t="s">
        <v>5281</v>
      </c>
      <c r="I564" s="260" t="s">
        <v>3988</v>
      </c>
      <c r="J564" s="261" t="s">
        <v>3988</v>
      </c>
    </row>
    <row r="565" spans="1:10" x14ac:dyDescent="0.3">
      <c r="A565" s="3913" t="s">
        <v>5347</v>
      </c>
      <c r="B565" s="3914"/>
      <c r="C565" s="3914"/>
      <c r="D565" s="3914"/>
      <c r="E565" s="3915"/>
      <c r="F565" s="3911">
        <v>3147670922</v>
      </c>
      <c r="G565" s="3912"/>
      <c r="H565" s="3911" t="s">
        <v>128</v>
      </c>
      <c r="I565" s="3911"/>
      <c r="J565" s="3916"/>
    </row>
    <row r="566" spans="1:10" x14ac:dyDescent="0.3">
      <c r="A566" s="262" t="s">
        <v>5284</v>
      </c>
      <c r="B566" s="3911" t="s">
        <v>5285</v>
      </c>
      <c r="C566" s="3911"/>
      <c r="D566" s="3911"/>
      <c r="E566" s="3912"/>
      <c r="F566" s="3917" t="s">
        <v>3752</v>
      </c>
      <c r="G566" s="3918"/>
      <c r="H566" s="3911" t="s">
        <v>5286</v>
      </c>
      <c r="I566" s="3911"/>
      <c r="J566" s="3916"/>
    </row>
    <row r="567" spans="1:10" x14ac:dyDescent="0.3">
      <c r="A567" s="263">
        <v>4</v>
      </c>
      <c r="B567" s="3887" t="s">
        <v>5331</v>
      </c>
      <c r="C567" s="3887"/>
      <c r="D567" s="3887"/>
      <c r="E567" s="3887"/>
      <c r="F567" s="3888">
        <v>2000</v>
      </c>
      <c r="G567" s="3889"/>
      <c r="H567" s="3887">
        <f>F567*A567</f>
        <v>8000</v>
      </c>
      <c r="I567" s="3887"/>
      <c r="J567" s="3890"/>
    </row>
    <row r="568" spans="1:10" x14ac:dyDescent="0.3">
      <c r="A568" s="263" t="s">
        <v>3988</v>
      </c>
      <c r="B568" s="3887" t="s">
        <v>3988</v>
      </c>
      <c r="C568" s="3887"/>
      <c r="D568" s="3887"/>
      <c r="E568" s="3887"/>
      <c r="F568" s="3888" t="s">
        <v>3988</v>
      </c>
      <c r="G568" s="3889"/>
      <c r="H568" s="3887" t="s">
        <v>3988</v>
      </c>
      <c r="I568" s="3887"/>
      <c r="J568" s="3890"/>
    </row>
    <row r="569" spans="1:10" x14ac:dyDescent="0.3">
      <c r="A569" s="263" t="s">
        <v>3988</v>
      </c>
      <c r="B569" s="264" t="s">
        <v>3988</v>
      </c>
      <c r="C569" s="264" t="s">
        <v>3988</v>
      </c>
      <c r="D569" s="264" t="s">
        <v>3988</v>
      </c>
      <c r="E569" s="264" t="s">
        <v>3988</v>
      </c>
      <c r="F569" s="3888" t="s">
        <v>3988</v>
      </c>
      <c r="G569" s="3889"/>
      <c r="H569" s="3887" t="s">
        <v>5287</v>
      </c>
      <c r="I569" s="3887"/>
      <c r="J569" s="3890"/>
    </row>
    <row r="570" spans="1:10" x14ac:dyDescent="0.3">
      <c r="A570" s="253" t="s">
        <v>3988</v>
      </c>
      <c r="B570" s="236" t="s">
        <v>3988</v>
      </c>
      <c r="C570" s="236" t="s">
        <v>3988</v>
      </c>
      <c r="D570" s="236" t="s">
        <v>3988</v>
      </c>
      <c r="E570" s="236" t="s">
        <v>3988</v>
      </c>
      <c r="F570" s="3891" t="s">
        <v>3988</v>
      </c>
      <c r="G570" s="3892"/>
      <c r="H570" s="3893" t="s">
        <v>5287</v>
      </c>
      <c r="I570" s="3893"/>
      <c r="J570" s="3894"/>
    </row>
    <row r="571" spans="1:10" x14ac:dyDescent="0.3">
      <c r="A571" s="253" t="s">
        <v>3988</v>
      </c>
      <c r="B571" s="236" t="s">
        <v>3988</v>
      </c>
      <c r="C571" s="236" t="s">
        <v>3988</v>
      </c>
      <c r="D571" s="236" t="s">
        <v>3988</v>
      </c>
      <c r="E571" s="236" t="s">
        <v>3988</v>
      </c>
      <c r="F571" s="3891" t="s">
        <v>3988</v>
      </c>
      <c r="G571" s="3892"/>
      <c r="H571" s="3893" t="s">
        <v>5287</v>
      </c>
      <c r="I571" s="3893"/>
      <c r="J571" s="3894"/>
    </row>
    <row r="572" spans="1:10" x14ac:dyDescent="0.3">
      <c r="A572" s="253" t="s">
        <v>3988</v>
      </c>
      <c r="B572" s="236" t="s">
        <v>3988</v>
      </c>
      <c r="C572" s="236" t="s">
        <v>3988</v>
      </c>
      <c r="D572" s="236" t="s">
        <v>3988</v>
      </c>
      <c r="E572" s="236" t="s">
        <v>3988</v>
      </c>
      <c r="F572" s="3891" t="s">
        <v>3988</v>
      </c>
      <c r="G572" s="3892"/>
      <c r="H572" s="3893" t="s">
        <v>5287</v>
      </c>
      <c r="I572" s="3893"/>
      <c r="J572" s="3894"/>
    </row>
    <row r="573" spans="1:10" x14ac:dyDescent="0.3">
      <c r="A573" s="253" t="s">
        <v>3988</v>
      </c>
      <c r="B573" s="236" t="s">
        <v>3988</v>
      </c>
      <c r="C573" s="236" t="s">
        <v>3988</v>
      </c>
      <c r="D573" s="236" t="s">
        <v>3988</v>
      </c>
      <c r="E573" s="236" t="s">
        <v>3988</v>
      </c>
      <c r="F573" s="3891" t="s">
        <v>3988</v>
      </c>
      <c r="G573" s="3892"/>
      <c r="H573" s="3893" t="s">
        <v>5287</v>
      </c>
      <c r="I573" s="3893"/>
      <c r="J573" s="3894"/>
    </row>
    <row r="574" spans="1:10" x14ac:dyDescent="0.3">
      <c r="A574" s="253" t="s">
        <v>3988</v>
      </c>
      <c r="B574" s="236" t="s">
        <v>3988</v>
      </c>
      <c r="C574" s="236" t="s">
        <v>3988</v>
      </c>
      <c r="D574" s="236" t="s">
        <v>3988</v>
      </c>
      <c r="E574" s="236" t="s">
        <v>3988</v>
      </c>
      <c r="F574" s="3891" t="s">
        <v>3988</v>
      </c>
      <c r="G574" s="3892"/>
      <c r="H574" s="3893" t="s">
        <v>5287</v>
      </c>
      <c r="I574" s="3893"/>
      <c r="J574" s="3894"/>
    </row>
    <row r="575" spans="1:10" x14ac:dyDescent="0.3">
      <c r="A575" s="253" t="s">
        <v>3988</v>
      </c>
      <c r="B575" s="236" t="s">
        <v>3988</v>
      </c>
      <c r="C575" s="236" t="s">
        <v>3988</v>
      </c>
      <c r="D575" s="236" t="s">
        <v>3988</v>
      </c>
      <c r="E575" s="236" t="s">
        <v>3988</v>
      </c>
      <c r="F575" s="3891" t="s">
        <v>3988</v>
      </c>
      <c r="G575" s="3892"/>
      <c r="H575" s="3893" t="s">
        <v>5287</v>
      </c>
      <c r="I575" s="3893"/>
      <c r="J575" s="3894"/>
    </row>
    <row r="576" spans="1:10" x14ac:dyDescent="0.3">
      <c r="A576" s="1788" t="s">
        <v>3753</v>
      </c>
      <c r="B576" s="235" t="s">
        <v>3988</v>
      </c>
      <c r="C576" s="235" t="s">
        <v>3988</v>
      </c>
      <c r="D576" s="235" t="s">
        <v>3988</v>
      </c>
      <c r="E576" s="3859" t="s">
        <v>5288</v>
      </c>
      <c r="F576" s="3860"/>
      <c r="G576" s="3861">
        <f>H567</f>
        <v>8000</v>
      </c>
      <c r="H576" s="3861"/>
      <c r="I576" s="3862"/>
      <c r="J576" s="254"/>
    </row>
    <row r="577" spans="1:10" x14ac:dyDescent="0.3">
      <c r="A577" s="255" t="s">
        <v>3988</v>
      </c>
      <c r="B577" s="237" t="s">
        <v>3988</v>
      </c>
      <c r="C577" s="237" t="s">
        <v>3988</v>
      </c>
      <c r="D577" s="237" t="s">
        <v>3988</v>
      </c>
      <c r="E577" s="237" t="s">
        <v>3988</v>
      </c>
      <c r="F577" s="238" t="s">
        <v>5289</v>
      </c>
      <c r="G577" s="239" t="s">
        <v>5290</v>
      </c>
      <c r="H577" s="3863" t="s">
        <v>5291</v>
      </c>
      <c r="I577" s="3863"/>
      <c r="J577" s="3864"/>
    </row>
    <row r="578" spans="1:10" x14ac:dyDescent="0.3">
      <c r="A578" s="3865" t="s">
        <v>5292</v>
      </c>
      <c r="B578" s="3866"/>
      <c r="C578" s="3866"/>
      <c r="D578" s="3866"/>
      <c r="E578" s="3867"/>
      <c r="F578" s="3871" t="s">
        <v>5293</v>
      </c>
      <c r="G578" s="3872"/>
      <c r="H578" s="3875">
        <f>G576</f>
        <v>8000</v>
      </c>
      <c r="I578" s="3876"/>
      <c r="J578" s="3877"/>
    </row>
    <row r="579" spans="1:10" x14ac:dyDescent="0.3">
      <c r="A579" s="3868"/>
      <c r="B579" s="3869"/>
      <c r="C579" s="3869"/>
      <c r="D579" s="3869"/>
      <c r="E579" s="3870"/>
      <c r="F579" s="3873"/>
      <c r="G579" s="3874"/>
      <c r="H579" s="3878"/>
      <c r="I579" s="3879"/>
      <c r="J579" s="3880"/>
    </row>
    <row r="580" spans="1:10" x14ac:dyDescent="0.3">
      <c r="A580" s="3881" t="s">
        <v>5294</v>
      </c>
      <c r="B580" s="3882"/>
      <c r="C580" s="3882"/>
      <c r="D580" s="3882"/>
      <c r="E580" s="3882"/>
      <c r="F580" s="3882"/>
      <c r="G580" s="3882"/>
      <c r="H580" s="3882"/>
      <c r="I580" s="3882"/>
      <c r="J580" s="3883"/>
    </row>
    <row r="581" spans="1:10" x14ac:dyDescent="0.3">
      <c r="A581" s="3884"/>
      <c r="B581" s="3885"/>
      <c r="C581" s="3885"/>
      <c r="D581" s="3885"/>
      <c r="E581" s="3885"/>
      <c r="F581" s="3885"/>
      <c r="G581" s="3885"/>
      <c r="H581" s="3885"/>
      <c r="I581" s="3885"/>
      <c r="J581" s="3886"/>
    </row>
    <row r="584" spans="1:10" x14ac:dyDescent="0.3">
      <c r="A584" s="246" t="s">
        <v>3988</v>
      </c>
      <c r="B584" s="247" t="s">
        <v>3988</v>
      </c>
      <c r="C584" s="3895" t="s">
        <v>5267</v>
      </c>
      <c r="D584" s="3895"/>
      <c r="E584" s="3895"/>
      <c r="F584" s="3896"/>
      <c r="G584" s="247" t="s">
        <v>3988</v>
      </c>
      <c r="H584" s="1789" t="s">
        <v>3988</v>
      </c>
      <c r="I584" s="1789" t="s">
        <v>3988</v>
      </c>
      <c r="J584" s="248" t="s">
        <v>3988</v>
      </c>
    </row>
    <row r="585" spans="1:10" ht="15.6" x14ac:dyDescent="0.3">
      <c r="A585" s="249" t="s">
        <v>3988</v>
      </c>
      <c r="B585" s="231"/>
      <c r="C585" s="3897" t="s">
        <v>3986</v>
      </c>
      <c r="D585" s="3897"/>
      <c r="E585" s="3897"/>
      <c r="F585" s="3898"/>
      <c r="G585" s="1790" t="s">
        <v>3988</v>
      </c>
      <c r="H585" s="3899" t="s">
        <v>5348</v>
      </c>
      <c r="I585" s="3899"/>
      <c r="J585" s="250" t="s">
        <v>3988</v>
      </c>
    </row>
    <row r="586" spans="1:10" ht="17.399999999999999" x14ac:dyDescent="0.3">
      <c r="A586" s="249" t="s">
        <v>3988</v>
      </c>
      <c r="B586" s="232"/>
      <c r="C586" s="3901" t="s">
        <v>5269</v>
      </c>
      <c r="D586" s="3901"/>
      <c r="E586" s="3901"/>
      <c r="F586" s="3902"/>
      <c r="G586" s="233" t="s">
        <v>5270</v>
      </c>
      <c r="H586" s="3900"/>
      <c r="I586" s="3900"/>
      <c r="J586" s="250" t="s">
        <v>3988</v>
      </c>
    </row>
    <row r="587" spans="1:10" x14ac:dyDescent="0.3">
      <c r="A587" s="249" t="s">
        <v>3988</v>
      </c>
      <c r="B587" s="232" t="s">
        <v>3988</v>
      </c>
      <c r="C587" s="3903" t="s">
        <v>5271</v>
      </c>
      <c r="D587" s="3903"/>
      <c r="E587" s="3903"/>
      <c r="F587" s="3904"/>
      <c r="G587" s="1790" t="s">
        <v>3988</v>
      </c>
      <c r="H587" s="234" t="s">
        <v>3988</v>
      </c>
      <c r="I587" s="234" t="s">
        <v>3988</v>
      </c>
      <c r="J587" s="251" t="s">
        <v>3988</v>
      </c>
    </row>
    <row r="588" spans="1:10" ht="31.8" x14ac:dyDescent="0.3">
      <c r="A588" s="242" t="s">
        <v>5272</v>
      </c>
      <c r="B588" s="3905" t="s">
        <v>5349</v>
      </c>
      <c r="C588" s="3906"/>
      <c r="D588" s="3906"/>
      <c r="E588" s="3907"/>
      <c r="F588" s="241" t="s">
        <v>5274</v>
      </c>
      <c r="G588" s="240" t="s">
        <v>4077</v>
      </c>
      <c r="H588" s="1791" t="s">
        <v>5276</v>
      </c>
      <c r="I588" s="1791" t="s">
        <v>5277</v>
      </c>
      <c r="J588" s="252" t="s">
        <v>5278</v>
      </c>
    </row>
    <row r="589" spans="1:10" x14ac:dyDescent="0.3">
      <c r="A589" s="3908"/>
      <c r="B589" s="3909"/>
      <c r="C589" s="3909"/>
      <c r="D589" s="3909"/>
      <c r="E589" s="3910"/>
      <c r="F589" s="3911"/>
      <c r="G589" s="3912"/>
      <c r="H589" s="256">
        <v>27</v>
      </c>
      <c r="I589" s="256">
        <v>7</v>
      </c>
      <c r="J589" s="257">
        <v>2021</v>
      </c>
    </row>
    <row r="590" spans="1:10" x14ac:dyDescent="0.3">
      <c r="A590" s="3913" t="s">
        <v>5279</v>
      </c>
      <c r="B590" s="3914"/>
      <c r="C590" s="3914"/>
      <c r="D590" s="3914"/>
      <c r="E590" s="3915"/>
      <c r="F590" s="258" t="s">
        <v>5280</v>
      </c>
      <c r="G590" s="1787" t="s">
        <v>3988</v>
      </c>
      <c r="H590" s="259" t="s">
        <v>5281</v>
      </c>
      <c r="I590" s="260" t="s">
        <v>3988</v>
      </c>
      <c r="J590" s="261" t="s">
        <v>3988</v>
      </c>
    </row>
    <row r="591" spans="1:10" x14ac:dyDescent="0.3">
      <c r="A591" s="3913" t="s">
        <v>5350</v>
      </c>
      <c r="B591" s="3914"/>
      <c r="C591" s="3914"/>
      <c r="D591" s="3914"/>
      <c r="E591" s="3915"/>
      <c r="F591" s="3911">
        <v>4821578</v>
      </c>
      <c r="G591" s="3912"/>
      <c r="H591" s="3911" t="s">
        <v>125</v>
      </c>
      <c r="I591" s="3911"/>
      <c r="J591" s="3916"/>
    </row>
    <row r="592" spans="1:10" x14ac:dyDescent="0.3">
      <c r="A592" s="262" t="s">
        <v>5284</v>
      </c>
      <c r="B592" s="3911" t="s">
        <v>5285</v>
      </c>
      <c r="C592" s="3911"/>
      <c r="D592" s="3911"/>
      <c r="E592" s="3912"/>
      <c r="F592" s="3917" t="s">
        <v>3752</v>
      </c>
      <c r="G592" s="3918"/>
      <c r="H592" s="3911" t="s">
        <v>5286</v>
      </c>
      <c r="I592" s="3911"/>
      <c r="J592" s="3916"/>
    </row>
    <row r="593" spans="1:10" x14ac:dyDescent="0.3">
      <c r="A593" s="263">
        <v>1</v>
      </c>
      <c r="B593" s="3887" t="s">
        <v>5331</v>
      </c>
      <c r="C593" s="3887"/>
      <c r="D593" s="3887"/>
      <c r="E593" s="3887"/>
      <c r="F593" s="3888">
        <v>2500</v>
      </c>
      <c r="G593" s="3889"/>
      <c r="H593" s="3887">
        <f>F593*A593</f>
        <v>2500</v>
      </c>
      <c r="I593" s="3887"/>
      <c r="J593" s="3890"/>
    </row>
    <row r="594" spans="1:10" x14ac:dyDescent="0.3">
      <c r="A594" s="263" t="s">
        <v>3988</v>
      </c>
      <c r="B594" s="3887" t="s">
        <v>3988</v>
      </c>
      <c r="C594" s="3887"/>
      <c r="D594" s="3887"/>
      <c r="E594" s="3887"/>
      <c r="F594" s="3888" t="s">
        <v>3988</v>
      </c>
      <c r="G594" s="3889"/>
      <c r="H594" s="3887" t="s">
        <v>3988</v>
      </c>
      <c r="I594" s="3887"/>
      <c r="J594" s="3890"/>
    </row>
    <row r="595" spans="1:10" x14ac:dyDescent="0.3">
      <c r="A595" s="263" t="s">
        <v>3988</v>
      </c>
      <c r="B595" s="264" t="s">
        <v>3988</v>
      </c>
      <c r="C595" s="264" t="s">
        <v>3988</v>
      </c>
      <c r="D595" s="264" t="s">
        <v>3988</v>
      </c>
      <c r="E595" s="264" t="s">
        <v>3988</v>
      </c>
      <c r="F595" s="3888" t="s">
        <v>3988</v>
      </c>
      <c r="G595" s="3889"/>
      <c r="H595" s="3887" t="s">
        <v>5287</v>
      </c>
      <c r="I595" s="3887"/>
      <c r="J595" s="3890"/>
    </row>
    <row r="596" spans="1:10" x14ac:dyDescent="0.3">
      <c r="A596" s="253" t="s">
        <v>3988</v>
      </c>
      <c r="B596" s="236" t="s">
        <v>3988</v>
      </c>
      <c r="C596" s="236" t="s">
        <v>3988</v>
      </c>
      <c r="D596" s="236" t="s">
        <v>3988</v>
      </c>
      <c r="E596" s="236" t="s">
        <v>3988</v>
      </c>
      <c r="F596" s="3891" t="s">
        <v>3988</v>
      </c>
      <c r="G596" s="3892"/>
      <c r="H596" s="3893" t="s">
        <v>5287</v>
      </c>
      <c r="I596" s="3893"/>
      <c r="J596" s="3894"/>
    </row>
    <row r="597" spans="1:10" x14ac:dyDescent="0.3">
      <c r="A597" s="253" t="s">
        <v>3988</v>
      </c>
      <c r="B597" s="236" t="s">
        <v>3988</v>
      </c>
      <c r="C597" s="236" t="s">
        <v>3988</v>
      </c>
      <c r="D597" s="236" t="s">
        <v>3988</v>
      </c>
      <c r="E597" s="236" t="s">
        <v>3988</v>
      </c>
      <c r="F597" s="3891" t="s">
        <v>3988</v>
      </c>
      <c r="G597" s="3892"/>
      <c r="H597" s="3893" t="s">
        <v>5287</v>
      </c>
      <c r="I597" s="3893"/>
      <c r="J597" s="3894"/>
    </row>
    <row r="598" spans="1:10" x14ac:dyDescent="0.3">
      <c r="A598" s="253" t="s">
        <v>3988</v>
      </c>
      <c r="B598" s="236" t="s">
        <v>3988</v>
      </c>
      <c r="C598" s="236" t="s">
        <v>3988</v>
      </c>
      <c r="D598" s="236" t="s">
        <v>3988</v>
      </c>
      <c r="E598" s="236" t="s">
        <v>3988</v>
      </c>
      <c r="F598" s="3891" t="s">
        <v>3988</v>
      </c>
      <c r="G598" s="3892"/>
      <c r="H598" s="3893" t="s">
        <v>5287</v>
      </c>
      <c r="I598" s="3893"/>
      <c r="J598" s="3894"/>
    </row>
    <row r="599" spans="1:10" x14ac:dyDescent="0.3">
      <c r="A599" s="253" t="s">
        <v>3988</v>
      </c>
      <c r="B599" s="236" t="s">
        <v>3988</v>
      </c>
      <c r="C599" s="236" t="s">
        <v>3988</v>
      </c>
      <c r="D599" s="236" t="s">
        <v>3988</v>
      </c>
      <c r="E599" s="236" t="s">
        <v>3988</v>
      </c>
      <c r="F599" s="3891" t="s">
        <v>3988</v>
      </c>
      <c r="G599" s="3892"/>
      <c r="H599" s="3893" t="s">
        <v>5287</v>
      </c>
      <c r="I599" s="3893"/>
      <c r="J599" s="3894"/>
    </row>
    <row r="600" spans="1:10" x14ac:dyDescent="0.3">
      <c r="A600" s="253" t="s">
        <v>3988</v>
      </c>
      <c r="B600" s="236" t="s">
        <v>3988</v>
      </c>
      <c r="C600" s="236" t="s">
        <v>3988</v>
      </c>
      <c r="D600" s="236" t="s">
        <v>3988</v>
      </c>
      <c r="E600" s="236" t="s">
        <v>3988</v>
      </c>
      <c r="F600" s="3891" t="s">
        <v>3988</v>
      </c>
      <c r="G600" s="3892"/>
      <c r="H600" s="3893" t="s">
        <v>5287</v>
      </c>
      <c r="I600" s="3893"/>
      <c r="J600" s="3894"/>
    </row>
    <row r="601" spans="1:10" x14ac:dyDescent="0.3">
      <c r="A601" s="253" t="s">
        <v>3988</v>
      </c>
      <c r="B601" s="236" t="s">
        <v>3988</v>
      </c>
      <c r="C601" s="236" t="s">
        <v>3988</v>
      </c>
      <c r="D601" s="236" t="s">
        <v>3988</v>
      </c>
      <c r="E601" s="236" t="s">
        <v>3988</v>
      </c>
      <c r="F601" s="3891" t="s">
        <v>3988</v>
      </c>
      <c r="G601" s="3892"/>
      <c r="H601" s="3893" t="s">
        <v>5287</v>
      </c>
      <c r="I601" s="3893"/>
      <c r="J601" s="3894"/>
    </row>
    <row r="602" spans="1:10" x14ac:dyDescent="0.3">
      <c r="A602" s="1788" t="s">
        <v>3753</v>
      </c>
      <c r="B602" s="235" t="s">
        <v>3988</v>
      </c>
      <c r="C602" s="235" t="s">
        <v>3988</v>
      </c>
      <c r="D602" s="235" t="s">
        <v>3988</v>
      </c>
      <c r="E602" s="3859" t="s">
        <v>5288</v>
      </c>
      <c r="F602" s="3860"/>
      <c r="G602" s="3861">
        <f>H593</f>
        <v>2500</v>
      </c>
      <c r="H602" s="3861"/>
      <c r="I602" s="3862"/>
      <c r="J602" s="254"/>
    </row>
    <row r="603" spans="1:10" x14ac:dyDescent="0.3">
      <c r="A603" s="255" t="s">
        <v>3988</v>
      </c>
      <c r="B603" s="237" t="s">
        <v>3988</v>
      </c>
      <c r="C603" s="237" t="s">
        <v>3988</v>
      </c>
      <c r="D603" s="237" t="s">
        <v>3988</v>
      </c>
      <c r="E603" s="237" t="s">
        <v>3988</v>
      </c>
      <c r="F603" s="238" t="s">
        <v>5289</v>
      </c>
      <c r="G603" s="239" t="s">
        <v>5290</v>
      </c>
      <c r="H603" s="3863" t="s">
        <v>5291</v>
      </c>
      <c r="I603" s="3863"/>
      <c r="J603" s="3864"/>
    </row>
    <row r="604" spans="1:10" x14ac:dyDescent="0.3">
      <c r="A604" s="3865" t="s">
        <v>5292</v>
      </c>
      <c r="B604" s="3866"/>
      <c r="C604" s="3866"/>
      <c r="D604" s="3866"/>
      <c r="E604" s="3867"/>
      <c r="F604" s="3871" t="s">
        <v>5293</v>
      </c>
      <c r="G604" s="3872"/>
      <c r="H604" s="3875">
        <f>G602</f>
        <v>2500</v>
      </c>
      <c r="I604" s="3876"/>
      <c r="J604" s="3877"/>
    </row>
    <row r="605" spans="1:10" x14ac:dyDescent="0.3">
      <c r="A605" s="3868"/>
      <c r="B605" s="3869"/>
      <c r="C605" s="3869"/>
      <c r="D605" s="3869"/>
      <c r="E605" s="3870"/>
      <c r="F605" s="3873"/>
      <c r="G605" s="3874"/>
      <c r="H605" s="3878"/>
      <c r="I605" s="3879"/>
      <c r="J605" s="3880"/>
    </row>
    <row r="606" spans="1:10" x14ac:dyDescent="0.3">
      <c r="A606" s="3881" t="s">
        <v>5294</v>
      </c>
      <c r="B606" s="3882"/>
      <c r="C606" s="3882"/>
      <c r="D606" s="3882"/>
      <c r="E606" s="3882"/>
      <c r="F606" s="3882"/>
      <c r="G606" s="3882"/>
      <c r="H606" s="3882"/>
      <c r="I606" s="3882"/>
      <c r="J606" s="3883"/>
    </row>
    <row r="607" spans="1:10" x14ac:dyDescent="0.3">
      <c r="A607" s="3884"/>
      <c r="B607" s="3885"/>
      <c r="C607" s="3885"/>
      <c r="D607" s="3885"/>
      <c r="E607" s="3885"/>
      <c r="F607" s="3885"/>
      <c r="G607" s="3885"/>
      <c r="H607" s="3885"/>
      <c r="I607" s="3885"/>
      <c r="J607" s="3886"/>
    </row>
    <row r="610" spans="1:10" x14ac:dyDescent="0.3">
      <c r="A610" s="246" t="s">
        <v>3988</v>
      </c>
      <c r="B610" s="247" t="s">
        <v>3988</v>
      </c>
      <c r="C610" s="3895" t="s">
        <v>5267</v>
      </c>
      <c r="D610" s="3895"/>
      <c r="E610" s="3895"/>
      <c r="F610" s="3896"/>
      <c r="G610" s="247" t="s">
        <v>3988</v>
      </c>
      <c r="H610" s="1789" t="s">
        <v>3988</v>
      </c>
      <c r="I610" s="1789" t="s">
        <v>3988</v>
      </c>
      <c r="J610" s="248" t="s">
        <v>3988</v>
      </c>
    </row>
    <row r="611" spans="1:10" ht="15.6" x14ac:dyDescent="0.3">
      <c r="A611" s="249" t="s">
        <v>3988</v>
      </c>
      <c r="B611" s="231"/>
      <c r="C611" s="3897" t="s">
        <v>3986</v>
      </c>
      <c r="D611" s="3897"/>
      <c r="E611" s="3897"/>
      <c r="F611" s="3898"/>
      <c r="G611" s="1790" t="s">
        <v>3988</v>
      </c>
      <c r="H611" s="3899" t="s">
        <v>5351</v>
      </c>
      <c r="I611" s="3899"/>
      <c r="J611" s="250" t="s">
        <v>3988</v>
      </c>
    </row>
    <row r="612" spans="1:10" ht="17.399999999999999" x14ac:dyDescent="0.3">
      <c r="A612" s="249" t="s">
        <v>3988</v>
      </c>
      <c r="B612" s="232"/>
      <c r="C612" s="3901" t="s">
        <v>5269</v>
      </c>
      <c r="D612" s="3901"/>
      <c r="E612" s="3901"/>
      <c r="F612" s="3902"/>
      <c r="G612" s="233" t="s">
        <v>5270</v>
      </c>
      <c r="H612" s="3900"/>
      <c r="I612" s="3900"/>
      <c r="J612" s="250" t="s">
        <v>3988</v>
      </c>
    </row>
    <row r="613" spans="1:10" x14ac:dyDescent="0.3">
      <c r="A613" s="249" t="s">
        <v>3988</v>
      </c>
      <c r="B613" s="232" t="s">
        <v>3988</v>
      </c>
      <c r="C613" s="3903" t="s">
        <v>5271</v>
      </c>
      <c r="D613" s="3903"/>
      <c r="E613" s="3903"/>
      <c r="F613" s="3904"/>
      <c r="G613" s="1790" t="s">
        <v>3988</v>
      </c>
      <c r="H613" s="234" t="s">
        <v>3988</v>
      </c>
      <c r="I613" s="234" t="s">
        <v>3988</v>
      </c>
      <c r="J613" s="251" t="s">
        <v>3988</v>
      </c>
    </row>
    <row r="614" spans="1:10" ht="31.8" x14ac:dyDescent="0.3">
      <c r="A614" s="242" t="s">
        <v>5272</v>
      </c>
      <c r="B614" s="3905" t="s">
        <v>5349</v>
      </c>
      <c r="C614" s="3906"/>
      <c r="D614" s="3906"/>
      <c r="E614" s="3907"/>
      <c r="F614" s="241" t="s">
        <v>5274</v>
      </c>
      <c r="G614" s="240" t="s">
        <v>4077</v>
      </c>
      <c r="H614" s="1791" t="s">
        <v>5276</v>
      </c>
      <c r="I614" s="1791" t="s">
        <v>5277</v>
      </c>
      <c r="J614" s="252" t="s">
        <v>5278</v>
      </c>
    </row>
    <row r="615" spans="1:10" x14ac:dyDescent="0.3">
      <c r="A615" s="3908"/>
      <c r="B615" s="3909"/>
      <c r="C615" s="3909"/>
      <c r="D615" s="3909"/>
      <c r="E615" s="3910"/>
      <c r="F615" s="3911"/>
      <c r="G615" s="3912"/>
      <c r="H615" s="256">
        <v>30</v>
      </c>
      <c r="I615" s="256">
        <v>7</v>
      </c>
      <c r="J615" s="257">
        <v>2021</v>
      </c>
    </row>
    <row r="616" spans="1:10" x14ac:dyDescent="0.3">
      <c r="A616" s="3913" t="s">
        <v>5279</v>
      </c>
      <c r="B616" s="3914"/>
      <c r="C616" s="3914"/>
      <c r="D616" s="3914"/>
      <c r="E616" s="3915"/>
      <c r="F616" s="258" t="s">
        <v>5280</v>
      </c>
      <c r="G616" s="1787" t="s">
        <v>3988</v>
      </c>
      <c r="H616" s="259" t="s">
        <v>5281</v>
      </c>
      <c r="I616" s="260" t="s">
        <v>3988</v>
      </c>
      <c r="J616" s="261" t="s">
        <v>3988</v>
      </c>
    </row>
    <row r="617" spans="1:10" x14ac:dyDescent="0.3">
      <c r="A617" s="3913" t="s">
        <v>5350</v>
      </c>
      <c r="B617" s="3914"/>
      <c r="C617" s="3914"/>
      <c r="D617" s="3914"/>
      <c r="E617" s="3915"/>
      <c r="F617" s="3911">
        <v>4821578</v>
      </c>
      <c r="G617" s="3912"/>
      <c r="H617" s="3911" t="s">
        <v>125</v>
      </c>
      <c r="I617" s="3911"/>
      <c r="J617" s="3916"/>
    </row>
    <row r="618" spans="1:10" x14ac:dyDescent="0.3">
      <c r="A618" s="262" t="s">
        <v>5284</v>
      </c>
      <c r="B618" s="3911" t="s">
        <v>5285</v>
      </c>
      <c r="C618" s="3911"/>
      <c r="D618" s="3911"/>
      <c r="E618" s="3912"/>
      <c r="F618" s="3917" t="s">
        <v>3752</v>
      </c>
      <c r="G618" s="3918"/>
      <c r="H618" s="3911" t="s">
        <v>5286</v>
      </c>
      <c r="I618" s="3911"/>
      <c r="J618" s="3916"/>
    </row>
    <row r="619" spans="1:10" x14ac:dyDescent="0.3">
      <c r="A619" s="263">
        <v>1</v>
      </c>
      <c r="B619" s="3887" t="s">
        <v>5331</v>
      </c>
      <c r="C619" s="3887"/>
      <c r="D619" s="3887"/>
      <c r="E619" s="3887"/>
      <c r="F619" s="3888">
        <v>2500</v>
      </c>
      <c r="G619" s="3889"/>
      <c r="H619" s="3887">
        <f>F619*A619</f>
        <v>2500</v>
      </c>
      <c r="I619" s="3887"/>
      <c r="J619" s="3890"/>
    </row>
    <row r="620" spans="1:10" x14ac:dyDescent="0.3">
      <c r="A620" s="263" t="s">
        <v>3988</v>
      </c>
      <c r="B620" s="3887" t="s">
        <v>3988</v>
      </c>
      <c r="C620" s="3887"/>
      <c r="D620" s="3887"/>
      <c r="E620" s="3887"/>
      <c r="F620" s="3888" t="s">
        <v>3988</v>
      </c>
      <c r="G620" s="3889"/>
      <c r="H620" s="3887" t="s">
        <v>3988</v>
      </c>
      <c r="I620" s="3887"/>
      <c r="J620" s="3890"/>
    </row>
    <row r="621" spans="1:10" x14ac:dyDescent="0.3">
      <c r="A621" s="263" t="s">
        <v>3988</v>
      </c>
      <c r="B621" s="264" t="s">
        <v>3988</v>
      </c>
      <c r="C621" s="264" t="s">
        <v>3988</v>
      </c>
      <c r="D621" s="264" t="s">
        <v>3988</v>
      </c>
      <c r="E621" s="264" t="s">
        <v>3988</v>
      </c>
      <c r="F621" s="3888" t="s">
        <v>3988</v>
      </c>
      <c r="G621" s="3889"/>
      <c r="H621" s="3887" t="s">
        <v>5287</v>
      </c>
      <c r="I621" s="3887"/>
      <c r="J621" s="3890"/>
    </row>
    <row r="622" spans="1:10" x14ac:dyDescent="0.3">
      <c r="A622" s="253" t="s">
        <v>3988</v>
      </c>
      <c r="B622" s="236" t="s">
        <v>3988</v>
      </c>
      <c r="C622" s="236" t="s">
        <v>3988</v>
      </c>
      <c r="D622" s="236" t="s">
        <v>3988</v>
      </c>
      <c r="E622" s="236" t="s">
        <v>3988</v>
      </c>
      <c r="F622" s="3891" t="s">
        <v>3988</v>
      </c>
      <c r="G622" s="3892"/>
      <c r="H622" s="3893" t="s">
        <v>5287</v>
      </c>
      <c r="I622" s="3893"/>
      <c r="J622" s="3894"/>
    </row>
    <row r="623" spans="1:10" x14ac:dyDescent="0.3">
      <c r="A623" s="253" t="s">
        <v>3988</v>
      </c>
      <c r="B623" s="236" t="s">
        <v>3988</v>
      </c>
      <c r="C623" s="236" t="s">
        <v>3988</v>
      </c>
      <c r="D623" s="236" t="s">
        <v>3988</v>
      </c>
      <c r="E623" s="236" t="s">
        <v>3988</v>
      </c>
      <c r="F623" s="3891" t="s">
        <v>3988</v>
      </c>
      <c r="G623" s="3892"/>
      <c r="H623" s="3893" t="s">
        <v>5287</v>
      </c>
      <c r="I623" s="3893"/>
      <c r="J623" s="3894"/>
    </row>
    <row r="624" spans="1:10" x14ac:dyDescent="0.3">
      <c r="A624" s="253" t="s">
        <v>3988</v>
      </c>
      <c r="B624" s="236" t="s">
        <v>3988</v>
      </c>
      <c r="C624" s="236" t="s">
        <v>3988</v>
      </c>
      <c r="D624" s="236" t="s">
        <v>3988</v>
      </c>
      <c r="E624" s="236" t="s">
        <v>3988</v>
      </c>
      <c r="F624" s="3891" t="s">
        <v>3988</v>
      </c>
      <c r="G624" s="3892"/>
      <c r="H624" s="3893" t="s">
        <v>5287</v>
      </c>
      <c r="I624" s="3893"/>
      <c r="J624" s="3894"/>
    </row>
    <row r="625" spans="1:10" x14ac:dyDescent="0.3">
      <c r="A625" s="253" t="s">
        <v>3988</v>
      </c>
      <c r="B625" s="236" t="s">
        <v>3988</v>
      </c>
      <c r="C625" s="236" t="s">
        <v>3988</v>
      </c>
      <c r="D625" s="236" t="s">
        <v>3988</v>
      </c>
      <c r="E625" s="236" t="s">
        <v>3988</v>
      </c>
      <c r="F625" s="3891" t="s">
        <v>3988</v>
      </c>
      <c r="G625" s="3892"/>
      <c r="H625" s="3893" t="s">
        <v>5287</v>
      </c>
      <c r="I625" s="3893"/>
      <c r="J625" s="3894"/>
    </row>
    <row r="626" spans="1:10" x14ac:dyDescent="0.3">
      <c r="A626" s="253" t="s">
        <v>3988</v>
      </c>
      <c r="B626" s="236" t="s">
        <v>3988</v>
      </c>
      <c r="C626" s="236" t="s">
        <v>3988</v>
      </c>
      <c r="D626" s="236" t="s">
        <v>3988</v>
      </c>
      <c r="E626" s="236" t="s">
        <v>3988</v>
      </c>
      <c r="F626" s="3891" t="s">
        <v>3988</v>
      </c>
      <c r="G626" s="3892"/>
      <c r="H626" s="3893" t="s">
        <v>5287</v>
      </c>
      <c r="I626" s="3893"/>
      <c r="J626" s="3894"/>
    </row>
    <row r="627" spans="1:10" x14ac:dyDescent="0.3">
      <c r="A627" s="253" t="s">
        <v>3988</v>
      </c>
      <c r="B627" s="236" t="s">
        <v>3988</v>
      </c>
      <c r="C627" s="236" t="s">
        <v>3988</v>
      </c>
      <c r="D627" s="236" t="s">
        <v>3988</v>
      </c>
      <c r="E627" s="236" t="s">
        <v>3988</v>
      </c>
      <c r="F627" s="3891" t="s">
        <v>3988</v>
      </c>
      <c r="G627" s="3892"/>
      <c r="H627" s="3893" t="s">
        <v>5287</v>
      </c>
      <c r="I627" s="3893"/>
      <c r="J627" s="3894"/>
    </row>
    <row r="628" spans="1:10" x14ac:dyDescent="0.3">
      <c r="A628" s="1788" t="s">
        <v>3753</v>
      </c>
      <c r="B628" s="235" t="s">
        <v>3988</v>
      </c>
      <c r="C628" s="235" t="s">
        <v>3988</v>
      </c>
      <c r="D628" s="235" t="s">
        <v>3988</v>
      </c>
      <c r="E628" s="3859" t="s">
        <v>5288</v>
      </c>
      <c r="F628" s="3860"/>
      <c r="G628" s="3861">
        <f>H619</f>
        <v>2500</v>
      </c>
      <c r="H628" s="3861"/>
      <c r="I628" s="3862"/>
      <c r="J628" s="254"/>
    </row>
    <row r="629" spans="1:10" x14ac:dyDescent="0.3">
      <c r="A629" s="255" t="s">
        <v>3988</v>
      </c>
      <c r="B629" s="237" t="s">
        <v>3988</v>
      </c>
      <c r="C629" s="237" t="s">
        <v>3988</v>
      </c>
      <c r="D629" s="237" t="s">
        <v>3988</v>
      </c>
      <c r="E629" s="237" t="s">
        <v>3988</v>
      </c>
      <c r="F629" s="238" t="s">
        <v>5289</v>
      </c>
      <c r="G629" s="239" t="s">
        <v>5290</v>
      </c>
      <c r="H629" s="3863" t="s">
        <v>5291</v>
      </c>
      <c r="I629" s="3863"/>
      <c r="J629" s="3864"/>
    </row>
    <row r="630" spans="1:10" x14ac:dyDescent="0.3">
      <c r="A630" s="3865" t="s">
        <v>5292</v>
      </c>
      <c r="B630" s="3866"/>
      <c r="C630" s="3866"/>
      <c r="D630" s="3866"/>
      <c r="E630" s="3867"/>
      <c r="F630" s="3871" t="s">
        <v>5293</v>
      </c>
      <c r="G630" s="3872"/>
      <c r="H630" s="3875">
        <f>G628</f>
        <v>2500</v>
      </c>
      <c r="I630" s="3876"/>
      <c r="J630" s="3877"/>
    </row>
    <row r="631" spans="1:10" x14ac:dyDescent="0.3">
      <c r="A631" s="3868"/>
      <c r="B631" s="3869"/>
      <c r="C631" s="3869"/>
      <c r="D631" s="3869"/>
      <c r="E631" s="3870"/>
      <c r="F631" s="3873"/>
      <c r="G631" s="3874"/>
      <c r="H631" s="3878"/>
      <c r="I631" s="3879"/>
      <c r="J631" s="3880"/>
    </row>
    <row r="632" spans="1:10" x14ac:dyDescent="0.3">
      <c r="A632" s="3881" t="s">
        <v>5294</v>
      </c>
      <c r="B632" s="3882"/>
      <c r="C632" s="3882"/>
      <c r="D632" s="3882"/>
      <c r="E632" s="3882"/>
      <c r="F632" s="3882"/>
      <c r="G632" s="3882"/>
      <c r="H632" s="3882"/>
      <c r="I632" s="3882"/>
      <c r="J632" s="3883"/>
    </row>
    <row r="633" spans="1:10" x14ac:dyDescent="0.3">
      <c r="A633" s="3884"/>
      <c r="B633" s="3885"/>
      <c r="C633" s="3885"/>
      <c r="D633" s="3885"/>
      <c r="E633" s="3885"/>
      <c r="F633" s="3885"/>
      <c r="G633" s="3885"/>
      <c r="H633" s="3885"/>
      <c r="I633" s="3885"/>
      <c r="J633" s="3886"/>
    </row>
    <row r="636" spans="1:10" x14ac:dyDescent="0.3">
      <c r="A636" s="246" t="s">
        <v>3988</v>
      </c>
      <c r="B636" s="247" t="s">
        <v>3988</v>
      </c>
      <c r="C636" s="3895" t="s">
        <v>5267</v>
      </c>
      <c r="D636" s="3895"/>
      <c r="E636" s="3895"/>
      <c r="F636" s="3896"/>
      <c r="G636" s="247" t="s">
        <v>3988</v>
      </c>
      <c r="H636" s="1789" t="s">
        <v>3988</v>
      </c>
      <c r="I636" s="1789" t="s">
        <v>3988</v>
      </c>
      <c r="J636" s="248" t="s">
        <v>3988</v>
      </c>
    </row>
    <row r="637" spans="1:10" ht="15.6" x14ac:dyDescent="0.3">
      <c r="A637" s="249" t="s">
        <v>3988</v>
      </c>
      <c r="B637" s="231"/>
      <c r="C637" s="3897" t="s">
        <v>3986</v>
      </c>
      <c r="D637" s="3897"/>
      <c r="E637" s="3897"/>
      <c r="F637" s="3898"/>
      <c r="G637" s="1790" t="s">
        <v>3988</v>
      </c>
      <c r="H637" s="3899" t="s">
        <v>5352</v>
      </c>
      <c r="I637" s="3899"/>
      <c r="J637" s="250" t="s">
        <v>3988</v>
      </c>
    </row>
    <row r="638" spans="1:10" ht="17.399999999999999" x14ac:dyDescent="0.3">
      <c r="A638" s="249" t="s">
        <v>3988</v>
      </c>
      <c r="B638" s="232"/>
      <c r="C638" s="3901" t="s">
        <v>5269</v>
      </c>
      <c r="D638" s="3901"/>
      <c r="E638" s="3901"/>
      <c r="F638" s="3902"/>
      <c r="G638" s="233" t="s">
        <v>5270</v>
      </c>
      <c r="H638" s="3900"/>
      <c r="I638" s="3900"/>
      <c r="J638" s="250" t="s">
        <v>3988</v>
      </c>
    </row>
    <row r="639" spans="1:10" x14ac:dyDescent="0.3">
      <c r="A639" s="249" t="s">
        <v>3988</v>
      </c>
      <c r="B639" s="232" t="s">
        <v>3988</v>
      </c>
      <c r="C639" s="3903" t="s">
        <v>5271</v>
      </c>
      <c r="D639" s="3903"/>
      <c r="E639" s="3903"/>
      <c r="F639" s="3904"/>
      <c r="G639" s="1790" t="s">
        <v>3988</v>
      </c>
      <c r="H639" s="234" t="s">
        <v>3988</v>
      </c>
      <c r="I639" s="234" t="s">
        <v>3988</v>
      </c>
      <c r="J639" s="251" t="s">
        <v>3988</v>
      </c>
    </row>
    <row r="640" spans="1:10" ht="31.8" x14ac:dyDescent="0.3">
      <c r="A640" s="242" t="s">
        <v>5272</v>
      </c>
      <c r="B640" s="3905" t="s">
        <v>4081</v>
      </c>
      <c r="C640" s="3906"/>
      <c r="D640" s="3906"/>
      <c r="E640" s="3907"/>
      <c r="F640" s="241" t="s">
        <v>5274</v>
      </c>
      <c r="G640" s="240" t="s">
        <v>4080</v>
      </c>
      <c r="H640" s="1791" t="s">
        <v>5276</v>
      </c>
      <c r="I640" s="1791" t="s">
        <v>5277</v>
      </c>
      <c r="J640" s="252" t="s">
        <v>5278</v>
      </c>
    </row>
    <row r="641" spans="1:10" x14ac:dyDescent="0.3">
      <c r="A641" s="3908"/>
      <c r="B641" s="3909"/>
      <c r="C641" s="3909"/>
      <c r="D641" s="3909"/>
      <c r="E641" s="3910"/>
      <c r="F641" s="3911"/>
      <c r="G641" s="3912"/>
      <c r="H641" s="256">
        <v>3</v>
      </c>
      <c r="I641" s="256">
        <v>8</v>
      </c>
      <c r="J641" s="257">
        <v>2021</v>
      </c>
    </row>
    <row r="642" spans="1:10" x14ac:dyDescent="0.3">
      <c r="A642" s="3913" t="s">
        <v>5279</v>
      </c>
      <c r="B642" s="3914"/>
      <c r="C642" s="3914"/>
      <c r="D642" s="3914"/>
      <c r="E642" s="3915"/>
      <c r="F642" s="258" t="s">
        <v>5280</v>
      </c>
      <c r="G642" s="1787" t="s">
        <v>3988</v>
      </c>
      <c r="H642" s="259" t="s">
        <v>5281</v>
      </c>
      <c r="I642" s="260" t="s">
        <v>3988</v>
      </c>
      <c r="J642" s="261" t="s">
        <v>3988</v>
      </c>
    </row>
    <row r="643" spans="1:10" x14ac:dyDescent="0.3">
      <c r="A643" s="3913" t="s">
        <v>5353</v>
      </c>
      <c r="B643" s="3914"/>
      <c r="C643" s="3914"/>
      <c r="D643" s="3914"/>
      <c r="E643" s="3915"/>
      <c r="F643" s="3911">
        <v>4531823</v>
      </c>
      <c r="G643" s="3912"/>
      <c r="H643" s="3911" t="s">
        <v>125</v>
      </c>
      <c r="I643" s="3911"/>
      <c r="J643" s="3916"/>
    </row>
    <row r="644" spans="1:10" x14ac:dyDescent="0.3">
      <c r="A644" s="262" t="s">
        <v>5284</v>
      </c>
      <c r="B644" s="3911" t="s">
        <v>5285</v>
      </c>
      <c r="C644" s="3911"/>
      <c r="D644" s="3911"/>
      <c r="E644" s="3912"/>
      <c r="F644" s="3917" t="s">
        <v>3752</v>
      </c>
      <c r="G644" s="3918"/>
      <c r="H644" s="3911" t="s">
        <v>5286</v>
      </c>
      <c r="I644" s="3911"/>
      <c r="J644" s="3916"/>
    </row>
    <row r="645" spans="1:10" x14ac:dyDescent="0.3">
      <c r="A645" s="263">
        <v>1</v>
      </c>
      <c r="B645" s="3887" t="s">
        <v>5331</v>
      </c>
      <c r="C645" s="3887"/>
      <c r="D645" s="3887"/>
      <c r="E645" s="3887"/>
      <c r="F645" s="3888">
        <v>1800</v>
      </c>
      <c r="G645" s="3889"/>
      <c r="H645" s="3887">
        <f>F645*A645</f>
        <v>1800</v>
      </c>
      <c r="I645" s="3887"/>
      <c r="J645" s="3890"/>
    </row>
    <row r="646" spans="1:10" x14ac:dyDescent="0.3">
      <c r="A646" s="263" t="s">
        <v>3988</v>
      </c>
      <c r="B646" s="3887" t="s">
        <v>3988</v>
      </c>
      <c r="C646" s="3887"/>
      <c r="D646" s="3887"/>
      <c r="E646" s="3887"/>
      <c r="F646" s="3888" t="s">
        <v>3988</v>
      </c>
      <c r="G646" s="3889"/>
      <c r="H646" s="3887" t="s">
        <v>3988</v>
      </c>
      <c r="I646" s="3887"/>
      <c r="J646" s="3890"/>
    </row>
    <row r="647" spans="1:10" x14ac:dyDescent="0.3">
      <c r="A647" s="263" t="s">
        <v>3988</v>
      </c>
      <c r="B647" s="264" t="s">
        <v>3988</v>
      </c>
      <c r="C647" s="264" t="s">
        <v>3988</v>
      </c>
      <c r="D647" s="264" t="s">
        <v>3988</v>
      </c>
      <c r="E647" s="264" t="s">
        <v>3988</v>
      </c>
      <c r="F647" s="3888" t="s">
        <v>3988</v>
      </c>
      <c r="G647" s="3889"/>
      <c r="H647" s="3887" t="s">
        <v>5287</v>
      </c>
      <c r="I647" s="3887"/>
      <c r="J647" s="3890"/>
    </row>
    <row r="648" spans="1:10" x14ac:dyDescent="0.3">
      <c r="A648" s="253" t="s">
        <v>3988</v>
      </c>
      <c r="B648" s="236" t="s">
        <v>3988</v>
      </c>
      <c r="C648" s="236" t="s">
        <v>3988</v>
      </c>
      <c r="D648" s="236" t="s">
        <v>3988</v>
      </c>
      <c r="E648" s="236" t="s">
        <v>3988</v>
      </c>
      <c r="F648" s="3891" t="s">
        <v>3988</v>
      </c>
      <c r="G648" s="3892"/>
      <c r="H648" s="3893" t="s">
        <v>5287</v>
      </c>
      <c r="I648" s="3893"/>
      <c r="J648" s="3894"/>
    </row>
    <row r="649" spans="1:10" x14ac:dyDescent="0.3">
      <c r="A649" s="253" t="s">
        <v>3988</v>
      </c>
      <c r="B649" s="236" t="s">
        <v>3988</v>
      </c>
      <c r="C649" s="236" t="s">
        <v>3988</v>
      </c>
      <c r="D649" s="236" t="s">
        <v>3988</v>
      </c>
      <c r="E649" s="236" t="s">
        <v>3988</v>
      </c>
      <c r="F649" s="3891" t="s">
        <v>3988</v>
      </c>
      <c r="G649" s="3892"/>
      <c r="H649" s="3893" t="s">
        <v>5287</v>
      </c>
      <c r="I649" s="3893"/>
      <c r="J649" s="3894"/>
    </row>
    <row r="650" spans="1:10" x14ac:dyDescent="0.3">
      <c r="A650" s="253" t="s">
        <v>3988</v>
      </c>
      <c r="B650" s="236" t="s">
        <v>3988</v>
      </c>
      <c r="C650" s="236" t="s">
        <v>3988</v>
      </c>
      <c r="D650" s="236" t="s">
        <v>3988</v>
      </c>
      <c r="E650" s="236" t="s">
        <v>3988</v>
      </c>
      <c r="F650" s="3891" t="s">
        <v>3988</v>
      </c>
      <c r="G650" s="3892"/>
      <c r="H650" s="3893" t="s">
        <v>5287</v>
      </c>
      <c r="I650" s="3893"/>
      <c r="J650" s="3894"/>
    </row>
    <row r="651" spans="1:10" x14ac:dyDescent="0.3">
      <c r="A651" s="253" t="s">
        <v>3988</v>
      </c>
      <c r="B651" s="236" t="s">
        <v>3988</v>
      </c>
      <c r="C651" s="236" t="s">
        <v>3988</v>
      </c>
      <c r="D651" s="236" t="s">
        <v>3988</v>
      </c>
      <c r="E651" s="236" t="s">
        <v>3988</v>
      </c>
      <c r="F651" s="3891" t="s">
        <v>3988</v>
      </c>
      <c r="G651" s="3892"/>
      <c r="H651" s="3893" t="s">
        <v>5287</v>
      </c>
      <c r="I651" s="3893"/>
      <c r="J651" s="3894"/>
    </row>
    <row r="652" spans="1:10" x14ac:dyDescent="0.3">
      <c r="A652" s="253" t="s">
        <v>3988</v>
      </c>
      <c r="B652" s="236" t="s">
        <v>3988</v>
      </c>
      <c r="C652" s="236" t="s">
        <v>3988</v>
      </c>
      <c r="D652" s="236" t="s">
        <v>3988</v>
      </c>
      <c r="E652" s="236" t="s">
        <v>3988</v>
      </c>
      <c r="F652" s="3891" t="s">
        <v>3988</v>
      </c>
      <c r="G652" s="3892"/>
      <c r="H652" s="3893" t="s">
        <v>5287</v>
      </c>
      <c r="I652" s="3893"/>
      <c r="J652" s="3894"/>
    </row>
    <row r="653" spans="1:10" x14ac:dyDescent="0.3">
      <c r="A653" s="253" t="s">
        <v>3988</v>
      </c>
      <c r="B653" s="236" t="s">
        <v>3988</v>
      </c>
      <c r="C653" s="236" t="s">
        <v>3988</v>
      </c>
      <c r="D653" s="236" t="s">
        <v>3988</v>
      </c>
      <c r="E653" s="236" t="s">
        <v>3988</v>
      </c>
      <c r="F653" s="3891" t="s">
        <v>3988</v>
      </c>
      <c r="G653" s="3892"/>
      <c r="H653" s="3893" t="s">
        <v>5287</v>
      </c>
      <c r="I653" s="3893"/>
      <c r="J653" s="3894"/>
    </row>
    <row r="654" spans="1:10" x14ac:dyDescent="0.3">
      <c r="A654" s="1788" t="s">
        <v>3753</v>
      </c>
      <c r="B654" s="235" t="s">
        <v>3988</v>
      </c>
      <c r="C654" s="235" t="s">
        <v>3988</v>
      </c>
      <c r="D654" s="235" t="s">
        <v>3988</v>
      </c>
      <c r="E654" s="3859" t="s">
        <v>5288</v>
      </c>
      <c r="F654" s="3860"/>
      <c r="G654" s="3861">
        <f>H645</f>
        <v>1800</v>
      </c>
      <c r="H654" s="3861"/>
      <c r="I654" s="3862"/>
      <c r="J654" s="254"/>
    </row>
    <row r="655" spans="1:10" x14ac:dyDescent="0.3">
      <c r="A655" s="255" t="s">
        <v>3988</v>
      </c>
      <c r="B655" s="237" t="s">
        <v>3988</v>
      </c>
      <c r="C655" s="237" t="s">
        <v>3988</v>
      </c>
      <c r="D655" s="237" t="s">
        <v>3988</v>
      </c>
      <c r="E655" s="237" t="s">
        <v>3988</v>
      </c>
      <c r="F655" s="238" t="s">
        <v>5289</v>
      </c>
      <c r="G655" s="239" t="s">
        <v>5290</v>
      </c>
      <c r="H655" s="3863" t="s">
        <v>5291</v>
      </c>
      <c r="I655" s="3863"/>
      <c r="J655" s="3864"/>
    </row>
    <row r="656" spans="1:10" x14ac:dyDescent="0.3">
      <c r="A656" s="3865" t="s">
        <v>5292</v>
      </c>
      <c r="B656" s="3866"/>
      <c r="C656" s="3866"/>
      <c r="D656" s="3866"/>
      <c r="E656" s="3867"/>
      <c r="F656" s="3871" t="s">
        <v>5293</v>
      </c>
      <c r="G656" s="3872"/>
      <c r="H656" s="3875">
        <f>G654</f>
        <v>1800</v>
      </c>
      <c r="I656" s="3876"/>
      <c r="J656" s="3877"/>
    </row>
    <row r="657" spans="1:10" x14ac:dyDescent="0.3">
      <c r="A657" s="3868"/>
      <c r="B657" s="3869"/>
      <c r="C657" s="3869"/>
      <c r="D657" s="3869"/>
      <c r="E657" s="3870"/>
      <c r="F657" s="3873"/>
      <c r="G657" s="3874"/>
      <c r="H657" s="3878"/>
      <c r="I657" s="3879"/>
      <c r="J657" s="3880"/>
    </row>
    <row r="658" spans="1:10" x14ac:dyDescent="0.3">
      <c r="A658" s="3881" t="s">
        <v>5294</v>
      </c>
      <c r="B658" s="3882"/>
      <c r="C658" s="3882"/>
      <c r="D658" s="3882"/>
      <c r="E658" s="3882"/>
      <c r="F658" s="3882"/>
      <c r="G658" s="3882"/>
      <c r="H658" s="3882"/>
      <c r="I658" s="3882"/>
      <c r="J658" s="3883"/>
    </row>
    <row r="659" spans="1:10" x14ac:dyDescent="0.3">
      <c r="A659" s="3884"/>
      <c r="B659" s="3885"/>
      <c r="C659" s="3885"/>
      <c r="D659" s="3885"/>
      <c r="E659" s="3885"/>
      <c r="F659" s="3885"/>
      <c r="G659" s="3885"/>
      <c r="H659" s="3885"/>
      <c r="I659" s="3885"/>
      <c r="J659" s="3886"/>
    </row>
    <row r="662" spans="1:10" x14ac:dyDescent="0.3">
      <c r="A662" s="246" t="s">
        <v>3988</v>
      </c>
      <c r="B662" s="247" t="s">
        <v>3988</v>
      </c>
      <c r="C662" s="3895" t="s">
        <v>5267</v>
      </c>
      <c r="D662" s="3895"/>
      <c r="E662" s="3895"/>
      <c r="F662" s="3896"/>
      <c r="G662" s="247" t="s">
        <v>3988</v>
      </c>
      <c r="H662" s="1789" t="s">
        <v>3988</v>
      </c>
      <c r="I662" s="1789" t="s">
        <v>3988</v>
      </c>
      <c r="J662" s="248" t="s">
        <v>3988</v>
      </c>
    </row>
    <row r="663" spans="1:10" ht="15.6" x14ac:dyDescent="0.3">
      <c r="A663" s="249" t="s">
        <v>3988</v>
      </c>
      <c r="B663" s="231"/>
      <c r="C663" s="3897" t="s">
        <v>3986</v>
      </c>
      <c r="D663" s="3897"/>
      <c r="E663" s="3897"/>
      <c r="F663" s="3898"/>
      <c r="G663" s="1790" t="s">
        <v>3988</v>
      </c>
      <c r="H663" s="3899" t="s">
        <v>5354</v>
      </c>
      <c r="I663" s="3899"/>
      <c r="J663" s="250" t="s">
        <v>3988</v>
      </c>
    </row>
    <row r="664" spans="1:10" ht="17.399999999999999" x14ac:dyDescent="0.3">
      <c r="A664" s="249" t="s">
        <v>3988</v>
      </c>
      <c r="B664" s="232"/>
      <c r="C664" s="3901" t="s">
        <v>5269</v>
      </c>
      <c r="D664" s="3901"/>
      <c r="E664" s="3901"/>
      <c r="F664" s="3902"/>
      <c r="G664" s="233" t="s">
        <v>5270</v>
      </c>
      <c r="H664" s="3900"/>
      <c r="I664" s="3900"/>
      <c r="J664" s="250" t="s">
        <v>3988</v>
      </c>
    </row>
    <row r="665" spans="1:10" x14ac:dyDescent="0.3">
      <c r="A665" s="249" t="s">
        <v>3988</v>
      </c>
      <c r="B665" s="232" t="s">
        <v>3988</v>
      </c>
      <c r="C665" s="3903" t="s">
        <v>5271</v>
      </c>
      <c r="D665" s="3903"/>
      <c r="E665" s="3903"/>
      <c r="F665" s="3904"/>
      <c r="G665" s="1790" t="s">
        <v>3988</v>
      </c>
      <c r="H665" s="234" t="s">
        <v>3988</v>
      </c>
      <c r="I665" s="234" t="s">
        <v>3988</v>
      </c>
      <c r="J665" s="251" t="s">
        <v>3988</v>
      </c>
    </row>
    <row r="666" spans="1:10" ht="31.8" x14ac:dyDescent="0.3">
      <c r="A666" s="242" t="s">
        <v>5272</v>
      </c>
      <c r="B666" s="3905" t="s">
        <v>5349</v>
      </c>
      <c r="C666" s="3906"/>
      <c r="D666" s="3906"/>
      <c r="E666" s="3907"/>
      <c r="F666" s="241" t="s">
        <v>5274</v>
      </c>
      <c r="G666" s="240" t="s">
        <v>4077</v>
      </c>
      <c r="H666" s="1791" t="s">
        <v>5276</v>
      </c>
      <c r="I666" s="1791" t="s">
        <v>5277</v>
      </c>
      <c r="J666" s="252" t="s">
        <v>5278</v>
      </c>
    </row>
    <row r="667" spans="1:10" x14ac:dyDescent="0.3">
      <c r="A667" s="3908"/>
      <c r="B667" s="3909"/>
      <c r="C667" s="3909"/>
      <c r="D667" s="3909"/>
      <c r="E667" s="3910"/>
      <c r="F667" s="3911"/>
      <c r="G667" s="3912"/>
      <c r="H667" s="256">
        <v>9</v>
      </c>
      <c r="I667" s="256">
        <v>8</v>
      </c>
      <c r="J667" s="257">
        <v>2021</v>
      </c>
    </row>
    <row r="668" spans="1:10" x14ac:dyDescent="0.3">
      <c r="A668" s="3913" t="s">
        <v>5279</v>
      </c>
      <c r="B668" s="3914"/>
      <c r="C668" s="3914"/>
      <c r="D668" s="3914"/>
      <c r="E668" s="3915"/>
      <c r="F668" s="258" t="s">
        <v>5280</v>
      </c>
      <c r="G668" s="1787" t="s">
        <v>3988</v>
      </c>
      <c r="H668" s="259" t="s">
        <v>5281</v>
      </c>
      <c r="I668" s="260" t="s">
        <v>3988</v>
      </c>
      <c r="J668" s="261" t="s">
        <v>3988</v>
      </c>
    </row>
    <row r="669" spans="1:10" x14ac:dyDescent="0.3">
      <c r="A669" s="3913" t="s">
        <v>5350</v>
      </c>
      <c r="B669" s="3914"/>
      <c r="C669" s="3914"/>
      <c r="D669" s="3914"/>
      <c r="E669" s="3915"/>
      <c r="F669" s="3911">
        <v>4821578</v>
      </c>
      <c r="G669" s="3912"/>
      <c r="H669" s="3911" t="s">
        <v>125</v>
      </c>
      <c r="I669" s="3911"/>
      <c r="J669" s="3916"/>
    </row>
    <row r="670" spans="1:10" x14ac:dyDescent="0.3">
      <c r="A670" s="262" t="s">
        <v>5284</v>
      </c>
      <c r="B670" s="3911" t="s">
        <v>5285</v>
      </c>
      <c r="C670" s="3911"/>
      <c r="D670" s="3911"/>
      <c r="E670" s="3912"/>
      <c r="F670" s="3917" t="s">
        <v>3752</v>
      </c>
      <c r="G670" s="3918"/>
      <c r="H670" s="3911" t="s">
        <v>5286</v>
      </c>
      <c r="I670" s="3911"/>
      <c r="J670" s="3916"/>
    </row>
    <row r="671" spans="1:10" x14ac:dyDescent="0.3">
      <c r="A671" s="263">
        <v>2</v>
      </c>
      <c r="B671" s="3887" t="s">
        <v>5331</v>
      </c>
      <c r="C671" s="3887"/>
      <c r="D671" s="3887"/>
      <c r="E671" s="3887"/>
      <c r="F671" s="3888">
        <v>2250</v>
      </c>
      <c r="G671" s="3889"/>
      <c r="H671" s="3887">
        <f>F671*A671</f>
        <v>4500</v>
      </c>
      <c r="I671" s="3887"/>
      <c r="J671" s="3890"/>
    </row>
    <row r="672" spans="1:10" x14ac:dyDescent="0.3">
      <c r="A672" s="263" t="s">
        <v>3988</v>
      </c>
      <c r="B672" s="3887" t="s">
        <v>3988</v>
      </c>
      <c r="C672" s="3887"/>
      <c r="D672" s="3887"/>
      <c r="E672" s="3887"/>
      <c r="F672" s="3888" t="s">
        <v>3988</v>
      </c>
      <c r="G672" s="3889"/>
      <c r="H672" s="3887" t="s">
        <v>3988</v>
      </c>
      <c r="I672" s="3887"/>
      <c r="J672" s="3890"/>
    </row>
    <row r="673" spans="1:10" x14ac:dyDescent="0.3">
      <c r="A673" s="263" t="s">
        <v>3988</v>
      </c>
      <c r="B673" s="264" t="s">
        <v>3988</v>
      </c>
      <c r="C673" s="264" t="s">
        <v>3988</v>
      </c>
      <c r="D673" s="264" t="s">
        <v>3988</v>
      </c>
      <c r="E673" s="264" t="s">
        <v>3988</v>
      </c>
      <c r="F673" s="3888" t="s">
        <v>3988</v>
      </c>
      <c r="G673" s="3889"/>
      <c r="H673" s="3887" t="s">
        <v>5287</v>
      </c>
      <c r="I673" s="3887"/>
      <c r="J673" s="3890"/>
    </row>
    <row r="674" spans="1:10" x14ac:dyDescent="0.3">
      <c r="A674" s="253" t="s">
        <v>3988</v>
      </c>
      <c r="B674" s="236" t="s">
        <v>3988</v>
      </c>
      <c r="C674" s="236" t="s">
        <v>3988</v>
      </c>
      <c r="D674" s="236" t="s">
        <v>3988</v>
      </c>
      <c r="E674" s="236" t="s">
        <v>3988</v>
      </c>
      <c r="F674" s="3891" t="s">
        <v>3988</v>
      </c>
      <c r="G674" s="3892"/>
      <c r="H674" s="3893" t="s">
        <v>5287</v>
      </c>
      <c r="I674" s="3893"/>
      <c r="J674" s="3894"/>
    </row>
    <row r="675" spans="1:10" x14ac:dyDescent="0.3">
      <c r="A675" s="253" t="s">
        <v>3988</v>
      </c>
      <c r="B675" s="236" t="s">
        <v>3988</v>
      </c>
      <c r="C675" s="236" t="s">
        <v>3988</v>
      </c>
      <c r="D675" s="236" t="s">
        <v>3988</v>
      </c>
      <c r="E675" s="236" t="s">
        <v>3988</v>
      </c>
      <c r="F675" s="3891" t="s">
        <v>3988</v>
      </c>
      <c r="G675" s="3892"/>
      <c r="H675" s="3893" t="s">
        <v>5287</v>
      </c>
      <c r="I675" s="3893"/>
      <c r="J675" s="3894"/>
    </row>
    <row r="676" spans="1:10" x14ac:dyDescent="0.3">
      <c r="A676" s="253" t="s">
        <v>3988</v>
      </c>
      <c r="B676" s="236" t="s">
        <v>3988</v>
      </c>
      <c r="C676" s="236" t="s">
        <v>3988</v>
      </c>
      <c r="D676" s="236" t="s">
        <v>3988</v>
      </c>
      <c r="E676" s="236" t="s">
        <v>3988</v>
      </c>
      <c r="F676" s="3891" t="s">
        <v>3988</v>
      </c>
      <c r="G676" s="3892"/>
      <c r="H676" s="3893" t="s">
        <v>5287</v>
      </c>
      <c r="I676" s="3893"/>
      <c r="J676" s="3894"/>
    </row>
    <row r="677" spans="1:10" x14ac:dyDescent="0.3">
      <c r="A677" s="253" t="s">
        <v>3988</v>
      </c>
      <c r="B677" s="236" t="s">
        <v>3988</v>
      </c>
      <c r="C677" s="236" t="s">
        <v>3988</v>
      </c>
      <c r="D677" s="236" t="s">
        <v>3988</v>
      </c>
      <c r="E677" s="236" t="s">
        <v>3988</v>
      </c>
      <c r="F677" s="3891" t="s">
        <v>3988</v>
      </c>
      <c r="G677" s="3892"/>
      <c r="H677" s="3893" t="s">
        <v>5287</v>
      </c>
      <c r="I677" s="3893"/>
      <c r="J677" s="3894"/>
    </row>
    <row r="678" spans="1:10" x14ac:dyDescent="0.3">
      <c r="A678" s="253" t="s">
        <v>3988</v>
      </c>
      <c r="B678" s="236" t="s">
        <v>3988</v>
      </c>
      <c r="C678" s="236" t="s">
        <v>3988</v>
      </c>
      <c r="D678" s="236" t="s">
        <v>3988</v>
      </c>
      <c r="E678" s="236" t="s">
        <v>3988</v>
      </c>
      <c r="F678" s="3891" t="s">
        <v>3988</v>
      </c>
      <c r="G678" s="3892"/>
      <c r="H678" s="3893" t="s">
        <v>5287</v>
      </c>
      <c r="I678" s="3893"/>
      <c r="J678" s="3894"/>
    </row>
    <row r="679" spans="1:10" x14ac:dyDescent="0.3">
      <c r="A679" s="253" t="s">
        <v>3988</v>
      </c>
      <c r="B679" s="236" t="s">
        <v>3988</v>
      </c>
      <c r="C679" s="236" t="s">
        <v>3988</v>
      </c>
      <c r="D679" s="236" t="s">
        <v>3988</v>
      </c>
      <c r="E679" s="236" t="s">
        <v>3988</v>
      </c>
      <c r="F679" s="3891" t="s">
        <v>3988</v>
      </c>
      <c r="G679" s="3892"/>
      <c r="H679" s="3893" t="s">
        <v>5287</v>
      </c>
      <c r="I679" s="3893"/>
      <c r="J679" s="3894"/>
    </row>
    <row r="680" spans="1:10" x14ac:dyDescent="0.3">
      <c r="A680" s="1788" t="s">
        <v>3753</v>
      </c>
      <c r="B680" s="235" t="s">
        <v>3988</v>
      </c>
      <c r="C680" s="235" t="s">
        <v>3988</v>
      </c>
      <c r="D680" s="235" t="s">
        <v>3988</v>
      </c>
      <c r="E680" s="3859" t="s">
        <v>5288</v>
      </c>
      <c r="F680" s="3860"/>
      <c r="G680" s="3861">
        <f>H671</f>
        <v>4500</v>
      </c>
      <c r="H680" s="3861"/>
      <c r="I680" s="3862"/>
      <c r="J680" s="254"/>
    </row>
    <row r="681" spans="1:10" x14ac:dyDescent="0.3">
      <c r="A681" s="255" t="s">
        <v>3988</v>
      </c>
      <c r="B681" s="237" t="s">
        <v>3988</v>
      </c>
      <c r="C681" s="237" t="s">
        <v>3988</v>
      </c>
      <c r="D681" s="237" t="s">
        <v>3988</v>
      </c>
      <c r="E681" s="237" t="s">
        <v>3988</v>
      </c>
      <c r="F681" s="238" t="s">
        <v>5289</v>
      </c>
      <c r="G681" s="239" t="s">
        <v>5290</v>
      </c>
      <c r="H681" s="3863" t="s">
        <v>5291</v>
      </c>
      <c r="I681" s="3863"/>
      <c r="J681" s="3864"/>
    </row>
    <row r="682" spans="1:10" x14ac:dyDescent="0.3">
      <c r="A682" s="3865" t="s">
        <v>5292</v>
      </c>
      <c r="B682" s="3866"/>
      <c r="C682" s="3866"/>
      <c r="D682" s="3866"/>
      <c r="E682" s="3867"/>
      <c r="F682" s="3871" t="s">
        <v>5293</v>
      </c>
      <c r="G682" s="3872"/>
      <c r="H682" s="3875">
        <f>G680</f>
        <v>4500</v>
      </c>
      <c r="I682" s="3876"/>
      <c r="J682" s="3877"/>
    </row>
    <row r="683" spans="1:10" x14ac:dyDescent="0.3">
      <c r="A683" s="3868"/>
      <c r="B683" s="3869"/>
      <c r="C683" s="3869"/>
      <c r="D683" s="3869"/>
      <c r="E683" s="3870"/>
      <c r="F683" s="3873"/>
      <c r="G683" s="3874"/>
      <c r="H683" s="3878"/>
      <c r="I683" s="3879"/>
      <c r="J683" s="3880"/>
    </row>
    <row r="684" spans="1:10" x14ac:dyDescent="0.3">
      <c r="A684" s="3881" t="s">
        <v>5294</v>
      </c>
      <c r="B684" s="3882"/>
      <c r="C684" s="3882"/>
      <c r="D684" s="3882"/>
      <c r="E684" s="3882"/>
      <c r="F684" s="3882"/>
      <c r="G684" s="3882"/>
      <c r="H684" s="3882"/>
      <c r="I684" s="3882"/>
      <c r="J684" s="3883"/>
    </row>
    <row r="685" spans="1:10" x14ac:dyDescent="0.3">
      <c r="A685" s="3884"/>
      <c r="B685" s="3885"/>
      <c r="C685" s="3885"/>
      <c r="D685" s="3885"/>
      <c r="E685" s="3885"/>
      <c r="F685" s="3885"/>
      <c r="G685" s="3885"/>
      <c r="H685" s="3885"/>
      <c r="I685" s="3885"/>
      <c r="J685" s="3886"/>
    </row>
    <row r="686" spans="1:10" x14ac:dyDescent="0.3">
      <c r="A686" s="1786"/>
      <c r="B686" s="1786"/>
      <c r="C686" s="1786"/>
      <c r="D686" s="1786"/>
      <c r="E686" s="1786"/>
      <c r="F686" s="1786"/>
      <c r="G686" s="1786"/>
      <c r="H686" s="1786"/>
      <c r="I686" s="1786"/>
      <c r="J686" s="1786"/>
    </row>
    <row r="687" spans="1:10" x14ac:dyDescent="0.3">
      <c r="A687" s="1786"/>
      <c r="B687" s="1786"/>
      <c r="C687" s="1786"/>
      <c r="D687" s="1786"/>
      <c r="E687" s="1786"/>
      <c r="F687" s="1786"/>
      <c r="G687" s="1786"/>
      <c r="H687" s="1786"/>
      <c r="I687" s="1786"/>
      <c r="J687" s="1786"/>
    </row>
    <row r="688" spans="1:10" x14ac:dyDescent="0.3">
      <c r="A688" s="246" t="s">
        <v>3988</v>
      </c>
      <c r="B688" s="247" t="s">
        <v>3988</v>
      </c>
      <c r="C688" s="3895" t="s">
        <v>5267</v>
      </c>
      <c r="D688" s="3895"/>
      <c r="E688" s="3895"/>
      <c r="F688" s="3896"/>
      <c r="G688" s="247" t="s">
        <v>3988</v>
      </c>
      <c r="H688" s="1789" t="s">
        <v>3988</v>
      </c>
      <c r="I688" s="1789" t="s">
        <v>3988</v>
      </c>
      <c r="J688" s="248" t="s">
        <v>3988</v>
      </c>
    </row>
    <row r="689" spans="1:10" ht="15.6" x14ac:dyDescent="0.3">
      <c r="A689" s="249" t="s">
        <v>3988</v>
      </c>
      <c r="B689" s="231"/>
      <c r="C689" s="3897" t="s">
        <v>3986</v>
      </c>
      <c r="D689" s="3897"/>
      <c r="E689" s="3897"/>
      <c r="F689" s="3898"/>
      <c r="G689" s="1790" t="s">
        <v>3988</v>
      </c>
      <c r="H689" s="3899" t="s">
        <v>5355</v>
      </c>
      <c r="I689" s="3899"/>
      <c r="J689" s="250" t="s">
        <v>3988</v>
      </c>
    </row>
    <row r="690" spans="1:10" ht="17.399999999999999" x14ac:dyDescent="0.3">
      <c r="A690" s="249" t="s">
        <v>3988</v>
      </c>
      <c r="B690" s="232"/>
      <c r="C690" s="3901" t="s">
        <v>5269</v>
      </c>
      <c r="D690" s="3901"/>
      <c r="E690" s="3901"/>
      <c r="F690" s="3902"/>
      <c r="G690" s="233" t="s">
        <v>5270</v>
      </c>
      <c r="H690" s="3900"/>
      <c r="I690" s="3900"/>
      <c r="J690" s="250" t="s">
        <v>3988</v>
      </c>
    </row>
    <row r="691" spans="1:10" x14ac:dyDescent="0.3">
      <c r="A691" s="249" t="s">
        <v>3988</v>
      </c>
      <c r="B691" s="232" t="s">
        <v>3988</v>
      </c>
      <c r="C691" s="3903" t="s">
        <v>5271</v>
      </c>
      <c r="D691" s="3903"/>
      <c r="E691" s="3903"/>
      <c r="F691" s="3904"/>
      <c r="G691" s="1790" t="s">
        <v>3988</v>
      </c>
      <c r="H691" s="234" t="s">
        <v>3988</v>
      </c>
      <c r="I691" s="234" t="s">
        <v>3988</v>
      </c>
      <c r="J691" s="251" t="s">
        <v>3988</v>
      </c>
    </row>
    <row r="692" spans="1:10" ht="31.8" x14ac:dyDescent="0.3">
      <c r="A692" s="242" t="s">
        <v>5272</v>
      </c>
      <c r="B692" s="3905" t="s">
        <v>5349</v>
      </c>
      <c r="C692" s="3906"/>
      <c r="D692" s="3906"/>
      <c r="E692" s="3907"/>
      <c r="F692" s="241" t="s">
        <v>5274</v>
      </c>
      <c r="G692" s="240" t="s">
        <v>4077</v>
      </c>
      <c r="H692" s="1791" t="s">
        <v>5276</v>
      </c>
      <c r="I692" s="1791" t="s">
        <v>5277</v>
      </c>
      <c r="J692" s="252" t="s">
        <v>5278</v>
      </c>
    </row>
    <row r="693" spans="1:10" x14ac:dyDescent="0.3">
      <c r="A693" s="3908"/>
      <c r="B693" s="3909"/>
      <c r="C693" s="3909"/>
      <c r="D693" s="3909"/>
      <c r="E693" s="3910"/>
      <c r="F693" s="3911"/>
      <c r="G693" s="3912"/>
      <c r="H693" s="256">
        <v>10</v>
      </c>
      <c r="I693" s="256">
        <v>8</v>
      </c>
      <c r="J693" s="257">
        <v>2021</v>
      </c>
    </row>
    <row r="694" spans="1:10" x14ac:dyDescent="0.3">
      <c r="A694" s="3913" t="s">
        <v>5279</v>
      </c>
      <c r="B694" s="3914"/>
      <c r="C694" s="3914"/>
      <c r="D694" s="3914"/>
      <c r="E694" s="3915"/>
      <c r="F694" s="258" t="s">
        <v>5280</v>
      </c>
      <c r="G694" s="1787" t="s">
        <v>3988</v>
      </c>
      <c r="H694" s="259" t="s">
        <v>5281</v>
      </c>
      <c r="I694" s="260" t="s">
        <v>3988</v>
      </c>
      <c r="J694" s="261" t="s">
        <v>3988</v>
      </c>
    </row>
    <row r="695" spans="1:10" x14ac:dyDescent="0.3">
      <c r="A695" s="3913" t="s">
        <v>5350</v>
      </c>
      <c r="B695" s="3914"/>
      <c r="C695" s="3914"/>
      <c r="D695" s="3914"/>
      <c r="E695" s="3915"/>
      <c r="F695" s="3911">
        <v>4821578</v>
      </c>
      <c r="G695" s="3912"/>
      <c r="H695" s="3911" t="s">
        <v>125</v>
      </c>
      <c r="I695" s="3911"/>
      <c r="J695" s="3916"/>
    </row>
    <row r="696" spans="1:10" x14ac:dyDescent="0.3">
      <c r="A696" s="262" t="s">
        <v>5284</v>
      </c>
      <c r="B696" s="3911" t="s">
        <v>5285</v>
      </c>
      <c r="C696" s="3911"/>
      <c r="D696" s="3911"/>
      <c r="E696" s="3912"/>
      <c r="F696" s="3917" t="s">
        <v>3752</v>
      </c>
      <c r="G696" s="3918"/>
      <c r="H696" s="3911" t="s">
        <v>5286</v>
      </c>
      <c r="I696" s="3911"/>
      <c r="J696" s="3916"/>
    </row>
    <row r="697" spans="1:10" x14ac:dyDescent="0.3">
      <c r="A697" s="263">
        <v>2</v>
      </c>
      <c r="B697" s="3887" t="s">
        <v>5331</v>
      </c>
      <c r="C697" s="3887"/>
      <c r="D697" s="3887"/>
      <c r="E697" s="3887"/>
      <c r="F697" s="3888">
        <v>2500</v>
      </c>
      <c r="G697" s="3889"/>
      <c r="H697" s="3887">
        <f>F697*A697</f>
        <v>5000</v>
      </c>
      <c r="I697" s="3887"/>
      <c r="J697" s="3890"/>
    </row>
    <row r="698" spans="1:10" x14ac:dyDescent="0.3">
      <c r="A698" s="263" t="s">
        <v>3988</v>
      </c>
      <c r="B698" s="3887" t="s">
        <v>3988</v>
      </c>
      <c r="C698" s="3887"/>
      <c r="D698" s="3887"/>
      <c r="E698" s="3887"/>
      <c r="F698" s="3888" t="s">
        <v>3988</v>
      </c>
      <c r="G698" s="3889"/>
      <c r="H698" s="3887" t="s">
        <v>3988</v>
      </c>
      <c r="I698" s="3887"/>
      <c r="J698" s="3890"/>
    </row>
    <row r="699" spans="1:10" x14ac:dyDescent="0.3">
      <c r="A699" s="263" t="s">
        <v>3988</v>
      </c>
      <c r="B699" s="264" t="s">
        <v>3988</v>
      </c>
      <c r="C699" s="264" t="s">
        <v>3988</v>
      </c>
      <c r="D699" s="264" t="s">
        <v>3988</v>
      </c>
      <c r="E699" s="264" t="s">
        <v>3988</v>
      </c>
      <c r="F699" s="3888" t="s">
        <v>3988</v>
      </c>
      <c r="G699" s="3889"/>
      <c r="H699" s="3887" t="s">
        <v>5287</v>
      </c>
      <c r="I699" s="3887"/>
      <c r="J699" s="3890"/>
    </row>
    <row r="700" spans="1:10" x14ac:dyDescent="0.3">
      <c r="A700" s="253" t="s">
        <v>3988</v>
      </c>
      <c r="B700" s="236" t="s">
        <v>3988</v>
      </c>
      <c r="C700" s="236" t="s">
        <v>3988</v>
      </c>
      <c r="D700" s="236" t="s">
        <v>3988</v>
      </c>
      <c r="E700" s="236" t="s">
        <v>3988</v>
      </c>
      <c r="F700" s="3891" t="s">
        <v>3988</v>
      </c>
      <c r="G700" s="3892"/>
      <c r="H700" s="3893" t="s">
        <v>5287</v>
      </c>
      <c r="I700" s="3893"/>
      <c r="J700" s="3894"/>
    </row>
    <row r="701" spans="1:10" x14ac:dyDescent="0.3">
      <c r="A701" s="253" t="s">
        <v>3988</v>
      </c>
      <c r="B701" s="236" t="s">
        <v>3988</v>
      </c>
      <c r="C701" s="236" t="s">
        <v>3988</v>
      </c>
      <c r="D701" s="236" t="s">
        <v>3988</v>
      </c>
      <c r="E701" s="236" t="s">
        <v>3988</v>
      </c>
      <c r="F701" s="3891" t="s">
        <v>3988</v>
      </c>
      <c r="G701" s="3892"/>
      <c r="H701" s="3893" t="s">
        <v>5287</v>
      </c>
      <c r="I701" s="3893"/>
      <c r="J701" s="3894"/>
    </row>
    <row r="702" spans="1:10" x14ac:dyDescent="0.3">
      <c r="A702" s="253" t="s">
        <v>3988</v>
      </c>
      <c r="B702" s="236" t="s">
        <v>3988</v>
      </c>
      <c r="C702" s="236" t="s">
        <v>3988</v>
      </c>
      <c r="D702" s="236" t="s">
        <v>3988</v>
      </c>
      <c r="E702" s="236" t="s">
        <v>3988</v>
      </c>
      <c r="F702" s="3891" t="s">
        <v>3988</v>
      </c>
      <c r="G702" s="3892"/>
      <c r="H702" s="3893" t="s">
        <v>5287</v>
      </c>
      <c r="I702" s="3893"/>
      <c r="J702" s="3894"/>
    </row>
    <row r="703" spans="1:10" x14ac:dyDescent="0.3">
      <c r="A703" s="253" t="s">
        <v>3988</v>
      </c>
      <c r="B703" s="236" t="s">
        <v>3988</v>
      </c>
      <c r="C703" s="236" t="s">
        <v>3988</v>
      </c>
      <c r="D703" s="236" t="s">
        <v>3988</v>
      </c>
      <c r="E703" s="236" t="s">
        <v>3988</v>
      </c>
      <c r="F703" s="3891" t="s">
        <v>3988</v>
      </c>
      <c r="G703" s="3892"/>
      <c r="H703" s="3893" t="s">
        <v>5287</v>
      </c>
      <c r="I703" s="3893"/>
      <c r="J703" s="3894"/>
    </row>
    <row r="704" spans="1:10" x14ac:dyDescent="0.3">
      <c r="A704" s="253" t="s">
        <v>3988</v>
      </c>
      <c r="B704" s="236" t="s">
        <v>3988</v>
      </c>
      <c r="C704" s="236" t="s">
        <v>3988</v>
      </c>
      <c r="D704" s="236" t="s">
        <v>3988</v>
      </c>
      <c r="E704" s="236" t="s">
        <v>3988</v>
      </c>
      <c r="F704" s="3891" t="s">
        <v>3988</v>
      </c>
      <c r="G704" s="3892"/>
      <c r="H704" s="3893" t="s">
        <v>5287</v>
      </c>
      <c r="I704" s="3893"/>
      <c r="J704" s="3894"/>
    </row>
    <row r="705" spans="1:10" x14ac:dyDescent="0.3">
      <c r="A705" s="253" t="s">
        <v>3988</v>
      </c>
      <c r="B705" s="236" t="s">
        <v>3988</v>
      </c>
      <c r="C705" s="236" t="s">
        <v>3988</v>
      </c>
      <c r="D705" s="236" t="s">
        <v>3988</v>
      </c>
      <c r="E705" s="236" t="s">
        <v>3988</v>
      </c>
      <c r="F705" s="3891" t="s">
        <v>3988</v>
      </c>
      <c r="G705" s="3892"/>
      <c r="H705" s="3893" t="s">
        <v>5287</v>
      </c>
      <c r="I705" s="3893"/>
      <c r="J705" s="3894"/>
    </row>
    <row r="706" spans="1:10" x14ac:dyDescent="0.3">
      <c r="A706" s="1788" t="s">
        <v>3753</v>
      </c>
      <c r="B706" s="235" t="s">
        <v>3988</v>
      </c>
      <c r="C706" s="235" t="s">
        <v>3988</v>
      </c>
      <c r="D706" s="235" t="s">
        <v>3988</v>
      </c>
      <c r="E706" s="3859" t="s">
        <v>5288</v>
      </c>
      <c r="F706" s="3860"/>
      <c r="G706" s="3861">
        <f>H697</f>
        <v>5000</v>
      </c>
      <c r="H706" s="3861"/>
      <c r="I706" s="3862"/>
      <c r="J706" s="254"/>
    </row>
    <row r="707" spans="1:10" x14ac:dyDescent="0.3">
      <c r="A707" s="255" t="s">
        <v>3988</v>
      </c>
      <c r="B707" s="237" t="s">
        <v>3988</v>
      </c>
      <c r="C707" s="237" t="s">
        <v>3988</v>
      </c>
      <c r="D707" s="237" t="s">
        <v>3988</v>
      </c>
      <c r="E707" s="237" t="s">
        <v>3988</v>
      </c>
      <c r="F707" s="238" t="s">
        <v>5289</v>
      </c>
      <c r="G707" s="239" t="s">
        <v>5290</v>
      </c>
      <c r="H707" s="3863" t="s">
        <v>5291</v>
      </c>
      <c r="I707" s="3863"/>
      <c r="J707" s="3864"/>
    </row>
    <row r="708" spans="1:10" x14ac:dyDescent="0.3">
      <c r="A708" s="3865" t="s">
        <v>5292</v>
      </c>
      <c r="B708" s="3866"/>
      <c r="C708" s="3866"/>
      <c r="D708" s="3866"/>
      <c r="E708" s="3867"/>
      <c r="F708" s="3871" t="s">
        <v>5293</v>
      </c>
      <c r="G708" s="3872"/>
      <c r="H708" s="3875">
        <f>G706</f>
        <v>5000</v>
      </c>
      <c r="I708" s="3876"/>
      <c r="J708" s="3877"/>
    </row>
    <row r="709" spans="1:10" x14ac:dyDescent="0.3">
      <c r="A709" s="3868"/>
      <c r="B709" s="3869"/>
      <c r="C709" s="3869"/>
      <c r="D709" s="3869"/>
      <c r="E709" s="3870"/>
      <c r="F709" s="3873"/>
      <c r="G709" s="3874"/>
      <c r="H709" s="3878"/>
      <c r="I709" s="3879"/>
      <c r="J709" s="3880"/>
    </row>
    <row r="710" spans="1:10" x14ac:dyDescent="0.3">
      <c r="A710" s="3881" t="s">
        <v>5294</v>
      </c>
      <c r="B710" s="3882"/>
      <c r="C710" s="3882"/>
      <c r="D710" s="3882"/>
      <c r="E710" s="3882"/>
      <c r="F710" s="3882"/>
      <c r="G710" s="3882"/>
      <c r="H710" s="3882"/>
      <c r="I710" s="3882"/>
      <c r="J710" s="3883"/>
    </row>
    <row r="711" spans="1:10" x14ac:dyDescent="0.3">
      <c r="A711" s="3884"/>
      <c r="B711" s="3885"/>
      <c r="C711" s="3885"/>
      <c r="D711" s="3885"/>
      <c r="E711" s="3885"/>
      <c r="F711" s="3885"/>
      <c r="G711" s="3885"/>
      <c r="H711" s="3885"/>
      <c r="I711" s="3885"/>
      <c r="J711" s="3886"/>
    </row>
    <row r="712" spans="1:10" x14ac:dyDescent="0.3">
      <c r="A712" s="1786"/>
      <c r="B712" s="1786"/>
      <c r="C712" s="1786"/>
      <c r="D712" s="1786"/>
      <c r="E712" s="1786"/>
      <c r="F712" s="1786"/>
      <c r="G712" s="1786"/>
      <c r="H712" s="1786"/>
      <c r="I712" s="1786"/>
      <c r="J712" s="1786"/>
    </row>
    <row r="713" spans="1:10" x14ac:dyDescent="0.3">
      <c r="A713" s="1786"/>
      <c r="B713" s="1786"/>
      <c r="C713" s="1786"/>
      <c r="D713" s="1786"/>
      <c r="E713" s="1786"/>
      <c r="F713" s="1786"/>
      <c r="G713" s="1786"/>
      <c r="H713" s="1786"/>
      <c r="I713" s="1786"/>
      <c r="J713" s="1786"/>
    </row>
    <row r="714" spans="1:10" x14ac:dyDescent="0.3">
      <c r="A714" s="246" t="s">
        <v>3988</v>
      </c>
      <c r="B714" s="247" t="s">
        <v>3988</v>
      </c>
      <c r="C714" s="3895" t="s">
        <v>5267</v>
      </c>
      <c r="D714" s="3895"/>
      <c r="E714" s="3895"/>
      <c r="F714" s="3896"/>
      <c r="G714" s="247" t="s">
        <v>3988</v>
      </c>
      <c r="H714" s="1789" t="s">
        <v>3988</v>
      </c>
      <c r="I714" s="1789" t="s">
        <v>3988</v>
      </c>
      <c r="J714" s="248" t="s">
        <v>3988</v>
      </c>
    </row>
    <row r="715" spans="1:10" ht="15.6" x14ac:dyDescent="0.3">
      <c r="A715" s="249" t="s">
        <v>3988</v>
      </c>
      <c r="B715" s="231"/>
      <c r="C715" s="3897" t="s">
        <v>3986</v>
      </c>
      <c r="D715" s="3897"/>
      <c r="E715" s="3897"/>
      <c r="F715" s="3898"/>
      <c r="G715" s="1790" t="s">
        <v>3988</v>
      </c>
      <c r="H715" s="3899" t="s">
        <v>5356</v>
      </c>
      <c r="I715" s="3899"/>
      <c r="J715" s="250" t="s">
        <v>3988</v>
      </c>
    </row>
    <row r="716" spans="1:10" ht="17.399999999999999" x14ac:dyDescent="0.3">
      <c r="A716" s="249" t="s">
        <v>3988</v>
      </c>
      <c r="B716" s="232"/>
      <c r="C716" s="3901" t="s">
        <v>5269</v>
      </c>
      <c r="D716" s="3901"/>
      <c r="E716" s="3901"/>
      <c r="F716" s="3902"/>
      <c r="G716" s="233" t="s">
        <v>5270</v>
      </c>
      <c r="H716" s="3900"/>
      <c r="I716" s="3900"/>
      <c r="J716" s="250" t="s">
        <v>3988</v>
      </c>
    </row>
    <row r="717" spans="1:10" x14ac:dyDescent="0.3">
      <c r="A717" s="249" t="s">
        <v>3988</v>
      </c>
      <c r="B717" s="232" t="s">
        <v>3988</v>
      </c>
      <c r="C717" s="3903" t="s">
        <v>5271</v>
      </c>
      <c r="D717" s="3903"/>
      <c r="E717" s="3903"/>
      <c r="F717" s="3904"/>
      <c r="G717" s="1790" t="s">
        <v>3988</v>
      </c>
      <c r="H717" s="234" t="s">
        <v>3988</v>
      </c>
      <c r="I717" s="234" t="s">
        <v>3988</v>
      </c>
      <c r="J717" s="251" t="s">
        <v>3988</v>
      </c>
    </row>
    <row r="718" spans="1:10" ht="31.8" x14ac:dyDescent="0.3">
      <c r="A718" s="242" t="s">
        <v>5272</v>
      </c>
      <c r="B718" s="3905" t="s">
        <v>4029</v>
      </c>
      <c r="C718" s="3906"/>
      <c r="D718" s="3906"/>
      <c r="E718" s="3907"/>
      <c r="F718" s="241" t="s">
        <v>5274</v>
      </c>
      <c r="G718" s="240">
        <v>70720539</v>
      </c>
      <c r="H718" s="1791" t="s">
        <v>5276</v>
      </c>
      <c r="I718" s="1791" t="s">
        <v>5277</v>
      </c>
      <c r="J718" s="252" t="s">
        <v>5278</v>
      </c>
    </row>
    <row r="719" spans="1:10" x14ac:dyDescent="0.3">
      <c r="A719" s="3908"/>
      <c r="B719" s="3909"/>
      <c r="C719" s="3909"/>
      <c r="D719" s="3909"/>
      <c r="E719" s="3910"/>
      <c r="F719" s="3911"/>
      <c r="G719" s="3912"/>
      <c r="H719" s="256">
        <v>11</v>
      </c>
      <c r="I719" s="256">
        <v>8</v>
      </c>
      <c r="J719" s="257">
        <v>2021</v>
      </c>
    </row>
    <row r="720" spans="1:10" x14ac:dyDescent="0.3">
      <c r="A720" s="3913" t="s">
        <v>5279</v>
      </c>
      <c r="B720" s="3914"/>
      <c r="C720" s="3914"/>
      <c r="D720" s="3914"/>
      <c r="E720" s="3915"/>
      <c r="F720" s="258" t="s">
        <v>5280</v>
      </c>
      <c r="G720" s="1787" t="s">
        <v>3988</v>
      </c>
      <c r="H720" s="259" t="s">
        <v>5281</v>
      </c>
      <c r="I720" s="260" t="s">
        <v>3988</v>
      </c>
      <c r="J720" s="261" t="s">
        <v>3988</v>
      </c>
    </row>
    <row r="721" spans="1:10" x14ac:dyDescent="0.3">
      <c r="A721" s="3913" t="s">
        <v>5330</v>
      </c>
      <c r="B721" s="3914"/>
      <c r="C721" s="3914"/>
      <c r="D721" s="3914"/>
      <c r="E721" s="3915"/>
      <c r="F721" s="3911">
        <v>4641136</v>
      </c>
      <c r="G721" s="3912"/>
      <c r="H721" s="3911" t="s">
        <v>125</v>
      </c>
      <c r="I721" s="3911"/>
      <c r="J721" s="3916"/>
    </row>
    <row r="722" spans="1:10" x14ac:dyDescent="0.3">
      <c r="A722" s="262" t="s">
        <v>5284</v>
      </c>
      <c r="B722" s="3911" t="s">
        <v>5285</v>
      </c>
      <c r="C722" s="3911"/>
      <c r="D722" s="3911"/>
      <c r="E722" s="3912"/>
      <c r="F722" s="3917" t="s">
        <v>3752</v>
      </c>
      <c r="G722" s="3918"/>
      <c r="H722" s="3911" t="s">
        <v>5286</v>
      </c>
      <c r="I722" s="3911"/>
      <c r="J722" s="3916"/>
    </row>
    <row r="723" spans="1:10" x14ac:dyDescent="0.3">
      <c r="A723" s="263">
        <v>2</v>
      </c>
      <c r="B723" s="3887" t="s">
        <v>5331</v>
      </c>
      <c r="C723" s="3887"/>
      <c r="D723" s="3887"/>
      <c r="E723" s="3887"/>
      <c r="F723" s="3888">
        <v>2500</v>
      </c>
      <c r="G723" s="3889"/>
      <c r="H723" s="3887">
        <f>F723*A723</f>
        <v>5000</v>
      </c>
      <c r="I723" s="3887"/>
      <c r="J723" s="3890"/>
    </row>
    <row r="724" spans="1:10" x14ac:dyDescent="0.3">
      <c r="A724" s="263" t="s">
        <v>3988</v>
      </c>
      <c r="B724" s="3887" t="s">
        <v>3988</v>
      </c>
      <c r="C724" s="3887"/>
      <c r="D724" s="3887"/>
      <c r="E724" s="3887"/>
      <c r="F724" s="3888" t="s">
        <v>3988</v>
      </c>
      <c r="G724" s="3889"/>
      <c r="H724" s="3887" t="s">
        <v>3988</v>
      </c>
      <c r="I724" s="3887"/>
      <c r="J724" s="3890"/>
    </row>
    <row r="725" spans="1:10" x14ac:dyDescent="0.3">
      <c r="A725" s="263" t="s">
        <v>3988</v>
      </c>
      <c r="B725" s="264" t="s">
        <v>3988</v>
      </c>
      <c r="C725" s="264" t="s">
        <v>3988</v>
      </c>
      <c r="D725" s="264" t="s">
        <v>3988</v>
      </c>
      <c r="E725" s="264" t="s">
        <v>3988</v>
      </c>
      <c r="F725" s="3888" t="s">
        <v>3988</v>
      </c>
      <c r="G725" s="3889"/>
      <c r="H725" s="3887" t="s">
        <v>5287</v>
      </c>
      <c r="I725" s="3887"/>
      <c r="J725" s="3890"/>
    </row>
    <row r="726" spans="1:10" x14ac:dyDescent="0.3">
      <c r="A726" s="253" t="s">
        <v>3988</v>
      </c>
      <c r="B726" s="236" t="s">
        <v>3988</v>
      </c>
      <c r="C726" s="236" t="s">
        <v>3988</v>
      </c>
      <c r="D726" s="236" t="s">
        <v>3988</v>
      </c>
      <c r="E726" s="236" t="s">
        <v>3988</v>
      </c>
      <c r="F726" s="3891" t="s">
        <v>3988</v>
      </c>
      <c r="G726" s="3892"/>
      <c r="H726" s="3893" t="s">
        <v>5287</v>
      </c>
      <c r="I726" s="3893"/>
      <c r="J726" s="3894"/>
    </row>
    <row r="727" spans="1:10" x14ac:dyDescent="0.3">
      <c r="A727" s="253" t="s">
        <v>3988</v>
      </c>
      <c r="B727" s="236" t="s">
        <v>3988</v>
      </c>
      <c r="C727" s="236" t="s">
        <v>3988</v>
      </c>
      <c r="D727" s="236" t="s">
        <v>3988</v>
      </c>
      <c r="E727" s="236" t="s">
        <v>3988</v>
      </c>
      <c r="F727" s="3891" t="s">
        <v>3988</v>
      </c>
      <c r="G727" s="3892"/>
      <c r="H727" s="3893" t="s">
        <v>5287</v>
      </c>
      <c r="I727" s="3893"/>
      <c r="J727" s="3894"/>
    </row>
    <row r="728" spans="1:10" x14ac:dyDescent="0.3">
      <c r="A728" s="253" t="s">
        <v>3988</v>
      </c>
      <c r="B728" s="236" t="s">
        <v>3988</v>
      </c>
      <c r="C728" s="236" t="s">
        <v>3988</v>
      </c>
      <c r="D728" s="236" t="s">
        <v>3988</v>
      </c>
      <c r="E728" s="236" t="s">
        <v>3988</v>
      </c>
      <c r="F728" s="3891" t="s">
        <v>3988</v>
      </c>
      <c r="G728" s="3892"/>
      <c r="H728" s="3893" t="s">
        <v>5287</v>
      </c>
      <c r="I728" s="3893"/>
      <c r="J728" s="3894"/>
    </row>
    <row r="729" spans="1:10" x14ac:dyDescent="0.3">
      <c r="A729" s="253" t="s">
        <v>3988</v>
      </c>
      <c r="B729" s="236" t="s">
        <v>3988</v>
      </c>
      <c r="C729" s="236" t="s">
        <v>3988</v>
      </c>
      <c r="D729" s="236" t="s">
        <v>3988</v>
      </c>
      <c r="E729" s="236" t="s">
        <v>3988</v>
      </c>
      <c r="F729" s="3891" t="s">
        <v>3988</v>
      </c>
      <c r="G729" s="3892"/>
      <c r="H729" s="3893" t="s">
        <v>5287</v>
      </c>
      <c r="I729" s="3893"/>
      <c r="J729" s="3894"/>
    </row>
    <row r="730" spans="1:10" x14ac:dyDescent="0.3">
      <c r="A730" s="253" t="s">
        <v>3988</v>
      </c>
      <c r="B730" s="236" t="s">
        <v>3988</v>
      </c>
      <c r="C730" s="236" t="s">
        <v>3988</v>
      </c>
      <c r="D730" s="236" t="s">
        <v>3988</v>
      </c>
      <c r="E730" s="236" t="s">
        <v>3988</v>
      </c>
      <c r="F730" s="3891" t="s">
        <v>3988</v>
      </c>
      <c r="G730" s="3892"/>
      <c r="H730" s="3893" t="s">
        <v>5287</v>
      </c>
      <c r="I730" s="3893"/>
      <c r="J730" s="3894"/>
    </row>
    <row r="731" spans="1:10" x14ac:dyDescent="0.3">
      <c r="A731" s="253" t="s">
        <v>3988</v>
      </c>
      <c r="B731" s="236" t="s">
        <v>3988</v>
      </c>
      <c r="C731" s="236" t="s">
        <v>3988</v>
      </c>
      <c r="D731" s="236" t="s">
        <v>3988</v>
      </c>
      <c r="E731" s="236" t="s">
        <v>3988</v>
      </c>
      <c r="F731" s="3891" t="s">
        <v>3988</v>
      </c>
      <c r="G731" s="3892"/>
      <c r="H731" s="3893" t="s">
        <v>5287</v>
      </c>
      <c r="I731" s="3893"/>
      <c r="J731" s="3894"/>
    </row>
    <row r="732" spans="1:10" x14ac:dyDescent="0.3">
      <c r="A732" s="1788" t="s">
        <v>3753</v>
      </c>
      <c r="B732" s="235" t="s">
        <v>3988</v>
      </c>
      <c r="C732" s="235" t="s">
        <v>3988</v>
      </c>
      <c r="D732" s="235" t="s">
        <v>3988</v>
      </c>
      <c r="E732" s="3859" t="s">
        <v>5288</v>
      </c>
      <c r="F732" s="3860"/>
      <c r="G732" s="3861">
        <f>H723</f>
        <v>5000</v>
      </c>
      <c r="H732" s="3861"/>
      <c r="I732" s="3862"/>
      <c r="J732" s="254"/>
    </row>
    <row r="733" spans="1:10" x14ac:dyDescent="0.3">
      <c r="A733" s="255" t="s">
        <v>3988</v>
      </c>
      <c r="B733" s="237" t="s">
        <v>3988</v>
      </c>
      <c r="C733" s="237" t="s">
        <v>3988</v>
      </c>
      <c r="D733" s="237" t="s">
        <v>3988</v>
      </c>
      <c r="E733" s="237" t="s">
        <v>3988</v>
      </c>
      <c r="F733" s="238" t="s">
        <v>5289</v>
      </c>
      <c r="G733" s="239" t="s">
        <v>5290</v>
      </c>
      <c r="H733" s="3863" t="s">
        <v>5291</v>
      </c>
      <c r="I733" s="3863"/>
      <c r="J733" s="3864"/>
    </row>
    <row r="734" spans="1:10" x14ac:dyDescent="0.3">
      <c r="A734" s="3865" t="s">
        <v>5292</v>
      </c>
      <c r="B734" s="3866"/>
      <c r="C734" s="3866"/>
      <c r="D734" s="3866"/>
      <c r="E734" s="3867"/>
      <c r="F734" s="3871" t="s">
        <v>5293</v>
      </c>
      <c r="G734" s="3872"/>
      <c r="H734" s="3875">
        <f>G732</f>
        <v>5000</v>
      </c>
      <c r="I734" s="3876"/>
      <c r="J734" s="3877"/>
    </row>
    <row r="735" spans="1:10" x14ac:dyDescent="0.3">
      <c r="A735" s="3868"/>
      <c r="B735" s="3869"/>
      <c r="C735" s="3869"/>
      <c r="D735" s="3869"/>
      <c r="E735" s="3870"/>
      <c r="F735" s="3873"/>
      <c r="G735" s="3874"/>
      <c r="H735" s="3878"/>
      <c r="I735" s="3879"/>
      <c r="J735" s="3880"/>
    </row>
    <row r="736" spans="1:10" x14ac:dyDescent="0.3">
      <c r="A736" s="3881" t="s">
        <v>5294</v>
      </c>
      <c r="B736" s="3882"/>
      <c r="C736" s="3882"/>
      <c r="D736" s="3882"/>
      <c r="E736" s="3882"/>
      <c r="F736" s="3882"/>
      <c r="G736" s="3882"/>
      <c r="H736" s="3882"/>
      <c r="I736" s="3882"/>
      <c r="J736" s="3883"/>
    </row>
    <row r="737" spans="1:10" x14ac:dyDescent="0.3">
      <c r="A737" s="3884"/>
      <c r="B737" s="3885"/>
      <c r="C737" s="3885"/>
      <c r="D737" s="3885"/>
      <c r="E737" s="3885"/>
      <c r="F737" s="3885"/>
      <c r="G737" s="3885"/>
      <c r="H737" s="3885"/>
      <c r="I737" s="3885"/>
      <c r="J737" s="3886"/>
    </row>
    <row r="740" spans="1:10" x14ac:dyDescent="0.3">
      <c r="A740" s="246" t="s">
        <v>3988</v>
      </c>
      <c r="B740" s="247" t="s">
        <v>3988</v>
      </c>
      <c r="C740" s="3895" t="s">
        <v>5267</v>
      </c>
      <c r="D740" s="3895"/>
      <c r="E740" s="3895"/>
      <c r="F740" s="3896"/>
      <c r="G740" s="247" t="s">
        <v>3988</v>
      </c>
      <c r="H740" s="1789" t="s">
        <v>3988</v>
      </c>
      <c r="I740" s="1789" t="s">
        <v>3988</v>
      </c>
      <c r="J740" s="248" t="s">
        <v>3988</v>
      </c>
    </row>
    <row r="741" spans="1:10" ht="15.6" x14ac:dyDescent="0.3">
      <c r="A741" s="249" t="s">
        <v>3988</v>
      </c>
      <c r="B741" s="231"/>
      <c r="C741" s="3897" t="s">
        <v>3986</v>
      </c>
      <c r="D741" s="3897"/>
      <c r="E741" s="3897"/>
      <c r="F741" s="3898"/>
      <c r="G741" s="1790" t="s">
        <v>3988</v>
      </c>
      <c r="H741" s="3899" t="s">
        <v>5357</v>
      </c>
      <c r="I741" s="3899"/>
      <c r="J741" s="250" t="s">
        <v>3988</v>
      </c>
    </row>
    <row r="742" spans="1:10" ht="17.399999999999999" x14ac:dyDescent="0.3">
      <c r="A742" s="249" t="s">
        <v>3988</v>
      </c>
      <c r="B742" s="232"/>
      <c r="C742" s="3901" t="s">
        <v>5269</v>
      </c>
      <c r="D742" s="3901"/>
      <c r="E742" s="3901"/>
      <c r="F742" s="3902"/>
      <c r="G742" s="233" t="s">
        <v>5270</v>
      </c>
      <c r="H742" s="3900"/>
      <c r="I742" s="3900"/>
      <c r="J742" s="250" t="s">
        <v>3988</v>
      </c>
    </row>
    <row r="743" spans="1:10" x14ac:dyDescent="0.3">
      <c r="A743" s="249" t="s">
        <v>3988</v>
      </c>
      <c r="B743" s="232" t="s">
        <v>3988</v>
      </c>
      <c r="C743" s="3903" t="s">
        <v>5271</v>
      </c>
      <c r="D743" s="3903"/>
      <c r="E743" s="3903"/>
      <c r="F743" s="3904"/>
      <c r="G743" s="1790" t="s">
        <v>3988</v>
      </c>
      <c r="H743" s="234" t="s">
        <v>3988</v>
      </c>
      <c r="I743" s="234" t="s">
        <v>3988</v>
      </c>
      <c r="J743" s="251" t="s">
        <v>3988</v>
      </c>
    </row>
    <row r="744" spans="1:10" ht="31.8" x14ac:dyDescent="0.3">
      <c r="A744" s="242" t="s">
        <v>5272</v>
      </c>
      <c r="B744" s="3905" t="s">
        <v>5358</v>
      </c>
      <c r="C744" s="3906"/>
      <c r="D744" s="3906"/>
      <c r="E744" s="3907"/>
      <c r="F744" s="241" t="s">
        <v>5274</v>
      </c>
      <c r="G744" s="240">
        <v>98496872</v>
      </c>
      <c r="H744" s="1791" t="s">
        <v>5276</v>
      </c>
      <c r="I744" s="1791" t="s">
        <v>5277</v>
      </c>
      <c r="J744" s="252" t="s">
        <v>5278</v>
      </c>
    </row>
    <row r="745" spans="1:10" x14ac:dyDescent="0.3">
      <c r="A745" s="3908"/>
      <c r="B745" s="3909"/>
      <c r="C745" s="3909"/>
      <c r="D745" s="3909"/>
      <c r="E745" s="3910"/>
      <c r="F745" s="3911"/>
      <c r="G745" s="3912"/>
      <c r="H745" s="256">
        <v>20</v>
      </c>
      <c r="I745" s="256">
        <v>10</v>
      </c>
      <c r="J745" s="257">
        <v>2021</v>
      </c>
    </row>
    <row r="746" spans="1:10" x14ac:dyDescent="0.3">
      <c r="A746" s="3913" t="s">
        <v>5279</v>
      </c>
      <c r="B746" s="3914"/>
      <c r="C746" s="3914"/>
      <c r="D746" s="3914"/>
      <c r="E746" s="3915"/>
      <c r="F746" s="258" t="s">
        <v>5280</v>
      </c>
      <c r="G746" s="1787" t="s">
        <v>3988</v>
      </c>
      <c r="H746" s="259" t="s">
        <v>5281</v>
      </c>
      <c r="I746" s="260" t="s">
        <v>3988</v>
      </c>
      <c r="J746" s="261" t="s">
        <v>3988</v>
      </c>
    </row>
    <row r="747" spans="1:10" x14ac:dyDescent="0.3">
      <c r="A747" s="3913" t="s">
        <v>5359</v>
      </c>
      <c r="B747" s="3914"/>
      <c r="C747" s="3914"/>
      <c r="D747" s="3914"/>
      <c r="E747" s="3915"/>
      <c r="F747" s="3911" t="s">
        <v>5360</v>
      </c>
      <c r="G747" s="3912"/>
      <c r="H747" s="3911" t="s">
        <v>125</v>
      </c>
      <c r="I747" s="3911"/>
      <c r="J747" s="3916"/>
    </row>
    <row r="748" spans="1:10" x14ac:dyDescent="0.3">
      <c r="A748" s="262" t="s">
        <v>5284</v>
      </c>
      <c r="B748" s="3911" t="s">
        <v>5285</v>
      </c>
      <c r="C748" s="3911"/>
      <c r="D748" s="3911"/>
      <c r="E748" s="3912"/>
      <c r="F748" s="3917" t="s">
        <v>3752</v>
      </c>
      <c r="G748" s="3918"/>
      <c r="H748" s="3911" t="s">
        <v>5286</v>
      </c>
      <c r="I748" s="3911"/>
      <c r="J748" s="3916"/>
    </row>
    <row r="749" spans="1:10" x14ac:dyDescent="0.3">
      <c r="A749" s="263">
        <v>3</v>
      </c>
      <c r="B749" s="3887" t="s">
        <v>5331</v>
      </c>
      <c r="C749" s="3887"/>
      <c r="D749" s="3887"/>
      <c r="E749" s="3887"/>
      <c r="F749" s="3888">
        <v>2000</v>
      </c>
      <c r="G749" s="3889"/>
      <c r="H749" s="3887">
        <f>F749*A749</f>
        <v>6000</v>
      </c>
      <c r="I749" s="3887"/>
      <c r="J749" s="3890"/>
    </row>
    <row r="750" spans="1:10" x14ac:dyDescent="0.3">
      <c r="A750" s="263" t="s">
        <v>3988</v>
      </c>
      <c r="B750" s="3887" t="s">
        <v>3988</v>
      </c>
      <c r="C750" s="3887"/>
      <c r="D750" s="3887"/>
      <c r="E750" s="3887"/>
      <c r="F750" s="3888" t="s">
        <v>3988</v>
      </c>
      <c r="G750" s="3889"/>
      <c r="H750" s="3887" t="s">
        <v>3988</v>
      </c>
      <c r="I750" s="3887"/>
      <c r="J750" s="3890"/>
    </row>
    <row r="751" spans="1:10" x14ac:dyDescent="0.3">
      <c r="A751" s="263" t="s">
        <v>3988</v>
      </c>
      <c r="B751" s="264" t="s">
        <v>3988</v>
      </c>
      <c r="C751" s="264" t="s">
        <v>3988</v>
      </c>
      <c r="D751" s="264" t="s">
        <v>3988</v>
      </c>
      <c r="E751" s="264" t="s">
        <v>3988</v>
      </c>
      <c r="F751" s="3888" t="s">
        <v>3988</v>
      </c>
      <c r="G751" s="3889"/>
      <c r="H751" s="3887" t="s">
        <v>5287</v>
      </c>
      <c r="I751" s="3887"/>
      <c r="J751" s="3890"/>
    </row>
    <row r="752" spans="1:10" x14ac:dyDescent="0.3">
      <c r="A752" s="253" t="s">
        <v>3988</v>
      </c>
      <c r="B752" s="236" t="s">
        <v>3988</v>
      </c>
      <c r="C752" s="236" t="s">
        <v>3988</v>
      </c>
      <c r="D752" s="236" t="s">
        <v>3988</v>
      </c>
      <c r="E752" s="236" t="s">
        <v>3988</v>
      </c>
      <c r="F752" s="3891" t="s">
        <v>3988</v>
      </c>
      <c r="G752" s="3892"/>
      <c r="H752" s="3893" t="s">
        <v>5287</v>
      </c>
      <c r="I752" s="3893"/>
      <c r="J752" s="3894"/>
    </row>
    <row r="753" spans="1:10" x14ac:dyDescent="0.3">
      <c r="A753" s="253" t="s">
        <v>3988</v>
      </c>
      <c r="B753" s="236" t="s">
        <v>3988</v>
      </c>
      <c r="C753" s="236" t="s">
        <v>3988</v>
      </c>
      <c r="D753" s="236" t="s">
        <v>3988</v>
      </c>
      <c r="E753" s="236" t="s">
        <v>3988</v>
      </c>
      <c r="F753" s="3891" t="s">
        <v>3988</v>
      </c>
      <c r="G753" s="3892"/>
      <c r="H753" s="3893" t="s">
        <v>5287</v>
      </c>
      <c r="I753" s="3893"/>
      <c r="J753" s="3894"/>
    </row>
    <row r="754" spans="1:10" x14ac:dyDescent="0.3">
      <c r="A754" s="253" t="s">
        <v>3988</v>
      </c>
      <c r="B754" s="236" t="s">
        <v>3988</v>
      </c>
      <c r="C754" s="236" t="s">
        <v>3988</v>
      </c>
      <c r="D754" s="236" t="s">
        <v>3988</v>
      </c>
      <c r="E754" s="236" t="s">
        <v>3988</v>
      </c>
      <c r="F754" s="3891" t="s">
        <v>3988</v>
      </c>
      <c r="G754" s="3892"/>
      <c r="H754" s="3893" t="s">
        <v>5287</v>
      </c>
      <c r="I754" s="3893"/>
      <c r="J754" s="3894"/>
    </row>
    <row r="755" spans="1:10" x14ac:dyDescent="0.3">
      <c r="A755" s="253" t="s">
        <v>3988</v>
      </c>
      <c r="B755" s="236" t="s">
        <v>3988</v>
      </c>
      <c r="C755" s="236" t="s">
        <v>3988</v>
      </c>
      <c r="D755" s="236" t="s">
        <v>3988</v>
      </c>
      <c r="E755" s="236" t="s">
        <v>3988</v>
      </c>
      <c r="F755" s="3891" t="s">
        <v>3988</v>
      </c>
      <c r="G755" s="3892"/>
      <c r="H755" s="3893" t="s">
        <v>5287</v>
      </c>
      <c r="I755" s="3893"/>
      <c r="J755" s="3894"/>
    </row>
    <row r="756" spans="1:10" x14ac:dyDescent="0.3">
      <c r="A756" s="253" t="s">
        <v>3988</v>
      </c>
      <c r="B756" s="236" t="s">
        <v>3988</v>
      </c>
      <c r="C756" s="236" t="s">
        <v>3988</v>
      </c>
      <c r="D756" s="236" t="s">
        <v>3988</v>
      </c>
      <c r="E756" s="236" t="s">
        <v>3988</v>
      </c>
      <c r="F756" s="3891" t="s">
        <v>3988</v>
      </c>
      <c r="G756" s="3892"/>
      <c r="H756" s="3893" t="s">
        <v>5287</v>
      </c>
      <c r="I756" s="3893"/>
      <c r="J756" s="3894"/>
    </row>
    <row r="757" spans="1:10" x14ac:dyDescent="0.3">
      <c r="A757" s="253" t="s">
        <v>3988</v>
      </c>
      <c r="B757" s="236" t="s">
        <v>3988</v>
      </c>
      <c r="C757" s="236" t="s">
        <v>3988</v>
      </c>
      <c r="D757" s="236" t="s">
        <v>3988</v>
      </c>
      <c r="E757" s="236" t="s">
        <v>3988</v>
      </c>
      <c r="F757" s="3891" t="s">
        <v>3988</v>
      </c>
      <c r="G757" s="3892"/>
      <c r="H757" s="3893" t="s">
        <v>5287</v>
      </c>
      <c r="I757" s="3893"/>
      <c r="J757" s="3894"/>
    </row>
    <row r="758" spans="1:10" x14ac:dyDescent="0.3">
      <c r="A758" s="1788" t="s">
        <v>3753</v>
      </c>
      <c r="B758" s="235" t="s">
        <v>3988</v>
      </c>
      <c r="C758" s="235" t="s">
        <v>3988</v>
      </c>
      <c r="D758" s="235" t="s">
        <v>3988</v>
      </c>
      <c r="E758" s="3859" t="s">
        <v>5288</v>
      </c>
      <c r="F758" s="3860"/>
      <c r="G758" s="3861">
        <f>H749</f>
        <v>6000</v>
      </c>
      <c r="H758" s="3861"/>
      <c r="I758" s="3862"/>
      <c r="J758" s="254"/>
    </row>
    <row r="759" spans="1:10" x14ac:dyDescent="0.3">
      <c r="A759" s="255" t="s">
        <v>3988</v>
      </c>
      <c r="B759" s="237" t="s">
        <v>3988</v>
      </c>
      <c r="C759" s="237" t="s">
        <v>3988</v>
      </c>
      <c r="D759" s="237" t="s">
        <v>3988</v>
      </c>
      <c r="E759" s="237" t="s">
        <v>3988</v>
      </c>
      <c r="F759" s="238" t="s">
        <v>5289</v>
      </c>
      <c r="G759" s="239" t="s">
        <v>5290</v>
      </c>
      <c r="H759" s="3863" t="s">
        <v>5291</v>
      </c>
      <c r="I759" s="3863"/>
      <c r="J759" s="3864"/>
    </row>
    <row r="760" spans="1:10" x14ac:dyDescent="0.3">
      <c r="A760" s="3865" t="s">
        <v>5292</v>
      </c>
      <c r="B760" s="3866"/>
      <c r="C760" s="3866"/>
      <c r="D760" s="3866"/>
      <c r="E760" s="3867"/>
      <c r="F760" s="3871" t="s">
        <v>5293</v>
      </c>
      <c r="G760" s="3872"/>
      <c r="H760" s="3875">
        <f>G758</f>
        <v>6000</v>
      </c>
      <c r="I760" s="3876"/>
      <c r="J760" s="3877"/>
    </row>
    <row r="761" spans="1:10" x14ac:dyDescent="0.3">
      <c r="A761" s="3868"/>
      <c r="B761" s="3869"/>
      <c r="C761" s="3869"/>
      <c r="D761" s="3869"/>
      <c r="E761" s="3870"/>
      <c r="F761" s="3873"/>
      <c r="G761" s="3874"/>
      <c r="H761" s="3878"/>
      <c r="I761" s="3879"/>
      <c r="J761" s="3880"/>
    </row>
    <row r="762" spans="1:10" x14ac:dyDescent="0.3">
      <c r="A762" s="3881" t="s">
        <v>5294</v>
      </c>
      <c r="B762" s="3882"/>
      <c r="C762" s="3882"/>
      <c r="D762" s="3882"/>
      <c r="E762" s="3882"/>
      <c r="F762" s="3882"/>
      <c r="G762" s="3882"/>
      <c r="H762" s="3882"/>
      <c r="I762" s="3882"/>
      <c r="J762" s="3883"/>
    </row>
    <row r="763" spans="1:10" x14ac:dyDescent="0.3">
      <c r="A763" s="3884"/>
      <c r="B763" s="3885"/>
      <c r="C763" s="3885"/>
      <c r="D763" s="3885"/>
      <c r="E763" s="3885"/>
      <c r="F763" s="3885"/>
      <c r="G763" s="3885"/>
      <c r="H763" s="3885"/>
      <c r="I763" s="3885"/>
      <c r="J763" s="3886"/>
    </row>
    <row r="765" spans="1:10" x14ac:dyDescent="0.3">
      <c r="A765" s="246" t="s">
        <v>3988</v>
      </c>
      <c r="B765" s="247" t="s">
        <v>3988</v>
      </c>
      <c r="C765" s="3895" t="s">
        <v>5267</v>
      </c>
      <c r="D765" s="3895"/>
      <c r="E765" s="3895"/>
      <c r="F765" s="3896"/>
      <c r="G765" s="247" t="s">
        <v>3988</v>
      </c>
      <c r="H765" s="1789" t="s">
        <v>3988</v>
      </c>
      <c r="I765" s="1789" t="s">
        <v>3988</v>
      </c>
      <c r="J765" s="248" t="s">
        <v>3988</v>
      </c>
    </row>
    <row r="766" spans="1:10" ht="15.6" x14ac:dyDescent="0.3">
      <c r="A766" s="249" t="s">
        <v>3988</v>
      </c>
      <c r="B766" s="231"/>
      <c r="C766" s="3897" t="s">
        <v>3986</v>
      </c>
      <c r="D766" s="3897"/>
      <c r="E766" s="3897"/>
      <c r="F766" s="3898"/>
      <c r="G766" s="1790" t="s">
        <v>3988</v>
      </c>
      <c r="H766" s="3899" t="s">
        <v>5361</v>
      </c>
      <c r="I766" s="3899"/>
      <c r="J766" s="250" t="s">
        <v>3988</v>
      </c>
    </row>
    <row r="767" spans="1:10" ht="17.399999999999999" x14ac:dyDescent="0.3">
      <c r="A767" s="249" t="s">
        <v>3988</v>
      </c>
      <c r="B767" s="232"/>
      <c r="C767" s="3901" t="s">
        <v>5269</v>
      </c>
      <c r="D767" s="3901"/>
      <c r="E767" s="3901"/>
      <c r="F767" s="3902"/>
      <c r="G767" s="233" t="s">
        <v>5270</v>
      </c>
      <c r="H767" s="3900"/>
      <c r="I767" s="3900"/>
      <c r="J767" s="250" t="s">
        <v>3988</v>
      </c>
    </row>
    <row r="768" spans="1:10" x14ac:dyDescent="0.3">
      <c r="A768" s="249" t="s">
        <v>3988</v>
      </c>
      <c r="B768" s="232" t="s">
        <v>3988</v>
      </c>
      <c r="C768" s="3903" t="s">
        <v>5271</v>
      </c>
      <c r="D768" s="3903"/>
      <c r="E768" s="3903"/>
      <c r="F768" s="3904"/>
      <c r="G768" s="1790" t="s">
        <v>3988</v>
      </c>
      <c r="H768" s="234" t="s">
        <v>3988</v>
      </c>
      <c r="I768" s="234" t="s">
        <v>3988</v>
      </c>
      <c r="J768" s="251" t="s">
        <v>3988</v>
      </c>
    </row>
    <row r="769" spans="1:10" ht="31.8" x14ac:dyDescent="0.3">
      <c r="A769" s="242" t="s">
        <v>5272</v>
      </c>
      <c r="B769" s="3905" t="s">
        <v>5362</v>
      </c>
      <c r="C769" s="3906"/>
      <c r="D769" s="3906"/>
      <c r="E769" s="3907"/>
      <c r="F769" s="241" t="s">
        <v>5274</v>
      </c>
      <c r="G769" s="240">
        <v>98529299</v>
      </c>
      <c r="H769" s="1791" t="s">
        <v>5276</v>
      </c>
      <c r="I769" s="1791" t="s">
        <v>5277</v>
      </c>
      <c r="J769" s="252" t="s">
        <v>5278</v>
      </c>
    </row>
    <row r="770" spans="1:10" x14ac:dyDescent="0.3">
      <c r="A770" s="3908"/>
      <c r="B770" s="3909"/>
      <c r="C770" s="3909"/>
      <c r="D770" s="3909"/>
      <c r="E770" s="3910"/>
      <c r="F770" s="3911"/>
      <c r="G770" s="3912"/>
      <c r="H770" s="256">
        <v>11</v>
      </c>
      <c r="I770" s="256">
        <v>9</v>
      </c>
      <c r="J770" s="257">
        <v>2021</v>
      </c>
    </row>
    <row r="771" spans="1:10" x14ac:dyDescent="0.3">
      <c r="A771" s="3913" t="s">
        <v>5279</v>
      </c>
      <c r="B771" s="3914"/>
      <c r="C771" s="3914"/>
      <c r="D771" s="3914"/>
      <c r="E771" s="3915"/>
      <c r="F771" s="258" t="s">
        <v>5280</v>
      </c>
      <c r="G771" s="1787" t="s">
        <v>3988</v>
      </c>
      <c r="H771" s="259" t="s">
        <v>5281</v>
      </c>
      <c r="I771" s="260" t="s">
        <v>3988</v>
      </c>
      <c r="J771" s="261" t="s">
        <v>3988</v>
      </c>
    </row>
    <row r="772" spans="1:10" x14ac:dyDescent="0.3">
      <c r="A772" s="3913" t="s">
        <v>5363</v>
      </c>
      <c r="B772" s="3914"/>
      <c r="C772" s="3914"/>
      <c r="D772" s="3914"/>
      <c r="E772" s="3915"/>
      <c r="F772" s="3911" t="s">
        <v>5364</v>
      </c>
      <c r="G772" s="3912"/>
      <c r="H772" s="3911" t="s">
        <v>125</v>
      </c>
      <c r="I772" s="3911"/>
      <c r="J772" s="3916"/>
    </row>
    <row r="773" spans="1:10" x14ac:dyDescent="0.3">
      <c r="A773" s="262" t="s">
        <v>5284</v>
      </c>
      <c r="B773" s="3911" t="s">
        <v>5285</v>
      </c>
      <c r="C773" s="3911"/>
      <c r="D773" s="3911"/>
      <c r="E773" s="3912"/>
      <c r="F773" s="3917" t="s">
        <v>3752</v>
      </c>
      <c r="G773" s="3918"/>
      <c r="H773" s="3911" t="s">
        <v>5286</v>
      </c>
      <c r="I773" s="3911"/>
      <c r="J773" s="3916"/>
    </row>
    <row r="774" spans="1:10" x14ac:dyDescent="0.3">
      <c r="A774" s="263">
        <v>2</v>
      </c>
      <c r="B774" s="3887" t="s">
        <v>5331</v>
      </c>
      <c r="C774" s="3887"/>
      <c r="D774" s="3887"/>
      <c r="E774" s="3887"/>
      <c r="F774" s="3888">
        <v>2250</v>
      </c>
      <c r="G774" s="3889"/>
      <c r="H774" s="3887">
        <f>F774*A774</f>
        <v>4500</v>
      </c>
      <c r="I774" s="3887"/>
      <c r="J774" s="3890"/>
    </row>
    <row r="775" spans="1:10" x14ac:dyDescent="0.3">
      <c r="A775" s="263" t="s">
        <v>3988</v>
      </c>
      <c r="B775" s="3887" t="s">
        <v>3988</v>
      </c>
      <c r="C775" s="3887"/>
      <c r="D775" s="3887"/>
      <c r="E775" s="3887"/>
      <c r="F775" s="3888" t="s">
        <v>3988</v>
      </c>
      <c r="G775" s="3889"/>
      <c r="H775" s="3887" t="s">
        <v>3988</v>
      </c>
      <c r="I775" s="3887"/>
      <c r="J775" s="3890"/>
    </row>
    <row r="776" spans="1:10" x14ac:dyDescent="0.3">
      <c r="A776" s="263" t="s">
        <v>3988</v>
      </c>
      <c r="B776" s="264" t="s">
        <v>3988</v>
      </c>
      <c r="C776" s="264" t="s">
        <v>3988</v>
      </c>
      <c r="D776" s="264" t="s">
        <v>3988</v>
      </c>
      <c r="E776" s="264" t="s">
        <v>3988</v>
      </c>
      <c r="F776" s="3888" t="s">
        <v>3988</v>
      </c>
      <c r="G776" s="3889"/>
      <c r="H776" s="3887" t="s">
        <v>5287</v>
      </c>
      <c r="I776" s="3887"/>
      <c r="J776" s="3890"/>
    </row>
    <row r="777" spans="1:10" x14ac:dyDescent="0.3">
      <c r="A777" s="253" t="s">
        <v>3988</v>
      </c>
      <c r="B777" s="236" t="s">
        <v>3988</v>
      </c>
      <c r="C777" s="236" t="s">
        <v>3988</v>
      </c>
      <c r="D777" s="236" t="s">
        <v>3988</v>
      </c>
      <c r="E777" s="236" t="s">
        <v>3988</v>
      </c>
      <c r="F777" s="3891" t="s">
        <v>3988</v>
      </c>
      <c r="G777" s="3892"/>
      <c r="H777" s="3893" t="s">
        <v>5287</v>
      </c>
      <c r="I777" s="3893"/>
      <c r="J777" s="3894"/>
    </row>
    <row r="778" spans="1:10" x14ac:dyDescent="0.3">
      <c r="A778" s="253" t="s">
        <v>3988</v>
      </c>
      <c r="B778" s="236" t="s">
        <v>3988</v>
      </c>
      <c r="C778" s="236" t="s">
        <v>3988</v>
      </c>
      <c r="D778" s="236" t="s">
        <v>3988</v>
      </c>
      <c r="E778" s="236" t="s">
        <v>3988</v>
      </c>
      <c r="F778" s="3891" t="s">
        <v>3988</v>
      </c>
      <c r="G778" s="3892"/>
      <c r="H778" s="3893" t="s">
        <v>5287</v>
      </c>
      <c r="I778" s="3893"/>
      <c r="J778" s="3894"/>
    </row>
    <row r="779" spans="1:10" x14ac:dyDescent="0.3">
      <c r="A779" s="253" t="s">
        <v>3988</v>
      </c>
      <c r="B779" s="236" t="s">
        <v>3988</v>
      </c>
      <c r="C779" s="236" t="s">
        <v>3988</v>
      </c>
      <c r="D779" s="236" t="s">
        <v>3988</v>
      </c>
      <c r="E779" s="236" t="s">
        <v>3988</v>
      </c>
      <c r="F779" s="3891" t="s">
        <v>3988</v>
      </c>
      <c r="G779" s="3892"/>
      <c r="H779" s="3893" t="s">
        <v>5287</v>
      </c>
      <c r="I779" s="3893"/>
      <c r="J779" s="3894"/>
    </row>
    <row r="780" spans="1:10" x14ac:dyDescent="0.3">
      <c r="A780" s="253" t="s">
        <v>3988</v>
      </c>
      <c r="B780" s="236" t="s">
        <v>3988</v>
      </c>
      <c r="C780" s="236" t="s">
        <v>3988</v>
      </c>
      <c r="D780" s="236" t="s">
        <v>3988</v>
      </c>
      <c r="E780" s="236" t="s">
        <v>3988</v>
      </c>
      <c r="F780" s="3891" t="s">
        <v>3988</v>
      </c>
      <c r="G780" s="3892"/>
      <c r="H780" s="3893" t="s">
        <v>5287</v>
      </c>
      <c r="I780" s="3893"/>
      <c r="J780" s="3894"/>
    </row>
    <row r="781" spans="1:10" x14ac:dyDescent="0.3">
      <c r="A781" s="253" t="s">
        <v>3988</v>
      </c>
      <c r="B781" s="236" t="s">
        <v>3988</v>
      </c>
      <c r="C781" s="236" t="s">
        <v>3988</v>
      </c>
      <c r="D781" s="236" t="s">
        <v>3988</v>
      </c>
      <c r="E781" s="236" t="s">
        <v>3988</v>
      </c>
      <c r="F781" s="3891" t="s">
        <v>3988</v>
      </c>
      <c r="G781" s="3892"/>
      <c r="H781" s="3893" t="s">
        <v>5287</v>
      </c>
      <c r="I781" s="3893"/>
      <c r="J781" s="3894"/>
    </row>
    <row r="782" spans="1:10" x14ac:dyDescent="0.3">
      <c r="A782" s="253" t="s">
        <v>3988</v>
      </c>
      <c r="B782" s="236" t="s">
        <v>3988</v>
      </c>
      <c r="C782" s="236" t="s">
        <v>3988</v>
      </c>
      <c r="D782" s="236" t="s">
        <v>3988</v>
      </c>
      <c r="E782" s="236" t="s">
        <v>3988</v>
      </c>
      <c r="F782" s="3891" t="s">
        <v>3988</v>
      </c>
      <c r="G782" s="3892"/>
      <c r="H782" s="3893" t="s">
        <v>5287</v>
      </c>
      <c r="I782" s="3893"/>
      <c r="J782" s="3894"/>
    </row>
    <row r="783" spans="1:10" x14ac:dyDescent="0.3">
      <c r="A783" s="1788" t="s">
        <v>3753</v>
      </c>
      <c r="B783" s="235" t="s">
        <v>3988</v>
      </c>
      <c r="C783" s="235" t="s">
        <v>3988</v>
      </c>
      <c r="D783" s="235" t="s">
        <v>3988</v>
      </c>
      <c r="E783" s="3859" t="s">
        <v>5288</v>
      </c>
      <c r="F783" s="3860"/>
      <c r="G783" s="3861">
        <f>H774</f>
        <v>4500</v>
      </c>
      <c r="H783" s="3861"/>
      <c r="I783" s="3862"/>
      <c r="J783" s="254"/>
    </row>
    <row r="784" spans="1:10" x14ac:dyDescent="0.3">
      <c r="A784" s="255" t="s">
        <v>3988</v>
      </c>
      <c r="B784" s="237" t="s">
        <v>3988</v>
      </c>
      <c r="C784" s="237" t="s">
        <v>3988</v>
      </c>
      <c r="D784" s="237" t="s">
        <v>3988</v>
      </c>
      <c r="E784" s="237" t="s">
        <v>3988</v>
      </c>
      <c r="F784" s="238" t="s">
        <v>5289</v>
      </c>
      <c r="G784" s="239" t="s">
        <v>5290</v>
      </c>
      <c r="H784" s="3863" t="s">
        <v>5291</v>
      </c>
      <c r="I784" s="3863"/>
      <c r="J784" s="3864"/>
    </row>
    <row r="785" spans="1:10" x14ac:dyDescent="0.3">
      <c r="A785" s="3865" t="s">
        <v>5292</v>
      </c>
      <c r="B785" s="3866"/>
      <c r="C785" s="3866"/>
      <c r="D785" s="3866"/>
      <c r="E785" s="3867"/>
      <c r="F785" s="3871" t="s">
        <v>5293</v>
      </c>
      <c r="G785" s="3872"/>
      <c r="H785" s="3875">
        <f>G783</f>
        <v>4500</v>
      </c>
      <c r="I785" s="3876"/>
      <c r="J785" s="3877"/>
    </row>
    <row r="786" spans="1:10" x14ac:dyDescent="0.3">
      <c r="A786" s="3868"/>
      <c r="B786" s="3869"/>
      <c r="C786" s="3869"/>
      <c r="D786" s="3869"/>
      <c r="E786" s="3870"/>
      <c r="F786" s="3873"/>
      <c r="G786" s="3874"/>
      <c r="H786" s="3878"/>
      <c r="I786" s="3879"/>
      <c r="J786" s="3880"/>
    </row>
    <row r="787" spans="1:10" x14ac:dyDescent="0.3">
      <c r="A787" s="3881" t="s">
        <v>5294</v>
      </c>
      <c r="B787" s="3882"/>
      <c r="C787" s="3882"/>
      <c r="D787" s="3882"/>
      <c r="E787" s="3882"/>
      <c r="F787" s="3882"/>
      <c r="G787" s="3882"/>
      <c r="H787" s="3882"/>
      <c r="I787" s="3882"/>
      <c r="J787" s="3883"/>
    </row>
    <row r="788" spans="1:10" x14ac:dyDescent="0.3">
      <c r="A788" s="3884"/>
      <c r="B788" s="3885"/>
      <c r="C788" s="3885"/>
      <c r="D788" s="3885"/>
      <c r="E788" s="3885"/>
      <c r="F788" s="3885"/>
      <c r="G788" s="3885"/>
      <c r="H788" s="3885"/>
      <c r="I788" s="3885"/>
      <c r="J788" s="3886"/>
    </row>
    <row r="790" spans="1:10" x14ac:dyDescent="0.3">
      <c r="A790" s="246" t="s">
        <v>3988</v>
      </c>
      <c r="B790" s="247" t="s">
        <v>3988</v>
      </c>
      <c r="C790" s="3895" t="s">
        <v>5267</v>
      </c>
      <c r="D790" s="3895"/>
      <c r="E790" s="3895"/>
      <c r="F790" s="3896"/>
      <c r="G790" s="247" t="s">
        <v>3988</v>
      </c>
      <c r="H790" s="1789" t="s">
        <v>3988</v>
      </c>
      <c r="I790" s="1789" t="s">
        <v>3988</v>
      </c>
      <c r="J790" s="248" t="s">
        <v>3988</v>
      </c>
    </row>
    <row r="791" spans="1:10" ht="15.6" x14ac:dyDescent="0.3">
      <c r="A791" s="249" t="s">
        <v>3988</v>
      </c>
      <c r="B791" s="231"/>
      <c r="C791" s="3897" t="s">
        <v>3986</v>
      </c>
      <c r="D791" s="3897"/>
      <c r="E791" s="3897"/>
      <c r="F791" s="3898"/>
      <c r="G791" s="1790" t="s">
        <v>3988</v>
      </c>
      <c r="H791" s="3899" t="s">
        <v>5365</v>
      </c>
      <c r="I791" s="3899"/>
      <c r="J791" s="250" t="s">
        <v>3988</v>
      </c>
    </row>
    <row r="792" spans="1:10" ht="17.399999999999999" x14ac:dyDescent="0.3">
      <c r="A792" s="249" t="s">
        <v>3988</v>
      </c>
      <c r="B792" s="232"/>
      <c r="C792" s="3901" t="s">
        <v>5269</v>
      </c>
      <c r="D792" s="3901"/>
      <c r="E792" s="3901"/>
      <c r="F792" s="3902"/>
      <c r="G792" s="233" t="s">
        <v>5270</v>
      </c>
      <c r="H792" s="3900"/>
      <c r="I792" s="3900"/>
      <c r="J792" s="250" t="s">
        <v>3988</v>
      </c>
    </row>
    <row r="793" spans="1:10" x14ac:dyDescent="0.3">
      <c r="A793" s="249" t="s">
        <v>3988</v>
      </c>
      <c r="B793" s="232" t="s">
        <v>3988</v>
      </c>
      <c r="C793" s="3903" t="s">
        <v>5271</v>
      </c>
      <c r="D793" s="3903"/>
      <c r="E793" s="3903"/>
      <c r="F793" s="3904"/>
      <c r="G793" s="1790" t="s">
        <v>3988</v>
      </c>
      <c r="H793" s="234" t="s">
        <v>3988</v>
      </c>
      <c r="I793" s="234" t="s">
        <v>3988</v>
      </c>
      <c r="J793" s="251" t="s">
        <v>3988</v>
      </c>
    </row>
    <row r="794" spans="1:10" ht="31.8" x14ac:dyDescent="0.3">
      <c r="A794" s="242" t="s">
        <v>5272</v>
      </c>
      <c r="B794" s="3905" t="s">
        <v>5362</v>
      </c>
      <c r="C794" s="3906"/>
      <c r="D794" s="3906"/>
      <c r="E794" s="3907"/>
      <c r="F794" s="241" t="s">
        <v>5274</v>
      </c>
      <c r="G794" s="240">
        <v>98529299</v>
      </c>
      <c r="H794" s="1791" t="s">
        <v>5276</v>
      </c>
      <c r="I794" s="1791" t="s">
        <v>5277</v>
      </c>
      <c r="J794" s="252" t="s">
        <v>5278</v>
      </c>
    </row>
    <row r="795" spans="1:10" x14ac:dyDescent="0.3">
      <c r="A795" s="3908"/>
      <c r="B795" s="3909"/>
      <c r="C795" s="3909"/>
      <c r="D795" s="3909"/>
      <c r="E795" s="3910"/>
      <c r="F795" s="3911"/>
      <c r="G795" s="3912"/>
      <c r="H795" s="256">
        <v>15</v>
      </c>
      <c r="I795" s="256">
        <v>9</v>
      </c>
      <c r="J795" s="257">
        <v>2021</v>
      </c>
    </row>
    <row r="796" spans="1:10" x14ac:dyDescent="0.3">
      <c r="A796" s="3913" t="s">
        <v>5279</v>
      </c>
      <c r="B796" s="3914"/>
      <c r="C796" s="3914"/>
      <c r="D796" s="3914"/>
      <c r="E796" s="3915"/>
      <c r="F796" s="258" t="s">
        <v>5280</v>
      </c>
      <c r="G796" s="1787" t="s">
        <v>3988</v>
      </c>
      <c r="H796" s="259" t="s">
        <v>5281</v>
      </c>
      <c r="I796" s="260" t="s">
        <v>3988</v>
      </c>
      <c r="J796" s="261" t="s">
        <v>3988</v>
      </c>
    </row>
    <row r="797" spans="1:10" x14ac:dyDescent="0.3">
      <c r="A797" s="3913" t="s">
        <v>5363</v>
      </c>
      <c r="B797" s="3914"/>
      <c r="C797" s="3914"/>
      <c r="D797" s="3914"/>
      <c r="E797" s="3915"/>
      <c r="F797" s="3911" t="s">
        <v>5364</v>
      </c>
      <c r="G797" s="3912"/>
      <c r="H797" s="3911" t="s">
        <v>125</v>
      </c>
      <c r="I797" s="3911"/>
      <c r="J797" s="3916"/>
    </row>
    <row r="798" spans="1:10" x14ac:dyDescent="0.3">
      <c r="A798" s="262" t="s">
        <v>5284</v>
      </c>
      <c r="B798" s="3911" t="s">
        <v>5285</v>
      </c>
      <c r="C798" s="3911"/>
      <c r="D798" s="3911"/>
      <c r="E798" s="3912"/>
      <c r="F798" s="3917" t="s">
        <v>3752</v>
      </c>
      <c r="G798" s="3918"/>
      <c r="H798" s="3911" t="s">
        <v>5286</v>
      </c>
      <c r="I798" s="3911"/>
      <c r="J798" s="3916"/>
    </row>
    <row r="799" spans="1:10" x14ac:dyDescent="0.3">
      <c r="A799" s="263">
        <v>2</v>
      </c>
      <c r="B799" s="3887" t="s">
        <v>5331</v>
      </c>
      <c r="C799" s="3887"/>
      <c r="D799" s="3887"/>
      <c r="E799" s="3887"/>
      <c r="F799" s="3888">
        <v>2000</v>
      </c>
      <c r="G799" s="3889"/>
      <c r="H799" s="3887">
        <f>F799*A799</f>
        <v>4000</v>
      </c>
      <c r="I799" s="3887"/>
      <c r="J799" s="3890"/>
    </row>
    <row r="800" spans="1:10" x14ac:dyDescent="0.3">
      <c r="A800" s="263" t="s">
        <v>3988</v>
      </c>
      <c r="B800" s="3887" t="s">
        <v>3988</v>
      </c>
      <c r="C800" s="3887"/>
      <c r="D800" s="3887"/>
      <c r="E800" s="3887"/>
      <c r="F800" s="3888" t="s">
        <v>3988</v>
      </c>
      <c r="G800" s="3889"/>
      <c r="H800" s="3887" t="s">
        <v>3988</v>
      </c>
      <c r="I800" s="3887"/>
      <c r="J800" s="3890"/>
    </row>
    <row r="801" spans="1:10" x14ac:dyDescent="0.3">
      <c r="A801" s="263" t="s">
        <v>3988</v>
      </c>
      <c r="B801" s="264" t="s">
        <v>3988</v>
      </c>
      <c r="C801" s="264" t="s">
        <v>3988</v>
      </c>
      <c r="D801" s="264" t="s">
        <v>3988</v>
      </c>
      <c r="E801" s="264" t="s">
        <v>3988</v>
      </c>
      <c r="F801" s="3888" t="s">
        <v>3988</v>
      </c>
      <c r="G801" s="3889"/>
      <c r="H801" s="3887" t="s">
        <v>5287</v>
      </c>
      <c r="I801" s="3887"/>
      <c r="J801" s="3890"/>
    </row>
    <row r="802" spans="1:10" x14ac:dyDescent="0.3">
      <c r="A802" s="253" t="s">
        <v>3988</v>
      </c>
      <c r="B802" s="236" t="s">
        <v>3988</v>
      </c>
      <c r="C802" s="236" t="s">
        <v>3988</v>
      </c>
      <c r="D802" s="236" t="s">
        <v>3988</v>
      </c>
      <c r="E802" s="236" t="s">
        <v>3988</v>
      </c>
      <c r="F802" s="3891" t="s">
        <v>3988</v>
      </c>
      <c r="G802" s="3892"/>
      <c r="H802" s="3893" t="s">
        <v>5287</v>
      </c>
      <c r="I802" s="3893"/>
      <c r="J802" s="3894"/>
    </row>
    <row r="803" spans="1:10" x14ac:dyDescent="0.3">
      <c r="A803" s="253" t="s">
        <v>3988</v>
      </c>
      <c r="B803" s="236" t="s">
        <v>3988</v>
      </c>
      <c r="C803" s="236" t="s">
        <v>3988</v>
      </c>
      <c r="D803" s="236" t="s">
        <v>3988</v>
      </c>
      <c r="E803" s="236" t="s">
        <v>3988</v>
      </c>
      <c r="F803" s="3891" t="s">
        <v>3988</v>
      </c>
      <c r="G803" s="3892"/>
      <c r="H803" s="3893" t="s">
        <v>5287</v>
      </c>
      <c r="I803" s="3893"/>
      <c r="J803" s="3894"/>
    </row>
    <row r="804" spans="1:10" x14ac:dyDescent="0.3">
      <c r="A804" s="253" t="s">
        <v>3988</v>
      </c>
      <c r="B804" s="236" t="s">
        <v>3988</v>
      </c>
      <c r="C804" s="236" t="s">
        <v>3988</v>
      </c>
      <c r="D804" s="236" t="s">
        <v>3988</v>
      </c>
      <c r="E804" s="236" t="s">
        <v>3988</v>
      </c>
      <c r="F804" s="3891" t="s">
        <v>3988</v>
      </c>
      <c r="G804" s="3892"/>
      <c r="H804" s="3893" t="s">
        <v>5287</v>
      </c>
      <c r="I804" s="3893"/>
      <c r="J804" s="3894"/>
    </row>
    <row r="805" spans="1:10" x14ac:dyDescent="0.3">
      <c r="A805" s="253" t="s">
        <v>3988</v>
      </c>
      <c r="B805" s="236" t="s">
        <v>3988</v>
      </c>
      <c r="C805" s="236" t="s">
        <v>3988</v>
      </c>
      <c r="D805" s="236" t="s">
        <v>3988</v>
      </c>
      <c r="E805" s="236" t="s">
        <v>3988</v>
      </c>
      <c r="F805" s="3891" t="s">
        <v>3988</v>
      </c>
      <c r="G805" s="3892"/>
      <c r="H805" s="3893" t="s">
        <v>5287</v>
      </c>
      <c r="I805" s="3893"/>
      <c r="J805" s="3894"/>
    </row>
    <row r="806" spans="1:10" x14ac:dyDescent="0.3">
      <c r="A806" s="253" t="s">
        <v>3988</v>
      </c>
      <c r="B806" s="236" t="s">
        <v>3988</v>
      </c>
      <c r="C806" s="236" t="s">
        <v>3988</v>
      </c>
      <c r="D806" s="236" t="s">
        <v>3988</v>
      </c>
      <c r="E806" s="236" t="s">
        <v>3988</v>
      </c>
      <c r="F806" s="3891" t="s">
        <v>3988</v>
      </c>
      <c r="G806" s="3892"/>
      <c r="H806" s="3893" t="s">
        <v>5287</v>
      </c>
      <c r="I806" s="3893"/>
      <c r="J806" s="3894"/>
    </row>
    <row r="807" spans="1:10" x14ac:dyDescent="0.3">
      <c r="A807" s="253" t="s">
        <v>3988</v>
      </c>
      <c r="B807" s="236" t="s">
        <v>3988</v>
      </c>
      <c r="C807" s="236" t="s">
        <v>3988</v>
      </c>
      <c r="D807" s="236" t="s">
        <v>3988</v>
      </c>
      <c r="E807" s="236" t="s">
        <v>3988</v>
      </c>
      <c r="F807" s="3891" t="s">
        <v>3988</v>
      </c>
      <c r="G807" s="3892"/>
      <c r="H807" s="3893" t="s">
        <v>5287</v>
      </c>
      <c r="I807" s="3893"/>
      <c r="J807" s="3894"/>
    </row>
    <row r="808" spans="1:10" x14ac:dyDescent="0.3">
      <c r="A808" s="1788" t="s">
        <v>3753</v>
      </c>
      <c r="B808" s="235" t="s">
        <v>3988</v>
      </c>
      <c r="C808" s="235" t="s">
        <v>3988</v>
      </c>
      <c r="D808" s="235" t="s">
        <v>3988</v>
      </c>
      <c r="E808" s="3859" t="s">
        <v>5288</v>
      </c>
      <c r="F808" s="3860"/>
      <c r="G808" s="3861">
        <f>H799</f>
        <v>4000</v>
      </c>
      <c r="H808" s="3861"/>
      <c r="I808" s="3862"/>
      <c r="J808" s="254"/>
    </row>
    <row r="809" spans="1:10" x14ac:dyDescent="0.3">
      <c r="A809" s="255" t="s">
        <v>3988</v>
      </c>
      <c r="B809" s="237" t="s">
        <v>3988</v>
      </c>
      <c r="C809" s="237" t="s">
        <v>3988</v>
      </c>
      <c r="D809" s="237" t="s">
        <v>3988</v>
      </c>
      <c r="E809" s="237" t="s">
        <v>3988</v>
      </c>
      <c r="F809" s="238" t="s">
        <v>5289</v>
      </c>
      <c r="G809" s="239" t="s">
        <v>5290</v>
      </c>
      <c r="H809" s="3863" t="s">
        <v>5291</v>
      </c>
      <c r="I809" s="3863"/>
      <c r="J809" s="3864"/>
    </row>
    <row r="810" spans="1:10" x14ac:dyDescent="0.3">
      <c r="A810" s="3865" t="s">
        <v>5292</v>
      </c>
      <c r="B810" s="3866"/>
      <c r="C810" s="3866"/>
      <c r="D810" s="3866"/>
      <c r="E810" s="3867"/>
      <c r="F810" s="3871" t="s">
        <v>5293</v>
      </c>
      <c r="G810" s="3872"/>
      <c r="H810" s="3875">
        <f>G808</f>
        <v>4000</v>
      </c>
      <c r="I810" s="3876"/>
      <c r="J810" s="3877"/>
    </row>
    <row r="811" spans="1:10" x14ac:dyDescent="0.3">
      <c r="A811" s="3868"/>
      <c r="B811" s="3869"/>
      <c r="C811" s="3869"/>
      <c r="D811" s="3869"/>
      <c r="E811" s="3870"/>
      <c r="F811" s="3873"/>
      <c r="G811" s="3874"/>
      <c r="H811" s="3878"/>
      <c r="I811" s="3879"/>
      <c r="J811" s="3880"/>
    </row>
    <row r="812" spans="1:10" x14ac:dyDescent="0.3">
      <c r="A812" s="3881" t="s">
        <v>5294</v>
      </c>
      <c r="B812" s="3882"/>
      <c r="C812" s="3882"/>
      <c r="D812" s="3882"/>
      <c r="E812" s="3882"/>
      <c r="F812" s="3882"/>
      <c r="G812" s="3882"/>
      <c r="H812" s="3882"/>
      <c r="I812" s="3882"/>
      <c r="J812" s="3883"/>
    </row>
    <row r="813" spans="1:10" x14ac:dyDescent="0.3">
      <c r="A813" s="3884"/>
      <c r="B813" s="3885"/>
      <c r="C813" s="3885"/>
      <c r="D813" s="3885"/>
      <c r="E813" s="3885"/>
      <c r="F813" s="3885"/>
      <c r="G813" s="3885"/>
      <c r="H813" s="3885"/>
      <c r="I813" s="3885"/>
      <c r="J813" s="3886"/>
    </row>
    <row r="815" spans="1:10" x14ac:dyDescent="0.3">
      <c r="A815" s="246" t="s">
        <v>3988</v>
      </c>
      <c r="B815" s="247" t="s">
        <v>3988</v>
      </c>
      <c r="C815" s="3895" t="s">
        <v>5267</v>
      </c>
      <c r="D815" s="3895"/>
      <c r="E815" s="3895"/>
      <c r="F815" s="3896"/>
      <c r="G815" s="247" t="s">
        <v>3988</v>
      </c>
      <c r="H815" s="1789" t="s">
        <v>3988</v>
      </c>
      <c r="I815" s="1789" t="s">
        <v>3988</v>
      </c>
      <c r="J815" s="248" t="s">
        <v>3988</v>
      </c>
    </row>
    <row r="816" spans="1:10" ht="15.6" x14ac:dyDescent="0.3">
      <c r="A816" s="249" t="s">
        <v>3988</v>
      </c>
      <c r="B816" s="231"/>
      <c r="C816" s="3897" t="s">
        <v>3986</v>
      </c>
      <c r="D816" s="3897"/>
      <c r="E816" s="3897"/>
      <c r="F816" s="3898"/>
      <c r="G816" s="1790" t="s">
        <v>3988</v>
      </c>
      <c r="H816" s="3899" t="s">
        <v>5366</v>
      </c>
      <c r="I816" s="3899"/>
      <c r="J816" s="250" t="s">
        <v>3988</v>
      </c>
    </row>
    <row r="817" spans="1:10" ht="17.399999999999999" x14ac:dyDescent="0.3">
      <c r="A817" s="249" t="s">
        <v>3988</v>
      </c>
      <c r="B817" s="232"/>
      <c r="C817" s="3901" t="s">
        <v>5269</v>
      </c>
      <c r="D817" s="3901"/>
      <c r="E817" s="3901"/>
      <c r="F817" s="3902"/>
      <c r="G817" s="233" t="s">
        <v>5270</v>
      </c>
      <c r="H817" s="3900"/>
      <c r="I817" s="3900"/>
      <c r="J817" s="250" t="s">
        <v>3988</v>
      </c>
    </row>
    <row r="818" spans="1:10" x14ac:dyDescent="0.3">
      <c r="A818" s="249" t="s">
        <v>3988</v>
      </c>
      <c r="B818" s="232" t="s">
        <v>3988</v>
      </c>
      <c r="C818" s="3903" t="s">
        <v>5271</v>
      </c>
      <c r="D818" s="3903"/>
      <c r="E818" s="3903"/>
      <c r="F818" s="3904"/>
      <c r="G818" s="1790" t="s">
        <v>3988</v>
      </c>
      <c r="H818" s="234" t="s">
        <v>3988</v>
      </c>
      <c r="I818" s="234" t="s">
        <v>3988</v>
      </c>
      <c r="J818" s="251" t="s">
        <v>3988</v>
      </c>
    </row>
    <row r="819" spans="1:10" ht="31.8" x14ac:dyDescent="0.3">
      <c r="A819" s="242" t="s">
        <v>5272</v>
      </c>
      <c r="B819" s="3905" t="s">
        <v>5362</v>
      </c>
      <c r="C819" s="3906"/>
      <c r="D819" s="3906"/>
      <c r="E819" s="3907"/>
      <c r="F819" s="241" t="s">
        <v>5274</v>
      </c>
      <c r="G819" s="240">
        <v>98529299</v>
      </c>
      <c r="H819" s="1791" t="s">
        <v>5276</v>
      </c>
      <c r="I819" s="1791" t="s">
        <v>5277</v>
      </c>
      <c r="J819" s="252" t="s">
        <v>5278</v>
      </c>
    </row>
    <row r="820" spans="1:10" x14ac:dyDescent="0.3">
      <c r="A820" s="3908"/>
      <c r="B820" s="3909"/>
      <c r="C820" s="3909"/>
      <c r="D820" s="3909"/>
      <c r="E820" s="3910"/>
      <c r="F820" s="3911"/>
      <c r="G820" s="3912"/>
      <c r="H820" s="256">
        <v>29</v>
      </c>
      <c r="I820" s="256">
        <v>11</v>
      </c>
      <c r="J820" s="257">
        <v>2021</v>
      </c>
    </row>
    <row r="821" spans="1:10" x14ac:dyDescent="0.3">
      <c r="A821" s="3913" t="s">
        <v>5279</v>
      </c>
      <c r="B821" s="3914"/>
      <c r="C821" s="3914"/>
      <c r="D821" s="3914"/>
      <c r="E821" s="3915"/>
      <c r="F821" s="258" t="s">
        <v>5280</v>
      </c>
      <c r="G821" s="1787" t="s">
        <v>3988</v>
      </c>
      <c r="H821" s="259" t="s">
        <v>5281</v>
      </c>
      <c r="I821" s="260" t="s">
        <v>3988</v>
      </c>
      <c r="J821" s="261" t="s">
        <v>3988</v>
      </c>
    </row>
    <row r="822" spans="1:10" x14ac:dyDescent="0.3">
      <c r="A822" s="3913" t="s">
        <v>5363</v>
      </c>
      <c r="B822" s="3914"/>
      <c r="C822" s="3914"/>
      <c r="D822" s="3914"/>
      <c r="E822" s="3915"/>
      <c r="F822" s="3911" t="s">
        <v>5364</v>
      </c>
      <c r="G822" s="3912"/>
      <c r="H822" s="3911" t="s">
        <v>125</v>
      </c>
      <c r="I822" s="3911"/>
      <c r="J822" s="3916"/>
    </row>
    <row r="823" spans="1:10" x14ac:dyDescent="0.3">
      <c r="A823" s="262" t="s">
        <v>5284</v>
      </c>
      <c r="B823" s="3911" t="s">
        <v>5285</v>
      </c>
      <c r="C823" s="3911"/>
      <c r="D823" s="3911"/>
      <c r="E823" s="3912"/>
      <c r="F823" s="3917" t="s">
        <v>3752</v>
      </c>
      <c r="G823" s="3918"/>
      <c r="H823" s="3911" t="s">
        <v>5286</v>
      </c>
      <c r="I823" s="3911"/>
      <c r="J823" s="3916"/>
    </row>
    <row r="824" spans="1:10" x14ac:dyDescent="0.3">
      <c r="A824" s="263">
        <v>2</v>
      </c>
      <c r="B824" s="3887" t="s">
        <v>5331</v>
      </c>
      <c r="C824" s="3887"/>
      <c r="D824" s="3887"/>
      <c r="E824" s="3887"/>
      <c r="F824" s="3888">
        <v>2000</v>
      </c>
      <c r="G824" s="3889"/>
      <c r="H824" s="3887">
        <f>F824*A824</f>
        <v>4000</v>
      </c>
      <c r="I824" s="3887"/>
      <c r="J824" s="3890"/>
    </row>
    <row r="825" spans="1:10" x14ac:dyDescent="0.3">
      <c r="A825" s="263" t="s">
        <v>3988</v>
      </c>
      <c r="B825" s="3887" t="s">
        <v>3988</v>
      </c>
      <c r="C825" s="3887"/>
      <c r="D825" s="3887"/>
      <c r="E825" s="3887"/>
      <c r="F825" s="3888" t="s">
        <v>3988</v>
      </c>
      <c r="G825" s="3889"/>
      <c r="H825" s="3887" t="s">
        <v>3988</v>
      </c>
      <c r="I825" s="3887"/>
      <c r="J825" s="3890"/>
    </row>
    <row r="826" spans="1:10" x14ac:dyDescent="0.3">
      <c r="A826" s="263" t="s">
        <v>3988</v>
      </c>
      <c r="B826" s="264" t="s">
        <v>3988</v>
      </c>
      <c r="C826" s="264" t="s">
        <v>3988</v>
      </c>
      <c r="D826" s="264" t="s">
        <v>3988</v>
      </c>
      <c r="E826" s="264" t="s">
        <v>3988</v>
      </c>
      <c r="F826" s="3888" t="s">
        <v>3988</v>
      </c>
      <c r="G826" s="3889"/>
      <c r="H826" s="3887" t="s">
        <v>5287</v>
      </c>
      <c r="I826" s="3887"/>
      <c r="J826" s="3890"/>
    </row>
    <row r="827" spans="1:10" x14ac:dyDescent="0.3">
      <c r="A827" s="253" t="s">
        <v>3988</v>
      </c>
      <c r="B827" s="236" t="s">
        <v>3988</v>
      </c>
      <c r="C827" s="236" t="s">
        <v>3988</v>
      </c>
      <c r="D827" s="236" t="s">
        <v>3988</v>
      </c>
      <c r="E827" s="236" t="s">
        <v>3988</v>
      </c>
      <c r="F827" s="3891" t="s">
        <v>3988</v>
      </c>
      <c r="G827" s="3892"/>
      <c r="H827" s="3893" t="s">
        <v>5287</v>
      </c>
      <c r="I827" s="3893"/>
      <c r="J827" s="3894"/>
    </row>
    <row r="828" spans="1:10" x14ac:dyDescent="0.3">
      <c r="A828" s="253" t="s">
        <v>3988</v>
      </c>
      <c r="B828" s="236" t="s">
        <v>3988</v>
      </c>
      <c r="C828" s="236" t="s">
        <v>3988</v>
      </c>
      <c r="D828" s="236" t="s">
        <v>3988</v>
      </c>
      <c r="E828" s="236" t="s">
        <v>3988</v>
      </c>
      <c r="F828" s="3891" t="s">
        <v>3988</v>
      </c>
      <c r="G828" s="3892"/>
      <c r="H828" s="3893" t="s">
        <v>5287</v>
      </c>
      <c r="I828" s="3893"/>
      <c r="J828" s="3894"/>
    </row>
    <row r="829" spans="1:10" x14ac:dyDescent="0.3">
      <c r="A829" s="253" t="s">
        <v>3988</v>
      </c>
      <c r="B829" s="236" t="s">
        <v>3988</v>
      </c>
      <c r="C829" s="236" t="s">
        <v>3988</v>
      </c>
      <c r="D829" s="236" t="s">
        <v>3988</v>
      </c>
      <c r="E829" s="236" t="s">
        <v>3988</v>
      </c>
      <c r="F829" s="3891" t="s">
        <v>3988</v>
      </c>
      <c r="G829" s="3892"/>
      <c r="H829" s="3893" t="s">
        <v>5287</v>
      </c>
      <c r="I829" s="3893"/>
      <c r="J829" s="3894"/>
    </row>
    <row r="830" spans="1:10" x14ac:dyDescent="0.3">
      <c r="A830" s="253" t="s">
        <v>3988</v>
      </c>
      <c r="B830" s="236" t="s">
        <v>3988</v>
      </c>
      <c r="C830" s="236" t="s">
        <v>3988</v>
      </c>
      <c r="D830" s="236" t="s">
        <v>3988</v>
      </c>
      <c r="E830" s="236" t="s">
        <v>3988</v>
      </c>
      <c r="F830" s="3891" t="s">
        <v>3988</v>
      </c>
      <c r="G830" s="3892"/>
      <c r="H830" s="3893" t="s">
        <v>5287</v>
      </c>
      <c r="I830" s="3893"/>
      <c r="J830" s="3894"/>
    </row>
    <row r="831" spans="1:10" x14ac:dyDescent="0.3">
      <c r="A831" s="253" t="s">
        <v>3988</v>
      </c>
      <c r="B831" s="236" t="s">
        <v>3988</v>
      </c>
      <c r="C831" s="236" t="s">
        <v>3988</v>
      </c>
      <c r="D831" s="236" t="s">
        <v>3988</v>
      </c>
      <c r="E831" s="236" t="s">
        <v>3988</v>
      </c>
      <c r="F831" s="3891" t="s">
        <v>3988</v>
      </c>
      <c r="G831" s="3892"/>
      <c r="H831" s="3893" t="s">
        <v>5287</v>
      </c>
      <c r="I831" s="3893"/>
      <c r="J831" s="3894"/>
    </row>
    <row r="832" spans="1:10" x14ac:dyDescent="0.3">
      <c r="A832" s="253" t="s">
        <v>3988</v>
      </c>
      <c r="B832" s="236" t="s">
        <v>3988</v>
      </c>
      <c r="C832" s="236" t="s">
        <v>3988</v>
      </c>
      <c r="D832" s="236" t="s">
        <v>3988</v>
      </c>
      <c r="E832" s="236" t="s">
        <v>3988</v>
      </c>
      <c r="F832" s="3891" t="s">
        <v>3988</v>
      </c>
      <c r="G832" s="3892"/>
      <c r="H832" s="3893" t="s">
        <v>5287</v>
      </c>
      <c r="I832" s="3893"/>
      <c r="J832" s="3894"/>
    </row>
    <row r="833" spans="1:10" x14ac:dyDescent="0.3">
      <c r="A833" s="1788" t="s">
        <v>3753</v>
      </c>
      <c r="B833" s="235" t="s">
        <v>3988</v>
      </c>
      <c r="C833" s="235" t="s">
        <v>3988</v>
      </c>
      <c r="D833" s="235" t="s">
        <v>3988</v>
      </c>
      <c r="E833" s="3859" t="s">
        <v>5288</v>
      </c>
      <c r="F833" s="3860"/>
      <c r="G833" s="3861">
        <f>H824</f>
        <v>4000</v>
      </c>
      <c r="H833" s="3861"/>
      <c r="I833" s="3862"/>
      <c r="J833" s="254"/>
    </row>
    <row r="834" spans="1:10" x14ac:dyDescent="0.3">
      <c r="A834" s="255" t="s">
        <v>3988</v>
      </c>
      <c r="B834" s="237" t="s">
        <v>3988</v>
      </c>
      <c r="C834" s="237" t="s">
        <v>3988</v>
      </c>
      <c r="D834" s="237" t="s">
        <v>3988</v>
      </c>
      <c r="E834" s="237" t="s">
        <v>3988</v>
      </c>
      <c r="F834" s="238" t="s">
        <v>5289</v>
      </c>
      <c r="G834" s="239" t="s">
        <v>5290</v>
      </c>
      <c r="H834" s="3863" t="s">
        <v>5291</v>
      </c>
      <c r="I834" s="3863"/>
      <c r="J834" s="3864"/>
    </row>
    <row r="835" spans="1:10" x14ac:dyDescent="0.3">
      <c r="A835" s="3865" t="s">
        <v>5292</v>
      </c>
      <c r="B835" s="3866"/>
      <c r="C835" s="3866"/>
      <c r="D835" s="3866"/>
      <c r="E835" s="3867"/>
      <c r="F835" s="3871" t="s">
        <v>5293</v>
      </c>
      <c r="G835" s="3872"/>
      <c r="H835" s="3875">
        <f>G833</f>
        <v>4000</v>
      </c>
      <c r="I835" s="3876"/>
      <c r="J835" s="3877"/>
    </row>
    <row r="836" spans="1:10" x14ac:dyDescent="0.3">
      <c r="A836" s="3868"/>
      <c r="B836" s="3869"/>
      <c r="C836" s="3869"/>
      <c r="D836" s="3869"/>
      <c r="E836" s="3870"/>
      <c r="F836" s="3873"/>
      <c r="G836" s="3874"/>
      <c r="H836" s="3878"/>
      <c r="I836" s="3879"/>
      <c r="J836" s="3880"/>
    </row>
    <row r="837" spans="1:10" x14ac:dyDescent="0.3">
      <c r="A837" s="3881" t="s">
        <v>5294</v>
      </c>
      <c r="B837" s="3882"/>
      <c r="C837" s="3882"/>
      <c r="D837" s="3882"/>
      <c r="E837" s="3882"/>
      <c r="F837" s="3882"/>
      <c r="G837" s="3882"/>
      <c r="H837" s="3882"/>
      <c r="I837" s="3882"/>
      <c r="J837" s="3883"/>
    </row>
    <row r="838" spans="1:10" x14ac:dyDescent="0.3">
      <c r="A838" s="3884"/>
      <c r="B838" s="3885"/>
      <c r="C838" s="3885"/>
      <c r="D838" s="3885"/>
      <c r="E838" s="3885"/>
      <c r="F838" s="3885"/>
      <c r="G838" s="3885"/>
      <c r="H838" s="3885"/>
      <c r="I838" s="3885"/>
      <c r="J838" s="3886"/>
    </row>
    <row r="840" spans="1:10" x14ac:dyDescent="0.3">
      <c r="A840" s="246" t="s">
        <v>3988</v>
      </c>
      <c r="B840" s="247" t="s">
        <v>3988</v>
      </c>
      <c r="C840" s="3895" t="s">
        <v>5267</v>
      </c>
      <c r="D840" s="3895"/>
      <c r="E840" s="3895"/>
      <c r="F840" s="3896"/>
      <c r="G840" s="247" t="s">
        <v>3988</v>
      </c>
      <c r="H840" s="1789" t="s">
        <v>3988</v>
      </c>
      <c r="I840" s="1789" t="s">
        <v>3988</v>
      </c>
      <c r="J840" s="248" t="s">
        <v>3988</v>
      </c>
    </row>
    <row r="841" spans="1:10" ht="15.6" x14ac:dyDescent="0.3">
      <c r="A841" s="249" t="s">
        <v>3988</v>
      </c>
      <c r="B841" s="231"/>
      <c r="C841" s="3897" t="s">
        <v>3986</v>
      </c>
      <c r="D841" s="3897"/>
      <c r="E841" s="3897"/>
      <c r="F841" s="3898"/>
      <c r="G841" s="1790" t="s">
        <v>3988</v>
      </c>
      <c r="H841" s="3899" t="s">
        <v>5367</v>
      </c>
      <c r="I841" s="3899"/>
      <c r="J841" s="250" t="s">
        <v>3988</v>
      </c>
    </row>
    <row r="842" spans="1:10" ht="17.399999999999999" x14ac:dyDescent="0.3">
      <c r="A842" s="249" t="s">
        <v>3988</v>
      </c>
      <c r="B842" s="232"/>
      <c r="C842" s="3901" t="s">
        <v>5269</v>
      </c>
      <c r="D842" s="3901"/>
      <c r="E842" s="3901"/>
      <c r="F842" s="3902"/>
      <c r="G842" s="233" t="s">
        <v>5270</v>
      </c>
      <c r="H842" s="3900"/>
      <c r="I842" s="3900"/>
      <c r="J842" s="250" t="s">
        <v>3988</v>
      </c>
    </row>
    <row r="843" spans="1:10" x14ac:dyDescent="0.3">
      <c r="A843" s="249" t="s">
        <v>3988</v>
      </c>
      <c r="B843" s="232" t="s">
        <v>3988</v>
      </c>
      <c r="C843" s="3903" t="s">
        <v>5271</v>
      </c>
      <c r="D843" s="3903"/>
      <c r="E843" s="3903"/>
      <c r="F843" s="3904"/>
      <c r="G843" s="1790" t="s">
        <v>3988</v>
      </c>
      <c r="H843" s="234" t="s">
        <v>3988</v>
      </c>
      <c r="I843" s="234" t="s">
        <v>3988</v>
      </c>
      <c r="J843" s="251" t="s">
        <v>3988</v>
      </c>
    </row>
    <row r="844" spans="1:10" ht="31.8" x14ac:dyDescent="0.3">
      <c r="A844" s="242" t="s">
        <v>5272</v>
      </c>
      <c r="B844" s="3905" t="s">
        <v>5368</v>
      </c>
      <c r="C844" s="3906"/>
      <c r="D844" s="3906"/>
      <c r="E844" s="3907"/>
      <c r="F844" s="241" t="s">
        <v>5274</v>
      </c>
      <c r="G844" s="240">
        <v>71672110</v>
      </c>
      <c r="H844" s="1791" t="s">
        <v>5276</v>
      </c>
      <c r="I844" s="1791" t="s">
        <v>5277</v>
      </c>
      <c r="J844" s="252" t="s">
        <v>5278</v>
      </c>
    </row>
    <row r="845" spans="1:10" x14ac:dyDescent="0.3">
      <c r="A845" s="3908"/>
      <c r="B845" s="3909"/>
      <c r="C845" s="3909"/>
      <c r="D845" s="3909"/>
      <c r="E845" s="3910"/>
      <c r="F845" s="3911"/>
      <c r="G845" s="3912"/>
      <c r="H845" s="256">
        <v>13</v>
      </c>
      <c r="I845" s="256">
        <v>11</v>
      </c>
      <c r="J845" s="257">
        <v>2021</v>
      </c>
    </row>
    <row r="846" spans="1:10" x14ac:dyDescent="0.3">
      <c r="A846" s="3913" t="s">
        <v>5279</v>
      </c>
      <c r="B846" s="3914"/>
      <c r="C846" s="3914"/>
      <c r="D846" s="3914"/>
      <c r="E846" s="3915"/>
      <c r="F846" s="258" t="s">
        <v>5280</v>
      </c>
      <c r="G846" s="1787" t="s">
        <v>3988</v>
      </c>
      <c r="H846" s="259" t="s">
        <v>5281</v>
      </c>
      <c r="I846" s="260" t="s">
        <v>3988</v>
      </c>
      <c r="J846" s="261" t="s">
        <v>3988</v>
      </c>
    </row>
    <row r="847" spans="1:10" x14ac:dyDescent="0.3">
      <c r="A847" s="3913" t="s">
        <v>5369</v>
      </c>
      <c r="B847" s="3914"/>
      <c r="C847" s="3914"/>
      <c r="D847" s="3914"/>
      <c r="E847" s="3915"/>
      <c r="F847" s="3911">
        <v>4531823</v>
      </c>
      <c r="G847" s="3912"/>
      <c r="H847" s="3911" t="s">
        <v>125</v>
      </c>
      <c r="I847" s="3911"/>
      <c r="J847" s="3916"/>
    </row>
    <row r="848" spans="1:10" x14ac:dyDescent="0.3">
      <c r="A848" s="262" t="s">
        <v>5284</v>
      </c>
      <c r="B848" s="3911" t="s">
        <v>5285</v>
      </c>
      <c r="C848" s="3911"/>
      <c r="D848" s="3911"/>
      <c r="E848" s="3912"/>
      <c r="F848" s="3917" t="s">
        <v>3752</v>
      </c>
      <c r="G848" s="3918"/>
      <c r="H848" s="3911" t="s">
        <v>5286</v>
      </c>
      <c r="I848" s="3911"/>
      <c r="J848" s="3916"/>
    </row>
    <row r="849" spans="1:10" x14ac:dyDescent="0.3">
      <c r="A849" s="263">
        <v>1</v>
      </c>
      <c r="B849" s="3887" t="s">
        <v>5370</v>
      </c>
      <c r="C849" s="3887"/>
      <c r="D849" s="3887"/>
      <c r="E849" s="3887"/>
      <c r="F849" s="3888">
        <v>2000</v>
      </c>
      <c r="G849" s="3889"/>
      <c r="H849" s="3887">
        <f>F849*A849</f>
        <v>2000</v>
      </c>
      <c r="I849" s="3887"/>
      <c r="J849" s="3890"/>
    </row>
    <row r="850" spans="1:10" ht="26.25" customHeight="1" x14ac:dyDescent="0.3">
      <c r="A850" s="263">
        <v>1</v>
      </c>
      <c r="B850" s="3887" t="s">
        <v>5371</v>
      </c>
      <c r="C850" s="3887"/>
      <c r="D850" s="3887"/>
      <c r="E850" s="3887"/>
      <c r="F850" s="3888">
        <v>1800</v>
      </c>
      <c r="G850" s="3889"/>
      <c r="H850" s="3887">
        <f>F850*A850</f>
        <v>1800</v>
      </c>
      <c r="I850" s="3887"/>
      <c r="J850" s="3890"/>
    </row>
    <row r="851" spans="1:10" x14ac:dyDescent="0.3">
      <c r="A851" s="263" t="s">
        <v>3988</v>
      </c>
      <c r="B851" s="264" t="s">
        <v>3988</v>
      </c>
      <c r="C851" s="264" t="s">
        <v>3988</v>
      </c>
      <c r="D851" s="264" t="s">
        <v>3988</v>
      </c>
      <c r="E851" s="264" t="s">
        <v>3988</v>
      </c>
      <c r="F851" s="3888" t="s">
        <v>3988</v>
      </c>
      <c r="G851" s="3889"/>
      <c r="H851" s="3887" t="s">
        <v>5287</v>
      </c>
      <c r="I851" s="3887"/>
      <c r="J851" s="3890"/>
    </row>
    <row r="852" spans="1:10" x14ac:dyDescent="0.3">
      <c r="A852" s="253" t="s">
        <v>3988</v>
      </c>
      <c r="B852" s="236" t="s">
        <v>3988</v>
      </c>
      <c r="C852" s="236" t="s">
        <v>3988</v>
      </c>
      <c r="D852" s="236" t="s">
        <v>3988</v>
      </c>
      <c r="E852" s="236" t="s">
        <v>3988</v>
      </c>
      <c r="F852" s="3891" t="s">
        <v>3988</v>
      </c>
      <c r="G852" s="3892"/>
      <c r="H852" s="3893" t="s">
        <v>5287</v>
      </c>
      <c r="I852" s="3893"/>
      <c r="J852" s="3894"/>
    </row>
    <row r="853" spans="1:10" x14ac:dyDescent="0.3">
      <c r="A853" s="253" t="s">
        <v>3988</v>
      </c>
      <c r="B853" s="236" t="s">
        <v>3988</v>
      </c>
      <c r="C853" s="236" t="s">
        <v>3988</v>
      </c>
      <c r="D853" s="236" t="s">
        <v>3988</v>
      </c>
      <c r="E853" s="236" t="s">
        <v>3988</v>
      </c>
      <c r="F853" s="3891" t="s">
        <v>3988</v>
      </c>
      <c r="G853" s="3892"/>
      <c r="H853" s="3893" t="s">
        <v>5287</v>
      </c>
      <c r="I853" s="3893"/>
      <c r="J853" s="3894"/>
    </row>
    <row r="854" spans="1:10" x14ac:dyDescent="0.3">
      <c r="A854" s="253" t="s">
        <v>3988</v>
      </c>
      <c r="B854" s="236" t="s">
        <v>3988</v>
      </c>
      <c r="C854" s="236" t="s">
        <v>3988</v>
      </c>
      <c r="D854" s="236" t="s">
        <v>3988</v>
      </c>
      <c r="E854" s="236" t="s">
        <v>3988</v>
      </c>
      <c r="F854" s="3891" t="s">
        <v>3988</v>
      </c>
      <c r="G854" s="3892"/>
      <c r="H854" s="3893" t="s">
        <v>5287</v>
      </c>
      <c r="I854" s="3893"/>
      <c r="J854" s="3894"/>
    </row>
    <row r="855" spans="1:10" x14ac:dyDescent="0.3">
      <c r="A855" s="253" t="s">
        <v>3988</v>
      </c>
      <c r="B855" s="236" t="s">
        <v>3988</v>
      </c>
      <c r="C855" s="236" t="s">
        <v>3988</v>
      </c>
      <c r="D855" s="236" t="s">
        <v>3988</v>
      </c>
      <c r="E855" s="236" t="s">
        <v>3988</v>
      </c>
      <c r="F855" s="3891" t="s">
        <v>3988</v>
      </c>
      <c r="G855" s="3892"/>
      <c r="H855" s="3893" t="s">
        <v>5287</v>
      </c>
      <c r="I855" s="3893"/>
      <c r="J855" s="3894"/>
    </row>
    <row r="856" spans="1:10" x14ac:dyDescent="0.3">
      <c r="A856" s="253" t="s">
        <v>3988</v>
      </c>
      <c r="B856" s="236" t="s">
        <v>3988</v>
      </c>
      <c r="C856" s="236" t="s">
        <v>3988</v>
      </c>
      <c r="D856" s="236" t="s">
        <v>3988</v>
      </c>
      <c r="E856" s="236" t="s">
        <v>3988</v>
      </c>
      <c r="F856" s="3891" t="s">
        <v>3988</v>
      </c>
      <c r="G856" s="3892"/>
      <c r="H856" s="3893" t="s">
        <v>5287</v>
      </c>
      <c r="I856" s="3893"/>
      <c r="J856" s="3894"/>
    </row>
    <row r="857" spans="1:10" x14ac:dyDescent="0.3">
      <c r="A857" s="253" t="s">
        <v>3988</v>
      </c>
      <c r="B857" s="236" t="s">
        <v>3988</v>
      </c>
      <c r="C857" s="236" t="s">
        <v>3988</v>
      </c>
      <c r="D857" s="236" t="s">
        <v>3988</v>
      </c>
      <c r="E857" s="236" t="s">
        <v>3988</v>
      </c>
      <c r="F857" s="3891" t="s">
        <v>3988</v>
      </c>
      <c r="G857" s="3892"/>
      <c r="H857" s="3893" t="s">
        <v>5287</v>
      </c>
      <c r="I857" s="3893"/>
      <c r="J857" s="3894"/>
    </row>
    <row r="858" spans="1:10" x14ac:dyDescent="0.3">
      <c r="A858" s="1788" t="s">
        <v>3753</v>
      </c>
      <c r="B858" s="235" t="s">
        <v>3988</v>
      </c>
      <c r="C858" s="235" t="s">
        <v>3988</v>
      </c>
      <c r="D858" s="235" t="s">
        <v>3988</v>
      </c>
      <c r="E858" s="3859" t="s">
        <v>5288</v>
      </c>
      <c r="F858" s="3860"/>
      <c r="G858" s="3861">
        <f>H849+H850</f>
        <v>3800</v>
      </c>
      <c r="H858" s="3861"/>
      <c r="I858" s="3862"/>
      <c r="J858" s="254"/>
    </row>
    <row r="859" spans="1:10" x14ac:dyDescent="0.3">
      <c r="A859" s="255" t="s">
        <v>3988</v>
      </c>
      <c r="B859" s="237" t="s">
        <v>3988</v>
      </c>
      <c r="C859" s="237" t="s">
        <v>3988</v>
      </c>
      <c r="D859" s="237" t="s">
        <v>3988</v>
      </c>
      <c r="E859" s="237" t="s">
        <v>3988</v>
      </c>
      <c r="F859" s="238" t="s">
        <v>5289</v>
      </c>
      <c r="G859" s="239" t="s">
        <v>5290</v>
      </c>
      <c r="H859" s="3863" t="s">
        <v>5291</v>
      </c>
      <c r="I859" s="3863"/>
      <c r="J859" s="3864"/>
    </row>
    <row r="860" spans="1:10" x14ac:dyDescent="0.3">
      <c r="A860" s="3865" t="s">
        <v>5292</v>
      </c>
      <c r="B860" s="3866"/>
      <c r="C860" s="3866"/>
      <c r="D860" s="3866"/>
      <c r="E860" s="3867"/>
      <c r="F860" s="3871" t="s">
        <v>5293</v>
      </c>
      <c r="G860" s="3872"/>
      <c r="H860" s="3875">
        <f>G858</f>
        <v>3800</v>
      </c>
      <c r="I860" s="3876"/>
      <c r="J860" s="3877"/>
    </row>
    <row r="861" spans="1:10" x14ac:dyDescent="0.3">
      <c r="A861" s="3868"/>
      <c r="B861" s="3869"/>
      <c r="C861" s="3869"/>
      <c r="D861" s="3869"/>
      <c r="E861" s="3870"/>
      <c r="F861" s="3873"/>
      <c r="G861" s="3874"/>
      <c r="H861" s="3878"/>
      <c r="I861" s="3879"/>
      <c r="J861" s="3880"/>
    </row>
    <row r="862" spans="1:10" x14ac:dyDescent="0.3">
      <c r="A862" s="3881" t="s">
        <v>5294</v>
      </c>
      <c r="B862" s="3882"/>
      <c r="C862" s="3882"/>
      <c r="D862" s="3882"/>
      <c r="E862" s="3882"/>
      <c r="F862" s="3882"/>
      <c r="G862" s="3882"/>
      <c r="H862" s="3882"/>
      <c r="I862" s="3882"/>
      <c r="J862" s="3883"/>
    </row>
    <row r="863" spans="1:10" x14ac:dyDescent="0.3">
      <c r="A863" s="3884"/>
      <c r="B863" s="3885"/>
      <c r="C863" s="3885"/>
      <c r="D863" s="3885"/>
      <c r="E863" s="3885"/>
      <c r="F863" s="3885"/>
      <c r="G863" s="3885"/>
      <c r="H863" s="3885"/>
      <c r="I863" s="3885"/>
      <c r="J863" s="3886"/>
    </row>
    <row r="865" spans="1:10" x14ac:dyDescent="0.3">
      <c r="A865" s="246" t="s">
        <v>3988</v>
      </c>
      <c r="B865" s="247" t="s">
        <v>3988</v>
      </c>
      <c r="C865" s="3895" t="s">
        <v>5267</v>
      </c>
      <c r="D865" s="3895"/>
      <c r="E865" s="3895"/>
      <c r="F865" s="3896"/>
      <c r="G865" s="247" t="s">
        <v>3988</v>
      </c>
      <c r="H865" s="1789" t="s">
        <v>3988</v>
      </c>
      <c r="I865" s="1789" t="s">
        <v>3988</v>
      </c>
      <c r="J865" s="248" t="s">
        <v>3988</v>
      </c>
    </row>
    <row r="866" spans="1:10" ht="15.6" x14ac:dyDescent="0.3">
      <c r="A866" s="249" t="s">
        <v>3988</v>
      </c>
      <c r="B866" s="231"/>
      <c r="C866" s="3897" t="s">
        <v>3986</v>
      </c>
      <c r="D866" s="3897"/>
      <c r="E866" s="3897"/>
      <c r="F866" s="3898"/>
      <c r="G866" s="1790" t="s">
        <v>3988</v>
      </c>
      <c r="H866" s="3899" t="s">
        <v>5372</v>
      </c>
      <c r="I866" s="3899"/>
      <c r="J866" s="250" t="s">
        <v>3988</v>
      </c>
    </row>
    <row r="867" spans="1:10" ht="17.399999999999999" x14ac:dyDescent="0.3">
      <c r="A867" s="249" t="s">
        <v>3988</v>
      </c>
      <c r="B867" s="232"/>
      <c r="C867" s="3901" t="s">
        <v>5269</v>
      </c>
      <c r="D867" s="3901"/>
      <c r="E867" s="3901"/>
      <c r="F867" s="3902"/>
      <c r="G867" s="233" t="s">
        <v>5270</v>
      </c>
      <c r="H867" s="3900"/>
      <c r="I867" s="3900"/>
      <c r="J867" s="250" t="s">
        <v>3988</v>
      </c>
    </row>
    <row r="868" spans="1:10" x14ac:dyDescent="0.3">
      <c r="A868" s="249" t="s">
        <v>3988</v>
      </c>
      <c r="B868" s="232" t="s">
        <v>3988</v>
      </c>
      <c r="C868" s="3903" t="s">
        <v>5271</v>
      </c>
      <c r="D868" s="3903"/>
      <c r="E868" s="3903"/>
      <c r="F868" s="3904"/>
      <c r="G868" s="1790" t="s">
        <v>3988</v>
      </c>
      <c r="H868" s="234" t="s">
        <v>3988</v>
      </c>
      <c r="I868" s="234" t="s">
        <v>3988</v>
      </c>
      <c r="J868" s="251" t="s">
        <v>3988</v>
      </c>
    </row>
    <row r="869" spans="1:10" ht="31.8" x14ac:dyDescent="0.3">
      <c r="A869" s="242" t="s">
        <v>5272</v>
      </c>
      <c r="B869" s="3905" t="s">
        <v>5368</v>
      </c>
      <c r="C869" s="3906"/>
      <c r="D869" s="3906"/>
      <c r="E869" s="3907"/>
      <c r="F869" s="241" t="s">
        <v>5274</v>
      </c>
      <c r="G869" s="240">
        <v>71672110</v>
      </c>
      <c r="H869" s="1791" t="s">
        <v>5276</v>
      </c>
      <c r="I869" s="1791" t="s">
        <v>5277</v>
      </c>
      <c r="J869" s="252" t="s">
        <v>5278</v>
      </c>
    </row>
    <row r="870" spans="1:10" x14ac:dyDescent="0.3">
      <c r="A870" s="3908"/>
      <c r="B870" s="3909"/>
      <c r="C870" s="3909"/>
      <c r="D870" s="3909"/>
      <c r="E870" s="3910"/>
      <c r="F870" s="3911"/>
      <c r="G870" s="3912"/>
      <c r="H870" s="256">
        <v>16</v>
      </c>
      <c r="I870" s="256">
        <v>11</v>
      </c>
      <c r="J870" s="257">
        <v>2021</v>
      </c>
    </row>
    <row r="871" spans="1:10" x14ac:dyDescent="0.3">
      <c r="A871" s="3913" t="s">
        <v>5279</v>
      </c>
      <c r="B871" s="3914"/>
      <c r="C871" s="3914"/>
      <c r="D871" s="3914"/>
      <c r="E871" s="3915"/>
      <c r="F871" s="258" t="s">
        <v>5280</v>
      </c>
      <c r="G871" s="1787" t="s">
        <v>3988</v>
      </c>
      <c r="H871" s="259" t="s">
        <v>5281</v>
      </c>
      <c r="I871" s="260" t="s">
        <v>3988</v>
      </c>
      <c r="J871" s="261" t="s">
        <v>3988</v>
      </c>
    </row>
    <row r="872" spans="1:10" x14ac:dyDescent="0.3">
      <c r="A872" s="3913" t="s">
        <v>5369</v>
      </c>
      <c r="B872" s="3914"/>
      <c r="C872" s="3914"/>
      <c r="D872" s="3914"/>
      <c r="E872" s="3915"/>
      <c r="F872" s="3911">
        <v>4531823</v>
      </c>
      <c r="G872" s="3912"/>
      <c r="H872" s="3911" t="s">
        <v>125</v>
      </c>
      <c r="I872" s="3911"/>
      <c r="J872" s="3916"/>
    </row>
    <row r="873" spans="1:10" x14ac:dyDescent="0.3">
      <c r="A873" s="262" t="s">
        <v>5284</v>
      </c>
      <c r="B873" s="3911" t="s">
        <v>5285</v>
      </c>
      <c r="C873" s="3911"/>
      <c r="D873" s="3911"/>
      <c r="E873" s="3912"/>
      <c r="F873" s="3917" t="s">
        <v>3752</v>
      </c>
      <c r="G873" s="3918"/>
      <c r="H873" s="3911" t="s">
        <v>5286</v>
      </c>
      <c r="I873" s="3911"/>
      <c r="J873" s="3916"/>
    </row>
    <row r="874" spans="1:10" x14ac:dyDescent="0.3">
      <c r="A874" s="263">
        <v>1</v>
      </c>
      <c r="B874" s="3887" t="s">
        <v>5370</v>
      </c>
      <c r="C874" s="3887"/>
      <c r="D874" s="3887"/>
      <c r="E874" s="3887"/>
      <c r="F874" s="3888">
        <v>2000</v>
      </c>
      <c r="G874" s="3889"/>
      <c r="H874" s="3887">
        <f>F874*A874</f>
        <v>2000</v>
      </c>
      <c r="I874" s="3887"/>
      <c r="J874" s="3890"/>
    </row>
    <row r="875" spans="1:10" ht="22.5" customHeight="1" x14ac:dyDescent="0.3">
      <c r="A875" s="263">
        <v>1</v>
      </c>
      <c r="B875" s="3887" t="s">
        <v>5373</v>
      </c>
      <c r="C875" s="3887"/>
      <c r="D875" s="3887"/>
      <c r="E875" s="3887"/>
      <c r="F875" s="3888">
        <v>1800</v>
      </c>
      <c r="G875" s="3889"/>
      <c r="H875" s="3887">
        <f>F875*A875</f>
        <v>1800</v>
      </c>
      <c r="I875" s="3887"/>
      <c r="J875" s="3890"/>
    </row>
    <row r="876" spans="1:10" x14ac:dyDescent="0.3">
      <c r="A876" s="263" t="s">
        <v>3988</v>
      </c>
      <c r="B876" s="264" t="s">
        <v>3988</v>
      </c>
      <c r="C876" s="264" t="s">
        <v>3988</v>
      </c>
      <c r="D876" s="264" t="s">
        <v>3988</v>
      </c>
      <c r="E876" s="264" t="s">
        <v>3988</v>
      </c>
      <c r="F876" s="3888" t="s">
        <v>3988</v>
      </c>
      <c r="G876" s="3889"/>
      <c r="H876" s="3887" t="s">
        <v>5287</v>
      </c>
      <c r="I876" s="3887"/>
      <c r="J876" s="3890"/>
    </row>
    <row r="877" spans="1:10" x14ac:dyDescent="0.3">
      <c r="A877" s="253" t="s">
        <v>3988</v>
      </c>
      <c r="B877" s="236" t="s">
        <v>3988</v>
      </c>
      <c r="C877" s="236" t="s">
        <v>3988</v>
      </c>
      <c r="D877" s="236" t="s">
        <v>3988</v>
      </c>
      <c r="E877" s="236" t="s">
        <v>3988</v>
      </c>
      <c r="F877" s="3891" t="s">
        <v>3988</v>
      </c>
      <c r="G877" s="3892"/>
      <c r="H877" s="3893" t="s">
        <v>5287</v>
      </c>
      <c r="I877" s="3893"/>
      <c r="J877" s="3894"/>
    </row>
    <row r="878" spans="1:10" x14ac:dyDescent="0.3">
      <c r="A878" s="253" t="s">
        <v>3988</v>
      </c>
      <c r="B878" s="236" t="s">
        <v>3988</v>
      </c>
      <c r="C878" s="236" t="s">
        <v>3988</v>
      </c>
      <c r="D878" s="236" t="s">
        <v>3988</v>
      </c>
      <c r="E878" s="236" t="s">
        <v>3988</v>
      </c>
      <c r="F878" s="3891" t="s">
        <v>3988</v>
      </c>
      <c r="G878" s="3892"/>
      <c r="H878" s="3893" t="s">
        <v>5287</v>
      </c>
      <c r="I878" s="3893"/>
      <c r="J878" s="3894"/>
    </row>
    <row r="879" spans="1:10" x14ac:dyDescent="0.3">
      <c r="A879" s="253" t="s">
        <v>3988</v>
      </c>
      <c r="B879" s="236" t="s">
        <v>3988</v>
      </c>
      <c r="C879" s="236" t="s">
        <v>3988</v>
      </c>
      <c r="D879" s="236" t="s">
        <v>3988</v>
      </c>
      <c r="E879" s="236" t="s">
        <v>3988</v>
      </c>
      <c r="F879" s="3891" t="s">
        <v>3988</v>
      </c>
      <c r="G879" s="3892"/>
      <c r="H879" s="3893" t="s">
        <v>5287</v>
      </c>
      <c r="I879" s="3893"/>
      <c r="J879" s="3894"/>
    </row>
    <row r="880" spans="1:10" x14ac:dyDescent="0.3">
      <c r="A880" s="253" t="s">
        <v>3988</v>
      </c>
      <c r="B880" s="236" t="s">
        <v>3988</v>
      </c>
      <c r="C880" s="236" t="s">
        <v>3988</v>
      </c>
      <c r="D880" s="236" t="s">
        <v>3988</v>
      </c>
      <c r="E880" s="236" t="s">
        <v>3988</v>
      </c>
      <c r="F880" s="3891" t="s">
        <v>3988</v>
      </c>
      <c r="G880" s="3892"/>
      <c r="H880" s="3893" t="s">
        <v>5287</v>
      </c>
      <c r="I880" s="3893"/>
      <c r="J880" s="3894"/>
    </row>
    <row r="881" spans="1:10" x14ac:dyDescent="0.3">
      <c r="A881" s="253" t="s">
        <v>3988</v>
      </c>
      <c r="B881" s="236" t="s">
        <v>3988</v>
      </c>
      <c r="C881" s="236" t="s">
        <v>3988</v>
      </c>
      <c r="D881" s="236" t="s">
        <v>3988</v>
      </c>
      <c r="E881" s="236" t="s">
        <v>3988</v>
      </c>
      <c r="F881" s="3891" t="s">
        <v>3988</v>
      </c>
      <c r="G881" s="3892"/>
      <c r="H881" s="3893" t="s">
        <v>5287</v>
      </c>
      <c r="I881" s="3893"/>
      <c r="J881" s="3894"/>
    </row>
    <row r="882" spans="1:10" x14ac:dyDescent="0.3">
      <c r="A882" s="253" t="s">
        <v>3988</v>
      </c>
      <c r="B882" s="236" t="s">
        <v>3988</v>
      </c>
      <c r="C882" s="236" t="s">
        <v>3988</v>
      </c>
      <c r="D882" s="236" t="s">
        <v>3988</v>
      </c>
      <c r="E882" s="236" t="s">
        <v>3988</v>
      </c>
      <c r="F882" s="3891" t="s">
        <v>3988</v>
      </c>
      <c r="G882" s="3892"/>
      <c r="H882" s="3893" t="s">
        <v>5287</v>
      </c>
      <c r="I882" s="3893"/>
      <c r="J882" s="3894"/>
    </row>
    <row r="883" spans="1:10" x14ac:dyDescent="0.3">
      <c r="A883" s="1788" t="s">
        <v>3753</v>
      </c>
      <c r="B883" s="235" t="s">
        <v>3988</v>
      </c>
      <c r="C883" s="235" t="s">
        <v>3988</v>
      </c>
      <c r="D883" s="235" t="s">
        <v>3988</v>
      </c>
      <c r="E883" s="3859" t="s">
        <v>5288</v>
      </c>
      <c r="F883" s="3860"/>
      <c r="G883" s="3861">
        <f>H874+H875</f>
        <v>3800</v>
      </c>
      <c r="H883" s="3861"/>
      <c r="I883" s="3862"/>
      <c r="J883" s="254"/>
    </row>
    <row r="884" spans="1:10" x14ac:dyDescent="0.3">
      <c r="A884" s="255" t="s">
        <v>3988</v>
      </c>
      <c r="B884" s="237" t="s">
        <v>3988</v>
      </c>
      <c r="C884" s="237" t="s">
        <v>3988</v>
      </c>
      <c r="D884" s="237" t="s">
        <v>3988</v>
      </c>
      <c r="E884" s="237" t="s">
        <v>3988</v>
      </c>
      <c r="F884" s="238" t="s">
        <v>5289</v>
      </c>
      <c r="G884" s="239" t="s">
        <v>5290</v>
      </c>
      <c r="H884" s="3863" t="s">
        <v>5291</v>
      </c>
      <c r="I884" s="3863"/>
      <c r="J884" s="3864"/>
    </row>
    <row r="885" spans="1:10" x14ac:dyDescent="0.3">
      <c r="A885" s="3865" t="s">
        <v>5292</v>
      </c>
      <c r="B885" s="3866"/>
      <c r="C885" s="3866"/>
      <c r="D885" s="3866"/>
      <c r="E885" s="3867"/>
      <c r="F885" s="3871" t="s">
        <v>5293</v>
      </c>
      <c r="G885" s="3872"/>
      <c r="H885" s="3875">
        <f>G883</f>
        <v>3800</v>
      </c>
      <c r="I885" s="3876"/>
      <c r="J885" s="3877"/>
    </row>
    <row r="886" spans="1:10" x14ac:dyDescent="0.3">
      <c r="A886" s="3868"/>
      <c r="B886" s="3869"/>
      <c r="C886" s="3869"/>
      <c r="D886" s="3869"/>
      <c r="E886" s="3870"/>
      <c r="F886" s="3873"/>
      <c r="G886" s="3874"/>
      <c r="H886" s="3878"/>
      <c r="I886" s="3879"/>
      <c r="J886" s="3880"/>
    </row>
    <row r="887" spans="1:10" x14ac:dyDescent="0.3">
      <c r="A887" s="3881" t="s">
        <v>5294</v>
      </c>
      <c r="B887" s="3882"/>
      <c r="C887" s="3882"/>
      <c r="D887" s="3882"/>
      <c r="E887" s="3882"/>
      <c r="F887" s="3882"/>
      <c r="G887" s="3882"/>
      <c r="H887" s="3882"/>
      <c r="I887" s="3882"/>
      <c r="J887" s="3883"/>
    </row>
    <row r="888" spans="1:10" x14ac:dyDescent="0.3">
      <c r="A888" s="3884"/>
      <c r="B888" s="3885"/>
      <c r="C888" s="3885"/>
      <c r="D888" s="3885"/>
      <c r="E888" s="3885"/>
      <c r="F888" s="3885"/>
      <c r="G888" s="3885"/>
      <c r="H888" s="3885"/>
      <c r="I888" s="3885"/>
      <c r="J888" s="3886"/>
    </row>
    <row r="890" spans="1:10" x14ac:dyDescent="0.3">
      <c r="A890" s="246" t="s">
        <v>3988</v>
      </c>
      <c r="B890" s="247" t="s">
        <v>3988</v>
      </c>
      <c r="C890" s="3895" t="s">
        <v>5267</v>
      </c>
      <c r="D890" s="3895"/>
      <c r="E890" s="3895"/>
      <c r="F890" s="3896"/>
      <c r="G890" s="247" t="s">
        <v>3988</v>
      </c>
      <c r="H890" s="1789" t="s">
        <v>3988</v>
      </c>
      <c r="I890" s="1789" t="s">
        <v>3988</v>
      </c>
      <c r="J890" s="248" t="s">
        <v>3988</v>
      </c>
    </row>
    <row r="891" spans="1:10" ht="15.6" x14ac:dyDescent="0.3">
      <c r="A891" s="249" t="s">
        <v>3988</v>
      </c>
      <c r="B891" s="231"/>
      <c r="C891" s="3897" t="s">
        <v>3986</v>
      </c>
      <c r="D891" s="3897"/>
      <c r="E891" s="3897"/>
      <c r="F891" s="3898"/>
      <c r="G891" s="1790" t="s">
        <v>3988</v>
      </c>
      <c r="H891" s="3899" t="s">
        <v>5374</v>
      </c>
      <c r="I891" s="3899"/>
      <c r="J891" s="250" t="s">
        <v>3988</v>
      </c>
    </row>
    <row r="892" spans="1:10" ht="17.399999999999999" x14ac:dyDescent="0.3">
      <c r="A892" s="249" t="s">
        <v>3988</v>
      </c>
      <c r="B892" s="232"/>
      <c r="C892" s="3901" t="s">
        <v>5269</v>
      </c>
      <c r="D892" s="3901"/>
      <c r="E892" s="3901"/>
      <c r="F892" s="3902"/>
      <c r="G892" s="233" t="s">
        <v>5270</v>
      </c>
      <c r="H892" s="3900"/>
      <c r="I892" s="3900"/>
      <c r="J892" s="250" t="s">
        <v>3988</v>
      </c>
    </row>
    <row r="893" spans="1:10" x14ac:dyDescent="0.3">
      <c r="A893" s="249" t="s">
        <v>3988</v>
      </c>
      <c r="B893" s="232" t="s">
        <v>3988</v>
      </c>
      <c r="C893" s="3903" t="s">
        <v>5271</v>
      </c>
      <c r="D893" s="3903"/>
      <c r="E893" s="3903"/>
      <c r="F893" s="3904"/>
      <c r="G893" s="1790" t="s">
        <v>3988</v>
      </c>
      <c r="H893" s="234" t="s">
        <v>3988</v>
      </c>
      <c r="I893" s="234" t="s">
        <v>3988</v>
      </c>
      <c r="J893" s="251" t="s">
        <v>3988</v>
      </c>
    </row>
    <row r="894" spans="1:10" ht="31.8" x14ac:dyDescent="0.3">
      <c r="A894" s="242" t="s">
        <v>5272</v>
      </c>
      <c r="B894" s="3905" t="s">
        <v>5368</v>
      </c>
      <c r="C894" s="3906"/>
      <c r="D894" s="3906"/>
      <c r="E894" s="3907"/>
      <c r="F894" s="241" t="s">
        <v>5274</v>
      </c>
      <c r="G894" s="240">
        <v>71672110</v>
      </c>
      <c r="H894" s="1791" t="s">
        <v>5276</v>
      </c>
      <c r="I894" s="1791" t="s">
        <v>5277</v>
      </c>
      <c r="J894" s="252" t="s">
        <v>5278</v>
      </c>
    </row>
    <row r="895" spans="1:10" x14ac:dyDescent="0.3">
      <c r="A895" s="3908"/>
      <c r="B895" s="3909"/>
      <c r="C895" s="3909"/>
      <c r="D895" s="3909"/>
      <c r="E895" s="3910"/>
      <c r="F895" s="3911"/>
      <c r="G895" s="3912"/>
      <c r="H895" s="256">
        <v>29</v>
      </c>
      <c r="I895" s="256">
        <v>11</v>
      </c>
      <c r="J895" s="257">
        <v>2021</v>
      </c>
    </row>
    <row r="896" spans="1:10" x14ac:dyDescent="0.3">
      <c r="A896" s="3913" t="s">
        <v>5279</v>
      </c>
      <c r="B896" s="3914"/>
      <c r="C896" s="3914"/>
      <c r="D896" s="3914"/>
      <c r="E896" s="3915"/>
      <c r="F896" s="258" t="s">
        <v>5280</v>
      </c>
      <c r="G896" s="1787" t="s">
        <v>3988</v>
      </c>
      <c r="H896" s="259" t="s">
        <v>5281</v>
      </c>
      <c r="I896" s="260" t="s">
        <v>3988</v>
      </c>
      <c r="J896" s="261" t="s">
        <v>3988</v>
      </c>
    </row>
    <row r="897" spans="1:10" x14ac:dyDescent="0.3">
      <c r="A897" s="3913" t="s">
        <v>5369</v>
      </c>
      <c r="B897" s="3914"/>
      <c r="C897" s="3914"/>
      <c r="D897" s="3914"/>
      <c r="E897" s="3915"/>
      <c r="F897" s="3911">
        <v>4531823</v>
      </c>
      <c r="G897" s="3912"/>
      <c r="H897" s="3911" t="s">
        <v>125</v>
      </c>
      <c r="I897" s="3911"/>
      <c r="J897" s="3916"/>
    </row>
    <row r="898" spans="1:10" x14ac:dyDescent="0.3">
      <c r="A898" s="262" t="s">
        <v>5284</v>
      </c>
      <c r="B898" s="3911" t="s">
        <v>5285</v>
      </c>
      <c r="C898" s="3911"/>
      <c r="D898" s="3911"/>
      <c r="E898" s="3912"/>
      <c r="F898" s="3917" t="s">
        <v>3752</v>
      </c>
      <c r="G898" s="3918"/>
      <c r="H898" s="3911" t="s">
        <v>5286</v>
      </c>
      <c r="I898" s="3911"/>
      <c r="J898" s="3916"/>
    </row>
    <row r="899" spans="1:10" ht="24.75" customHeight="1" x14ac:dyDescent="0.3">
      <c r="A899" s="263">
        <v>2</v>
      </c>
      <c r="B899" s="3887" t="s">
        <v>5371</v>
      </c>
      <c r="C899" s="3887"/>
      <c r="D899" s="3887"/>
      <c r="E899" s="3887"/>
      <c r="F899" s="3888">
        <v>2000</v>
      </c>
      <c r="G899" s="3889"/>
      <c r="H899" s="3887">
        <f>F899*A899</f>
        <v>4000</v>
      </c>
      <c r="I899" s="3887"/>
      <c r="J899" s="3890"/>
    </row>
    <row r="900" spans="1:10" x14ac:dyDescent="0.3">
      <c r="A900" s="263"/>
      <c r="B900" s="3887"/>
      <c r="C900" s="3887"/>
      <c r="D900" s="3887"/>
      <c r="E900" s="3887"/>
      <c r="F900" s="3888"/>
      <c r="G900" s="3889"/>
      <c r="H900" s="3887"/>
      <c r="I900" s="3887"/>
      <c r="J900" s="3890"/>
    </row>
    <row r="901" spans="1:10" x14ac:dyDescent="0.3">
      <c r="A901" s="263" t="s">
        <v>3988</v>
      </c>
      <c r="B901" s="264" t="s">
        <v>3988</v>
      </c>
      <c r="C901" s="264" t="s">
        <v>3988</v>
      </c>
      <c r="D901" s="264" t="s">
        <v>3988</v>
      </c>
      <c r="E901" s="264" t="s">
        <v>3988</v>
      </c>
      <c r="F901" s="3888" t="s">
        <v>3988</v>
      </c>
      <c r="G901" s="3889"/>
      <c r="H901" s="3887" t="s">
        <v>5287</v>
      </c>
      <c r="I901" s="3887"/>
      <c r="J901" s="3890"/>
    </row>
    <row r="902" spans="1:10" x14ac:dyDescent="0.3">
      <c r="A902" s="253" t="s">
        <v>3988</v>
      </c>
      <c r="B902" s="236" t="s">
        <v>3988</v>
      </c>
      <c r="C902" s="236" t="s">
        <v>3988</v>
      </c>
      <c r="D902" s="236" t="s">
        <v>3988</v>
      </c>
      <c r="E902" s="236" t="s">
        <v>3988</v>
      </c>
      <c r="F902" s="3891" t="s">
        <v>3988</v>
      </c>
      <c r="G902" s="3892"/>
      <c r="H902" s="3893" t="s">
        <v>5287</v>
      </c>
      <c r="I902" s="3893"/>
      <c r="J902" s="3894"/>
    </row>
    <row r="903" spans="1:10" x14ac:dyDescent="0.3">
      <c r="A903" s="253" t="s">
        <v>3988</v>
      </c>
      <c r="B903" s="236" t="s">
        <v>3988</v>
      </c>
      <c r="C903" s="236" t="s">
        <v>3988</v>
      </c>
      <c r="D903" s="236" t="s">
        <v>3988</v>
      </c>
      <c r="E903" s="236" t="s">
        <v>3988</v>
      </c>
      <c r="F903" s="3891" t="s">
        <v>3988</v>
      </c>
      <c r="G903" s="3892"/>
      <c r="H903" s="3893" t="s">
        <v>5287</v>
      </c>
      <c r="I903" s="3893"/>
      <c r="J903" s="3894"/>
    </row>
    <row r="904" spans="1:10" x14ac:dyDescent="0.3">
      <c r="A904" s="253" t="s">
        <v>3988</v>
      </c>
      <c r="B904" s="236" t="s">
        <v>3988</v>
      </c>
      <c r="C904" s="236" t="s">
        <v>3988</v>
      </c>
      <c r="D904" s="236" t="s">
        <v>3988</v>
      </c>
      <c r="E904" s="236" t="s">
        <v>3988</v>
      </c>
      <c r="F904" s="3891" t="s">
        <v>3988</v>
      </c>
      <c r="G904" s="3892"/>
      <c r="H904" s="3893" t="s">
        <v>5287</v>
      </c>
      <c r="I904" s="3893"/>
      <c r="J904" s="3894"/>
    </row>
    <row r="905" spans="1:10" x14ac:dyDescent="0.3">
      <c r="A905" s="253" t="s">
        <v>3988</v>
      </c>
      <c r="B905" s="236" t="s">
        <v>3988</v>
      </c>
      <c r="C905" s="236" t="s">
        <v>3988</v>
      </c>
      <c r="D905" s="236" t="s">
        <v>3988</v>
      </c>
      <c r="E905" s="236" t="s">
        <v>3988</v>
      </c>
      <c r="F905" s="3891" t="s">
        <v>3988</v>
      </c>
      <c r="G905" s="3892"/>
      <c r="H905" s="3893" t="s">
        <v>5287</v>
      </c>
      <c r="I905" s="3893"/>
      <c r="J905" s="3894"/>
    </row>
    <row r="906" spans="1:10" x14ac:dyDescent="0.3">
      <c r="A906" s="253" t="s">
        <v>3988</v>
      </c>
      <c r="B906" s="236" t="s">
        <v>3988</v>
      </c>
      <c r="C906" s="236" t="s">
        <v>3988</v>
      </c>
      <c r="D906" s="236" t="s">
        <v>3988</v>
      </c>
      <c r="E906" s="236" t="s">
        <v>3988</v>
      </c>
      <c r="F906" s="3891" t="s">
        <v>3988</v>
      </c>
      <c r="G906" s="3892"/>
      <c r="H906" s="3893" t="s">
        <v>5287</v>
      </c>
      <c r="I906" s="3893"/>
      <c r="J906" s="3894"/>
    </row>
    <row r="907" spans="1:10" x14ac:dyDescent="0.3">
      <c r="A907" s="253" t="s">
        <v>3988</v>
      </c>
      <c r="B907" s="236" t="s">
        <v>3988</v>
      </c>
      <c r="C907" s="236" t="s">
        <v>3988</v>
      </c>
      <c r="D907" s="236" t="s">
        <v>3988</v>
      </c>
      <c r="E907" s="236" t="s">
        <v>3988</v>
      </c>
      <c r="F907" s="3891" t="s">
        <v>3988</v>
      </c>
      <c r="G907" s="3892"/>
      <c r="H907" s="3893" t="s">
        <v>5287</v>
      </c>
      <c r="I907" s="3893"/>
      <c r="J907" s="3894"/>
    </row>
    <row r="908" spans="1:10" x14ac:dyDescent="0.3">
      <c r="A908" s="1788" t="s">
        <v>3753</v>
      </c>
      <c r="B908" s="235" t="s">
        <v>3988</v>
      </c>
      <c r="C908" s="235" t="s">
        <v>3988</v>
      </c>
      <c r="D908" s="235" t="s">
        <v>3988</v>
      </c>
      <c r="E908" s="3859" t="s">
        <v>5288</v>
      </c>
      <c r="F908" s="3860"/>
      <c r="G908" s="3861">
        <f>H899+H900</f>
        <v>4000</v>
      </c>
      <c r="H908" s="3861"/>
      <c r="I908" s="3862"/>
      <c r="J908" s="254"/>
    </row>
    <row r="909" spans="1:10" x14ac:dyDescent="0.3">
      <c r="A909" s="255" t="s">
        <v>3988</v>
      </c>
      <c r="B909" s="237" t="s">
        <v>3988</v>
      </c>
      <c r="C909" s="237" t="s">
        <v>3988</v>
      </c>
      <c r="D909" s="237" t="s">
        <v>3988</v>
      </c>
      <c r="E909" s="237" t="s">
        <v>3988</v>
      </c>
      <c r="F909" s="238" t="s">
        <v>5289</v>
      </c>
      <c r="G909" s="239" t="s">
        <v>5290</v>
      </c>
      <c r="H909" s="3863" t="s">
        <v>5291</v>
      </c>
      <c r="I909" s="3863"/>
      <c r="J909" s="3864"/>
    </row>
    <row r="910" spans="1:10" x14ac:dyDescent="0.3">
      <c r="A910" s="3865" t="s">
        <v>5292</v>
      </c>
      <c r="B910" s="3866"/>
      <c r="C910" s="3866"/>
      <c r="D910" s="3866"/>
      <c r="E910" s="3867"/>
      <c r="F910" s="3871" t="s">
        <v>5293</v>
      </c>
      <c r="G910" s="3872"/>
      <c r="H910" s="3875">
        <f>G908</f>
        <v>4000</v>
      </c>
      <c r="I910" s="3876"/>
      <c r="J910" s="3877"/>
    </row>
    <row r="911" spans="1:10" x14ac:dyDescent="0.3">
      <c r="A911" s="3868"/>
      <c r="B911" s="3869"/>
      <c r="C911" s="3869"/>
      <c r="D911" s="3869"/>
      <c r="E911" s="3870"/>
      <c r="F911" s="3873"/>
      <c r="G911" s="3874"/>
      <c r="H911" s="3878"/>
      <c r="I911" s="3879"/>
      <c r="J911" s="3880"/>
    </row>
    <row r="912" spans="1:10" x14ac:dyDescent="0.3">
      <c r="A912" s="3881" t="s">
        <v>5294</v>
      </c>
      <c r="B912" s="3882"/>
      <c r="C912" s="3882"/>
      <c r="D912" s="3882"/>
      <c r="E912" s="3882"/>
      <c r="F912" s="3882"/>
      <c r="G912" s="3882"/>
      <c r="H912" s="3882"/>
      <c r="I912" s="3882"/>
      <c r="J912" s="3883"/>
    </row>
    <row r="913" spans="1:10" x14ac:dyDescent="0.3">
      <c r="A913" s="3884"/>
      <c r="B913" s="3885"/>
      <c r="C913" s="3885"/>
      <c r="D913" s="3885"/>
      <c r="E913" s="3885"/>
      <c r="F913" s="3885"/>
      <c r="G913" s="3885"/>
      <c r="H913" s="3885"/>
      <c r="I913" s="3885"/>
      <c r="J913" s="3886"/>
    </row>
    <row r="915" spans="1:10" x14ac:dyDescent="0.3">
      <c r="A915" s="246" t="s">
        <v>3988</v>
      </c>
      <c r="B915" s="247" t="s">
        <v>3988</v>
      </c>
      <c r="C915" s="3895" t="s">
        <v>5267</v>
      </c>
      <c r="D915" s="3895"/>
      <c r="E915" s="3895"/>
      <c r="F915" s="3896"/>
      <c r="G915" s="247" t="s">
        <v>3988</v>
      </c>
      <c r="H915" s="1789" t="s">
        <v>3988</v>
      </c>
      <c r="I915" s="1789" t="s">
        <v>3988</v>
      </c>
      <c r="J915" s="248" t="s">
        <v>3988</v>
      </c>
    </row>
    <row r="916" spans="1:10" ht="15.6" x14ac:dyDescent="0.3">
      <c r="A916" s="249" t="s">
        <v>3988</v>
      </c>
      <c r="B916" s="231"/>
      <c r="C916" s="3897" t="s">
        <v>3986</v>
      </c>
      <c r="D916" s="3897"/>
      <c r="E916" s="3897"/>
      <c r="F916" s="3898"/>
      <c r="G916" s="1790" t="s">
        <v>3988</v>
      </c>
      <c r="H916" s="3899" t="s">
        <v>5375</v>
      </c>
      <c r="I916" s="3899"/>
      <c r="J916" s="250" t="s">
        <v>3988</v>
      </c>
    </row>
    <row r="917" spans="1:10" ht="17.399999999999999" x14ac:dyDescent="0.3">
      <c r="A917" s="249" t="s">
        <v>3988</v>
      </c>
      <c r="B917" s="232"/>
      <c r="C917" s="3901" t="s">
        <v>5269</v>
      </c>
      <c r="D917" s="3901"/>
      <c r="E917" s="3901"/>
      <c r="F917" s="3902"/>
      <c r="G917" s="233" t="s">
        <v>5270</v>
      </c>
      <c r="H917" s="3900"/>
      <c r="I917" s="3900"/>
      <c r="J917" s="250" t="s">
        <v>3988</v>
      </c>
    </row>
    <row r="918" spans="1:10" x14ac:dyDescent="0.3">
      <c r="A918" s="249" t="s">
        <v>3988</v>
      </c>
      <c r="B918" s="232" t="s">
        <v>3988</v>
      </c>
      <c r="C918" s="3903" t="s">
        <v>5271</v>
      </c>
      <c r="D918" s="3903"/>
      <c r="E918" s="3903"/>
      <c r="F918" s="3904"/>
      <c r="G918" s="1790" t="s">
        <v>3988</v>
      </c>
      <c r="H918" s="234" t="s">
        <v>3988</v>
      </c>
      <c r="I918" s="234" t="s">
        <v>3988</v>
      </c>
      <c r="J918" s="251" t="s">
        <v>3988</v>
      </c>
    </row>
    <row r="919" spans="1:10" ht="31.8" x14ac:dyDescent="0.3">
      <c r="A919" s="242" t="s">
        <v>5272</v>
      </c>
      <c r="B919" s="3905" t="s">
        <v>5376</v>
      </c>
      <c r="C919" s="3906"/>
      <c r="D919" s="3906"/>
      <c r="E919" s="3907"/>
      <c r="F919" s="241" t="s">
        <v>5274</v>
      </c>
      <c r="G919" s="240">
        <v>70720539</v>
      </c>
      <c r="H919" s="1791" t="s">
        <v>5276</v>
      </c>
      <c r="I919" s="1791" t="s">
        <v>5277</v>
      </c>
      <c r="J919" s="252" t="s">
        <v>5278</v>
      </c>
    </row>
    <row r="920" spans="1:10" x14ac:dyDescent="0.3">
      <c r="A920" s="3908"/>
      <c r="B920" s="3909"/>
      <c r="C920" s="3909"/>
      <c r="D920" s="3909"/>
      <c r="E920" s="3910"/>
      <c r="F920" s="3911"/>
      <c r="G920" s="3912"/>
      <c r="H920" s="256">
        <v>30</v>
      </c>
      <c r="I920" s="256">
        <v>8</v>
      </c>
      <c r="J920" s="257">
        <v>2021</v>
      </c>
    </row>
    <row r="921" spans="1:10" x14ac:dyDescent="0.3">
      <c r="A921" s="3913" t="s">
        <v>5279</v>
      </c>
      <c r="B921" s="3914"/>
      <c r="C921" s="3914"/>
      <c r="D921" s="3914"/>
      <c r="E921" s="3915"/>
      <c r="F921" s="258" t="s">
        <v>5280</v>
      </c>
      <c r="G921" s="1787" t="s">
        <v>3988</v>
      </c>
      <c r="H921" s="259" t="s">
        <v>5281</v>
      </c>
      <c r="I921" s="260" t="s">
        <v>3988</v>
      </c>
      <c r="J921" s="261" t="s">
        <v>3988</v>
      </c>
    </row>
    <row r="922" spans="1:10" ht="21.75" customHeight="1" x14ac:dyDescent="0.3">
      <c r="A922" s="3913" t="s">
        <v>5377</v>
      </c>
      <c r="B922" s="3914"/>
      <c r="C922" s="3914"/>
      <c r="D922" s="3914"/>
      <c r="E922" s="3915"/>
      <c r="F922" s="3911" t="s">
        <v>5378</v>
      </c>
      <c r="G922" s="3912"/>
      <c r="H922" s="3911" t="s">
        <v>125</v>
      </c>
      <c r="I922" s="3911"/>
      <c r="J922" s="3916"/>
    </row>
    <row r="923" spans="1:10" x14ac:dyDescent="0.3">
      <c r="A923" s="262" t="s">
        <v>5284</v>
      </c>
      <c r="B923" s="3911" t="s">
        <v>5285</v>
      </c>
      <c r="C923" s="3911"/>
      <c r="D923" s="3911"/>
      <c r="E923" s="3912"/>
      <c r="F923" s="3917" t="s">
        <v>3752</v>
      </c>
      <c r="G923" s="3918"/>
      <c r="H923" s="3911" t="s">
        <v>5286</v>
      </c>
      <c r="I923" s="3911"/>
      <c r="J923" s="3916"/>
    </row>
    <row r="924" spans="1:10" x14ac:dyDescent="0.3">
      <c r="A924" s="263">
        <v>2</v>
      </c>
      <c r="B924" s="3887" t="s">
        <v>5379</v>
      </c>
      <c r="C924" s="3887"/>
      <c r="D924" s="3887"/>
      <c r="E924" s="3887"/>
      <c r="F924" s="3888">
        <v>2500</v>
      </c>
      <c r="G924" s="3889"/>
      <c r="H924" s="3887">
        <f>F924*A924</f>
        <v>5000</v>
      </c>
      <c r="I924" s="3887"/>
      <c r="J924" s="3890"/>
    </row>
    <row r="925" spans="1:10" x14ac:dyDescent="0.3">
      <c r="A925" s="263"/>
      <c r="B925" s="3887"/>
      <c r="C925" s="3887"/>
      <c r="D925" s="3887"/>
      <c r="E925" s="3887"/>
      <c r="F925" s="3888"/>
      <c r="G925" s="3889"/>
      <c r="H925" s="3887"/>
      <c r="I925" s="3887"/>
      <c r="J925" s="3890"/>
    </row>
    <row r="926" spans="1:10" x14ac:dyDescent="0.3">
      <c r="A926" s="263" t="s">
        <v>3988</v>
      </c>
      <c r="B926" s="264" t="s">
        <v>3988</v>
      </c>
      <c r="C926" s="264" t="s">
        <v>3988</v>
      </c>
      <c r="D926" s="264" t="s">
        <v>3988</v>
      </c>
      <c r="E926" s="264" t="s">
        <v>3988</v>
      </c>
      <c r="F926" s="3888" t="s">
        <v>3988</v>
      </c>
      <c r="G926" s="3889"/>
      <c r="H926" s="3887" t="s">
        <v>5287</v>
      </c>
      <c r="I926" s="3887"/>
      <c r="J926" s="3890"/>
    </row>
    <row r="927" spans="1:10" x14ac:dyDescent="0.3">
      <c r="A927" s="253" t="s">
        <v>3988</v>
      </c>
      <c r="B927" s="236" t="s">
        <v>3988</v>
      </c>
      <c r="C927" s="236" t="s">
        <v>3988</v>
      </c>
      <c r="D927" s="236" t="s">
        <v>3988</v>
      </c>
      <c r="E927" s="236" t="s">
        <v>3988</v>
      </c>
      <c r="F927" s="3891" t="s">
        <v>3988</v>
      </c>
      <c r="G927" s="3892"/>
      <c r="H927" s="3893" t="s">
        <v>5287</v>
      </c>
      <c r="I927" s="3893"/>
      <c r="J927" s="3894"/>
    </row>
    <row r="928" spans="1:10" x14ac:dyDescent="0.3">
      <c r="A928" s="253" t="s">
        <v>3988</v>
      </c>
      <c r="B928" s="236" t="s">
        <v>3988</v>
      </c>
      <c r="C928" s="236" t="s">
        <v>3988</v>
      </c>
      <c r="D928" s="236" t="s">
        <v>3988</v>
      </c>
      <c r="E928" s="236" t="s">
        <v>3988</v>
      </c>
      <c r="F928" s="3891" t="s">
        <v>3988</v>
      </c>
      <c r="G928" s="3892"/>
      <c r="H928" s="3893" t="s">
        <v>5287</v>
      </c>
      <c r="I928" s="3893"/>
      <c r="J928" s="3894"/>
    </row>
    <row r="929" spans="1:10" x14ac:dyDescent="0.3">
      <c r="A929" s="253" t="s">
        <v>3988</v>
      </c>
      <c r="B929" s="236" t="s">
        <v>3988</v>
      </c>
      <c r="C929" s="236" t="s">
        <v>3988</v>
      </c>
      <c r="D929" s="236" t="s">
        <v>3988</v>
      </c>
      <c r="E929" s="236" t="s">
        <v>3988</v>
      </c>
      <c r="F929" s="3891" t="s">
        <v>3988</v>
      </c>
      <c r="G929" s="3892"/>
      <c r="H929" s="3893" t="s">
        <v>5287</v>
      </c>
      <c r="I929" s="3893"/>
      <c r="J929" s="3894"/>
    </row>
    <row r="930" spans="1:10" x14ac:dyDescent="0.3">
      <c r="A930" s="253" t="s">
        <v>3988</v>
      </c>
      <c r="B930" s="236" t="s">
        <v>3988</v>
      </c>
      <c r="C930" s="236" t="s">
        <v>3988</v>
      </c>
      <c r="D930" s="236" t="s">
        <v>3988</v>
      </c>
      <c r="E930" s="236" t="s">
        <v>3988</v>
      </c>
      <c r="F930" s="3891" t="s">
        <v>3988</v>
      </c>
      <c r="G930" s="3892"/>
      <c r="H930" s="3893" t="s">
        <v>5287</v>
      </c>
      <c r="I930" s="3893"/>
      <c r="J930" s="3894"/>
    </row>
    <row r="931" spans="1:10" x14ac:dyDescent="0.3">
      <c r="A931" s="253" t="s">
        <v>3988</v>
      </c>
      <c r="B931" s="236" t="s">
        <v>3988</v>
      </c>
      <c r="C931" s="236" t="s">
        <v>3988</v>
      </c>
      <c r="D931" s="236" t="s">
        <v>3988</v>
      </c>
      <c r="E931" s="236" t="s">
        <v>3988</v>
      </c>
      <c r="F931" s="3891" t="s">
        <v>3988</v>
      </c>
      <c r="G931" s="3892"/>
      <c r="H931" s="3893" t="s">
        <v>5287</v>
      </c>
      <c r="I931" s="3893"/>
      <c r="J931" s="3894"/>
    </row>
    <row r="932" spans="1:10" x14ac:dyDescent="0.3">
      <c r="A932" s="253" t="s">
        <v>3988</v>
      </c>
      <c r="B932" s="236" t="s">
        <v>3988</v>
      </c>
      <c r="C932" s="236" t="s">
        <v>3988</v>
      </c>
      <c r="D932" s="236" t="s">
        <v>3988</v>
      </c>
      <c r="E932" s="236" t="s">
        <v>3988</v>
      </c>
      <c r="F932" s="3891" t="s">
        <v>3988</v>
      </c>
      <c r="G932" s="3892"/>
      <c r="H932" s="3893" t="s">
        <v>5287</v>
      </c>
      <c r="I932" s="3893"/>
      <c r="J932" s="3894"/>
    </row>
    <row r="933" spans="1:10" x14ac:dyDescent="0.3">
      <c r="A933" s="1788" t="s">
        <v>3753</v>
      </c>
      <c r="B933" s="235" t="s">
        <v>3988</v>
      </c>
      <c r="C933" s="235" t="s">
        <v>3988</v>
      </c>
      <c r="D933" s="235" t="s">
        <v>3988</v>
      </c>
      <c r="E933" s="3859" t="s">
        <v>5288</v>
      </c>
      <c r="F933" s="3860"/>
      <c r="G933" s="3861">
        <f>H924+H925</f>
        <v>5000</v>
      </c>
      <c r="H933" s="3861"/>
      <c r="I933" s="3862"/>
      <c r="J933" s="254"/>
    </row>
    <row r="934" spans="1:10" x14ac:dyDescent="0.3">
      <c r="A934" s="255" t="s">
        <v>3988</v>
      </c>
      <c r="B934" s="237" t="s">
        <v>3988</v>
      </c>
      <c r="C934" s="237" t="s">
        <v>3988</v>
      </c>
      <c r="D934" s="237" t="s">
        <v>3988</v>
      </c>
      <c r="E934" s="237" t="s">
        <v>3988</v>
      </c>
      <c r="F934" s="238" t="s">
        <v>5289</v>
      </c>
      <c r="G934" s="239" t="s">
        <v>5290</v>
      </c>
      <c r="H934" s="3863" t="s">
        <v>5291</v>
      </c>
      <c r="I934" s="3863"/>
      <c r="J934" s="3864"/>
    </row>
    <row r="935" spans="1:10" x14ac:dyDescent="0.3">
      <c r="A935" s="3865" t="s">
        <v>5292</v>
      </c>
      <c r="B935" s="3866"/>
      <c r="C935" s="3866"/>
      <c r="D935" s="3866"/>
      <c r="E935" s="3867"/>
      <c r="F935" s="3871" t="s">
        <v>5293</v>
      </c>
      <c r="G935" s="3872"/>
      <c r="H935" s="3875">
        <f>G933</f>
        <v>5000</v>
      </c>
      <c r="I935" s="3876"/>
      <c r="J935" s="3877"/>
    </row>
    <row r="936" spans="1:10" x14ac:dyDescent="0.3">
      <c r="A936" s="3868"/>
      <c r="B936" s="3869"/>
      <c r="C936" s="3869"/>
      <c r="D936" s="3869"/>
      <c r="E936" s="3870"/>
      <c r="F936" s="3873"/>
      <c r="G936" s="3874"/>
      <c r="H936" s="3878"/>
      <c r="I936" s="3879"/>
      <c r="J936" s="3880"/>
    </row>
    <row r="937" spans="1:10" x14ac:dyDescent="0.3">
      <c r="A937" s="3881" t="s">
        <v>5294</v>
      </c>
      <c r="B937" s="3882"/>
      <c r="C937" s="3882"/>
      <c r="D937" s="3882"/>
      <c r="E937" s="3882"/>
      <c r="F937" s="3882"/>
      <c r="G937" s="3882"/>
      <c r="H937" s="3882"/>
      <c r="I937" s="3882"/>
      <c r="J937" s="3883"/>
    </row>
    <row r="938" spans="1:10" x14ac:dyDescent="0.3">
      <c r="A938" s="3884"/>
      <c r="B938" s="3885"/>
      <c r="C938" s="3885"/>
      <c r="D938" s="3885"/>
      <c r="E938" s="3885"/>
      <c r="F938" s="3885"/>
      <c r="G938" s="3885"/>
      <c r="H938" s="3885"/>
      <c r="I938" s="3885"/>
      <c r="J938" s="3886"/>
    </row>
    <row r="940" spans="1:10" x14ac:dyDescent="0.3">
      <c r="A940" s="246" t="s">
        <v>3988</v>
      </c>
      <c r="B940" s="247" t="s">
        <v>3988</v>
      </c>
      <c r="C940" s="3895" t="s">
        <v>5267</v>
      </c>
      <c r="D940" s="3895"/>
      <c r="E940" s="3895"/>
      <c r="F940" s="3896"/>
      <c r="G940" s="247" t="s">
        <v>3988</v>
      </c>
      <c r="H940" s="1789" t="s">
        <v>3988</v>
      </c>
      <c r="I940" s="1789" t="s">
        <v>3988</v>
      </c>
      <c r="J940" s="248" t="s">
        <v>3988</v>
      </c>
    </row>
    <row r="941" spans="1:10" ht="15.6" x14ac:dyDescent="0.3">
      <c r="A941" s="249" t="s">
        <v>3988</v>
      </c>
      <c r="B941" s="231"/>
      <c r="C941" s="3897" t="s">
        <v>3986</v>
      </c>
      <c r="D941" s="3897"/>
      <c r="E941" s="3897"/>
      <c r="F941" s="3898"/>
      <c r="G941" s="1790" t="s">
        <v>3988</v>
      </c>
      <c r="H941" s="3899" t="s">
        <v>5380</v>
      </c>
      <c r="I941" s="3899"/>
      <c r="J941" s="250" t="s">
        <v>3988</v>
      </c>
    </row>
    <row r="942" spans="1:10" ht="17.399999999999999" x14ac:dyDescent="0.3">
      <c r="A942" s="249" t="s">
        <v>3988</v>
      </c>
      <c r="B942" s="232"/>
      <c r="C942" s="3901" t="s">
        <v>5269</v>
      </c>
      <c r="D942" s="3901"/>
      <c r="E942" s="3901"/>
      <c r="F942" s="3902"/>
      <c r="G942" s="233" t="s">
        <v>5270</v>
      </c>
      <c r="H942" s="3900"/>
      <c r="I942" s="3900"/>
      <c r="J942" s="250" t="s">
        <v>3988</v>
      </c>
    </row>
    <row r="943" spans="1:10" x14ac:dyDescent="0.3">
      <c r="A943" s="249" t="s">
        <v>3988</v>
      </c>
      <c r="B943" s="232" t="s">
        <v>3988</v>
      </c>
      <c r="C943" s="3903" t="s">
        <v>5271</v>
      </c>
      <c r="D943" s="3903"/>
      <c r="E943" s="3903"/>
      <c r="F943" s="3904"/>
      <c r="G943" s="1790" t="s">
        <v>3988</v>
      </c>
      <c r="H943" s="234" t="s">
        <v>3988</v>
      </c>
      <c r="I943" s="234" t="s">
        <v>3988</v>
      </c>
      <c r="J943" s="251" t="s">
        <v>3988</v>
      </c>
    </row>
    <row r="944" spans="1:10" ht="31.8" x14ac:dyDescent="0.3">
      <c r="A944" s="242" t="s">
        <v>5272</v>
      </c>
      <c r="B944" s="3905" t="s">
        <v>5376</v>
      </c>
      <c r="C944" s="3906"/>
      <c r="D944" s="3906"/>
      <c r="E944" s="3907"/>
      <c r="F944" s="241" t="s">
        <v>5274</v>
      </c>
      <c r="G944" s="240">
        <v>70720539</v>
      </c>
      <c r="H944" s="1791" t="s">
        <v>5276</v>
      </c>
      <c r="I944" s="1791" t="s">
        <v>5277</v>
      </c>
      <c r="J944" s="252" t="s">
        <v>5278</v>
      </c>
    </row>
    <row r="945" spans="1:10" x14ac:dyDescent="0.3">
      <c r="A945" s="3908"/>
      <c r="B945" s="3909"/>
      <c r="C945" s="3909"/>
      <c r="D945" s="3909"/>
      <c r="E945" s="3910"/>
      <c r="F945" s="3911"/>
      <c r="G945" s="3912"/>
      <c r="H945" s="256">
        <v>5</v>
      </c>
      <c r="I945" s="256">
        <v>11</v>
      </c>
      <c r="J945" s="257">
        <v>2021</v>
      </c>
    </row>
    <row r="946" spans="1:10" x14ac:dyDescent="0.3">
      <c r="A946" s="3913" t="s">
        <v>5279</v>
      </c>
      <c r="B946" s="3914"/>
      <c r="C946" s="3914"/>
      <c r="D946" s="3914"/>
      <c r="E946" s="3915"/>
      <c r="F946" s="258" t="s">
        <v>5280</v>
      </c>
      <c r="G946" s="1787" t="s">
        <v>3988</v>
      </c>
      <c r="H946" s="259" t="s">
        <v>5281</v>
      </c>
      <c r="I946" s="260" t="s">
        <v>3988</v>
      </c>
      <c r="J946" s="261" t="s">
        <v>3988</v>
      </c>
    </row>
    <row r="947" spans="1:10" ht="20.25" customHeight="1" x14ac:dyDescent="0.3">
      <c r="A947" s="3913" t="s">
        <v>5377</v>
      </c>
      <c r="B947" s="3914"/>
      <c r="C947" s="3914"/>
      <c r="D947" s="3914"/>
      <c r="E947" s="3915"/>
      <c r="F947" s="3911" t="s">
        <v>5378</v>
      </c>
      <c r="G947" s="3912"/>
      <c r="H947" s="3911" t="s">
        <v>125</v>
      </c>
      <c r="I947" s="3911"/>
      <c r="J947" s="3916"/>
    </row>
    <row r="948" spans="1:10" x14ac:dyDescent="0.3">
      <c r="A948" s="262" t="s">
        <v>5284</v>
      </c>
      <c r="B948" s="3911" t="s">
        <v>5285</v>
      </c>
      <c r="C948" s="3911"/>
      <c r="D948" s="3911"/>
      <c r="E948" s="3912"/>
      <c r="F948" s="3917" t="s">
        <v>3752</v>
      </c>
      <c r="G948" s="3918"/>
      <c r="H948" s="3911" t="s">
        <v>5286</v>
      </c>
      <c r="I948" s="3911"/>
      <c r="J948" s="3916"/>
    </row>
    <row r="949" spans="1:10" x14ac:dyDescent="0.3">
      <c r="A949" s="263">
        <v>2</v>
      </c>
      <c r="B949" s="3887" t="s">
        <v>5379</v>
      </c>
      <c r="C949" s="3887"/>
      <c r="D949" s="3887"/>
      <c r="E949" s="3887"/>
      <c r="F949" s="3888">
        <v>2500</v>
      </c>
      <c r="G949" s="3889"/>
      <c r="H949" s="3887">
        <f>F949*A949</f>
        <v>5000</v>
      </c>
      <c r="I949" s="3887"/>
      <c r="J949" s="3890"/>
    </row>
    <row r="950" spans="1:10" x14ac:dyDescent="0.3">
      <c r="A950" s="263"/>
      <c r="B950" s="3887"/>
      <c r="C950" s="3887"/>
      <c r="D950" s="3887"/>
      <c r="E950" s="3887"/>
      <c r="F950" s="3888"/>
      <c r="G950" s="3889"/>
      <c r="H950" s="3887"/>
      <c r="I950" s="3887"/>
      <c r="J950" s="3890"/>
    </row>
    <row r="951" spans="1:10" x14ac:dyDescent="0.3">
      <c r="A951" s="263" t="s">
        <v>3988</v>
      </c>
      <c r="B951" s="264" t="s">
        <v>3988</v>
      </c>
      <c r="C951" s="264" t="s">
        <v>3988</v>
      </c>
      <c r="D951" s="264" t="s">
        <v>3988</v>
      </c>
      <c r="E951" s="264" t="s">
        <v>3988</v>
      </c>
      <c r="F951" s="3888" t="s">
        <v>3988</v>
      </c>
      <c r="G951" s="3889"/>
      <c r="H951" s="3887" t="s">
        <v>5287</v>
      </c>
      <c r="I951" s="3887"/>
      <c r="J951" s="3890"/>
    </row>
    <row r="952" spans="1:10" x14ac:dyDescent="0.3">
      <c r="A952" s="253" t="s">
        <v>3988</v>
      </c>
      <c r="B952" s="236" t="s">
        <v>3988</v>
      </c>
      <c r="C952" s="236" t="s">
        <v>3988</v>
      </c>
      <c r="D952" s="236" t="s">
        <v>3988</v>
      </c>
      <c r="E952" s="236" t="s">
        <v>3988</v>
      </c>
      <c r="F952" s="3891" t="s">
        <v>3988</v>
      </c>
      <c r="G952" s="3892"/>
      <c r="H952" s="3893" t="s">
        <v>5287</v>
      </c>
      <c r="I952" s="3893"/>
      <c r="J952" s="3894"/>
    </row>
    <row r="953" spans="1:10" x14ac:dyDescent="0.3">
      <c r="A953" s="253" t="s">
        <v>3988</v>
      </c>
      <c r="B953" s="236" t="s">
        <v>3988</v>
      </c>
      <c r="C953" s="236" t="s">
        <v>3988</v>
      </c>
      <c r="D953" s="236" t="s">
        <v>3988</v>
      </c>
      <c r="E953" s="236" t="s">
        <v>3988</v>
      </c>
      <c r="F953" s="3891" t="s">
        <v>3988</v>
      </c>
      <c r="G953" s="3892"/>
      <c r="H953" s="3893" t="s">
        <v>5287</v>
      </c>
      <c r="I953" s="3893"/>
      <c r="J953" s="3894"/>
    </row>
    <row r="954" spans="1:10" x14ac:dyDescent="0.3">
      <c r="A954" s="253" t="s">
        <v>3988</v>
      </c>
      <c r="B954" s="236" t="s">
        <v>3988</v>
      </c>
      <c r="C954" s="236" t="s">
        <v>3988</v>
      </c>
      <c r="D954" s="236" t="s">
        <v>3988</v>
      </c>
      <c r="E954" s="236" t="s">
        <v>3988</v>
      </c>
      <c r="F954" s="3891" t="s">
        <v>3988</v>
      </c>
      <c r="G954" s="3892"/>
      <c r="H954" s="3893" t="s">
        <v>5287</v>
      </c>
      <c r="I954" s="3893"/>
      <c r="J954" s="3894"/>
    </row>
    <row r="955" spans="1:10" x14ac:dyDescent="0.3">
      <c r="A955" s="253" t="s">
        <v>3988</v>
      </c>
      <c r="B955" s="236" t="s">
        <v>3988</v>
      </c>
      <c r="C955" s="236" t="s">
        <v>3988</v>
      </c>
      <c r="D955" s="236" t="s">
        <v>3988</v>
      </c>
      <c r="E955" s="236" t="s">
        <v>3988</v>
      </c>
      <c r="F955" s="3891" t="s">
        <v>3988</v>
      </c>
      <c r="G955" s="3892"/>
      <c r="H955" s="3893" t="s">
        <v>5287</v>
      </c>
      <c r="I955" s="3893"/>
      <c r="J955" s="3894"/>
    </row>
    <row r="956" spans="1:10" x14ac:dyDescent="0.3">
      <c r="A956" s="253" t="s">
        <v>3988</v>
      </c>
      <c r="B956" s="236" t="s">
        <v>3988</v>
      </c>
      <c r="C956" s="236" t="s">
        <v>3988</v>
      </c>
      <c r="D956" s="236" t="s">
        <v>3988</v>
      </c>
      <c r="E956" s="236" t="s">
        <v>3988</v>
      </c>
      <c r="F956" s="3891" t="s">
        <v>3988</v>
      </c>
      <c r="G956" s="3892"/>
      <c r="H956" s="3893" t="s">
        <v>5287</v>
      </c>
      <c r="I956" s="3893"/>
      <c r="J956" s="3894"/>
    </row>
    <row r="957" spans="1:10" x14ac:dyDescent="0.3">
      <c r="A957" s="253" t="s">
        <v>3988</v>
      </c>
      <c r="B957" s="236" t="s">
        <v>3988</v>
      </c>
      <c r="C957" s="236" t="s">
        <v>3988</v>
      </c>
      <c r="D957" s="236" t="s">
        <v>3988</v>
      </c>
      <c r="E957" s="236" t="s">
        <v>3988</v>
      </c>
      <c r="F957" s="3891" t="s">
        <v>3988</v>
      </c>
      <c r="G957" s="3892"/>
      <c r="H957" s="3893" t="s">
        <v>5287</v>
      </c>
      <c r="I957" s="3893"/>
      <c r="J957" s="3894"/>
    </row>
    <row r="958" spans="1:10" x14ac:dyDescent="0.3">
      <c r="A958" s="1788" t="s">
        <v>3753</v>
      </c>
      <c r="B958" s="235" t="s">
        <v>3988</v>
      </c>
      <c r="C958" s="235" t="s">
        <v>3988</v>
      </c>
      <c r="D958" s="235" t="s">
        <v>3988</v>
      </c>
      <c r="E958" s="3859" t="s">
        <v>5288</v>
      </c>
      <c r="F958" s="3860"/>
      <c r="G958" s="3861">
        <f>H949+H950</f>
        <v>5000</v>
      </c>
      <c r="H958" s="3861"/>
      <c r="I958" s="3862"/>
      <c r="J958" s="254"/>
    </row>
    <row r="959" spans="1:10" x14ac:dyDescent="0.3">
      <c r="A959" s="255" t="s">
        <v>3988</v>
      </c>
      <c r="B959" s="237" t="s">
        <v>3988</v>
      </c>
      <c r="C959" s="237" t="s">
        <v>3988</v>
      </c>
      <c r="D959" s="237" t="s">
        <v>3988</v>
      </c>
      <c r="E959" s="237" t="s">
        <v>3988</v>
      </c>
      <c r="F959" s="238" t="s">
        <v>5289</v>
      </c>
      <c r="G959" s="239" t="s">
        <v>5290</v>
      </c>
      <c r="H959" s="3863" t="s">
        <v>5291</v>
      </c>
      <c r="I959" s="3863"/>
      <c r="J959" s="3864"/>
    </row>
    <row r="960" spans="1:10" x14ac:dyDescent="0.3">
      <c r="A960" s="3865" t="s">
        <v>5292</v>
      </c>
      <c r="B960" s="3866"/>
      <c r="C960" s="3866"/>
      <c r="D960" s="3866"/>
      <c r="E960" s="3867"/>
      <c r="F960" s="3871" t="s">
        <v>5293</v>
      </c>
      <c r="G960" s="3872"/>
      <c r="H960" s="3875">
        <f>G958</f>
        <v>5000</v>
      </c>
      <c r="I960" s="3876"/>
      <c r="J960" s="3877"/>
    </row>
    <row r="961" spans="1:10" x14ac:dyDescent="0.3">
      <c r="A961" s="3868"/>
      <c r="B961" s="3869"/>
      <c r="C961" s="3869"/>
      <c r="D961" s="3869"/>
      <c r="E961" s="3870"/>
      <c r="F961" s="3873"/>
      <c r="G961" s="3874"/>
      <c r="H961" s="3878"/>
      <c r="I961" s="3879"/>
      <c r="J961" s="3880"/>
    </row>
    <row r="962" spans="1:10" x14ac:dyDescent="0.3">
      <c r="A962" s="3881" t="s">
        <v>5294</v>
      </c>
      <c r="B962" s="3882"/>
      <c r="C962" s="3882"/>
      <c r="D962" s="3882"/>
      <c r="E962" s="3882"/>
      <c r="F962" s="3882"/>
      <c r="G962" s="3882"/>
      <c r="H962" s="3882"/>
      <c r="I962" s="3882"/>
      <c r="J962" s="3883"/>
    </row>
    <row r="963" spans="1:10" x14ac:dyDescent="0.3">
      <c r="A963" s="3884"/>
      <c r="B963" s="3885"/>
      <c r="C963" s="3885"/>
      <c r="D963" s="3885"/>
      <c r="E963" s="3885"/>
      <c r="F963" s="3885"/>
      <c r="G963" s="3885"/>
      <c r="H963" s="3885"/>
      <c r="I963" s="3885"/>
      <c r="J963" s="3886"/>
    </row>
    <row r="965" spans="1:10" x14ac:dyDescent="0.3">
      <c r="A965" s="246" t="s">
        <v>3988</v>
      </c>
      <c r="B965" s="247" t="s">
        <v>3988</v>
      </c>
      <c r="C965" s="3895" t="s">
        <v>5267</v>
      </c>
      <c r="D965" s="3895"/>
      <c r="E965" s="3895"/>
      <c r="F965" s="3896"/>
      <c r="G965" s="247" t="s">
        <v>3988</v>
      </c>
      <c r="H965" s="1789" t="s">
        <v>3988</v>
      </c>
      <c r="I965" s="1789" t="s">
        <v>3988</v>
      </c>
      <c r="J965" s="248" t="s">
        <v>3988</v>
      </c>
    </row>
    <row r="966" spans="1:10" ht="15.6" x14ac:dyDescent="0.3">
      <c r="A966" s="249" t="s">
        <v>3988</v>
      </c>
      <c r="B966" s="231"/>
      <c r="C966" s="3897" t="s">
        <v>3986</v>
      </c>
      <c r="D966" s="3897"/>
      <c r="E966" s="3897"/>
      <c r="F966" s="3898"/>
      <c r="G966" s="1790" t="s">
        <v>3988</v>
      </c>
      <c r="H966" s="3899" t="s">
        <v>5381</v>
      </c>
      <c r="I966" s="3899"/>
      <c r="J966" s="250" t="s">
        <v>3988</v>
      </c>
    </row>
    <row r="967" spans="1:10" ht="17.399999999999999" x14ac:dyDescent="0.3">
      <c r="A967" s="249" t="s">
        <v>3988</v>
      </c>
      <c r="B967" s="232"/>
      <c r="C967" s="3901" t="s">
        <v>5269</v>
      </c>
      <c r="D967" s="3901"/>
      <c r="E967" s="3901"/>
      <c r="F967" s="3902"/>
      <c r="G967" s="233" t="s">
        <v>5270</v>
      </c>
      <c r="H967" s="3900"/>
      <c r="I967" s="3900"/>
      <c r="J967" s="250" t="s">
        <v>3988</v>
      </c>
    </row>
    <row r="968" spans="1:10" x14ac:dyDescent="0.3">
      <c r="A968" s="249" t="s">
        <v>3988</v>
      </c>
      <c r="B968" s="232" t="s">
        <v>3988</v>
      </c>
      <c r="C968" s="3903" t="s">
        <v>5271</v>
      </c>
      <c r="D968" s="3903"/>
      <c r="E968" s="3903"/>
      <c r="F968" s="3904"/>
      <c r="G968" s="1790" t="s">
        <v>3988</v>
      </c>
      <c r="H968" s="234"/>
      <c r="I968" s="234" t="s">
        <v>3988</v>
      </c>
      <c r="J968" s="251" t="s">
        <v>3988</v>
      </c>
    </row>
    <row r="969" spans="1:10" ht="31.8" x14ac:dyDescent="0.3">
      <c r="A969" s="242" t="s">
        <v>5272</v>
      </c>
      <c r="B969" s="3905" t="s">
        <v>5376</v>
      </c>
      <c r="C969" s="3906"/>
      <c r="D969" s="3906"/>
      <c r="E969" s="3907"/>
      <c r="F969" s="241" t="s">
        <v>5274</v>
      </c>
      <c r="G969" s="240">
        <v>70720539</v>
      </c>
      <c r="H969" s="1791" t="s">
        <v>5276</v>
      </c>
      <c r="I969" s="1791" t="s">
        <v>5277</v>
      </c>
      <c r="J969" s="252" t="s">
        <v>5278</v>
      </c>
    </row>
    <row r="970" spans="1:10" x14ac:dyDescent="0.3">
      <c r="A970" s="3908"/>
      <c r="B970" s="3909"/>
      <c r="C970" s="3909"/>
      <c r="D970" s="3909"/>
      <c r="E970" s="3910"/>
      <c r="F970" s="3911"/>
      <c r="G970" s="3912"/>
      <c r="H970" s="256">
        <v>6</v>
      </c>
      <c r="I970" s="256">
        <v>11</v>
      </c>
      <c r="J970" s="257">
        <v>2021</v>
      </c>
    </row>
    <row r="971" spans="1:10" x14ac:dyDescent="0.3">
      <c r="A971" s="3913" t="s">
        <v>5279</v>
      </c>
      <c r="B971" s="3914"/>
      <c r="C971" s="3914"/>
      <c r="D971" s="3914"/>
      <c r="E971" s="3915"/>
      <c r="F971" s="258" t="s">
        <v>5280</v>
      </c>
      <c r="G971" s="1787" t="s">
        <v>3988</v>
      </c>
      <c r="H971" s="259" t="s">
        <v>5281</v>
      </c>
      <c r="I971" s="260" t="s">
        <v>3988</v>
      </c>
      <c r="J971" s="261" t="s">
        <v>3988</v>
      </c>
    </row>
    <row r="972" spans="1:10" x14ac:dyDescent="0.3">
      <c r="A972" s="3913" t="s">
        <v>5377</v>
      </c>
      <c r="B972" s="3914"/>
      <c r="C972" s="3914"/>
      <c r="D972" s="3914"/>
      <c r="E972" s="3915"/>
      <c r="F972" s="3911" t="s">
        <v>5378</v>
      </c>
      <c r="G972" s="3912"/>
      <c r="H972" s="3911" t="s">
        <v>125</v>
      </c>
      <c r="I972" s="3911"/>
      <c r="J972" s="3916"/>
    </row>
    <row r="973" spans="1:10" x14ac:dyDescent="0.3">
      <c r="A973" s="262" t="s">
        <v>5284</v>
      </c>
      <c r="B973" s="3911" t="s">
        <v>5285</v>
      </c>
      <c r="C973" s="3911"/>
      <c r="D973" s="3911"/>
      <c r="E973" s="3912"/>
      <c r="F973" s="3917" t="s">
        <v>3752</v>
      </c>
      <c r="G973" s="3918"/>
      <c r="H973" s="3911" t="s">
        <v>5286</v>
      </c>
      <c r="I973" s="3911"/>
      <c r="J973" s="3916"/>
    </row>
    <row r="974" spans="1:10" x14ac:dyDescent="0.3">
      <c r="A974" s="263">
        <v>1</v>
      </c>
      <c r="B974" s="3887" t="s">
        <v>5379</v>
      </c>
      <c r="C974" s="3887"/>
      <c r="D974" s="3887"/>
      <c r="E974" s="3887"/>
      <c r="F974" s="3888">
        <v>2500</v>
      </c>
      <c r="G974" s="3889"/>
      <c r="H974" s="3887">
        <f>F974*A974</f>
        <v>2500</v>
      </c>
      <c r="I974" s="3887"/>
      <c r="J974" s="3890"/>
    </row>
    <row r="975" spans="1:10" x14ac:dyDescent="0.3">
      <c r="A975" s="263"/>
      <c r="B975" s="3887"/>
      <c r="C975" s="3887"/>
      <c r="D975" s="3887"/>
      <c r="E975" s="3887"/>
      <c r="F975" s="3888"/>
      <c r="G975" s="3889"/>
      <c r="H975" s="3887"/>
      <c r="I975" s="3887"/>
      <c r="J975" s="3890"/>
    </row>
    <row r="976" spans="1:10" x14ac:dyDescent="0.3">
      <c r="A976" s="263" t="s">
        <v>3988</v>
      </c>
      <c r="B976" s="264" t="s">
        <v>3988</v>
      </c>
      <c r="C976" s="264" t="s">
        <v>3988</v>
      </c>
      <c r="D976" s="264" t="s">
        <v>3988</v>
      </c>
      <c r="E976" s="264" t="s">
        <v>3988</v>
      </c>
      <c r="F976" s="3888" t="s">
        <v>3988</v>
      </c>
      <c r="G976" s="3889"/>
      <c r="H976" s="3887" t="s">
        <v>5287</v>
      </c>
      <c r="I976" s="3887"/>
      <c r="J976" s="3890"/>
    </row>
    <row r="977" spans="1:10" x14ac:dyDescent="0.3">
      <c r="A977" s="253" t="s">
        <v>3988</v>
      </c>
      <c r="B977" s="236" t="s">
        <v>3988</v>
      </c>
      <c r="C977" s="236" t="s">
        <v>3988</v>
      </c>
      <c r="D977" s="236" t="s">
        <v>3988</v>
      </c>
      <c r="E977" s="236" t="s">
        <v>3988</v>
      </c>
      <c r="F977" s="3891" t="s">
        <v>3988</v>
      </c>
      <c r="G977" s="3892"/>
      <c r="H977" s="3893" t="s">
        <v>5287</v>
      </c>
      <c r="I977" s="3893"/>
      <c r="J977" s="3894"/>
    </row>
    <row r="978" spans="1:10" x14ac:dyDescent="0.3">
      <c r="A978" s="253" t="s">
        <v>3988</v>
      </c>
      <c r="B978" s="236" t="s">
        <v>3988</v>
      </c>
      <c r="C978" s="236" t="s">
        <v>3988</v>
      </c>
      <c r="D978" s="236" t="s">
        <v>3988</v>
      </c>
      <c r="E978" s="236" t="s">
        <v>3988</v>
      </c>
      <c r="F978" s="3891" t="s">
        <v>3988</v>
      </c>
      <c r="G978" s="3892"/>
      <c r="H978" s="3893" t="s">
        <v>5287</v>
      </c>
      <c r="I978" s="3893"/>
      <c r="J978" s="3894"/>
    </row>
    <row r="979" spans="1:10" x14ac:dyDescent="0.3">
      <c r="A979" s="253" t="s">
        <v>3988</v>
      </c>
      <c r="B979" s="236" t="s">
        <v>3988</v>
      </c>
      <c r="C979" s="236" t="s">
        <v>3988</v>
      </c>
      <c r="D979" s="236" t="s">
        <v>3988</v>
      </c>
      <c r="E979" s="236" t="s">
        <v>3988</v>
      </c>
      <c r="F979" s="3891" t="s">
        <v>3988</v>
      </c>
      <c r="G979" s="3892"/>
      <c r="H979" s="3893" t="s">
        <v>5287</v>
      </c>
      <c r="I979" s="3893"/>
      <c r="J979" s="3894"/>
    </row>
    <row r="980" spans="1:10" x14ac:dyDescent="0.3">
      <c r="A980" s="253" t="s">
        <v>3988</v>
      </c>
      <c r="B980" s="236" t="s">
        <v>3988</v>
      </c>
      <c r="C980" s="236" t="s">
        <v>3988</v>
      </c>
      <c r="D980" s="236" t="s">
        <v>3988</v>
      </c>
      <c r="E980" s="236" t="s">
        <v>3988</v>
      </c>
      <c r="F980" s="3891" t="s">
        <v>3988</v>
      </c>
      <c r="G980" s="3892"/>
      <c r="H980" s="3893" t="s">
        <v>5287</v>
      </c>
      <c r="I980" s="3893"/>
      <c r="J980" s="3894"/>
    </row>
    <row r="981" spans="1:10" x14ac:dyDescent="0.3">
      <c r="A981" s="253" t="s">
        <v>3988</v>
      </c>
      <c r="B981" s="236" t="s">
        <v>3988</v>
      </c>
      <c r="C981" s="236" t="s">
        <v>3988</v>
      </c>
      <c r="D981" s="236" t="s">
        <v>3988</v>
      </c>
      <c r="E981" s="236" t="s">
        <v>3988</v>
      </c>
      <c r="F981" s="3891" t="s">
        <v>3988</v>
      </c>
      <c r="G981" s="3892"/>
      <c r="H981" s="3893" t="s">
        <v>5287</v>
      </c>
      <c r="I981" s="3893"/>
      <c r="J981" s="3894"/>
    </row>
    <row r="982" spans="1:10" x14ac:dyDescent="0.3">
      <c r="A982" s="253" t="s">
        <v>3988</v>
      </c>
      <c r="B982" s="236" t="s">
        <v>3988</v>
      </c>
      <c r="C982" s="236" t="s">
        <v>3988</v>
      </c>
      <c r="D982" s="236" t="s">
        <v>3988</v>
      </c>
      <c r="E982" s="236" t="s">
        <v>3988</v>
      </c>
      <c r="F982" s="3891" t="s">
        <v>3988</v>
      </c>
      <c r="G982" s="3892"/>
      <c r="H982" s="3893" t="s">
        <v>5287</v>
      </c>
      <c r="I982" s="3893"/>
      <c r="J982" s="3894"/>
    </row>
    <row r="983" spans="1:10" x14ac:dyDescent="0.3">
      <c r="A983" s="1788" t="s">
        <v>3753</v>
      </c>
      <c r="B983" s="235" t="s">
        <v>3988</v>
      </c>
      <c r="C983" s="235" t="s">
        <v>3988</v>
      </c>
      <c r="D983" s="235" t="s">
        <v>3988</v>
      </c>
      <c r="E983" s="3859" t="s">
        <v>5288</v>
      </c>
      <c r="F983" s="3860"/>
      <c r="G983" s="3861">
        <f>H974+H975</f>
        <v>2500</v>
      </c>
      <c r="H983" s="3861"/>
      <c r="I983" s="3862"/>
      <c r="J983" s="254"/>
    </row>
    <row r="984" spans="1:10" x14ac:dyDescent="0.3">
      <c r="A984" s="255" t="s">
        <v>3988</v>
      </c>
      <c r="B984" s="237" t="s">
        <v>3988</v>
      </c>
      <c r="C984" s="237" t="s">
        <v>3988</v>
      </c>
      <c r="D984" s="237" t="s">
        <v>3988</v>
      </c>
      <c r="E984" s="237" t="s">
        <v>3988</v>
      </c>
      <c r="F984" s="238" t="s">
        <v>5289</v>
      </c>
      <c r="G984" s="239" t="s">
        <v>5290</v>
      </c>
      <c r="H984" s="3863" t="s">
        <v>5291</v>
      </c>
      <c r="I984" s="3863"/>
      <c r="J984" s="3864"/>
    </row>
    <row r="985" spans="1:10" x14ac:dyDescent="0.3">
      <c r="A985" s="3865" t="s">
        <v>5292</v>
      </c>
      <c r="B985" s="3866"/>
      <c r="C985" s="3866"/>
      <c r="D985" s="3866"/>
      <c r="E985" s="3867"/>
      <c r="F985" s="3871" t="s">
        <v>5293</v>
      </c>
      <c r="G985" s="3872"/>
      <c r="H985" s="3875">
        <f>G983</f>
        <v>2500</v>
      </c>
      <c r="I985" s="3876"/>
      <c r="J985" s="3877"/>
    </row>
    <row r="986" spans="1:10" x14ac:dyDescent="0.3">
      <c r="A986" s="3868"/>
      <c r="B986" s="3869"/>
      <c r="C986" s="3869"/>
      <c r="D986" s="3869"/>
      <c r="E986" s="3870"/>
      <c r="F986" s="3873"/>
      <c r="G986" s="3874"/>
      <c r="H986" s="3878"/>
      <c r="I986" s="3879"/>
      <c r="J986" s="3880"/>
    </row>
    <row r="987" spans="1:10" x14ac:dyDescent="0.3">
      <c r="A987" s="3881" t="s">
        <v>5294</v>
      </c>
      <c r="B987" s="3882"/>
      <c r="C987" s="3882"/>
      <c r="D987" s="3882"/>
      <c r="E987" s="3882"/>
      <c r="F987" s="3882"/>
      <c r="G987" s="3882"/>
      <c r="H987" s="3882"/>
      <c r="I987" s="3882"/>
      <c r="J987" s="3883"/>
    </row>
    <row r="988" spans="1:10" x14ac:dyDescent="0.3">
      <c r="A988" s="3884"/>
      <c r="B988" s="3885"/>
      <c r="C988" s="3885"/>
      <c r="D988" s="3885"/>
      <c r="E988" s="3885"/>
      <c r="F988" s="3885"/>
      <c r="G988" s="3885"/>
      <c r="H988" s="3885"/>
      <c r="I988" s="3885"/>
      <c r="J988" s="3886"/>
    </row>
    <row r="990" spans="1:10" x14ac:dyDescent="0.3">
      <c r="A990" s="246" t="s">
        <v>3988</v>
      </c>
      <c r="B990" s="247" t="s">
        <v>3988</v>
      </c>
      <c r="C990" s="3895" t="s">
        <v>5267</v>
      </c>
      <c r="D990" s="3895"/>
      <c r="E990" s="3895"/>
      <c r="F990" s="3896"/>
      <c r="G990" s="247" t="s">
        <v>3988</v>
      </c>
      <c r="H990" s="1789" t="s">
        <v>3988</v>
      </c>
      <c r="I990" s="1789" t="s">
        <v>3988</v>
      </c>
      <c r="J990" s="248" t="s">
        <v>3988</v>
      </c>
    </row>
    <row r="991" spans="1:10" ht="15.6" x14ac:dyDescent="0.3">
      <c r="A991" s="249" t="s">
        <v>3988</v>
      </c>
      <c r="B991" s="231"/>
      <c r="C991" s="3897" t="s">
        <v>3986</v>
      </c>
      <c r="D991" s="3897"/>
      <c r="E991" s="3897"/>
      <c r="F991" s="3898"/>
      <c r="G991" s="1790" t="s">
        <v>3988</v>
      </c>
      <c r="H991" s="3899" t="s">
        <v>5382</v>
      </c>
      <c r="I991" s="3899"/>
      <c r="J991" s="250" t="s">
        <v>3988</v>
      </c>
    </row>
    <row r="992" spans="1:10" ht="17.399999999999999" x14ac:dyDescent="0.3">
      <c r="A992" s="249" t="s">
        <v>3988</v>
      </c>
      <c r="B992" s="232"/>
      <c r="C992" s="3901" t="s">
        <v>5269</v>
      </c>
      <c r="D992" s="3901"/>
      <c r="E992" s="3901"/>
      <c r="F992" s="3902"/>
      <c r="G992" s="233" t="s">
        <v>5270</v>
      </c>
      <c r="H992" s="3900"/>
      <c r="I992" s="3900"/>
      <c r="J992" s="250" t="s">
        <v>3988</v>
      </c>
    </row>
    <row r="993" spans="1:10" x14ac:dyDescent="0.3">
      <c r="A993" s="249" t="s">
        <v>3988</v>
      </c>
      <c r="B993" s="232" t="s">
        <v>3988</v>
      </c>
      <c r="C993" s="3903" t="s">
        <v>5271</v>
      </c>
      <c r="D993" s="3903"/>
      <c r="E993" s="3903"/>
      <c r="F993" s="3904"/>
      <c r="G993" s="1790" t="s">
        <v>3988</v>
      </c>
      <c r="H993" s="234"/>
      <c r="I993" s="234" t="s">
        <v>3988</v>
      </c>
      <c r="J993" s="251" t="s">
        <v>3988</v>
      </c>
    </row>
    <row r="994" spans="1:10" ht="31.8" x14ac:dyDescent="0.3">
      <c r="A994" s="242" t="s">
        <v>5272</v>
      </c>
      <c r="B994" s="3905" t="s">
        <v>5383</v>
      </c>
      <c r="C994" s="3906"/>
      <c r="D994" s="3906"/>
      <c r="E994" s="3907"/>
      <c r="F994" s="241" t="s">
        <v>5274</v>
      </c>
      <c r="G994" s="240">
        <v>71270077</v>
      </c>
      <c r="H994" s="1791" t="s">
        <v>5276</v>
      </c>
      <c r="I994" s="1791" t="s">
        <v>5277</v>
      </c>
      <c r="J994" s="252" t="s">
        <v>5278</v>
      </c>
    </row>
    <row r="995" spans="1:10" x14ac:dyDescent="0.3">
      <c r="A995" s="3908"/>
      <c r="B995" s="3909"/>
      <c r="C995" s="3909"/>
      <c r="D995" s="3909"/>
      <c r="E995" s="3910"/>
      <c r="F995" s="3911"/>
      <c r="G995" s="3912"/>
      <c r="H995" s="256">
        <v>30</v>
      </c>
      <c r="I995" s="256">
        <v>8</v>
      </c>
      <c r="J995" s="257">
        <v>2021</v>
      </c>
    </row>
    <row r="996" spans="1:10" x14ac:dyDescent="0.3">
      <c r="A996" s="3913" t="s">
        <v>5279</v>
      </c>
      <c r="B996" s="3914"/>
      <c r="C996" s="3914"/>
      <c r="D996" s="3914"/>
      <c r="E996" s="3915"/>
      <c r="F996" s="258" t="s">
        <v>5280</v>
      </c>
      <c r="G996" s="1787" t="s">
        <v>3988</v>
      </c>
      <c r="H996" s="259" t="s">
        <v>5281</v>
      </c>
      <c r="I996" s="260" t="s">
        <v>3988</v>
      </c>
      <c r="J996" s="261" t="s">
        <v>3988</v>
      </c>
    </row>
    <row r="997" spans="1:10" x14ac:dyDescent="0.3">
      <c r="A997" s="3913" t="s">
        <v>5384</v>
      </c>
      <c r="B997" s="3914"/>
      <c r="C997" s="3914"/>
      <c r="D997" s="3914"/>
      <c r="E997" s="3915"/>
      <c r="F997" s="3911">
        <v>2755591</v>
      </c>
      <c r="G997" s="3912"/>
      <c r="H997" s="3911" t="s">
        <v>125</v>
      </c>
      <c r="I997" s="3911"/>
      <c r="J997" s="3916"/>
    </row>
    <row r="998" spans="1:10" x14ac:dyDescent="0.3">
      <c r="A998" s="262" t="s">
        <v>5284</v>
      </c>
      <c r="B998" s="3911" t="s">
        <v>5285</v>
      </c>
      <c r="C998" s="3911"/>
      <c r="D998" s="3911"/>
      <c r="E998" s="3912"/>
      <c r="F998" s="3917" t="s">
        <v>3752</v>
      </c>
      <c r="G998" s="3918"/>
      <c r="H998" s="3911" t="s">
        <v>5286</v>
      </c>
      <c r="I998" s="3911"/>
      <c r="J998" s="3916"/>
    </row>
    <row r="999" spans="1:10" x14ac:dyDescent="0.3">
      <c r="A999" s="263">
        <v>1</v>
      </c>
      <c r="B999" s="3887" t="s">
        <v>5379</v>
      </c>
      <c r="C999" s="3887"/>
      <c r="D999" s="3887"/>
      <c r="E999" s="3887"/>
      <c r="F999" s="3888">
        <v>1500</v>
      </c>
      <c r="G999" s="3889"/>
      <c r="H999" s="3887">
        <f>F999*A999</f>
        <v>1500</v>
      </c>
      <c r="I999" s="3887"/>
      <c r="J999" s="3890"/>
    </row>
    <row r="1000" spans="1:10" x14ac:dyDescent="0.3">
      <c r="A1000" s="263"/>
      <c r="B1000" s="3887"/>
      <c r="C1000" s="3887"/>
      <c r="D1000" s="3887"/>
      <c r="E1000" s="3887"/>
      <c r="F1000" s="3888"/>
      <c r="G1000" s="3889"/>
      <c r="H1000" s="3887"/>
      <c r="I1000" s="3887"/>
      <c r="J1000" s="3890"/>
    </row>
    <row r="1001" spans="1:10" x14ac:dyDescent="0.3">
      <c r="A1001" s="263" t="s">
        <v>3988</v>
      </c>
      <c r="B1001" s="264" t="s">
        <v>3988</v>
      </c>
      <c r="C1001" s="264" t="s">
        <v>3988</v>
      </c>
      <c r="D1001" s="264" t="s">
        <v>3988</v>
      </c>
      <c r="E1001" s="264" t="s">
        <v>3988</v>
      </c>
      <c r="F1001" s="3888" t="s">
        <v>3988</v>
      </c>
      <c r="G1001" s="3889"/>
      <c r="H1001" s="3887" t="s">
        <v>5287</v>
      </c>
      <c r="I1001" s="3887"/>
      <c r="J1001" s="3890"/>
    </row>
    <row r="1002" spans="1:10" x14ac:dyDescent="0.3">
      <c r="A1002" s="253" t="s">
        <v>3988</v>
      </c>
      <c r="B1002" s="236" t="s">
        <v>3988</v>
      </c>
      <c r="C1002" s="236" t="s">
        <v>3988</v>
      </c>
      <c r="D1002" s="236" t="s">
        <v>3988</v>
      </c>
      <c r="E1002" s="236" t="s">
        <v>3988</v>
      </c>
      <c r="F1002" s="3891" t="s">
        <v>3988</v>
      </c>
      <c r="G1002" s="3892"/>
      <c r="H1002" s="3893" t="s">
        <v>5287</v>
      </c>
      <c r="I1002" s="3893"/>
      <c r="J1002" s="3894"/>
    </row>
    <row r="1003" spans="1:10" x14ac:dyDescent="0.3">
      <c r="A1003" s="253" t="s">
        <v>3988</v>
      </c>
      <c r="B1003" s="236" t="s">
        <v>3988</v>
      </c>
      <c r="C1003" s="236" t="s">
        <v>3988</v>
      </c>
      <c r="D1003" s="236" t="s">
        <v>3988</v>
      </c>
      <c r="E1003" s="236" t="s">
        <v>3988</v>
      </c>
      <c r="F1003" s="3891" t="s">
        <v>3988</v>
      </c>
      <c r="G1003" s="3892"/>
      <c r="H1003" s="3893" t="s">
        <v>5287</v>
      </c>
      <c r="I1003" s="3893"/>
      <c r="J1003" s="3894"/>
    </row>
    <row r="1004" spans="1:10" x14ac:dyDescent="0.3">
      <c r="A1004" s="253" t="s">
        <v>3988</v>
      </c>
      <c r="B1004" s="236" t="s">
        <v>3988</v>
      </c>
      <c r="C1004" s="236" t="s">
        <v>3988</v>
      </c>
      <c r="D1004" s="236" t="s">
        <v>3988</v>
      </c>
      <c r="E1004" s="236" t="s">
        <v>3988</v>
      </c>
      <c r="F1004" s="3891" t="s">
        <v>3988</v>
      </c>
      <c r="G1004" s="3892"/>
      <c r="H1004" s="3893" t="s">
        <v>5287</v>
      </c>
      <c r="I1004" s="3893"/>
      <c r="J1004" s="3894"/>
    </row>
    <row r="1005" spans="1:10" x14ac:dyDescent="0.3">
      <c r="A1005" s="253" t="s">
        <v>3988</v>
      </c>
      <c r="B1005" s="236" t="s">
        <v>3988</v>
      </c>
      <c r="C1005" s="236" t="s">
        <v>3988</v>
      </c>
      <c r="D1005" s="236" t="s">
        <v>3988</v>
      </c>
      <c r="E1005" s="236" t="s">
        <v>3988</v>
      </c>
      <c r="F1005" s="3891" t="s">
        <v>3988</v>
      </c>
      <c r="G1005" s="3892"/>
      <c r="H1005" s="3893" t="s">
        <v>5287</v>
      </c>
      <c r="I1005" s="3893"/>
      <c r="J1005" s="3894"/>
    </row>
    <row r="1006" spans="1:10" x14ac:dyDescent="0.3">
      <c r="A1006" s="253" t="s">
        <v>3988</v>
      </c>
      <c r="B1006" s="236" t="s">
        <v>3988</v>
      </c>
      <c r="C1006" s="236" t="s">
        <v>3988</v>
      </c>
      <c r="D1006" s="236" t="s">
        <v>3988</v>
      </c>
      <c r="E1006" s="236" t="s">
        <v>3988</v>
      </c>
      <c r="F1006" s="3891" t="s">
        <v>3988</v>
      </c>
      <c r="G1006" s="3892"/>
      <c r="H1006" s="3893" t="s">
        <v>5287</v>
      </c>
      <c r="I1006" s="3893"/>
      <c r="J1006" s="3894"/>
    </row>
    <row r="1007" spans="1:10" x14ac:dyDescent="0.3">
      <c r="A1007" s="253" t="s">
        <v>3988</v>
      </c>
      <c r="B1007" s="236" t="s">
        <v>3988</v>
      </c>
      <c r="C1007" s="236" t="s">
        <v>3988</v>
      </c>
      <c r="D1007" s="236" t="s">
        <v>3988</v>
      </c>
      <c r="E1007" s="236" t="s">
        <v>3988</v>
      </c>
      <c r="F1007" s="3891" t="s">
        <v>3988</v>
      </c>
      <c r="G1007" s="3892"/>
      <c r="H1007" s="3893" t="s">
        <v>5287</v>
      </c>
      <c r="I1007" s="3893"/>
      <c r="J1007" s="3894"/>
    </row>
    <row r="1008" spans="1:10" x14ac:dyDescent="0.3">
      <c r="A1008" s="1788" t="s">
        <v>3753</v>
      </c>
      <c r="B1008" s="235" t="s">
        <v>3988</v>
      </c>
      <c r="C1008" s="235" t="s">
        <v>3988</v>
      </c>
      <c r="D1008" s="235" t="s">
        <v>3988</v>
      </c>
      <c r="E1008" s="3859" t="s">
        <v>5288</v>
      </c>
      <c r="F1008" s="3860"/>
      <c r="G1008" s="3861">
        <f>H999+H1000</f>
        <v>1500</v>
      </c>
      <c r="H1008" s="3861"/>
      <c r="I1008" s="3862"/>
      <c r="J1008" s="254"/>
    </row>
    <row r="1009" spans="1:10" x14ac:dyDescent="0.3">
      <c r="A1009" s="255" t="s">
        <v>3988</v>
      </c>
      <c r="B1009" s="237" t="s">
        <v>3988</v>
      </c>
      <c r="C1009" s="237" t="s">
        <v>3988</v>
      </c>
      <c r="D1009" s="237" t="s">
        <v>3988</v>
      </c>
      <c r="E1009" s="237" t="s">
        <v>3988</v>
      </c>
      <c r="F1009" s="238" t="s">
        <v>5289</v>
      </c>
      <c r="G1009" s="239" t="s">
        <v>5290</v>
      </c>
      <c r="H1009" s="3863" t="s">
        <v>5291</v>
      </c>
      <c r="I1009" s="3863"/>
      <c r="J1009" s="3864"/>
    </row>
    <row r="1010" spans="1:10" x14ac:dyDescent="0.3">
      <c r="A1010" s="3865" t="s">
        <v>5292</v>
      </c>
      <c r="B1010" s="3866"/>
      <c r="C1010" s="3866"/>
      <c r="D1010" s="3866"/>
      <c r="E1010" s="3867"/>
      <c r="F1010" s="3871" t="s">
        <v>5293</v>
      </c>
      <c r="G1010" s="3872"/>
      <c r="H1010" s="3875">
        <f>G1008</f>
        <v>1500</v>
      </c>
      <c r="I1010" s="3876"/>
      <c r="J1010" s="3877"/>
    </row>
    <row r="1011" spans="1:10" x14ac:dyDescent="0.3">
      <c r="A1011" s="3868"/>
      <c r="B1011" s="3869"/>
      <c r="C1011" s="3869"/>
      <c r="D1011" s="3869"/>
      <c r="E1011" s="3870"/>
      <c r="F1011" s="3873"/>
      <c r="G1011" s="3874"/>
      <c r="H1011" s="3878"/>
      <c r="I1011" s="3879"/>
      <c r="J1011" s="3880"/>
    </row>
    <row r="1012" spans="1:10" x14ac:dyDescent="0.3">
      <c r="A1012" s="3881" t="s">
        <v>5294</v>
      </c>
      <c r="B1012" s="3882"/>
      <c r="C1012" s="3882"/>
      <c r="D1012" s="3882"/>
      <c r="E1012" s="3882"/>
      <c r="F1012" s="3882"/>
      <c r="G1012" s="3882"/>
      <c r="H1012" s="3882"/>
      <c r="I1012" s="3882"/>
      <c r="J1012" s="3883"/>
    </row>
    <row r="1013" spans="1:10" x14ac:dyDescent="0.3">
      <c r="A1013" s="3884"/>
      <c r="B1013" s="3885"/>
      <c r="C1013" s="3885"/>
      <c r="D1013" s="3885"/>
      <c r="E1013" s="3885"/>
      <c r="F1013" s="3885"/>
      <c r="G1013" s="3885"/>
      <c r="H1013" s="3885"/>
      <c r="I1013" s="3885"/>
      <c r="J1013" s="3886"/>
    </row>
    <row r="1015" spans="1:10" x14ac:dyDescent="0.3">
      <c r="A1015" s="246" t="s">
        <v>3988</v>
      </c>
      <c r="B1015" s="247" t="s">
        <v>3988</v>
      </c>
      <c r="C1015" s="3895" t="s">
        <v>5267</v>
      </c>
      <c r="D1015" s="3895"/>
      <c r="E1015" s="3895"/>
      <c r="F1015" s="3896"/>
      <c r="G1015" s="247" t="s">
        <v>3988</v>
      </c>
      <c r="H1015" s="1789" t="s">
        <v>3988</v>
      </c>
      <c r="I1015" s="1789" t="s">
        <v>3988</v>
      </c>
      <c r="J1015" s="248" t="s">
        <v>3988</v>
      </c>
    </row>
    <row r="1016" spans="1:10" ht="15.6" x14ac:dyDescent="0.3">
      <c r="A1016" s="249" t="s">
        <v>3988</v>
      </c>
      <c r="B1016" s="231"/>
      <c r="C1016" s="3897" t="s">
        <v>3986</v>
      </c>
      <c r="D1016" s="3897"/>
      <c r="E1016" s="3897"/>
      <c r="F1016" s="3898"/>
      <c r="G1016" s="1790" t="s">
        <v>3988</v>
      </c>
      <c r="H1016" s="3899" t="s">
        <v>5385</v>
      </c>
      <c r="I1016" s="3899"/>
      <c r="J1016" s="250" t="s">
        <v>3988</v>
      </c>
    </row>
    <row r="1017" spans="1:10" ht="17.399999999999999" x14ac:dyDescent="0.3">
      <c r="A1017" s="249" t="s">
        <v>3988</v>
      </c>
      <c r="B1017" s="232"/>
      <c r="C1017" s="3901" t="s">
        <v>5269</v>
      </c>
      <c r="D1017" s="3901"/>
      <c r="E1017" s="3901"/>
      <c r="F1017" s="3902"/>
      <c r="G1017" s="233" t="s">
        <v>5270</v>
      </c>
      <c r="H1017" s="3900"/>
      <c r="I1017" s="3900"/>
      <c r="J1017" s="250" t="s">
        <v>3988</v>
      </c>
    </row>
    <row r="1018" spans="1:10" x14ac:dyDescent="0.3">
      <c r="A1018" s="249" t="s">
        <v>3988</v>
      </c>
      <c r="B1018" s="232" t="s">
        <v>3988</v>
      </c>
      <c r="C1018" s="3903" t="s">
        <v>5271</v>
      </c>
      <c r="D1018" s="3903"/>
      <c r="E1018" s="3903"/>
      <c r="F1018" s="3904"/>
      <c r="G1018" s="1790" t="s">
        <v>3988</v>
      </c>
      <c r="H1018" s="234"/>
      <c r="I1018" s="234" t="s">
        <v>3988</v>
      </c>
      <c r="J1018" s="251" t="s">
        <v>3988</v>
      </c>
    </row>
    <row r="1019" spans="1:10" ht="31.8" x14ac:dyDescent="0.3">
      <c r="A1019" s="242" t="s">
        <v>5272</v>
      </c>
      <c r="B1019" s="3905" t="s">
        <v>5383</v>
      </c>
      <c r="C1019" s="3906"/>
      <c r="D1019" s="3906"/>
      <c r="E1019" s="3907"/>
      <c r="F1019" s="241" t="s">
        <v>5274</v>
      </c>
      <c r="G1019" s="240">
        <v>71270077</v>
      </c>
      <c r="H1019" s="1791" t="s">
        <v>5276</v>
      </c>
      <c r="I1019" s="1791" t="s">
        <v>5277</v>
      </c>
      <c r="J1019" s="252" t="s">
        <v>5278</v>
      </c>
    </row>
    <row r="1020" spans="1:10" x14ac:dyDescent="0.3">
      <c r="A1020" s="3908"/>
      <c r="B1020" s="3909"/>
      <c r="C1020" s="3909"/>
      <c r="D1020" s="3909"/>
      <c r="E1020" s="3910"/>
      <c r="F1020" s="3911"/>
      <c r="G1020" s="3912"/>
      <c r="H1020" s="256">
        <v>25</v>
      </c>
      <c r="I1020" s="256">
        <v>8</v>
      </c>
      <c r="J1020" s="257">
        <v>2021</v>
      </c>
    </row>
    <row r="1021" spans="1:10" x14ac:dyDescent="0.3">
      <c r="A1021" s="3913" t="s">
        <v>5279</v>
      </c>
      <c r="B1021" s="3914"/>
      <c r="C1021" s="3914"/>
      <c r="D1021" s="3914"/>
      <c r="E1021" s="3915"/>
      <c r="F1021" s="258" t="s">
        <v>5280</v>
      </c>
      <c r="G1021" s="1787" t="s">
        <v>3988</v>
      </c>
      <c r="H1021" s="259" t="s">
        <v>5281</v>
      </c>
      <c r="I1021" s="260" t="s">
        <v>3988</v>
      </c>
      <c r="J1021" s="261" t="s">
        <v>3988</v>
      </c>
    </row>
    <row r="1022" spans="1:10" x14ac:dyDescent="0.3">
      <c r="A1022" s="3913" t="s">
        <v>5384</v>
      </c>
      <c r="B1022" s="3914"/>
      <c r="C1022" s="3914"/>
      <c r="D1022" s="3914"/>
      <c r="E1022" s="3915"/>
      <c r="F1022" s="3911">
        <v>2755591</v>
      </c>
      <c r="G1022" s="3912"/>
      <c r="H1022" s="3911" t="s">
        <v>125</v>
      </c>
      <c r="I1022" s="3911"/>
      <c r="J1022" s="3916"/>
    </row>
    <row r="1023" spans="1:10" x14ac:dyDescent="0.3">
      <c r="A1023" s="262" t="s">
        <v>5284</v>
      </c>
      <c r="B1023" s="3911" t="s">
        <v>5285</v>
      </c>
      <c r="C1023" s="3911"/>
      <c r="D1023" s="3911"/>
      <c r="E1023" s="3912"/>
      <c r="F1023" s="3917" t="s">
        <v>3752</v>
      </c>
      <c r="G1023" s="3918"/>
      <c r="H1023" s="3911" t="s">
        <v>5286</v>
      </c>
      <c r="I1023" s="3911"/>
      <c r="J1023" s="3916"/>
    </row>
    <row r="1024" spans="1:10" x14ac:dyDescent="0.3">
      <c r="A1024" s="263">
        <v>2</v>
      </c>
      <c r="B1024" s="3887" t="s">
        <v>5379</v>
      </c>
      <c r="C1024" s="3887"/>
      <c r="D1024" s="3887"/>
      <c r="E1024" s="3887"/>
      <c r="F1024" s="3888">
        <v>1500</v>
      </c>
      <c r="G1024" s="3889"/>
      <c r="H1024" s="3887">
        <f>F1024*A1024</f>
        <v>3000</v>
      </c>
      <c r="I1024" s="3887"/>
      <c r="J1024" s="3890"/>
    </row>
    <row r="1025" spans="1:10" x14ac:dyDescent="0.3">
      <c r="A1025" s="263"/>
      <c r="B1025" s="3887"/>
      <c r="C1025" s="3887"/>
      <c r="D1025" s="3887"/>
      <c r="E1025" s="3887"/>
      <c r="F1025" s="3888"/>
      <c r="G1025" s="3889"/>
      <c r="H1025" s="3887"/>
      <c r="I1025" s="3887"/>
      <c r="J1025" s="3890"/>
    </row>
    <row r="1026" spans="1:10" x14ac:dyDescent="0.3">
      <c r="A1026" s="263" t="s">
        <v>3988</v>
      </c>
      <c r="B1026" s="264" t="s">
        <v>3988</v>
      </c>
      <c r="C1026" s="264" t="s">
        <v>3988</v>
      </c>
      <c r="D1026" s="264" t="s">
        <v>3988</v>
      </c>
      <c r="E1026" s="264" t="s">
        <v>3988</v>
      </c>
      <c r="F1026" s="3888" t="s">
        <v>3988</v>
      </c>
      <c r="G1026" s="3889"/>
      <c r="H1026" s="3887" t="s">
        <v>5287</v>
      </c>
      <c r="I1026" s="3887"/>
      <c r="J1026" s="3890"/>
    </row>
    <row r="1027" spans="1:10" x14ac:dyDescent="0.3">
      <c r="A1027" s="253" t="s">
        <v>3988</v>
      </c>
      <c r="B1027" s="236" t="s">
        <v>3988</v>
      </c>
      <c r="C1027" s="236" t="s">
        <v>3988</v>
      </c>
      <c r="D1027" s="236" t="s">
        <v>3988</v>
      </c>
      <c r="E1027" s="236" t="s">
        <v>3988</v>
      </c>
      <c r="F1027" s="3891" t="s">
        <v>3988</v>
      </c>
      <c r="G1027" s="3892"/>
      <c r="H1027" s="3893" t="s">
        <v>5287</v>
      </c>
      <c r="I1027" s="3893"/>
      <c r="J1027" s="3894"/>
    </row>
    <row r="1028" spans="1:10" x14ac:dyDescent="0.3">
      <c r="A1028" s="253" t="s">
        <v>3988</v>
      </c>
      <c r="B1028" s="236" t="s">
        <v>3988</v>
      </c>
      <c r="C1028" s="236" t="s">
        <v>3988</v>
      </c>
      <c r="D1028" s="236" t="s">
        <v>3988</v>
      </c>
      <c r="E1028" s="236" t="s">
        <v>3988</v>
      </c>
      <c r="F1028" s="3891" t="s">
        <v>3988</v>
      </c>
      <c r="G1028" s="3892"/>
      <c r="H1028" s="3893" t="s">
        <v>5287</v>
      </c>
      <c r="I1028" s="3893"/>
      <c r="J1028" s="3894"/>
    </row>
    <row r="1029" spans="1:10" x14ac:dyDescent="0.3">
      <c r="A1029" s="253" t="s">
        <v>3988</v>
      </c>
      <c r="B1029" s="236" t="s">
        <v>3988</v>
      </c>
      <c r="C1029" s="236" t="s">
        <v>3988</v>
      </c>
      <c r="D1029" s="236" t="s">
        <v>3988</v>
      </c>
      <c r="E1029" s="236" t="s">
        <v>3988</v>
      </c>
      <c r="F1029" s="3891" t="s">
        <v>3988</v>
      </c>
      <c r="G1029" s="3892"/>
      <c r="H1029" s="3893" t="s">
        <v>5287</v>
      </c>
      <c r="I1029" s="3893"/>
      <c r="J1029" s="3894"/>
    </row>
    <row r="1030" spans="1:10" x14ac:dyDescent="0.3">
      <c r="A1030" s="253" t="s">
        <v>3988</v>
      </c>
      <c r="B1030" s="236" t="s">
        <v>3988</v>
      </c>
      <c r="C1030" s="236" t="s">
        <v>3988</v>
      </c>
      <c r="D1030" s="236" t="s">
        <v>3988</v>
      </c>
      <c r="E1030" s="236" t="s">
        <v>3988</v>
      </c>
      <c r="F1030" s="3891" t="s">
        <v>3988</v>
      </c>
      <c r="G1030" s="3892"/>
      <c r="H1030" s="3893" t="s">
        <v>5287</v>
      </c>
      <c r="I1030" s="3893"/>
      <c r="J1030" s="3894"/>
    </row>
    <row r="1031" spans="1:10" x14ac:dyDescent="0.3">
      <c r="A1031" s="253" t="s">
        <v>3988</v>
      </c>
      <c r="B1031" s="236" t="s">
        <v>3988</v>
      </c>
      <c r="C1031" s="236" t="s">
        <v>3988</v>
      </c>
      <c r="D1031" s="236" t="s">
        <v>3988</v>
      </c>
      <c r="E1031" s="236" t="s">
        <v>3988</v>
      </c>
      <c r="F1031" s="3891" t="s">
        <v>3988</v>
      </c>
      <c r="G1031" s="3892"/>
      <c r="H1031" s="3893" t="s">
        <v>5287</v>
      </c>
      <c r="I1031" s="3893"/>
      <c r="J1031" s="3894"/>
    </row>
    <row r="1032" spans="1:10" x14ac:dyDescent="0.3">
      <c r="A1032" s="253" t="s">
        <v>3988</v>
      </c>
      <c r="B1032" s="236" t="s">
        <v>3988</v>
      </c>
      <c r="C1032" s="236" t="s">
        <v>3988</v>
      </c>
      <c r="D1032" s="236" t="s">
        <v>3988</v>
      </c>
      <c r="E1032" s="236" t="s">
        <v>3988</v>
      </c>
      <c r="F1032" s="3891" t="s">
        <v>3988</v>
      </c>
      <c r="G1032" s="3892"/>
      <c r="H1032" s="3893" t="s">
        <v>5287</v>
      </c>
      <c r="I1032" s="3893"/>
      <c r="J1032" s="3894"/>
    </row>
    <row r="1033" spans="1:10" x14ac:dyDescent="0.3">
      <c r="A1033" s="1788" t="s">
        <v>3753</v>
      </c>
      <c r="B1033" s="235" t="s">
        <v>3988</v>
      </c>
      <c r="C1033" s="235" t="s">
        <v>3988</v>
      </c>
      <c r="D1033" s="235" t="s">
        <v>3988</v>
      </c>
      <c r="E1033" s="3859" t="s">
        <v>5288</v>
      </c>
      <c r="F1033" s="3860"/>
      <c r="G1033" s="3861">
        <f>H1024+H1025</f>
        <v>3000</v>
      </c>
      <c r="H1033" s="3861"/>
      <c r="I1033" s="3862"/>
      <c r="J1033" s="254"/>
    </row>
    <row r="1034" spans="1:10" x14ac:dyDescent="0.3">
      <c r="A1034" s="255" t="s">
        <v>3988</v>
      </c>
      <c r="B1034" s="237" t="s">
        <v>3988</v>
      </c>
      <c r="C1034" s="237" t="s">
        <v>3988</v>
      </c>
      <c r="D1034" s="237" t="s">
        <v>3988</v>
      </c>
      <c r="E1034" s="237" t="s">
        <v>3988</v>
      </c>
      <c r="F1034" s="238" t="s">
        <v>5289</v>
      </c>
      <c r="G1034" s="239" t="s">
        <v>5290</v>
      </c>
      <c r="H1034" s="3863" t="s">
        <v>5291</v>
      </c>
      <c r="I1034" s="3863"/>
      <c r="J1034" s="3864"/>
    </row>
    <row r="1035" spans="1:10" x14ac:dyDescent="0.3">
      <c r="A1035" s="3865" t="s">
        <v>5292</v>
      </c>
      <c r="B1035" s="3866"/>
      <c r="C1035" s="3866"/>
      <c r="D1035" s="3866"/>
      <c r="E1035" s="3867"/>
      <c r="F1035" s="3871" t="s">
        <v>5293</v>
      </c>
      <c r="G1035" s="3872"/>
      <c r="H1035" s="3875">
        <f>G1033</f>
        <v>3000</v>
      </c>
      <c r="I1035" s="3876"/>
      <c r="J1035" s="3877"/>
    </row>
    <row r="1036" spans="1:10" x14ac:dyDescent="0.3">
      <c r="A1036" s="3868"/>
      <c r="B1036" s="3869"/>
      <c r="C1036" s="3869"/>
      <c r="D1036" s="3869"/>
      <c r="E1036" s="3870"/>
      <c r="F1036" s="3873"/>
      <c r="G1036" s="3874"/>
      <c r="H1036" s="3878"/>
      <c r="I1036" s="3879"/>
      <c r="J1036" s="3880"/>
    </row>
    <row r="1037" spans="1:10" x14ac:dyDescent="0.3">
      <c r="A1037" s="3881" t="s">
        <v>5294</v>
      </c>
      <c r="B1037" s="3882"/>
      <c r="C1037" s="3882"/>
      <c r="D1037" s="3882"/>
      <c r="E1037" s="3882"/>
      <c r="F1037" s="3882"/>
      <c r="G1037" s="3882"/>
      <c r="H1037" s="3882"/>
      <c r="I1037" s="3882"/>
      <c r="J1037" s="3883"/>
    </row>
    <row r="1038" spans="1:10" x14ac:dyDescent="0.3">
      <c r="A1038" s="3884"/>
      <c r="B1038" s="3885"/>
      <c r="C1038" s="3885"/>
      <c r="D1038" s="3885"/>
      <c r="E1038" s="3885"/>
      <c r="F1038" s="3885"/>
      <c r="G1038" s="3885"/>
      <c r="H1038" s="3885"/>
      <c r="I1038" s="3885"/>
      <c r="J1038" s="3886"/>
    </row>
    <row r="1040" spans="1:10" x14ac:dyDescent="0.3">
      <c r="A1040" s="246" t="s">
        <v>3988</v>
      </c>
      <c r="B1040" s="247" t="s">
        <v>3988</v>
      </c>
      <c r="C1040" s="3895" t="s">
        <v>5267</v>
      </c>
      <c r="D1040" s="3895"/>
      <c r="E1040" s="3895"/>
      <c r="F1040" s="3896"/>
      <c r="G1040" s="247" t="s">
        <v>3988</v>
      </c>
      <c r="H1040" s="1789" t="s">
        <v>3988</v>
      </c>
      <c r="I1040" s="1789" t="s">
        <v>3988</v>
      </c>
      <c r="J1040" s="248" t="s">
        <v>3988</v>
      </c>
    </row>
    <row r="1041" spans="1:10" ht="15.6" x14ac:dyDescent="0.3">
      <c r="A1041" s="249" t="s">
        <v>3988</v>
      </c>
      <c r="B1041" s="231"/>
      <c r="C1041" s="3897" t="s">
        <v>3986</v>
      </c>
      <c r="D1041" s="3897"/>
      <c r="E1041" s="3897"/>
      <c r="F1041" s="3898"/>
      <c r="G1041" s="1790" t="s">
        <v>3988</v>
      </c>
      <c r="H1041" s="3899" t="s">
        <v>5386</v>
      </c>
      <c r="I1041" s="3899"/>
      <c r="J1041" s="250" t="s">
        <v>3988</v>
      </c>
    </row>
    <row r="1042" spans="1:10" ht="17.399999999999999" x14ac:dyDescent="0.3">
      <c r="A1042" s="249" t="s">
        <v>3988</v>
      </c>
      <c r="B1042" s="232"/>
      <c r="C1042" s="3901" t="s">
        <v>5269</v>
      </c>
      <c r="D1042" s="3901"/>
      <c r="E1042" s="3901"/>
      <c r="F1042" s="3902"/>
      <c r="G1042" s="233" t="s">
        <v>5270</v>
      </c>
      <c r="H1042" s="3900"/>
      <c r="I1042" s="3900"/>
      <c r="J1042" s="250" t="s">
        <v>3988</v>
      </c>
    </row>
    <row r="1043" spans="1:10" x14ac:dyDescent="0.3">
      <c r="A1043" s="249" t="s">
        <v>3988</v>
      </c>
      <c r="B1043" s="232" t="s">
        <v>3988</v>
      </c>
      <c r="C1043" s="3903" t="s">
        <v>5271</v>
      </c>
      <c r="D1043" s="3903"/>
      <c r="E1043" s="3903"/>
      <c r="F1043" s="3904"/>
      <c r="G1043" s="1790" t="s">
        <v>3988</v>
      </c>
      <c r="H1043" s="234" t="s">
        <v>3988</v>
      </c>
      <c r="I1043" s="234" t="s">
        <v>3988</v>
      </c>
      <c r="J1043" s="251" t="s">
        <v>3988</v>
      </c>
    </row>
    <row r="1044" spans="1:10" ht="31.8" x14ac:dyDescent="0.3">
      <c r="A1044" s="242" t="s">
        <v>5272</v>
      </c>
      <c r="B1044" s="3905" t="s">
        <v>5362</v>
      </c>
      <c r="C1044" s="3906"/>
      <c r="D1044" s="3906"/>
      <c r="E1044" s="3907"/>
      <c r="F1044" s="241" t="s">
        <v>5274</v>
      </c>
      <c r="G1044" s="240">
        <v>98529299</v>
      </c>
      <c r="H1044" s="1791" t="s">
        <v>5276</v>
      </c>
      <c r="I1044" s="1791" t="s">
        <v>5277</v>
      </c>
      <c r="J1044" s="252" t="s">
        <v>5278</v>
      </c>
    </row>
    <row r="1045" spans="1:10" x14ac:dyDescent="0.3">
      <c r="A1045" s="3908"/>
      <c r="B1045" s="3909"/>
      <c r="C1045" s="3909"/>
      <c r="D1045" s="3909"/>
      <c r="E1045" s="3910"/>
      <c r="F1045" s="3911"/>
      <c r="G1045" s="3912"/>
      <c r="H1045" s="256">
        <v>17</v>
      </c>
      <c r="I1045" s="256">
        <v>12</v>
      </c>
      <c r="J1045" s="257">
        <v>2021</v>
      </c>
    </row>
    <row r="1046" spans="1:10" x14ac:dyDescent="0.3">
      <c r="A1046" s="3913" t="s">
        <v>5279</v>
      </c>
      <c r="B1046" s="3914"/>
      <c r="C1046" s="3914"/>
      <c r="D1046" s="3914"/>
      <c r="E1046" s="3915"/>
      <c r="F1046" s="258" t="s">
        <v>5280</v>
      </c>
      <c r="G1046" s="1787" t="s">
        <v>3988</v>
      </c>
      <c r="H1046" s="259" t="s">
        <v>5281</v>
      </c>
      <c r="I1046" s="260" t="s">
        <v>3988</v>
      </c>
      <c r="J1046" s="261" t="s">
        <v>3988</v>
      </c>
    </row>
    <row r="1047" spans="1:10" x14ac:dyDescent="0.3">
      <c r="A1047" s="3913" t="s">
        <v>5363</v>
      </c>
      <c r="B1047" s="3914"/>
      <c r="C1047" s="3914"/>
      <c r="D1047" s="3914"/>
      <c r="E1047" s="3915"/>
      <c r="F1047" s="3911" t="s">
        <v>5364</v>
      </c>
      <c r="G1047" s="3912"/>
      <c r="H1047" s="3911" t="s">
        <v>125</v>
      </c>
      <c r="I1047" s="3911"/>
      <c r="J1047" s="3916"/>
    </row>
    <row r="1048" spans="1:10" x14ac:dyDescent="0.3">
      <c r="A1048" s="262" t="s">
        <v>5284</v>
      </c>
      <c r="B1048" s="3911" t="s">
        <v>5285</v>
      </c>
      <c r="C1048" s="3911"/>
      <c r="D1048" s="3911"/>
      <c r="E1048" s="3912"/>
      <c r="F1048" s="3917" t="s">
        <v>3752</v>
      </c>
      <c r="G1048" s="3918"/>
      <c r="H1048" s="3911" t="s">
        <v>5286</v>
      </c>
      <c r="I1048" s="3911"/>
      <c r="J1048" s="3916"/>
    </row>
    <row r="1049" spans="1:10" x14ac:dyDescent="0.3">
      <c r="A1049" s="263">
        <v>1</v>
      </c>
      <c r="B1049" s="3887" t="s">
        <v>5331</v>
      </c>
      <c r="C1049" s="3887"/>
      <c r="D1049" s="3887"/>
      <c r="E1049" s="3887"/>
      <c r="F1049" s="3888">
        <v>2500</v>
      </c>
      <c r="G1049" s="3889"/>
      <c r="H1049" s="3887">
        <f>F1049*A1049</f>
        <v>2500</v>
      </c>
      <c r="I1049" s="3887"/>
      <c r="J1049" s="3890"/>
    </row>
    <row r="1050" spans="1:10" x14ac:dyDescent="0.3">
      <c r="A1050" s="263">
        <v>1</v>
      </c>
      <c r="B1050" s="3887" t="s">
        <v>5331</v>
      </c>
      <c r="C1050" s="3887"/>
      <c r="D1050" s="3887"/>
      <c r="E1050" s="3887"/>
      <c r="F1050" s="3888">
        <v>2000</v>
      </c>
      <c r="G1050" s="3889"/>
      <c r="H1050" s="3887">
        <f>F1050*A1050</f>
        <v>2000</v>
      </c>
      <c r="I1050" s="3887"/>
      <c r="J1050" s="3890"/>
    </row>
    <row r="1051" spans="1:10" x14ac:dyDescent="0.3">
      <c r="A1051" s="263" t="s">
        <v>3988</v>
      </c>
      <c r="B1051" s="264" t="s">
        <v>3988</v>
      </c>
      <c r="C1051" s="264" t="s">
        <v>3988</v>
      </c>
      <c r="D1051" s="264" t="s">
        <v>3988</v>
      </c>
      <c r="E1051" s="264" t="s">
        <v>3988</v>
      </c>
      <c r="F1051" s="3888" t="s">
        <v>3988</v>
      </c>
      <c r="G1051" s="3889"/>
      <c r="H1051" s="3887" t="s">
        <v>5287</v>
      </c>
      <c r="I1051" s="3887"/>
      <c r="J1051" s="3890"/>
    </row>
    <row r="1052" spans="1:10" x14ac:dyDescent="0.3">
      <c r="A1052" s="253" t="s">
        <v>3988</v>
      </c>
      <c r="B1052" s="236" t="s">
        <v>3988</v>
      </c>
      <c r="C1052" s="236" t="s">
        <v>3988</v>
      </c>
      <c r="D1052" s="236" t="s">
        <v>3988</v>
      </c>
      <c r="E1052" s="236" t="s">
        <v>3988</v>
      </c>
      <c r="F1052" s="3891" t="s">
        <v>3988</v>
      </c>
      <c r="G1052" s="3892"/>
      <c r="H1052" s="3893" t="s">
        <v>5287</v>
      </c>
      <c r="I1052" s="3893"/>
      <c r="J1052" s="3894"/>
    </row>
    <row r="1053" spans="1:10" x14ac:dyDescent="0.3">
      <c r="A1053" s="253" t="s">
        <v>3988</v>
      </c>
      <c r="B1053" s="236" t="s">
        <v>3988</v>
      </c>
      <c r="C1053" s="236" t="s">
        <v>3988</v>
      </c>
      <c r="D1053" s="236" t="s">
        <v>3988</v>
      </c>
      <c r="E1053" s="236" t="s">
        <v>3988</v>
      </c>
      <c r="F1053" s="3891" t="s">
        <v>3988</v>
      </c>
      <c r="G1053" s="3892"/>
      <c r="H1053" s="3893" t="s">
        <v>5287</v>
      </c>
      <c r="I1053" s="3893"/>
      <c r="J1053" s="3894"/>
    </row>
    <row r="1054" spans="1:10" x14ac:dyDescent="0.3">
      <c r="A1054" s="253" t="s">
        <v>3988</v>
      </c>
      <c r="B1054" s="236" t="s">
        <v>3988</v>
      </c>
      <c r="C1054" s="236" t="s">
        <v>3988</v>
      </c>
      <c r="D1054" s="236" t="s">
        <v>3988</v>
      </c>
      <c r="E1054" s="236" t="s">
        <v>3988</v>
      </c>
      <c r="F1054" s="3891" t="s">
        <v>3988</v>
      </c>
      <c r="G1054" s="3892"/>
      <c r="H1054" s="3893" t="s">
        <v>5287</v>
      </c>
      <c r="I1054" s="3893"/>
      <c r="J1054" s="3894"/>
    </row>
    <row r="1055" spans="1:10" x14ac:dyDescent="0.3">
      <c r="A1055" s="253" t="s">
        <v>3988</v>
      </c>
      <c r="B1055" s="236" t="s">
        <v>3988</v>
      </c>
      <c r="C1055" s="236" t="s">
        <v>3988</v>
      </c>
      <c r="D1055" s="236" t="s">
        <v>3988</v>
      </c>
      <c r="E1055" s="236" t="s">
        <v>3988</v>
      </c>
      <c r="F1055" s="3891" t="s">
        <v>3988</v>
      </c>
      <c r="G1055" s="3892"/>
      <c r="H1055" s="3893" t="s">
        <v>5287</v>
      </c>
      <c r="I1055" s="3893"/>
      <c r="J1055" s="3894"/>
    </row>
    <row r="1056" spans="1:10" x14ac:dyDescent="0.3">
      <c r="A1056" s="253" t="s">
        <v>3988</v>
      </c>
      <c r="B1056" s="236" t="s">
        <v>3988</v>
      </c>
      <c r="C1056" s="236" t="s">
        <v>3988</v>
      </c>
      <c r="D1056" s="236" t="s">
        <v>3988</v>
      </c>
      <c r="E1056" s="236" t="s">
        <v>3988</v>
      </c>
      <c r="F1056" s="3891" t="s">
        <v>3988</v>
      </c>
      <c r="G1056" s="3892"/>
      <c r="H1056" s="3893" t="s">
        <v>5287</v>
      </c>
      <c r="I1056" s="3893"/>
      <c r="J1056" s="3894"/>
    </row>
    <row r="1057" spans="1:10" x14ac:dyDescent="0.3">
      <c r="A1057" s="253" t="s">
        <v>3988</v>
      </c>
      <c r="B1057" s="236" t="s">
        <v>3988</v>
      </c>
      <c r="C1057" s="236" t="s">
        <v>3988</v>
      </c>
      <c r="D1057" s="236" t="s">
        <v>3988</v>
      </c>
      <c r="E1057" s="236" t="s">
        <v>3988</v>
      </c>
      <c r="F1057" s="3891" t="s">
        <v>3988</v>
      </c>
      <c r="G1057" s="3892"/>
      <c r="H1057" s="3893" t="s">
        <v>5287</v>
      </c>
      <c r="I1057" s="3893"/>
      <c r="J1057" s="3894"/>
    </row>
    <row r="1058" spans="1:10" x14ac:dyDescent="0.3">
      <c r="A1058" s="1788" t="s">
        <v>3753</v>
      </c>
      <c r="B1058" s="235" t="s">
        <v>3988</v>
      </c>
      <c r="C1058" s="235" t="s">
        <v>3988</v>
      </c>
      <c r="D1058" s="235" t="s">
        <v>3988</v>
      </c>
      <c r="E1058" s="3859" t="s">
        <v>5288</v>
      </c>
      <c r="F1058" s="3860"/>
      <c r="G1058" s="3861">
        <f>H1049+H1050</f>
        <v>4500</v>
      </c>
      <c r="H1058" s="3861"/>
      <c r="I1058" s="3862"/>
      <c r="J1058" s="254"/>
    </row>
    <row r="1059" spans="1:10" x14ac:dyDescent="0.3">
      <c r="A1059" s="255" t="s">
        <v>3988</v>
      </c>
      <c r="B1059" s="237" t="s">
        <v>3988</v>
      </c>
      <c r="C1059" s="237" t="s">
        <v>3988</v>
      </c>
      <c r="D1059" s="237" t="s">
        <v>3988</v>
      </c>
      <c r="E1059" s="237" t="s">
        <v>3988</v>
      </c>
      <c r="F1059" s="238" t="s">
        <v>5289</v>
      </c>
      <c r="G1059" s="239" t="s">
        <v>5290</v>
      </c>
      <c r="H1059" s="3863" t="s">
        <v>5291</v>
      </c>
      <c r="I1059" s="3863"/>
      <c r="J1059" s="3864"/>
    </row>
    <row r="1060" spans="1:10" x14ac:dyDescent="0.3">
      <c r="A1060" s="3865" t="s">
        <v>5292</v>
      </c>
      <c r="B1060" s="3866"/>
      <c r="C1060" s="3866"/>
      <c r="D1060" s="3866"/>
      <c r="E1060" s="3867"/>
      <c r="F1060" s="3871" t="s">
        <v>5293</v>
      </c>
      <c r="G1060" s="3872"/>
      <c r="H1060" s="3875">
        <f>G1058</f>
        <v>4500</v>
      </c>
      <c r="I1060" s="3876"/>
      <c r="J1060" s="3877"/>
    </row>
    <row r="1061" spans="1:10" x14ac:dyDescent="0.3">
      <c r="A1061" s="3868"/>
      <c r="B1061" s="3869"/>
      <c r="C1061" s="3869"/>
      <c r="D1061" s="3869"/>
      <c r="E1061" s="3870"/>
      <c r="F1061" s="3873"/>
      <c r="G1061" s="3874"/>
      <c r="H1061" s="3878"/>
      <c r="I1061" s="3879"/>
      <c r="J1061" s="3880"/>
    </row>
    <row r="1062" spans="1:10" x14ac:dyDescent="0.3">
      <c r="A1062" s="3881" t="s">
        <v>5294</v>
      </c>
      <c r="B1062" s="3882"/>
      <c r="C1062" s="3882"/>
      <c r="D1062" s="3882"/>
      <c r="E1062" s="3882"/>
      <c r="F1062" s="3882"/>
      <c r="G1062" s="3882"/>
      <c r="H1062" s="3882"/>
      <c r="I1062" s="3882"/>
      <c r="J1062" s="3883"/>
    </row>
    <row r="1063" spans="1:10" x14ac:dyDescent="0.3">
      <c r="A1063" s="3884"/>
      <c r="B1063" s="3885"/>
      <c r="C1063" s="3885"/>
      <c r="D1063" s="3885"/>
      <c r="E1063" s="3885"/>
      <c r="F1063" s="3885"/>
      <c r="G1063" s="3885"/>
      <c r="H1063" s="3885"/>
      <c r="I1063" s="3885"/>
      <c r="J1063" s="3886"/>
    </row>
    <row r="1065" spans="1:10" x14ac:dyDescent="0.3">
      <c r="A1065" s="246" t="s">
        <v>3988</v>
      </c>
      <c r="B1065" s="247" t="s">
        <v>3988</v>
      </c>
      <c r="C1065" s="3895" t="s">
        <v>5267</v>
      </c>
      <c r="D1065" s="3895"/>
      <c r="E1065" s="3895"/>
      <c r="F1065" s="3896"/>
      <c r="G1065" s="247" t="s">
        <v>3988</v>
      </c>
      <c r="H1065" s="1789" t="s">
        <v>3988</v>
      </c>
      <c r="I1065" s="1789" t="s">
        <v>3988</v>
      </c>
      <c r="J1065" s="248" t="s">
        <v>3988</v>
      </c>
    </row>
    <row r="1066" spans="1:10" ht="15.6" x14ac:dyDescent="0.3">
      <c r="A1066" s="249" t="s">
        <v>3988</v>
      </c>
      <c r="B1066" s="231"/>
      <c r="C1066" s="3897" t="s">
        <v>3986</v>
      </c>
      <c r="D1066" s="3897"/>
      <c r="E1066" s="3897"/>
      <c r="F1066" s="3898"/>
      <c r="G1066" s="1790" t="s">
        <v>3988</v>
      </c>
      <c r="H1066" s="3899" t="s">
        <v>5387</v>
      </c>
      <c r="I1066" s="3899"/>
      <c r="J1066" s="250" t="s">
        <v>3988</v>
      </c>
    </row>
    <row r="1067" spans="1:10" ht="17.399999999999999" x14ac:dyDescent="0.3">
      <c r="A1067" s="249" t="s">
        <v>3988</v>
      </c>
      <c r="B1067" s="232"/>
      <c r="C1067" s="3901" t="s">
        <v>5269</v>
      </c>
      <c r="D1067" s="3901"/>
      <c r="E1067" s="3901"/>
      <c r="F1067" s="3902"/>
      <c r="G1067" s="233" t="s">
        <v>5270</v>
      </c>
      <c r="H1067" s="3900"/>
      <c r="I1067" s="3900"/>
      <c r="J1067" s="250" t="s">
        <v>3988</v>
      </c>
    </row>
    <row r="1068" spans="1:10" x14ac:dyDescent="0.3">
      <c r="A1068" s="249" t="s">
        <v>3988</v>
      </c>
      <c r="B1068" s="232" t="s">
        <v>3988</v>
      </c>
      <c r="C1068" s="3903" t="s">
        <v>5271</v>
      </c>
      <c r="D1068" s="3903"/>
      <c r="E1068" s="3903"/>
      <c r="F1068" s="3904"/>
      <c r="G1068" s="1790" t="s">
        <v>3988</v>
      </c>
      <c r="H1068" s="234"/>
      <c r="I1068" s="234" t="s">
        <v>3988</v>
      </c>
      <c r="J1068" s="251" t="s">
        <v>3988</v>
      </c>
    </row>
    <row r="1069" spans="1:10" ht="31.8" x14ac:dyDescent="0.3">
      <c r="A1069" s="242" t="s">
        <v>5272</v>
      </c>
      <c r="B1069" s="3905" t="s">
        <v>5376</v>
      </c>
      <c r="C1069" s="3906"/>
      <c r="D1069" s="3906"/>
      <c r="E1069" s="3907"/>
      <c r="F1069" s="241" t="s">
        <v>5274</v>
      </c>
      <c r="G1069" s="240">
        <v>70720539</v>
      </c>
      <c r="H1069" s="1791" t="s">
        <v>5276</v>
      </c>
      <c r="I1069" s="1791" t="s">
        <v>5277</v>
      </c>
      <c r="J1069" s="252" t="s">
        <v>5278</v>
      </c>
    </row>
    <row r="1070" spans="1:10" x14ac:dyDescent="0.3">
      <c r="A1070" s="3908"/>
      <c r="B1070" s="3909"/>
      <c r="C1070" s="3909"/>
      <c r="D1070" s="3909"/>
      <c r="E1070" s="3910"/>
      <c r="F1070" s="3911"/>
      <c r="G1070" s="3912"/>
      <c r="H1070" s="256">
        <v>22</v>
      </c>
      <c r="I1070" s="256">
        <v>12</v>
      </c>
      <c r="J1070" s="257">
        <v>2021</v>
      </c>
    </row>
    <row r="1071" spans="1:10" ht="18" customHeight="1" x14ac:dyDescent="0.3">
      <c r="A1071" s="3913" t="s">
        <v>5279</v>
      </c>
      <c r="B1071" s="3914"/>
      <c r="C1071" s="3914"/>
      <c r="D1071" s="3914"/>
      <c r="E1071" s="3915"/>
      <c r="F1071" s="258" t="s">
        <v>5280</v>
      </c>
      <c r="G1071" s="1787" t="s">
        <v>3988</v>
      </c>
      <c r="H1071" s="259" t="s">
        <v>5281</v>
      </c>
      <c r="I1071" s="260" t="s">
        <v>3988</v>
      </c>
      <c r="J1071" s="261" t="s">
        <v>3988</v>
      </c>
    </row>
    <row r="1072" spans="1:10" ht="21.75" customHeight="1" x14ac:dyDescent="0.3">
      <c r="A1072" s="3913" t="s">
        <v>5377</v>
      </c>
      <c r="B1072" s="3914"/>
      <c r="C1072" s="3914"/>
      <c r="D1072" s="3914"/>
      <c r="E1072" s="3915"/>
      <c r="F1072" s="3911" t="s">
        <v>5378</v>
      </c>
      <c r="G1072" s="3912"/>
      <c r="H1072" s="3911" t="s">
        <v>125</v>
      </c>
      <c r="I1072" s="3911"/>
      <c r="J1072" s="3916"/>
    </row>
    <row r="1073" spans="1:10" x14ac:dyDescent="0.3">
      <c r="A1073" s="262" t="s">
        <v>5284</v>
      </c>
      <c r="B1073" s="3911" t="s">
        <v>5285</v>
      </c>
      <c r="C1073" s="3911"/>
      <c r="D1073" s="3911"/>
      <c r="E1073" s="3912"/>
      <c r="F1073" s="3917" t="s">
        <v>3752</v>
      </c>
      <c r="G1073" s="3918"/>
      <c r="H1073" s="3911" t="s">
        <v>5286</v>
      </c>
      <c r="I1073" s="3911"/>
      <c r="J1073" s="3916"/>
    </row>
    <row r="1074" spans="1:10" x14ac:dyDescent="0.3">
      <c r="A1074" s="263">
        <v>1</v>
      </c>
      <c r="B1074" s="3887" t="s">
        <v>5379</v>
      </c>
      <c r="C1074" s="3887"/>
      <c r="D1074" s="3887"/>
      <c r="E1074" s="3887"/>
      <c r="F1074" s="3888">
        <v>2500</v>
      </c>
      <c r="G1074" s="3889"/>
      <c r="H1074" s="3887">
        <f>F1074*A1074</f>
        <v>2500</v>
      </c>
      <c r="I1074" s="3887"/>
      <c r="J1074" s="3890"/>
    </row>
    <row r="1075" spans="1:10" x14ac:dyDescent="0.3">
      <c r="A1075" s="263"/>
      <c r="B1075" s="3887"/>
      <c r="C1075" s="3887"/>
      <c r="D1075" s="3887"/>
      <c r="E1075" s="3887"/>
      <c r="F1075" s="3888"/>
      <c r="G1075" s="3889"/>
      <c r="H1075" s="3887"/>
      <c r="I1075" s="3887"/>
      <c r="J1075" s="3890"/>
    </row>
    <row r="1076" spans="1:10" x14ac:dyDescent="0.3">
      <c r="A1076" s="263" t="s">
        <v>3988</v>
      </c>
      <c r="B1076" s="264" t="s">
        <v>3988</v>
      </c>
      <c r="C1076" s="264" t="s">
        <v>3988</v>
      </c>
      <c r="D1076" s="264" t="s">
        <v>3988</v>
      </c>
      <c r="E1076" s="264" t="s">
        <v>3988</v>
      </c>
      <c r="F1076" s="3888" t="s">
        <v>3988</v>
      </c>
      <c r="G1076" s="3889"/>
      <c r="H1076" s="3887" t="s">
        <v>5287</v>
      </c>
      <c r="I1076" s="3887"/>
      <c r="J1076" s="3890"/>
    </row>
    <row r="1077" spans="1:10" x14ac:dyDescent="0.3">
      <c r="A1077" s="253" t="s">
        <v>3988</v>
      </c>
      <c r="B1077" s="236" t="s">
        <v>3988</v>
      </c>
      <c r="C1077" s="236" t="s">
        <v>3988</v>
      </c>
      <c r="D1077" s="236" t="s">
        <v>3988</v>
      </c>
      <c r="E1077" s="236" t="s">
        <v>3988</v>
      </c>
      <c r="F1077" s="3891" t="s">
        <v>3988</v>
      </c>
      <c r="G1077" s="3892"/>
      <c r="H1077" s="3893" t="s">
        <v>5287</v>
      </c>
      <c r="I1077" s="3893"/>
      <c r="J1077" s="3894"/>
    </row>
    <row r="1078" spans="1:10" x14ac:dyDescent="0.3">
      <c r="A1078" s="253" t="s">
        <v>3988</v>
      </c>
      <c r="B1078" s="236" t="s">
        <v>3988</v>
      </c>
      <c r="C1078" s="236" t="s">
        <v>3988</v>
      </c>
      <c r="D1078" s="236" t="s">
        <v>3988</v>
      </c>
      <c r="E1078" s="236" t="s">
        <v>3988</v>
      </c>
      <c r="F1078" s="3891" t="s">
        <v>3988</v>
      </c>
      <c r="G1078" s="3892"/>
      <c r="H1078" s="3893" t="s">
        <v>5287</v>
      </c>
      <c r="I1078" s="3893"/>
      <c r="J1078" s="3894"/>
    </row>
    <row r="1079" spans="1:10" x14ac:dyDescent="0.3">
      <c r="A1079" s="253" t="s">
        <v>3988</v>
      </c>
      <c r="B1079" s="236" t="s">
        <v>3988</v>
      </c>
      <c r="C1079" s="236" t="s">
        <v>3988</v>
      </c>
      <c r="D1079" s="236" t="s">
        <v>3988</v>
      </c>
      <c r="E1079" s="236" t="s">
        <v>3988</v>
      </c>
      <c r="F1079" s="3891" t="s">
        <v>3988</v>
      </c>
      <c r="G1079" s="3892"/>
      <c r="H1079" s="3893" t="s">
        <v>5287</v>
      </c>
      <c r="I1079" s="3893"/>
      <c r="J1079" s="3894"/>
    </row>
    <row r="1080" spans="1:10" x14ac:dyDescent="0.3">
      <c r="A1080" s="253" t="s">
        <v>3988</v>
      </c>
      <c r="B1080" s="236" t="s">
        <v>3988</v>
      </c>
      <c r="C1080" s="236" t="s">
        <v>3988</v>
      </c>
      <c r="D1080" s="236" t="s">
        <v>3988</v>
      </c>
      <c r="E1080" s="236" t="s">
        <v>3988</v>
      </c>
      <c r="F1080" s="3891" t="s">
        <v>3988</v>
      </c>
      <c r="G1080" s="3892"/>
      <c r="H1080" s="3893" t="s">
        <v>5287</v>
      </c>
      <c r="I1080" s="3893"/>
      <c r="J1080" s="3894"/>
    </row>
    <row r="1081" spans="1:10" x14ac:dyDescent="0.3">
      <c r="A1081" s="253" t="s">
        <v>3988</v>
      </c>
      <c r="B1081" s="236" t="s">
        <v>3988</v>
      </c>
      <c r="C1081" s="236" t="s">
        <v>3988</v>
      </c>
      <c r="D1081" s="236" t="s">
        <v>3988</v>
      </c>
      <c r="E1081" s="236" t="s">
        <v>3988</v>
      </c>
      <c r="F1081" s="3891" t="s">
        <v>3988</v>
      </c>
      <c r="G1081" s="3892"/>
      <c r="H1081" s="3893" t="s">
        <v>5287</v>
      </c>
      <c r="I1081" s="3893"/>
      <c r="J1081" s="3894"/>
    </row>
    <row r="1082" spans="1:10" x14ac:dyDescent="0.3">
      <c r="A1082" s="253" t="s">
        <v>3988</v>
      </c>
      <c r="B1082" s="236" t="s">
        <v>3988</v>
      </c>
      <c r="C1082" s="236" t="s">
        <v>3988</v>
      </c>
      <c r="D1082" s="236" t="s">
        <v>3988</v>
      </c>
      <c r="E1082" s="236" t="s">
        <v>3988</v>
      </c>
      <c r="F1082" s="3891" t="s">
        <v>3988</v>
      </c>
      <c r="G1082" s="3892"/>
      <c r="H1082" s="3893" t="s">
        <v>5287</v>
      </c>
      <c r="I1082" s="3893"/>
      <c r="J1082" s="3894"/>
    </row>
    <row r="1083" spans="1:10" x14ac:dyDescent="0.3">
      <c r="A1083" s="1788" t="s">
        <v>3753</v>
      </c>
      <c r="B1083" s="235" t="s">
        <v>3988</v>
      </c>
      <c r="C1083" s="235" t="s">
        <v>3988</v>
      </c>
      <c r="D1083" s="235" t="s">
        <v>3988</v>
      </c>
      <c r="E1083" s="3859" t="s">
        <v>5288</v>
      </c>
      <c r="F1083" s="3860"/>
      <c r="G1083" s="3861">
        <f>H1074+H1075</f>
        <v>2500</v>
      </c>
      <c r="H1083" s="3861"/>
      <c r="I1083" s="3862"/>
      <c r="J1083" s="254"/>
    </row>
    <row r="1084" spans="1:10" x14ac:dyDescent="0.3">
      <c r="A1084" s="255" t="s">
        <v>3988</v>
      </c>
      <c r="B1084" s="237" t="s">
        <v>3988</v>
      </c>
      <c r="C1084" s="237" t="s">
        <v>3988</v>
      </c>
      <c r="D1084" s="237" t="s">
        <v>3988</v>
      </c>
      <c r="E1084" s="237" t="s">
        <v>3988</v>
      </c>
      <c r="F1084" s="238" t="s">
        <v>5289</v>
      </c>
      <c r="G1084" s="239" t="s">
        <v>5290</v>
      </c>
      <c r="H1084" s="3863" t="s">
        <v>5291</v>
      </c>
      <c r="I1084" s="3863"/>
      <c r="J1084" s="3864"/>
    </row>
    <row r="1085" spans="1:10" x14ac:dyDescent="0.3">
      <c r="A1085" s="3865" t="s">
        <v>5292</v>
      </c>
      <c r="B1085" s="3866"/>
      <c r="C1085" s="3866"/>
      <c r="D1085" s="3866"/>
      <c r="E1085" s="3867"/>
      <c r="F1085" s="3871" t="s">
        <v>5293</v>
      </c>
      <c r="G1085" s="3872"/>
      <c r="H1085" s="3875">
        <f>G1083</f>
        <v>2500</v>
      </c>
      <c r="I1085" s="3876"/>
      <c r="J1085" s="3877"/>
    </row>
    <row r="1086" spans="1:10" x14ac:dyDescent="0.3">
      <c r="A1086" s="3868"/>
      <c r="B1086" s="3869"/>
      <c r="C1086" s="3869"/>
      <c r="D1086" s="3869"/>
      <c r="E1086" s="3870"/>
      <c r="F1086" s="3873"/>
      <c r="G1086" s="3874"/>
      <c r="H1086" s="3878"/>
      <c r="I1086" s="3879"/>
      <c r="J1086" s="3880"/>
    </row>
    <row r="1087" spans="1:10" x14ac:dyDescent="0.3">
      <c r="A1087" s="3881" t="s">
        <v>5294</v>
      </c>
      <c r="B1087" s="3882"/>
      <c r="C1087" s="3882"/>
      <c r="D1087" s="3882"/>
      <c r="E1087" s="3882"/>
      <c r="F1087" s="3882"/>
      <c r="G1087" s="3882"/>
      <c r="H1087" s="3882"/>
      <c r="I1087" s="3882"/>
      <c r="J1087" s="3883"/>
    </row>
    <row r="1088" spans="1:10" x14ac:dyDescent="0.3">
      <c r="A1088" s="3884"/>
      <c r="B1088" s="3885"/>
      <c r="C1088" s="3885"/>
      <c r="D1088" s="3885"/>
      <c r="E1088" s="3885"/>
      <c r="F1088" s="3885"/>
      <c r="G1088" s="3885"/>
      <c r="H1088" s="3885"/>
      <c r="I1088" s="3885"/>
      <c r="J1088" s="3886"/>
    </row>
    <row r="1090" spans="1:12" x14ac:dyDescent="0.3">
      <c r="A1090" s="2859"/>
      <c r="B1090" s="2859"/>
      <c r="C1090" s="2859"/>
      <c r="D1090" s="2859"/>
      <c r="E1090" s="2859"/>
      <c r="F1090" s="2859"/>
      <c r="G1090" s="2859"/>
      <c r="H1090" s="2859"/>
      <c r="I1090" s="2859"/>
      <c r="J1090" s="2859"/>
      <c r="K1090" s="2859"/>
      <c r="L1090" s="2859"/>
    </row>
    <row r="1092" spans="1:12" x14ac:dyDescent="0.3">
      <c r="A1092" s="246" t="s">
        <v>3988</v>
      </c>
      <c r="B1092" s="247" t="s">
        <v>3988</v>
      </c>
      <c r="C1092" s="3895" t="s">
        <v>5267</v>
      </c>
      <c r="D1092" s="3895"/>
      <c r="E1092" s="3895"/>
      <c r="F1092" s="3896"/>
      <c r="G1092" s="247" t="s">
        <v>3988</v>
      </c>
      <c r="H1092" s="1789" t="s">
        <v>3988</v>
      </c>
      <c r="I1092" s="1789" t="s">
        <v>3988</v>
      </c>
      <c r="J1092" s="248" t="s">
        <v>3988</v>
      </c>
    </row>
    <row r="1093" spans="1:12" ht="15.6" x14ac:dyDescent="0.3">
      <c r="A1093" s="249" t="s">
        <v>3988</v>
      </c>
      <c r="B1093" s="231"/>
      <c r="C1093" s="3897" t="s">
        <v>3986</v>
      </c>
      <c r="D1093" s="3897"/>
      <c r="E1093" s="3897"/>
      <c r="F1093" s="3898"/>
      <c r="G1093" s="1790" t="s">
        <v>3988</v>
      </c>
      <c r="H1093" s="3899" t="s">
        <v>5388</v>
      </c>
      <c r="I1093" s="3899"/>
      <c r="J1093" s="250" t="s">
        <v>3988</v>
      </c>
    </row>
    <row r="1094" spans="1:12" ht="17.399999999999999" x14ac:dyDescent="0.3">
      <c r="A1094" s="249" t="s">
        <v>3988</v>
      </c>
      <c r="B1094" s="232"/>
      <c r="C1094" s="3901" t="s">
        <v>5269</v>
      </c>
      <c r="D1094" s="3901"/>
      <c r="E1094" s="3901"/>
      <c r="F1094" s="3902"/>
      <c r="G1094" s="233" t="s">
        <v>5270</v>
      </c>
      <c r="H1094" s="3900"/>
      <c r="I1094" s="3900"/>
      <c r="J1094" s="250" t="s">
        <v>3988</v>
      </c>
    </row>
    <row r="1095" spans="1:12" ht="15.75" customHeight="1" x14ac:dyDescent="0.3">
      <c r="A1095" s="249" t="s">
        <v>3988</v>
      </c>
      <c r="B1095" s="232" t="s">
        <v>3988</v>
      </c>
      <c r="C1095" s="3903" t="s">
        <v>5271</v>
      </c>
      <c r="D1095" s="3903"/>
      <c r="E1095" s="3903"/>
      <c r="F1095" s="3904"/>
      <c r="G1095" s="1790" t="s">
        <v>3988</v>
      </c>
      <c r="H1095" s="234"/>
      <c r="I1095" s="234" t="s">
        <v>3988</v>
      </c>
      <c r="J1095" s="251" t="s">
        <v>3988</v>
      </c>
    </row>
    <row r="1096" spans="1:12" ht="31.8" x14ac:dyDescent="0.3">
      <c r="A1096" s="242" t="s">
        <v>5272</v>
      </c>
      <c r="B1096" s="3905" t="s">
        <v>5376</v>
      </c>
      <c r="C1096" s="3906"/>
      <c r="D1096" s="3906"/>
      <c r="E1096" s="3907"/>
      <c r="F1096" s="241" t="s">
        <v>5274</v>
      </c>
      <c r="G1096" s="240">
        <v>70720539</v>
      </c>
      <c r="H1096" s="1791" t="s">
        <v>5276</v>
      </c>
      <c r="I1096" s="1791" t="s">
        <v>5277</v>
      </c>
      <c r="J1096" s="252" t="s">
        <v>5278</v>
      </c>
    </row>
    <row r="1097" spans="1:12" x14ac:dyDescent="0.3">
      <c r="A1097" s="3908"/>
      <c r="B1097" s="3909"/>
      <c r="C1097" s="3909"/>
      <c r="D1097" s="3909"/>
      <c r="E1097" s="3910"/>
      <c r="F1097" s="3909"/>
      <c r="G1097" s="3910"/>
      <c r="H1097" s="256">
        <v>12</v>
      </c>
      <c r="I1097" s="256">
        <v>1</v>
      </c>
      <c r="J1097" s="257">
        <v>2022</v>
      </c>
    </row>
    <row r="1098" spans="1:12" x14ac:dyDescent="0.3">
      <c r="A1098" s="3913" t="s">
        <v>5279</v>
      </c>
      <c r="B1098" s="3914"/>
      <c r="C1098" s="3914"/>
      <c r="D1098" s="3914"/>
      <c r="E1098" s="3914"/>
      <c r="F1098" s="3919" t="s">
        <v>5280</v>
      </c>
      <c r="G1098" s="3920"/>
      <c r="H1098" s="3921" t="s">
        <v>5281</v>
      </c>
      <c r="I1098" s="3921"/>
      <c r="J1098" s="3920"/>
    </row>
    <row r="1099" spans="1:12" ht="24" customHeight="1" x14ac:dyDescent="0.3">
      <c r="A1099" s="3913" t="s">
        <v>5377</v>
      </c>
      <c r="B1099" s="3914"/>
      <c r="C1099" s="3914"/>
      <c r="D1099" s="3914"/>
      <c r="E1099" s="3914"/>
      <c r="F1099" s="3922" t="s">
        <v>5378</v>
      </c>
      <c r="G1099" s="3922"/>
      <c r="H1099" s="3923" t="s">
        <v>125</v>
      </c>
      <c r="I1099" s="3922"/>
      <c r="J1099" s="3922"/>
    </row>
    <row r="1100" spans="1:12" x14ac:dyDescent="0.3">
      <c r="A1100" s="262" t="s">
        <v>5284</v>
      </c>
      <c r="B1100" s="3911" t="s">
        <v>5285</v>
      </c>
      <c r="C1100" s="3911"/>
      <c r="D1100" s="3911"/>
      <c r="E1100" s="3912"/>
      <c r="F1100" s="3911" t="s">
        <v>3752</v>
      </c>
      <c r="G1100" s="3912"/>
      <c r="H1100" s="3911" t="s">
        <v>5286</v>
      </c>
      <c r="I1100" s="3911"/>
      <c r="J1100" s="3916"/>
    </row>
    <row r="1101" spans="1:12" x14ac:dyDescent="0.3">
      <c r="A1101" s="263">
        <v>1</v>
      </c>
      <c r="B1101" s="3887" t="s">
        <v>5379</v>
      </c>
      <c r="C1101" s="3887"/>
      <c r="D1101" s="3887"/>
      <c r="E1101" s="3887"/>
      <c r="F1101" s="3888">
        <v>2500</v>
      </c>
      <c r="G1101" s="3889"/>
      <c r="H1101" s="3887">
        <f>F1101*A1101</f>
        <v>2500</v>
      </c>
      <c r="I1101" s="3887"/>
      <c r="J1101" s="3890"/>
    </row>
    <row r="1102" spans="1:12" x14ac:dyDescent="0.3">
      <c r="A1102" s="263"/>
      <c r="B1102" s="3887"/>
      <c r="C1102" s="3887"/>
      <c r="D1102" s="3887"/>
      <c r="E1102" s="3887"/>
      <c r="F1102" s="3888"/>
      <c r="G1102" s="3889"/>
      <c r="H1102" s="3887"/>
      <c r="I1102" s="3887"/>
      <c r="J1102" s="3890"/>
    </row>
    <row r="1103" spans="1:12" x14ac:dyDescent="0.3">
      <c r="A1103" s="263" t="s">
        <v>3988</v>
      </c>
      <c r="B1103" s="264" t="s">
        <v>3988</v>
      </c>
      <c r="C1103" s="264" t="s">
        <v>3988</v>
      </c>
      <c r="D1103" s="264" t="s">
        <v>3988</v>
      </c>
      <c r="E1103" s="264" t="s">
        <v>3988</v>
      </c>
      <c r="F1103" s="3888" t="s">
        <v>3988</v>
      </c>
      <c r="G1103" s="3889"/>
      <c r="H1103" s="3887" t="s">
        <v>5287</v>
      </c>
      <c r="I1103" s="3887"/>
      <c r="J1103" s="3890"/>
    </row>
    <row r="1104" spans="1:12" x14ac:dyDescent="0.3">
      <c r="A1104" s="253" t="s">
        <v>3988</v>
      </c>
      <c r="B1104" s="236" t="s">
        <v>3988</v>
      </c>
      <c r="C1104" s="236" t="s">
        <v>3988</v>
      </c>
      <c r="D1104" s="236" t="s">
        <v>3988</v>
      </c>
      <c r="E1104" s="236" t="s">
        <v>3988</v>
      </c>
      <c r="F1104" s="3891" t="s">
        <v>3988</v>
      </c>
      <c r="G1104" s="3892"/>
      <c r="H1104" s="3893" t="s">
        <v>5287</v>
      </c>
      <c r="I1104" s="3893"/>
      <c r="J1104" s="3894"/>
    </row>
    <row r="1105" spans="1:10" x14ac:dyDescent="0.3">
      <c r="A1105" s="253" t="s">
        <v>3988</v>
      </c>
      <c r="B1105" s="236" t="s">
        <v>3988</v>
      </c>
      <c r="C1105" s="236" t="s">
        <v>3988</v>
      </c>
      <c r="D1105" s="236" t="s">
        <v>3988</v>
      </c>
      <c r="E1105" s="236" t="s">
        <v>3988</v>
      </c>
      <c r="F1105" s="3891" t="s">
        <v>3988</v>
      </c>
      <c r="G1105" s="3892"/>
      <c r="H1105" s="3893" t="s">
        <v>5287</v>
      </c>
      <c r="I1105" s="3893"/>
      <c r="J1105" s="3894"/>
    </row>
    <row r="1106" spans="1:10" x14ac:dyDescent="0.3">
      <c r="A1106" s="253" t="s">
        <v>3988</v>
      </c>
      <c r="B1106" s="236" t="s">
        <v>3988</v>
      </c>
      <c r="C1106" s="236" t="s">
        <v>3988</v>
      </c>
      <c r="D1106" s="236" t="s">
        <v>3988</v>
      </c>
      <c r="E1106" s="236" t="s">
        <v>3988</v>
      </c>
      <c r="F1106" s="3891" t="s">
        <v>3988</v>
      </c>
      <c r="G1106" s="3892"/>
      <c r="H1106" s="3893" t="s">
        <v>5287</v>
      </c>
      <c r="I1106" s="3893"/>
      <c r="J1106" s="3894"/>
    </row>
    <row r="1107" spans="1:10" x14ac:dyDescent="0.3">
      <c r="A1107" s="253" t="s">
        <v>3988</v>
      </c>
      <c r="B1107" s="236" t="s">
        <v>3988</v>
      </c>
      <c r="C1107" s="236" t="s">
        <v>3988</v>
      </c>
      <c r="D1107" s="236" t="s">
        <v>3988</v>
      </c>
      <c r="E1107" s="236" t="s">
        <v>3988</v>
      </c>
      <c r="F1107" s="3891" t="s">
        <v>3988</v>
      </c>
      <c r="G1107" s="3892"/>
      <c r="H1107" s="3893" t="s">
        <v>5287</v>
      </c>
      <c r="I1107" s="3893"/>
      <c r="J1107" s="3894"/>
    </row>
    <row r="1108" spans="1:10" x14ac:dyDescent="0.3">
      <c r="A1108" s="253" t="s">
        <v>3988</v>
      </c>
      <c r="B1108" s="236" t="s">
        <v>3988</v>
      </c>
      <c r="C1108" s="236" t="s">
        <v>3988</v>
      </c>
      <c r="D1108" s="236" t="s">
        <v>3988</v>
      </c>
      <c r="E1108" s="236" t="s">
        <v>3988</v>
      </c>
      <c r="F1108" s="3891" t="s">
        <v>3988</v>
      </c>
      <c r="G1108" s="3892"/>
      <c r="H1108" s="3893" t="s">
        <v>5287</v>
      </c>
      <c r="I1108" s="3893"/>
      <c r="J1108" s="3894"/>
    </row>
    <row r="1109" spans="1:10" x14ac:dyDescent="0.3">
      <c r="A1109" s="253" t="s">
        <v>3988</v>
      </c>
      <c r="B1109" s="236" t="s">
        <v>3988</v>
      </c>
      <c r="C1109" s="236" t="s">
        <v>3988</v>
      </c>
      <c r="D1109" s="236" t="s">
        <v>3988</v>
      </c>
      <c r="E1109" s="236" t="s">
        <v>3988</v>
      </c>
      <c r="F1109" s="3891" t="s">
        <v>3988</v>
      </c>
      <c r="G1109" s="3892"/>
      <c r="H1109" s="3893" t="s">
        <v>5287</v>
      </c>
      <c r="I1109" s="3893"/>
      <c r="J1109" s="3894"/>
    </row>
    <row r="1110" spans="1:10" x14ac:dyDescent="0.3">
      <c r="A1110" s="1788" t="s">
        <v>3753</v>
      </c>
      <c r="B1110" s="235" t="s">
        <v>3988</v>
      </c>
      <c r="C1110" s="235" t="s">
        <v>3988</v>
      </c>
      <c r="D1110" s="235" t="s">
        <v>3988</v>
      </c>
      <c r="E1110" s="3859" t="s">
        <v>5288</v>
      </c>
      <c r="F1110" s="3860"/>
      <c r="G1110" s="3861">
        <f>H1101+H1102</f>
        <v>2500</v>
      </c>
      <c r="H1110" s="3861"/>
      <c r="I1110" s="3862"/>
      <c r="J1110" s="254"/>
    </row>
    <row r="1111" spans="1:10" x14ac:dyDescent="0.3">
      <c r="A1111" s="255" t="s">
        <v>3988</v>
      </c>
      <c r="B1111" s="237" t="s">
        <v>3988</v>
      </c>
      <c r="C1111" s="237" t="s">
        <v>3988</v>
      </c>
      <c r="D1111" s="237" t="s">
        <v>3988</v>
      </c>
      <c r="E1111" s="237" t="s">
        <v>3988</v>
      </c>
      <c r="F1111" s="238" t="s">
        <v>5289</v>
      </c>
      <c r="G1111" s="239" t="s">
        <v>5290</v>
      </c>
      <c r="H1111" s="3863" t="s">
        <v>5291</v>
      </c>
      <c r="I1111" s="3863"/>
      <c r="J1111" s="3864"/>
    </row>
    <row r="1112" spans="1:10" x14ac:dyDescent="0.3">
      <c r="A1112" s="3865" t="s">
        <v>5292</v>
      </c>
      <c r="B1112" s="3866"/>
      <c r="C1112" s="3866"/>
      <c r="D1112" s="3866"/>
      <c r="E1112" s="3867"/>
      <c r="F1112" s="3871" t="s">
        <v>5293</v>
      </c>
      <c r="G1112" s="3872"/>
      <c r="H1112" s="3875">
        <f>G1110</f>
        <v>2500</v>
      </c>
      <c r="I1112" s="3876"/>
      <c r="J1112" s="3877"/>
    </row>
    <row r="1113" spans="1:10" x14ac:dyDescent="0.3">
      <c r="A1113" s="3868"/>
      <c r="B1113" s="3869"/>
      <c r="C1113" s="3869"/>
      <c r="D1113" s="3869"/>
      <c r="E1113" s="3870"/>
      <c r="F1113" s="3873"/>
      <c r="G1113" s="3874"/>
      <c r="H1113" s="3878"/>
      <c r="I1113" s="3879"/>
      <c r="J1113" s="3880"/>
    </row>
    <row r="1114" spans="1:10" x14ac:dyDescent="0.3">
      <c r="A1114" s="3881" t="s">
        <v>5294</v>
      </c>
      <c r="B1114" s="3882"/>
      <c r="C1114" s="3882"/>
      <c r="D1114" s="3882"/>
      <c r="E1114" s="3882"/>
      <c r="F1114" s="3882"/>
      <c r="G1114" s="3882"/>
      <c r="H1114" s="3882"/>
      <c r="I1114" s="3882"/>
      <c r="J1114" s="3883"/>
    </row>
    <row r="1115" spans="1:10" x14ac:dyDescent="0.3">
      <c r="A1115" s="3884"/>
      <c r="B1115" s="3885"/>
      <c r="C1115" s="3885"/>
      <c r="D1115" s="3885"/>
      <c r="E1115" s="3885"/>
      <c r="F1115" s="3885"/>
      <c r="G1115" s="3885"/>
      <c r="H1115" s="3885"/>
      <c r="I1115" s="3885"/>
      <c r="J1115" s="3886"/>
    </row>
    <row r="1117" spans="1:10" x14ac:dyDescent="0.3">
      <c r="A1117" s="246" t="s">
        <v>3988</v>
      </c>
      <c r="B1117" s="247" t="s">
        <v>3988</v>
      </c>
      <c r="C1117" s="3895" t="s">
        <v>5267</v>
      </c>
      <c r="D1117" s="3895"/>
      <c r="E1117" s="3895"/>
      <c r="F1117" s="3896"/>
      <c r="G1117" s="247" t="s">
        <v>3988</v>
      </c>
      <c r="H1117" s="1789" t="s">
        <v>3988</v>
      </c>
      <c r="I1117" s="1789" t="s">
        <v>3988</v>
      </c>
      <c r="J1117" s="248" t="s">
        <v>3988</v>
      </c>
    </row>
    <row r="1118" spans="1:10" ht="15.6" x14ac:dyDescent="0.3">
      <c r="A1118" s="249" t="s">
        <v>3988</v>
      </c>
      <c r="B1118" s="231"/>
      <c r="C1118" s="3897" t="s">
        <v>3986</v>
      </c>
      <c r="D1118" s="3897"/>
      <c r="E1118" s="3897"/>
      <c r="F1118" s="3898"/>
      <c r="G1118" s="1790" t="s">
        <v>3988</v>
      </c>
      <c r="H1118" s="3899" t="s">
        <v>5389</v>
      </c>
      <c r="I1118" s="3899"/>
      <c r="J1118" s="250" t="s">
        <v>3988</v>
      </c>
    </row>
    <row r="1119" spans="1:10" ht="17.399999999999999" x14ac:dyDescent="0.3">
      <c r="A1119" s="249" t="s">
        <v>3988</v>
      </c>
      <c r="B1119" s="232"/>
      <c r="C1119" s="3901" t="s">
        <v>5269</v>
      </c>
      <c r="D1119" s="3901"/>
      <c r="E1119" s="3901"/>
      <c r="F1119" s="3902"/>
      <c r="G1119" s="233" t="s">
        <v>5270</v>
      </c>
      <c r="H1119" s="3900"/>
      <c r="I1119" s="3900"/>
      <c r="J1119" s="250" t="s">
        <v>3988</v>
      </c>
    </row>
    <row r="1120" spans="1:10" x14ac:dyDescent="0.3">
      <c r="A1120" s="249" t="s">
        <v>3988</v>
      </c>
      <c r="B1120" s="232" t="s">
        <v>3988</v>
      </c>
      <c r="C1120" s="3903" t="s">
        <v>5271</v>
      </c>
      <c r="D1120" s="3903"/>
      <c r="E1120" s="3903"/>
      <c r="F1120" s="3904"/>
      <c r="G1120" s="1790" t="s">
        <v>3988</v>
      </c>
      <c r="H1120" s="234"/>
      <c r="I1120" s="234" t="s">
        <v>3988</v>
      </c>
      <c r="J1120" s="251" t="s">
        <v>3988</v>
      </c>
    </row>
    <row r="1121" spans="1:10" ht="31.8" x14ac:dyDescent="0.3">
      <c r="A1121" s="242" t="s">
        <v>5272</v>
      </c>
      <c r="B1121" s="3905" t="s">
        <v>5376</v>
      </c>
      <c r="C1121" s="3906"/>
      <c r="D1121" s="3906"/>
      <c r="E1121" s="3907"/>
      <c r="F1121" s="241" t="s">
        <v>5274</v>
      </c>
      <c r="G1121" s="240">
        <v>70720539</v>
      </c>
      <c r="H1121" s="1791" t="s">
        <v>5276</v>
      </c>
      <c r="I1121" s="1791" t="s">
        <v>5277</v>
      </c>
      <c r="J1121" s="252" t="s">
        <v>5278</v>
      </c>
    </row>
    <row r="1122" spans="1:10" x14ac:dyDescent="0.3">
      <c r="A1122" s="3908"/>
      <c r="B1122" s="3909"/>
      <c r="C1122" s="3909"/>
      <c r="D1122" s="3909"/>
      <c r="E1122" s="3910"/>
      <c r="F1122" s="3909"/>
      <c r="G1122" s="3910"/>
      <c r="H1122" s="256">
        <v>14</v>
      </c>
      <c r="I1122" s="256">
        <v>1</v>
      </c>
      <c r="J1122" s="257">
        <v>2022</v>
      </c>
    </row>
    <row r="1123" spans="1:10" x14ac:dyDescent="0.3">
      <c r="A1123" s="3913" t="s">
        <v>5279</v>
      </c>
      <c r="B1123" s="3914"/>
      <c r="C1123" s="3914"/>
      <c r="D1123" s="3914"/>
      <c r="E1123" s="3914"/>
      <c r="F1123" s="3919" t="s">
        <v>5280</v>
      </c>
      <c r="G1123" s="3920"/>
      <c r="H1123" s="3921" t="s">
        <v>5281</v>
      </c>
      <c r="I1123" s="3921"/>
      <c r="J1123" s="3920"/>
    </row>
    <row r="1124" spans="1:10" ht="21.75" customHeight="1" x14ac:dyDescent="0.3">
      <c r="A1124" s="3913" t="s">
        <v>5377</v>
      </c>
      <c r="B1124" s="3914"/>
      <c r="C1124" s="3914"/>
      <c r="D1124" s="3914"/>
      <c r="E1124" s="3914"/>
      <c r="F1124" s="3922" t="s">
        <v>5378</v>
      </c>
      <c r="G1124" s="3922"/>
      <c r="H1124" s="3923" t="s">
        <v>125</v>
      </c>
      <c r="I1124" s="3922"/>
      <c r="J1124" s="3922"/>
    </row>
    <row r="1125" spans="1:10" x14ac:dyDescent="0.3">
      <c r="A1125" s="262" t="s">
        <v>5284</v>
      </c>
      <c r="B1125" s="3911" t="s">
        <v>5285</v>
      </c>
      <c r="C1125" s="3911"/>
      <c r="D1125" s="3911"/>
      <c r="E1125" s="3912"/>
      <c r="F1125" s="3911" t="s">
        <v>3752</v>
      </c>
      <c r="G1125" s="3912"/>
      <c r="H1125" s="3911" t="s">
        <v>5286</v>
      </c>
      <c r="I1125" s="3911"/>
      <c r="J1125" s="3916"/>
    </row>
    <row r="1126" spans="1:10" x14ac:dyDescent="0.3">
      <c r="A1126" s="263">
        <v>1</v>
      </c>
      <c r="B1126" s="3887" t="s">
        <v>5379</v>
      </c>
      <c r="C1126" s="3887"/>
      <c r="D1126" s="3887"/>
      <c r="E1126" s="3887"/>
      <c r="F1126" s="3888">
        <v>2500</v>
      </c>
      <c r="G1126" s="3889"/>
      <c r="H1126" s="3887">
        <f>F1126*A1126</f>
        <v>2500</v>
      </c>
      <c r="I1126" s="3887"/>
      <c r="J1126" s="3890"/>
    </row>
    <row r="1127" spans="1:10" x14ac:dyDescent="0.3">
      <c r="A1127" s="263"/>
      <c r="B1127" s="3887"/>
      <c r="C1127" s="3887"/>
      <c r="D1127" s="3887"/>
      <c r="E1127" s="3887"/>
      <c r="F1127" s="3888"/>
      <c r="G1127" s="3889"/>
      <c r="H1127" s="3887"/>
      <c r="I1127" s="3887"/>
      <c r="J1127" s="3890"/>
    </row>
    <row r="1128" spans="1:10" x14ac:dyDescent="0.3">
      <c r="A1128" s="263" t="s">
        <v>3988</v>
      </c>
      <c r="B1128" s="264" t="s">
        <v>3988</v>
      </c>
      <c r="C1128" s="264" t="s">
        <v>3988</v>
      </c>
      <c r="D1128" s="264" t="s">
        <v>3988</v>
      </c>
      <c r="E1128" s="264" t="s">
        <v>3988</v>
      </c>
      <c r="F1128" s="3888" t="s">
        <v>3988</v>
      </c>
      <c r="G1128" s="3889"/>
      <c r="H1128" s="3887" t="s">
        <v>5287</v>
      </c>
      <c r="I1128" s="3887"/>
      <c r="J1128" s="3890"/>
    </row>
    <row r="1129" spans="1:10" x14ac:dyDescent="0.3">
      <c r="A1129" s="253" t="s">
        <v>3988</v>
      </c>
      <c r="B1129" s="236" t="s">
        <v>3988</v>
      </c>
      <c r="C1129" s="236" t="s">
        <v>3988</v>
      </c>
      <c r="D1129" s="236" t="s">
        <v>3988</v>
      </c>
      <c r="E1129" s="236" t="s">
        <v>3988</v>
      </c>
      <c r="F1129" s="3891" t="s">
        <v>3988</v>
      </c>
      <c r="G1129" s="3892"/>
      <c r="H1129" s="3893" t="s">
        <v>5287</v>
      </c>
      <c r="I1129" s="3893"/>
      <c r="J1129" s="3894"/>
    </row>
    <row r="1130" spans="1:10" x14ac:dyDescent="0.3">
      <c r="A1130" s="253" t="s">
        <v>3988</v>
      </c>
      <c r="B1130" s="236" t="s">
        <v>3988</v>
      </c>
      <c r="C1130" s="236" t="s">
        <v>3988</v>
      </c>
      <c r="D1130" s="236" t="s">
        <v>3988</v>
      </c>
      <c r="E1130" s="236" t="s">
        <v>3988</v>
      </c>
      <c r="F1130" s="3891" t="s">
        <v>3988</v>
      </c>
      <c r="G1130" s="3892"/>
      <c r="H1130" s="3893" t="s">
        <v>5287</v>
      </c>
      <c r="I1130" s="3893"/>
      <c r="J1130" s="3894"/>
    </row>
    <row r="1131" spans="1:10" x14ac:dyDescent="0.3">
      <c r="A1131" s="253" t="s">
        <v>3988</v>
      </c>
      <c r="B1131" s="236" t="s">
        <v>3988</v>
      </c>
      <c r="C1131" s="236" t="s">
        <v>3988</v>
      </c>
      <c r="D1131" s="236" t="s">
        <v>3988</v>
      </c>
      <c r="E1131" s="236" t="s">
        <v>3988</v>
      </c>
      <c r="F1131" s="3891" t="s">
        <v>3988</v>
      </c>
      <c r="G1131" s="3892"/>
      <c r="H1131" s="3893" t="s">
        <v>5287</v>
      </c>
      <c r="I1131" s="3893"/>
      <c r="J1131" s="3894"/>
    </row>
    <row r="1132" spans="1:10" x14ac:dyDescent="0.3">
      <c r="A1132" s="253" t="s">
        <v>3988</v>
      </c>
      <c r="B1132" s="236" t="s">
        <v>3988</v>
      </c>
      <c r="C1132" s="236" t="s">
        <v>3988</v>
      </c>
      <c r="D1132" s="236" t="s">
        <v>3988</v>
      </c>
      <c r="E1132" s="236" t="s">
        <v>3988</v>
      </c>
      <c r="F1132" s="3891" t="s">
        <v>3988</v>
      </c>
      <c r="G1132" s="3892"/>
      <c r="H1132" s="3893" t="s">
        <v>5287</v>
      </c>
      <c r="I1132" s="3893"/>
      <c r="J1132" s="3894"/>
    </row>
    <row r="1133" spans="1:10" x14ac:dyDescent="0.3">
      <c r="A1133" s="253" t="s">
        <v>3988</v>
      </c>
      <c r="B1133" s="236" t="s">
        <v>3988</v>
      </c>
      <c r="C1133" s="236" t="s">
        <v>3988</v>
      </c>
      <c r="D1133" s="236" t="s">
        <v>3988</v>
      </c>
      <c r="E1133" s="236" t="s">
        <v>3988</v>
      </c>
      <c r="F1133" s="3891" t="s">
        <v>3988</v>
      </c>
      <c r="G1133" s="3892"/>
      <c r="H1133" s="3893" t="s">
        <v>5287</v>
      </c>
      <c r="I1133" s="3893"/>
      <c r="J1133" s="3894"/>
    </row>
    <row r="1134" spans="1:10" x14ac:dyDescent="0.3">
      <c r="A1134" s="253" t="s">
        <v>3988</v>
      </c>
      <c r="B1134" s="236" t="s">
        <v>3988</v>
      </c>
      <c r="C1134" s="236" t="s">
        <v>3988</v>
      </c>
      <c r="D1134" s="236" t="s">
        <v>3988</v>
      </c>
      <c r="E1134" s="236" t="s">
        <v>3988</v>
      </c>
      <c r="F1134" s="3891" t="s">
        <v>3988</v>
      </c>
      <c r="G1134" s="3892"/>
      <c r="H1134" s="3893" t="s">
        <v>5287</v>
      </c>
      <c r="I1134" s="3893"/>
      <c r="J1134" s="3894"/>
    </row>
    <row r="1135" spans="1:10" x14ac:dyDescent="0.3">
      <c r="A1135" s="1788" t="s">
        <v>3753</v>
      </c>
      <c r="B1135" s="235" t="s">
        <v>3988</v>
      </c>
      <c r="C1135" s="235" t="s">
        <v>3988</v>
      </c>
      <c r="D1135" s="235" t="s">
        <v>3988</v>
      </c>
      <c r="E1135" s="3859" t="s">
        <v>5288</v>
      </c>
      <c r="F1135" s="3860"/>
      <c r="G1135" s="3861">
        <f>H1126+H1127</f>
        <v>2500</v>
      </c>
      <c r="H1135" s="3861"/>
      <c r="I1135" s="3862"/>
      <c r="J1135" s="254"/>
    </row>
    <row r="1136" spans="1:10" x14ac:dyDescent="0.3">
      <c r="A1136" s="255" t="s">
        <v>3988</v>
      </c>
      <c r="B1136" s="237" t="s">
        <v>3988</v>
      </c>
      <c r="C1136" s="237" t="s">
        <v>3988</v>
      </c>
      <c r="D1136" s="237" t="s">
        <v>3988</v>
      </c>
      <c r="E1136" s="237" t="s">
        <v>3988</v>
      </c>
      <c r="F1136" s="238" t="s">
        <v>5289</v>
      </c>
      <c r="G1136" s="239" t="s">
        <v>5290</v>
      </c>
      <c r="H1136" s="3863" t="s">
        <v>5291</v>
      </c>
      <c r="I1136" s="3863"/>
      <c r="J1136" s="3864"/>
    </row>
    <row r="1137" spans="1:10" x14ac:dyDescent="0.3">
      <c r="A1137" s="3865" t="s">
        <v>5292</v>
      </c>
      <c r="B1137" s="3866"/>
      <c r="C1137" s="3866"/>
      <c r="D1137" s="3866"/>
      <c r="E1137" s="3867"/>
      <c r="F1137" s="3871" t="s">
        <v>5293</v>
      </c>
      <c r="G1137" s="3872"/>
      <c r="H1137" s="3875">
        <f>G1135</f>
        <v>2500</v>
      </c>
      <c r="I1137" s="3876"/>
      <c r="J1137" s="3877"/>
    </row>
    <row r="1138" spans="1:10" x14ac:dyDescent="0.3">
      <c r="A1138" s="3868"/>
      <c r="B1138" s="3869"/>
      <c r="C1138" s="3869"/>
      <c r="D1138" s="3869"/>
      <c r="E1138" s="3870"/>
      <c r="F1138" s="3873"/>
      <c r="G1138" s="3874"/>
      <c r="H1138" s="3878"/>
      <c r="I1138" s="3879"/>
      <c r="J1138" s="3880"/>
    </row>
    <row r="1139" spans="1:10" x14ac:dyDescent="0.3">
      <c r="A1139" s="3881" t="s">
        <v>5294</v>
      </c>
      <c r="B1139" s="3882"/>
      <c r="C1139" s="3882"/>
      <c r="D1139" s="3882"/>
      <c r="E1139" s="3882"/>
      <c r="F1139" s="3882"/>
      <c r="G1139" s="3882"/>
      <c r="H1139" s="3882"/>
      <c r="I1139" s="3882"/>
      <c r="J1139" s="3883"/>
    </row>
    <row r="1140" spans="1:10" x14ac:dyDescent="0.3">
      <c r="A1140" s="3884"/>
      <c r="B1140" s="3885"/>
      <c r="C1140" s="3885"/>
      <c r="D1140" s="3885"/>
      <c r="E1140" s="3885"/>
      <c r="F1140" s="3885"/>
      <c r="G1140" s="3885"/>
      <c r="H1140" s="3885"/>
      <c r="I1140" s="3885"/>
      <c r="J1140" s="3886"/>
    </row>
    <row r="1142" spans="1:10" x14ac:dyDescent="0.3">
      <c r="A1142" s="246" t="s">
        <v>3988</v>
      </c>
      <c r="B1142" s="247" t="s">
        <v>3988</v>
      </c>
      <c r="C1142" s="3895" t="s">
        <v>5267</v>
      </c>
      <c r="D1142" s="3895"/>
      <c r="E1142" s="3895"/>
      <c r="F1142" s="3896"/>
      <c r="G1142" s="247" t="s">
        <v>3988</v>
      </c>
      <c r="H1142" s="1789" t="s">
        <v>3988</v>
      </c>
      <c r="I1142" s="1789" t="s">
        <v>3988</v>
      </c>
      <c r="J1142" s="248" t="s">
        <v>3988</v>
      </c>
    </row>
    <row r="1143" spans="1:10" ht="15.6" x14ac:dyDescent="0.3">
      <c r="A1143" s="249" t="s">
        <v>3988</v>
      </c>
      <c r="B1143" s="231"/>
      <c r="C1143" s="3897" t="s">
        <v>3986</v>
      </c>
      <c r="D1143" s="3897"/>
      <c r="E1143" s="3897"/>
      <c r="F1143" s="3898"/>
      <c r="G1143" s="1790" t="s">
        <v>3988</v>
      </c>
      <c r="H1143" s="3899" t="s">
        <v>5390</v>
      </c>
      <c r="I1143" s="3899"/>
      <c r="J1143" s="250" t="s">
        <v>3988</v>
      </c>
    </row>
    <row r="1144" spans="1:10" ht="17.399999999999999" x14ac:dyDescent="0.3">
      <c r="A1144" s="249" t="s">
        <v>3988</v>
      </c>
      <c r="B1144" s="232"/>
      <c r="C1144" s="3901" t="s">
        <v>5269</v>
      </c>
      <c r="D1144" s="3901"/>
      <c r="E1144" s="3901"/>
      <c r="F1144" s="3902"/>
      <c r="G1144" s="233" t="s">
        <v>5270</v>
      </c>
      <c r="H1144" s="3900"/>
      <c r="I1144" s="3900"/>
      <c r="J1144" s="250" t="s">
        <v>3988</v>
      </c>
    </row>
    <row r="1145" spans="1:10" x14ac:dyDescent="0.3">
      <c r="A1145" s="249" t="s">
        <v>3988</v>
      </c>
      <c r="B1145" s="232" t="s">
        <v>3988</v>
      </c>
      <c r="C1145" s="3903" t="s">
        <v>5271</v>
      </c>
      <c r="D1145" s="3903"/>
      <c r="E1145" s="3903"/>
      <c r="F1145" s="3904"/>
      <c r="G1145" s="1790" t="s">
        <v>3988</v>
      </c>
      <c r="H1145" s="234"/>
      <c r="I1145" s="234" t="s">
        <v>3988</v>
      </c>
      <c r="J1145" s="251" t="s">
        <v>3988</v>
      </c>
    </row>
    <row r="1146" spans="1:10" ht="31.8" x14ac:dyDescent="0.3">
      <c r="A1146" s="242" t="s">
        <v>5272</v>
      </c>
      <c r="B1146" s="3905" t="s">
        <v>5376</v>
      </c>
      <c r="C1146" s="3906"/>
      <c r="D1146" s="3906"/>
      <c r="E1146" s="3907"/>
      <c r="F1146" s="241" t="s">
        <v>5274</v>
      </c>
      <c r="G1146" s="240">
        <v>70720539</v>
      </c>
      <c r="H1146" s="1791" t="s">
        <v>5276</v>
      </c>
      <c r="I1146" s="1791" t="s">
        <v>5277</v>
      </c>
      <c r="J1146" s="252" t="s">
        <v>5278</v>
      </c>
    </row>
    <row r="1147" spans="1:10" x14ac:dyDescent="0.3">
      <c r="A1147" s="3908"/>
      <c r="B1147" s="3909"/>
      <c r="C1147" s="3909"/>
      <c r="D1147" s="3909"/>
      <c r="E1147" s="3910"/>
      <c r="F1147" s="3909"/>
      <c r="G1147" s="3910"/>
      <c r="H1147" s="256">
        <v>14</v>
      </c>
      <c r="I1147" s="256">
        <v>2</v>
      </c>
      <c r="J1147" s="257">
        <v>2022</v>
      </c>
    </row>
    <row r="1148" spans="1:10" ht="12" customHeight="1" x14ac:dyDescent="0.3">
      <c r="A1148" s="3913" t="s">
        <v>5279</v>
      </c>
      <c r="B1148" s="3914"/>
      <c r="C1148" s="3914"/>
      <c r="D1148" s="3914"/>
      <c r="E1148" s="3914"/>
      <c r="F1148" s="3919" t="s">
        <v>5280</v>
      </c>
      <c r="G1148" s="3920"/>
      <c r="H1148" s="3921" t="s">
        <v>5281</v>
      </c>
      <c r="I1148" s="3921"/>
      <c r="J1148" s="3920"/>
    </row>
    <row r="1149" spans="1:10" ht="22.5" customHeight="1" x14ac:dyDescent="0.3">
      <c r="A1149" s="3913" t="s">
        <v>5377</v>
      </c>
      <c r="B1149" s="3914"/>
      <c r="C1149" s="3914"/>
      <c r="D1149" s="3914"/>
      <c r="E1149" s="3914"/>
      <c r="F1149" s="3922" t="s">
        <v>5378</v>
      </c>
      <c r="G1149" s="3922"/>
      <c r="H1149" s="3923" t="s">
        <v>125</v>
      </c>
      <c r="I1149" s="3922"/>
      <c r="J1149" s="3922"/>
    </row>
    <row r="1150" spans="1:10" x14ac:dyDescent="0.3">
      <c r="A1150" s="262" t="s">
        <v>5284</v>
      </c>
      <c r="B1150" s="3911" t="s">
        <v>5285</v>
      </c>
      <c r="C1150" s="3911"/>
      <c r="D1150" s="3911"/>
      <c r="E1150" s="3912"/>
      <c r="F1150" s="3911" t="s">
        <v>3752</v>
      </c>
      <c r="G1150" s="3912"/>
      <c r="H1150" s="3911" t="s">
        <v>5286</v>
      </c>
      <c r="I1150" s="3911"/>
      <c r="J1150" s="3916"/>
    </row>
    <row r="1151" spans="1:10" x14ac:dyDescent="0.3">
      <c r="A1151" s="263">
        <v>1</v>
      </c>
      <c r="B1151" s="3887" t="s">
        <v>5379</v>
      </c>
      <c r="C1151" s="3887"/>
      <c r="D1151" s="3887"/>
      <c r="E1151" s="3887"/>
      <c r="F1151" s="3888">
        <v>2500</v>
      </c>
      <c r="G1151" s="3889"/>
      <c r="H1151" s="3887">
        <f>F1151*A1151</f>
        <v>2500</v>
      </c>
      <c r="I1151" s="3887"/>
      <c r="J1151" s="3890"/>
    </row>
    <row r="1152" spans="1:10" x14ac:dyDescent="0.3">
      <c r="A1152" s="263"/>
      <c r="B1152" s="3887"/>
      <c r="C1152" s="3887"/>
      <c r="D1152" s="3887"/>
      <c r="E1152" s="3887"/>
      <c r="F1152" s="3888"/>
      <c r="G1152" s="3889"/>
      <c r="H1152" s="3887"/>
      <c r="I1152" s="3887"/>
      <c r="J1152" s="3890"/>
    </row>
    <row r="1153" spans="1:10" x14ac:dyDescent="0.3">
      <c r="A1153" s="263" t="s">
        <v>3988</v>
      </c>
      <c r="B1153" s="264" t="s">
        <v>3988</v>
      </c>
      <c r="C1153" s="264" t="s">
        <v>3988</v>
      </c>
      <c r="D1153" s="264" t="s">
        <v>3988</v>
      </c>
      <c r="E1153" s="264" t="s">
        <v>3988</v>
      </c>
      <c r="F1153" s="3888" t="s">
        <v>3988</v>
      </c>
      <c r="G1153" s="3889"/>
      <c r="H1153" s="3887" t="s">
        <v>5287</v>
      </c>
      <c r="I1153" s="3887"/>
      <c r="J1153" s="3890"/>
    </row>
    <row r="1154" spans="1:10" x14ac:dyDescent="0.3">
      <c r="A1154" s="253" t="s">
        <v>3988</v>
      </c>
      <c r="B1154" s="236" t="s">
        <v>3988</v>
      </c>
      <c r="C1154" s="236" t="s">
        <v>3988</v>
      </c>
      <c r="D1154" s="236" t="s">
        <v>3988</v>
      </c>
      <c r="E1154" s="236" t="s">
        <v>3988</v>
      </c>
      <c r="F1154" s="3891" t="s">
        <v>3988</v>
      </c>
      <c r="G1154" s="3892"/>
      <c r="H1154" s="3893" t="s">
        <v>5287</v>
      </c>
      <c r="I1154" s="3893"/>
      <c r="J1154" s="3894"/>
    </row>
    <row r="1155" spans="1:10" x14ac:dyDescent="0.3">
      <c r="A1155" s="253" t="s">
        <v>3988</v>
      </c>
      <c r="B1155" s="236" t="s">
        <v>3988</v>
      </c>
      <c r="C1155" s="236" t="s">
        <v>3988</v>
      </c>
      <c r="D1155" s="236" t="s">
        <v>3988</v>
      </c>
      <c r="E1155" s="236" t="s">
        <v>3988</v>
      </c>
      <c r="F1155" s="3891" t="s">
        <v>3988</v>
      </c>
      <c r="G1155" s="3892"/>
      <c r="H1155" s="3893" t="s">
        <v>5287</v>
      </c>
      <c r="I1155" s="3893"/>
      <c r="J1155" s="3894"/>
    </row>
    <row r="1156" spans="1:10" x14ac:dyDescent="0.3">
      <c r="A1156" s="253" t="s">
        <v>3988</v>
      </c>
      <c r="B1156" s="236" t="s">
        <v>3988</v>
      </c>
      <c r="C1156" s="236" t="s">
        <v>3988</v>
      </c>
      <c r="D1156" s="236" t="s">
        <v>3988</v>
      </c>
      <c r="E1156" s="236" t="s">
        <v>3988</v>
      </c>
      <c r="F1156" s="3891" t="s">
        <v>3988</v>
      </c>
      <c r="G1156" s="3892"/>
      <c r="H1156" s="3893" t="s">
        <v>5287</v>
      </c>
      <c r="I1156" s="3893"/>
      <c r="J1156" s="3894"/>
    </row>
    <row r="1157" spans="1:10" x14ac:dyDescent="0.3">
      <c r="A1157" s="253" t="s">
        <v>3988</v>
      </c>
      <c r="B1157" s="236" t="s">
        <v>3988</v>
      </c>
      <c r="C1157" s="236" t="s">
        <v>3988</v>
      </c>
      <c r="D1157" s="236" t="s">
        <v>3988</v>
      </c>
      <c r="E1157" s="236" t="s">
        <v>3988</v>
      </c>
      <c r="F1157" s="3891" t="s">
        <v>3988</v>
      </c>
      <c r="G1157" s="3892"/>
      <c r="H1157" s="3893" t="s">
        <v>5287</v>
      </c>
      <c r="I1157" s="3893"/>
      <c r="J1157" s="3894"/>
    </row>
    <row r="1158" spans="1:10" x14ac:dyDescent="0.3">
      <c r="A1158" s="253" t="s">
        <v>3988</v>
      </c>
      <c r="B1158" s="236" t="s">
        <v>3988</v>
      </c>
      <c r="C1158" s="236" t="s">
        <v>3988</v>
      </c>
      <c r="D1158" s="236" t="s">
        <v>3988</v>
      </c>
      <c r="E1158" s="236" t="s">
        <v>3988</v>
      </c>
      <c r="F1158" s="3891" t="s">
        <v>3988</v>
      </c>
      <c r="G1158" s="3892"/>
      <c r="H1158" s="3893" t="s">
        <v>5287</v>
      </c>
      <c r="I1158" s="3893"/>
      <c r="J1158" s="3894"/>
    </row>
    <row r="1159" spans="1:10" x14ac:dyDescent="0.3">
      <c r="A1159" s="253" t="s">
        <v>3988</v>
      </c>
      <c r="B1159" s="236" t="s">
        <v>3988</v>
      </c>
      <c r="C1159" s="236" t="s">
        <v>3988</v>
      </c>
      <c r="D1159" s="236" t="s">
        <v>3988</v>
      </c>
      <c r="E1159" s="236" t="s">
        <v>3988</v>
      </c>
      <c r="F1159" s="3891" t="s">
        <v>3988</v>
      </c>
      <c r="G1159" s="3892"/>
      <c r="H1159" s="3893" t="s">
        <v>5287</v>
      </c>
      <c r="I1159" s="3893"/>
      <c r="J1159" s="3894"/>
    </row>
    <row r="1160" spans="1:10" x14ac:dyDescent="0.3">
      <c r="A1160" s="1788" t="s">
        <v>3753</v>
      </c>
      <c r="B1160" s="235" t="s">
        <v>3988</v>
      </c>
      <c r="C1160" s="235" t="s">
        <v>3988</v>
      </c>
      <c r="D1160" s="235" t="s">
        <v>3988</v>
      </c>
      <c r="E1160" s="3859" t="s">
        <v>5288</v>
      </c>
      <c r="F1160" s="3860"/>
      <c r="G1160" s="3861">
        <f>H1151+H1152</f>
        <v>2500</v>
      </c>
      <c r="H1160" s="3861"/>
      <c r="I1160" s="3862"/>
      <c r="J1160" s="254"/>
    </row>
    <row r="1161" spans="1:10" x14ac:dyDescent="0.3">
      <c r="A1161" s="255" t="s">
        <v>3988</v>
      </c>
      <c r="B1161" s="237" t="s">
        <v>3988</v>
      </c>
      <c r="C1161" s="237" t="s">
        <v>3988</v>
      </c>
      <c r="D1161" s="237" t="s">
        <v>3988</v>
      </c>
      <c r="E1161" s="237" t="s">
        <v>3988</v>
      </c>
      <c r="F1161" s="238" t="s">
        <v>5289</v>
      </c>
      <c r="G1161" s="239" t="s">
        <v>5290</v>
      </c>
      <c r="H1161" s="3863" t="s">
        <v>5291</v>
      </c>
      <c r="I1161" s="3863"/>
      <c r="J1161" s="3864"/>
    </row>
    <row r="1162" spans="1:10" x14ac:dyDescent="0.3">
      <c r="A1162" s="3865" t="s">
        <v>5292</v>
      </c>
      <c r="B1162" s="3866"/>
      <c r="C1162" s="3866"/>
      <c r="D1162" s="3866"/>
      <c r="E1162" s="3867"/>
      <c r="F1162" s="3871" t="s">
        <v>5293</v>
      </c>
      <c r="G1162" s="3872"/>
      <c r="H1162" s="3875">
        <f>G1160</f>
        <v>2500</v>
      </c>
      <c r="I1162" s="3876"/>
      <c r="J1162" s="3877"/>
    </row>
    <row r="1163" spans="1:10" x14ac:dyDescent="0.3">
      <c r="A1163" s="3868"/>
      <c r="B1163" s="3869"/>
      <c r="C1163" s="3869"/>
      <c r="D1163" s="3869"/>
      <c r="E1163" s="3870"/>
      <c r="F1163" s="3873"/>
      <c r="G1163" s="3874"/>
      <c r="H1163" s="3878"/>
      <c r="I1163" s="3879"/>
      <c r="J1163" s="3880"/>
    </row>
    <row r="1164" spans="1:10" x14ac:dyDescent="0.3">
      <c r="A1164" s="3881" t="s">
        <v>5294</v>
      </c>
      <c r="B1164" s="3882"/>
      <c r="C1164" s="3882"/>
      <c r="D1164" s="3882"/>
      <c r="E1164" s="3882"/>
      <c r="F1164" s="3882"/>
      <c r="G1164" s="3882"/>
      <c r="H1164" s="3882"/>
      <c r="I1164" s="3882"/>
      <c r="J1164" s="3883"/>
    </row>
    <row r="1165" spans="1:10" x14ac:dyDescent="0.3">
      <c r="A1165" s="3884"/>
      <c r="B1165" s="3885"/>
      <c r="C1165" s="3885"/>
      <c r="D1165" s="3885"/>
      <c r="E1165" s="3885"/>
      <c r="F1165" s="3885"/>
      <c r="G1165" s="3885"/>
      <c r="H1165" s="3885"/>
      <c r="I1165" s="3885"/>
      <c r="J1165" s="3886"/>
    </row>
    <row r="1167" spans="1:10" x14ac:dyDescent="0.3">
      <c r="A1167" s="246" t="s">
        <v>3988</v>
      </c>
      <c r="B1167" s="247" t="s">
        <v>3988</v>
      </c>
      <c r="C1167" s="3895" t="s">
        <v>5267</v>
      </c>
      <c r="D1167" s="3895"/>
      <c r="E1167" s="3895"/>
      <c r="F1167" s="3896"/>
      <c r="G1167" s="247" t="s">
        <v>3988</v>
      </c>
      <c r="H1167" s="1789" t="s">
        <v>3988</v>
      </c>
      <c r="I1167" s="1789" t="s">
        <v>3988</v>
      </c>
      <c r="J1167" s="248" t="s">
        <v>3988</v>
      </c>
    </row>
    <row r="1168" spans="1:10" ht="15.6" x14ac:dyDescent="0.3">
      <c r="A1168" s="249" t="s">
        <v>3988</v>
      </c>
      <c r="B1168" s="231"/>
      <c r="C1168" s="3897" t="s">
        <v>3986</v>
      </c>
      <c r="D1168" s="3897"/>
      <c r="E1168" s="3897"/>
      <c r="F1168" s="3898"/>
      <c r="G1168" s="1790" t="s">
        <v>3988</v>
      </c>
      <c r="H1168" s="3899" t="s">
        <v>5391</v>
      </c>
      <c r="I1168" s="3899"/>
      <c r="J1168" s="250" t="s">
        <v>3988</v>
      </c>
    </row>
    <row r="1169" spans="1:10" ht="17.399999999999999" x14ac:dyDescent="0.3">
      <c r="A1169" s="249" t="s">
        <v>3988</v>
      </c>
      <c r="B1169" s="232"/>
      <c r="C1169" s="3901" t="s">
        <v>5269</v>
      </c>
      <c r="D1169" s="3901"/>
      <c r="E1169" s="3901"/>
      <c r="F1169" s="3902"/>
      <c r="G1169" s="233" t="s">
        <v>5270</v>
      </c>
      <c r="H1169" s="3900"/>
      <c r="I1169" s="3900"/>
      <c r="J1169" s="250" t="s">
        <v>3988</v>
      </c>
    </row>
    <row r="1170" spans="1:10" x14ac:dyDescent="0.3">
      <c r="A1170" s="249" t="s">
        <v>3988</v>
      </c>
      <c r="B1170" s="232" t="s">
        <v>3988</v>
      </c>
      <c r="C1170" s="3903" t="s">
        <v>5271</v>
      </c>
      <c r="D1170" s="3903"/>
      <c r="E1170" s="3903"/>
      <c r="F1170" s="3904"/>
      <c r="G1170" s="1790" t="s">
        <v>3988</v>
      </c>
      <c r="H1170" s="234"/>
      <c r="I1170" s="234" t="s">
        <v>3988</v>
      </c>
      <c r="J1170" s="251" t="s">
        <v>3988</v>
      </c>
    </row>
    <row r="1171" spans="1:10" ht="31.8" x14ac:dyDescent="0.3">
      <c r="A1171" s="242" t="s">
        <v>5272</v>
      </c>
      <c r="B1171" s="3905" t="s">
        <v>5376</v>
      </c>
      <c r="C1171" s="3906"/>
      <c r="D1171" s="3906"/>
      <c r="E1171" s="3907"/>
      <c r="F1171" s="241" t="s">
        <v>5274</v>
      </c>
      <c r="G1171" s="240">
        <v>70720539</v>
      </c>
      <c r="H1171" s="1791" t="s">
        <v>5276</v>
      </c>
      <c r="I1171" s="1791" t="s">
        <v>5277</v>
      </c>
      <c r="J1171" s="252" t="s">
        <v>5278</v>
      </c>
    </row>
    <row r="1172" spans="1:10" x14ac:dyDescent="0.3">
      <c r="A1172" s="3908"/>
      <c r="B1172" s="3909"/>
      <c r="C1172" s="3909"/>
      <c r="D1172" s="3909"/>
      <c r="E1172" s="3910"/>
      <c r="F1172" s="3909"/>
      <c r="G1172" s="3910"/>
      <c r="H1172" s="256">
        <v>10</v>
      </c>
      <c r="I1172" s="256">
        <v>3</v>
      </c>
      <c r="J1172" s="257">
        <v>2022</v>
      </c>
    </row>
    <row r="1173" spans="1:10" x14ac:dyDescent="0.3">
      <c r="A1173" s="3913" t="s">
        <v>5279</v>
      </c>
      <c r="B1173" s="3914"/>
      <c r="C1173" s="3914"/>
      <c r="D1173" s="3914"/>
      <c r="E1173" s="3914"/>
      <c r="F1173" s="3919" t="s">
        <v>5280</v>
      </c>
      <c r="G1173" s="3920"/>
      <c r="H1173" s="3921" t="s">
        <v>5281</v>
      </c>
      <c r="I1173" s="3921"/>
      <c r="J1173" s="3920"/>
    </row>
    <row r="1174" spans="1:10" ht="23.25" customHeight="1" x14ac:dyDescent="0.3">
      <c r="A1174" s="3913" t="s">
        <v>5377</v>
      </c>
      <c r="B1174" s="3914"/>
      <c r="C1174" s="3914"/>
      <c r="D1174" s="3914"/>
      <c r="E1174" s="3914"/>
      <c r="F1174" s="3922" t="s">
        <v>5378</v>
      </c>
      <c r="G1174" s="3922"/>
      <c r="H1174" s="3923" t="s">
        <v>125</v>
      </c>
      <c r="I1174" s="3922"/>
      <c r="J1174" s="3922"/>
    </row>
    <row r="1175" spans="1:10" x14ac:dyDescent="0.3">
      <c r="A1175" s="262" t="s">
        <v>5284</v>
      </c>
      <c r="B1175" s="3911" t="s">
        <v>5285</v>
      </c>
      <c r="C1175" s="3911"/>
      <c r="D1175" s="3911"/>
      <c r="E1175" s="3912"/>
      <c r="F1175" s="3911" t="s">
        <v>3752</v>
      </c>
      <c r="G1175" s="3912"/>
      <c r="H1175" s="3911" t="s">
        <v>5286</v>
      </c>
      <c r="I1175" s="3911"/>
      <c r="J1175" s="3916"/>
    </row>
    <row r="1176" spans="1:10" x14ac:dyDescent="0.3">
      <c r="A1176" s="263">
        <v>1</v>
      </c>
      <c r="B1176" s="3887" t="s">
        <v>5379</v>
      </c>
      <c r="C1176" s="3887"/>
      <c r="D1176" s="3887"/>
      <c r="E1176" s="3887"/>
      <c r="F1176" s="3888">
        <v>2500</v>
      </c>
      <c r="G1176" s="3889"/>
      <c r="H1176" s="3887">
        <f>F1176*A1176</f>
        <v>2500</v>
      </c>
      <c r="I1176" s="3887"/>
      <c r="J1176" s="3890"/>
    </row>
    <row r="1177" spans="1:10" x14ac:dyDescent="0.3">
      <c r="A1177" s="263"/>
      <c r="B1177" s="3887"/>
      <c r="C1177" s="3887"/>
      <c r="D1177" s="3887"/>
      <c r="E1177" s="3887"/>
      <c r="F1177" s="3888"/>
      <c r="G1177" s="3889"/>
      <c r="H1177" s="3887"/>
      <c r="I1177" s="3887"/>
      <c r="J1177" s="3890"/>
    </row>
    <row r="1178" spans="1:10" x14ac:dyDescent="0.3">
      <c r="A1178" s="263" t="s">
        <v>3988</v>
      </c>
      <c r="B1178" s="264" t="s">
        <v>3988</v>
      </c>
      <c r="C1178" s="264" t="s">
        <v>3988</v>
      </c>
      <c r="D1178" s="264" t="s">
        <v>3988</v>
      </c>
      <c r="E1178" s="264" t="s">
        <v>3988</v>
      </c>
      <c r="F1178" s="3888" t="s">
        <v>3988</v>
      </c>
      <c r="G1178" s="3889"/>
      <c r="H1178" s="3887" t="s">
        <v>5287</v>
      </c>
      <c r="I1178" s="3887"/>
      <c r="J1178" s="3890"/>
    </row>
    <row r="1179" spans="1:10" x14ac:dyDescent="0.3">
      <c r="A1179" s="253" t="s">
        <v>3988</v>
      </c>
      <c r="B1179" s="236" t="s">
        <v>3988</v>
      </c>
      <c r="C1179" s="236" t="s">
        <v>3988</v>
      </c>
      <c r="D1179" s="236" t="s">
        <v>3988</v>
      </c>
      <c r="E1179" s="236" t="s">
        <v>3988</v>
      </c>
      <c r="F1179" s="3891" t="s">
        <v>3988</v>
      </c>
      <c r="G1179" s="3892"/>
      <c r="H1179" s="3893" t="s">
        <v>5287</v>
      </c>
      <c r="I1179" s="3893"/>
      <c r="J1179" s="3894"/>
    </row>
    <row r="1180" spans="1:10" x14ac:dyDescent="0.3">
      <c r="A1180" s="253" t="s">
        <v>3988</v>
      </c>
      <c r="B1180" s="236" t="s">
        <v>3988</v>
      </c>
      <c r="C1180" s="236" t="s">
        <v>3988</v>
      </c>
      <c r="D1180" s="236" t="s">
        <v>3988</v>
      </c>
      <c r="E1180" s="236" t="s">
        <v>3988</v>
      </c>
      <c r="F1180" s="3891" t="s">
        <v>3988</v>
      </c>
      <c r="G1180" s="3892"/>
      <c r="H1180" s="3893" t="s">
        <v>5287</v>
      </c>
      <c r="I1180" s="3893"/>
      <c r="J1180" s="3894"/>
    </row>
    <row r="1181" spans="1:10" x14ac:dyDescent="0.3">
      <c r="A1181" s="253" t="s">
        <v>3988</v>
      </c>
      <c r="B1181" s="236" t="s">
        <v>3988</v>
      </c>
      <c r="C1181" s="236" t="s">
        <v>3988</v>
      </c>
      <c r="D1181" s="236" t="s">
        <v>3988</v>
      </c>
      <c r="E1181" s="236" t="s">
        <v>3988</v>
      </c>
      <c r="F1181" s="3891" t="s">
        <v>3988</v>
      </c>
      <c r="G1181" s="3892"/>
      <c r="H1181" s="3893" t="s">
        <v>5287</v>
      </c>
      <c r="I1181" s="3893"/>
      <c r="J1181" s="3894"/>
    </row>
    <row r="1182" spans="1:10" x14ac:dyDescent="0.3">
      <c r="A1182" s="253" t="s">
        <v>3988</v>
      </c>
      <c r="B1182" s="236" t="s">
        <v>3988</v>
      </c>
      <c r="C1182" s="236" t="s">
        <v>3988</v>
      </c>
      <c r="D1182" s="236" t="s">
        <v>3988</v>
      </c>
      <c r="E1182" s="236" t="s">
        <v>3988</v>
      </c>
      <c r="F1182" s="3891" t="s">
        <v>3988</v>
      </c>
      <c r="G1182" s="3892"/>
      <c r="H1182" s="3893" t="s">
        <v>5287</v>
      </c>
      <c r="I1182" s="3893"/>
      <c r="J1182" s="3894"/>
    </row>
    <row r="1183" spans="1:10" x14ac:dyDescent="0.3">
      <c r="A1183" s="253" t="s">
        <v>3988</v>
      </c>
      <c r="B1183" s="236" t="s">
        <v>3988</v>
      </c>
      <c r="C1183" s="236" t="s">
        <v>3988</v>
      </c>
      <c r="D1183" s="236" t="s">
        <v>3988</v>
      </c>
      <c r="E1183" s="236" t="s">
        <v>3988</v>
      </c>
      <c r="F1183" s="3891" t="s">
        <v>3988</v>
      </c>
      <c r="G1183" s="3892"/>
      <c r="H1183" s="3893" t="s">
        <v>5287</v>
      </c>
      <c r="I1183" s="3893"/>
      <c r="J1183" s="3894"/>
    </row>
    <row r="1184" spans="1:10" x14ac:dyDescent="0.3">
      <c r="A1184" s="253" t="s">
        <v>3988</v>
      </c>
      <c r="B1184" s="236" t="s">
        <v>3988</v>
      </c>
      <c r="C1184" s="236" t="s">
        <v>3988</v>
      </c>
      <c r="D1184" s="236" t="s">
        <v>3988</v>
      </c>
      <c r="E1184" s="236" t="s">
        <v>3988</v>
      </c>
      <c r="F1184" s="3891" t="s">
        <v>3988</v>
      </c>
      <c r="G1184" s="3892"/>
      <c r="H1184" s="3893" t="s">
        <v>5287</v>
      </c>
      <c r="I1184" s="3893"/>
      <c r="J1184" s="3894"/>
    </row>
    <row r="1185" spans="1:10" x14ac:dyDescent="0.3">
      <c r="A1185" s="1788" t="s">
        <v>3753</v>
      </c>
      <c r="B1185" s="235" t="s">
        <v>3988</v>
      </c>
      <c r="C1185" s="235" t="s">
        <v>3988</v>
      </c>
      <c r="D1185" s="235" t="s">
        <v>3988</v>
      </c>
      <c r="E1185" s="3859" t="s">
        <v>5288</v>
      </c>
      <c r="F1185" s="3860"/>
      <c r="G1185" s="3861">
        <f>H1176+H1177</f>
        <v>2500</v>
      </c>
      <c r="H1185" s="3861"/>
      <c r="I1185" s="3862"/>
      <c r="J1185" s="254"/>
    </row>
    <row r="1186" spans="1:10" x14ac:dyDescent="0.3">
      <c r="A1186" s="255" t="s">
        <v>3988</v>
      </c>
      <c r="B1186" s="237" t="s">
        <v>3988</v>
      </c>
      <c r="C1186" s="237" t="s">
        <v>3988</v>
      </c>
      <c r="D1186" s="237" t="s">
        <v>3988</v>
      </c>
      <c r="E1186" s="237" t="s">
        <v>3988</v>
      </c>
      <c r="F1186" s="238" t="s">
        <v>5289</v>
      </c>
      <c r="G1186" s="239" t="s">
        <v>5290</v>
      </c>
      <c r="H1186" s="3863" t="s">
        <v>5291</v>
      </c>
      <c r="I1186" s="3863"/>
      <c r="J1186" s="3864"/>
    </row>
    <row r="1187" spans="1:10" x14ac:dyDescent="0.3">
      <c r="A1187" s="3865" t="s">
        <v>5292</v>
      </c>
      <c r="B1187" s="3866"/>
      <c r="C1187" s="3866"/>
      <c r="D1187" s="3866"/>
      <c r="E1187" s="3867"/>
      <c r="F1187" s="3871" t="s">
        <v>5293</v>
      </c>
      <c r="G1187" s="3872"/>
      <c r="H1187" s="3875">
        <f>G1185</f>
        <v>2500</v>
      </c>
      <c r="I1187" s="3876"/>
      <c r="J1187" s="3877"/>
    </row>
    <row r="1188" spans="1:10" x14ac:dyDescent="0.3">
      <c r="A1188" s="3868"/>
      <c r="B1188" s="3869"/>
      <c r="C1188" s="3869"/>
      <c r="D1188" s="3869"/>
      <c r="E1188" s="3870"/>
      <c r="F1188" s="3873"/>
      <c r="G1188" s="3874"/>
      <c r="H1188" s="3878"/>
      <c r="I1188" s="3879"/>
      <c r="J1188" s="3880"/>
    </row>
    <row r="1189" spans="1:10" x14ac:dyDescent="0.3">
      <c r="A1189" s="3881" t="s">
        <v>5294</v>
      </c>
      <c r="B1189" s="3882"/>
      <c r="C1189" s="3882"/>
      <c r="D1189" s="3882"/>
      <c r="E1189" s="3882"/>
      <c r="F1189" s="3882"/>
      <c r="G1189" s="3882"/>
      <c r="H1189" s="3882"/>
      <c r="I1189" s="3882"/>
      <c r="J1189" s="3883"/>
    </row>
    <row r="1190" spans="1:10" x14ac:dyDescent="0.3">
      <c r="A1190" s="3884"/>
      <c r="B1190" s="3885"/>
      <c r="C1190" s="3885"/>
      <c r="D1190" s="3885"/>
      <c r="E1190" s="3885"/>
      <c r="F1190" s="3885"/>
      <c r="G1190" s="3885"/>
      <c r="H1190" s="3885"/>
      <c r="I1190" s="3885"/>
      <c r="J1190" s="3886"/>
    </row>
    <row r="1192" spans="1:10" x14ac:dyDescent="0.3">
      <c r="A1192" s="246" t="s">
        <v>3988</v>
      </c>
      <c r="B1192" s="247" t="s">
        <v>3988</v>
      </c>
      <c r="C1192" s="3895" t="s">
        <v>5267</v>
      </c>
      <c r="D1192" s="3895"/>
      <c r="E1192" s="3895"/>
      <c r="F1192" s="3896"/>
      <c r="G1192" s="247" t="s">
        <v>3988</v>
      </c>
      <c r="H1192" s="1789" t="s">
        <v>3988</v>
      </c>
      <c r="I1192" s="1789" t="s">
        <v>3988</v>
      </c>
      <c r="J1192" s="248" t="s">
        <v>3988</v>
      </c>
    </row>
    <row r="1193" spans="1:10" ht="15.6" x14ac:dyDescent="0.3">
      <c r="A1193" s="249" t="s">
        <v>3988</v>
      </c>
      <c r="B1193" s="231"/>
      <c r="C1193" s="3897" t="s">
        <v>3986</v>
      </c>
      <c r="D1193" s="3897"/>
      <c r="E1193" s="3897"/>
      <c r="F1193" s="3898"/>
      <c r="G1193" s="1790" t="s">
        <v>3988</v>
      </c>
      <c r="H1193" s="3899" t="s">
        <v>5392</v>
      </c>
      <c r="I1193" s="3899"/>
      <c r="J1193" s="250" t="s">
        <v>3988</v>
      </c>
    </row>
    <row r="1194" spans="1:10" ht="17.399999999999999" x14ac:dyDescent="0.3">
      <c r="A1194" s="249" t="s">
        <v>3988</v>
      </c>
      <c r="B1194" s="232"/>
      <c r="C1194" s="3901" t="s">
        <v>5269</v>
      </c>
      <c r="D1194" s="3901"/>
      <c r="E1194" s="3901"/>
      <c r="F1194" s="3902"/>
      <c r="G1194" s="233" t="s">
        <v>5270</v>
      </c>
      <c r="H1194" s="3900"/>
      <c r="I1194" s="3900"/>
      <c r="J1194" s="250" t="s">
        <v>3988</v>
      </c>
    </row>
    <row r="1195" spans="1:10" x14ac:dyDescent="0.3">
      <c r="A1195" s="249" t="s">
        <v>3988</v>
      </c>
      <c r="B1195" s="232" t="s">
        <v>3988</v>
      </c>
      <c r="C1195" s="3903" t="s">
        <v>5271</v>
      </c>
      <c r="D1195" s="3903"/>
      <c r="E1195" s="3903"/>
      <c r="F1195" s="3904"/>
      <c r="G1195" s="1790" t="s">
        <v>3988</v>
      </c>
      <c r="H1195" s="234"/>
      <c r="I1195" s="234" t="s">
        <v>3988</v>
      </c>
      <c r="J1195" s="251" t="s">
        <v>3988</v>
      </c>
    </row>
    <row r="1196" spans="1:10" ht="31.8" x14ac:dyDescent="0.3">
      <c r="A1196" s="242" t="s">
        <v>5272</v>
      </c>
      <c r="B1196" s="3905" t="s">
        <v>5376</v>
      </c>
      <c r="C1196" s="3906"/>
      <c r="D1196" s="3906"/>
      <c r="E1196" s="3907"/>
      <c r="F1196" s="241" t="s">
        <v>5274</v>
      </c>
      <c r="G1196" s="240">
        <v>70720539</v>
      </c>
      <c r="H1196" s="1791" t="s">
        <v>5276</v>
      </c>
      <c r="I1196" s="1791" t="s">
        <v>5277</v>
      </c>
      <c r="J1196" s="252" t="s">
        <v>5278</v>
      </c>
    </row>
    <row r="1197" spans="1:10" x14ac:dyDescent="0.3">
      <c r="A1197" s="3908"/>
      <c r="B1197" s="3909"/>
      <c r="C1197" s="3909"/>
      <c r="D1197" s="3909"/>
      <c r="E1197" s="3910"/>
      <c r="F1197" s="3909"/>
      <c r="G1197" s="3910"/>
      <c r="H1197" s="256">
        <v>19</v>
      </c>
      <c r="I1197" s="256">
        <v>4</v>
      </c>
      <c r="J1197" s="257">
        <v>2022</v>
      </c>
    </row>
    <row r="1198" spans="1:10" x14ac:dyDescent="0.3">
      <c r="A1198" s="3913" t="s">
        <v>5279</v>
      </c>
      <c r="B1198" s="3914"/>
      <c r="C1198" s="3914"/>
      <c r="D1198" s="3914"/>
      <c r="E1198" s="3914"/>
      <c r="F1198" s="3919" t="s">
        <v>5280</v>
      </c>
      <c r="G1198" s="3920"/>
      <c r="H1198" s="3921" t="s">
        <v>5281</v>
      </c>
      <c r="I1198" s="3921"/>
      <c r="J1198" s="3920"/>
    </row>
    <row r="1199" spans="1:10" ht="20.25" customHeight="1" x14ac:dyDescent="0.3">
      <c r="A1199" s="3913" t="s">
        <v>5377</v>
      </c>
      <c r="B1199" s="3914"/>
      <c r="C1199" s="3914"/>
      <c r="D1199" s="3914"/>
      <c r="E1199" s="3914"/>
      <c r="F1199" s="3922" t="s">
        <v>5378</v>
      </c>
      <c r="G1199" s="3922"/>
      <c r="H1199" s="3923" t="s">
        <v>125</v>
      </c>
      <c r="I1199" s="3922"/>
      <c r="J1199" s="3922"/>
    </row>
    <row r="1200" spans="1:10" x14ac:dyDescent="0.3">
      <c r="A1200" s="262" t="s">
        <v>5284</v>
      </c>
      <c r="B1200" s="3911" t="s">
        <v>5285</v>
      </c>
      <c r="C1200" s="3911"/>
      <c r="D1200" s="3911"/>
      <c r="E1200" s="3912"/>
      <c r="F1200" s="3911" t="s">
        <v>3752</v>
      </c>
      <c r="G1200" s="3912"/>
      <c r="H1200" s="3911" t="s">
        <v>5286</v>
      </c>
      <c r="I1200" s="3911"/>
      <c r="J1200" s="3916"/>
    </row>
    <row r="1201" spans="1:10" x14ac:dyDescent="0.3">
      <c r="A1201" s="263">
        <v>2</v>
      </c>
      <c r="B1201" s="3887" t="s">
        <v>5379</v>
      </c>
      <c r="C1201" s="3887"/>
      <c r="D1201" s="3887"/>
      <c r="E1201" s="3887"/>
      <c r="F1201" s="3888">
        <v>2500</v>
      </c>
      <c r="G1201" s="3889"/>
      <c r="H1201" s="3887">
        <f>F1201*A1201</f>
        <v>5000</v>
      </c>
      <c r="I1201" s="3887"/>
      <c r="J1201" s="3890"/>
    </row>
    <row r="1202" spans="1:10" x14ac:dyDescent="0.3">
      <c r="A1202" s="263"/>
      <c r="B1202" s="3887"/>
      <c r="C1202" s="3887"/>
      <c r="D1202" s="3887"/>
      <c r="E1202" s="3887"/>
      <c r="F1202" s="3888"/>
      <c r="G1202" s="3889"/>
      <c r="H1202" s="3887"/>
      <c r="I1202" s="3887"/>
      <c r="J1202" s="3890"/>
    </row>
    <row r="1203" spans="1:10" x14ac:dyDescent="0.3">
      <c r="A1203" s="263" t="s">
        <v>3988</v>
      </c>
      <c r="B1203" s="264" t="s">
        <v>3988</v>
      </c>
      <c r="C1203" s="264" t="s">
        <v>3988</v>
      </c>
      <c r="D1203" s="264" t="s">
        <v>3988</v>
      </c>
      <c r="E1203" s="264" t="s">
        <v>3988</v>
      </c>
      <c r="F1203" s="3888" t="s">
        <v>3988</v>
      </c>
      <c r="G1203" s="3889"/>
      <c r="H1203" s="3887" t="s">
        <v>5287</v>
      </c>
      <c r="I1203" s="3887"/>
      <c r="J1203" s="3890"/>
    </row>
    <row r="1204" spans="1:10" x14ac:dyDescent="0.3">
      <c r="A1204" s="253" t="s">
        <v>3988</v>
      </c>
      <c r="B1204" s="236" t="s">
        <v>3988</v>
      </c>
      <c r="C1204" s="236" t="s">
        <v>3988</v>
      </c>
      <c r="D1204" s="236" t="s">
        <v>3988</v>
      </c>
      <c r="E1204" s="236" t="s">
        <v>3988</v>
      </c>
      <c r="F1204" s="3891" t="s">
        <v>3988</v>
      </c>
      <c r="G1204" s="3892"/>
      <c r="H1204" s="3893" t="s">
        <v>5287</v>
      </c>
      <c r="I1204" s="3893"/>
      <c r="J1204" s="3894"/>
    </row>
    <row r="1205" spans="1:10" x14ac:dyDescent="0.3">
      <c r="A1205" s="253" t="s">
        <v>3988</v>
      </c>
      <c r="B1205" s="236" t="s">
        <v>3988</v>
      </c>
      <c r="C1205" s="236" t="s">
        <v>3988</v>
      </c>
      <c r="D1205" s="236" t="s">
        <v>3988</v>
      </c>
      <c r="E1205" s="236" t="s">
        <v>3988</v>
      </c>
      <c r="F1205" s="3891" t="s">
        <v>3988</v>
      </c>
      <c r="G1205" s="3892"/>
      <c r="H1205" s="3893" t="s">
        <v>5287</v>
      </c>
      <c r="I1205" s="3893"/>
      <c r="J1205" s="3894"/>
    </row>
    <row r="1206" spans="1:10" x14ac:dyDescent="0.3">
      <c r="A1206" s="253" t="s">
        <v>3988</v>
      </c>
      <c r="B1206" s="236" t="s">
        <v>3988</v>
      </c>
      <c r="C1206" s="236" t="s">
        <v>3988</v>
      </c>
      <c r="D1206" s="236" t="s">
        <v>3988</v>
      </c>
      <c r="E1206" s="236" t="s">
        <v>3988</v>
      </c>
      <c r="F1206" s="3891" t="s">
        <v>3988</v>
      </c>
      <c r="G1206" s="3892"/>
      <c r="H1206" s="3893" t="s">
        <v>5287</v>
      </c>
      <c r="I1206" s="3893"/>
      <c r="J1206" s="3894"/>
    </row>
    <row r="1207" spans="1:10" x14ac:dyDescent="0.3">
      <c r="A1207" s="253" t="s">
        <v>3988</v>
      </c>
      <c r="B1207" s="236" t="s">
        <v>3988</v>
      </c>
      <c r="C1207" s="236" t="s">
        <v>3988</v>
      </c>
      <c r="D1207" s="236" t="s">
        <v>3988</v>
      </c>
      <c r="E1207" s="236" t="s">
        <v>3988</v>
      </c>
      <c r="F1207" s="3891" t="s">
        <v>3988</v>
      </c>
      <c r="G1207" s="3892"/>
      <c r="H1207" s="3893" t="s">
        <v>5287</v>
      </c>
      <c r="I1207" s="3893"/>
      <c r="J1207" s="3894"/>
    </row>
    <row r="1208" spans="1:10" x14ac:dyDescent="0.3">
      <c r="A1208" s="253" t="s">
        <v>3988</v>
      </c>
      <c r="B1208" s="236" t="s">
        <v>3988</v>
      </c>
      <c r="C1208" s="236" t="s">
        <v>3988</v>
      </c>
      <c r="D1208" s="236" t="s">
        <v>3988</v>
      </c>
      <c r="E1208" s="236" t="s">
        <v>3988</v>
      </c>
      <c r="F1208" s="3891" t="s">
        <v>3988</v>
      </c>
      <c r="G1208" s="3892"/>
      <c r="H1208" s="3893" t="s">
        <v>5287</v>
      </c>
      <c r="I1208" s="3893"/>
      <c r="J1208" s="3894"/>
    </row>
    <row r="1209" spans="1:10" x14ac:dyDescent="0.3">
      <c r="A1209" s="253" t="s">
        <v>3988</v>
      </c>
      <c r="B1209" s="236" t="s">
        <v>3988</v>
      </c>
      <c r="C1209" s="236" t="s">
        <v>3988</v>
      </c>
      <c r="D1209" s="236" t="s">
        <v>3988</v>
      </c>
      <c r="E1209" s="236" t="s">
        <v>3988</v>
      </c>
      <c r="F1209" s="3891" t="s">
        <v>3988</v>
      </c>
      <c r="G1209" s="3892"/>
      <c r="H1209" s="3893" t="s">
        <v>5287</v>
      </c>
      <c r="I1209" s="3893"/>
      <c r="J1209" s="3894"/>
    </row>
    <row r="1210" spans="1:10" x14ac:dyDescent="0.3">
      <c r="A1210" s="1788" t="s">
        <v>3753</v>
      </c>
      <c r="B1210" s="235" t="s">
        <v>3988</v>
      </c>
      <c r="C1210" s="235" t="s">
        <v>3988</v>
      </c>
      <c r="D1210" s="235" t="s">
        <v>3988</v>
      </c>
      <c r="E1210" s="3859" t="s">
        <v>5288</v>
      </c>
      <c r="F1210" s="3860"/>
      <c r="G1210" s="3861">
        <f>H1201+H1202</f>
        <v>5000</v>
      </c>
      <c r="H1210" s="3861"/>
      <c r="I1210" s="3862"/>
      <c r="J1210" s="254"/>
    </row>
    <row r="1211" spans="1:10" x14ac:dyDescent="0.3">
      <c r="A1211" s="255" t="s">
        <v>3988</v>
      </c>
      <c r="B1211" s="237" t="s">
        <v>3988</v>
      </c>
      <c r="C1211" s="237" t="s">
        <v>3988</v>
      </c>
      <c r="D1211" s="237" t="s">
        <v>3988</v>
      </c>
      <c r="E1211" s="237" t="s">
        <v>3988</v>
      </c>
      <c r="F1211" s="238" t="s">
        <v>5289</v>
      </c>
      <c r="G1211" s="239" t="s">
        <v>5290</v>
      </c>
      <c r="H1211" s="3863" t="s">
        <v>5291</v>
      </c>
      <c r="I1211" s="3863"/>
      <c r="J1211" s="3864"/>
    </row>
    <row r="1212" spans="1:10" x14ac:dyDescent="0.3">
      <c r="A1212" s="3865" t="s">
        <v>5292</v>
      </c>
      <c r="B1212" s="3866"/>
      <c r="C1212" s="3866"/>
      <c r="D1212" s="3866"/>
      <c r="E1212" s="3867"/>
      <c r="F1212" s="3871" t="s">
        <v>5293</v>
      </c>
      <c r="G1212" s="3872"/>
      <c r="H1212" s="3875">
        <f>G1210</f>
        <v>5000</v>
      </c>
      <c r="I1212" s="3876"/>
      <c r="J1212" s="3877"/>
    </row>
    <row r="1213" spans="1:10" x14ac:dyDescent="0.3">
      <c r="A1213" s="3868"/>
      <c r="B1213" s="3869"/>
      <c r="C1213" s="3869"/>
      <c r="D1213" s="3869"/>
      <c r="E1213" s="3870"/>
      <c r="F1213" s="3873"/>
      <c r="G1213" s="3874"/>
      <c r="H1213" s="3878"/>
      <c r="I1213" s="3879"/>
      <c r="J1213" s="3880"/>
    </row>
    <row r="1214" spans="1:10" x14ac:dyDescent="0.3">
      <c r="A1214" s="3881" t="s">
        <v>5294</v>
      </c>
      <c r="B1214" s="3882"/>
      <c r="C1214" s="3882"/>
      <c r="D1214" s="3882"/>
      <c r="E1214" s="3882"/>
      <c r="F1214" s="3882"/>
      <c r="G1214" s="3882"/>
      <c r="H1214" s="3882"/>
      <c r="I1214" s="3882"/>
      <c r="J1214" s="3883"/>
    </row>
    <row r="1215" spans="1:10" x14ac:dyDescent="0.3">
      <c r="A1215" s="3884"/>
      <c r="B1215" s="3885"/>
      <c r="C1215" s="3885"/>
      <c r="D1215" s="3885"/>
      <c r="E1215" s="3885"/>
      <c r="F1215" s="3885"/>
      <c r="G1215" s="3885"/>
      <c r="H1215" s="3885"/>
      <c r="I1215" s="3885"/>
      <c r="J1215" s="3886"/>
    </row>
    <row r="1218" spans="1:10" x14ac:dyDescent="0.3">
      <c r="A1218" s="246" t="s">
        <v>3988</v>
      </c>
      <c r="B1218" s="247" t="s">
        <v>3988</v>
      </c>
      <c r="C1218" s="3895" t="s">
        <v>5267</v>
      </c>
      <c r="D1218" s="3895"/>
      <c r="E1218" s="3895"/>
      <c r="F1218" s="3896"/>
      <c r="G1218" s="247" t="s">
        <v>3988</v>
      </c>
      <c r="H1218" s="1789" t="s">
        <v>3988</v>
      </c>
      <c r="I1218" s="1789" t="s">
        <v>3988</v>
      </c>
      <c r="J1218" s="248" t="s">
        <v>3988</v>
      </c>
    </row>
    <row r="1219" spans="1:10" ht="15.6" x14ac:dyDescent="0.3">
      <c r="A1219" s="249" t="s">
        <v>3988</v>
      </c>
      <c r="B1219" s="231"/>
      <c r="C1219" s="3897" t="s">
        <v>3986</v>
      </c>
      <c r="D1219" s="3897"/>
      <c r="E1219" s="3897"/>
      <c r="F1219" s="3898"/>
      <c r="G1219" s="1790" t="s">
        <v>3988</v>
      </c>
      <c r="H1219" s="3899" t="s">
        <v>5393</v>
      </c>
      <c r="I1219" s="3899"/>
      <c r="J1219" s="250" t="s">
        <v>3988</v>
      </c>
    </row>
    <row r="1220" spans="1:10" ht="17.399999999999999" x14ac:dyDescent="0.3">
      <c r="A1220" s="249" t="s">
        <v>3988</v>
      </c>
      <c r="B1220" s="232"/>
      <c r="C1220" s="3901" t="s">
        <v>5269</v>
      </c>
      <c r="D1220" s="3901"/>
      <c r="E1220" s="3901"/>
      <c r="F1220" s="3902"/>
      <c r="G1220" s="233" t="s">
        <v>5270</v>
      </c>
      <c r="H1220" s="3900"/>
      <c r="I1220" s="3900"/>
      <c r="J1220" s="250" t="s">
        <v>3988</v>
      </c>
    </row>
    <row r="1221" spans="1:10" x14ac:dyDescent="0.3">
      <c r="A1221" s="249" t="s">
        <v>3988</v>
      </c>
      <c r="B1221" s="232" t="s">
        <v>3988</v>
      </c>
      <c r="C1221" s="3903" t="s">
        <v>5271</v>
      </c>
      <c r="D1221" s="3903"/>
      <c r="E1221" s="3903"/>
      <c r="F1221" s="3904"/>
      <c r="G1221" s="1790" t="s">
        <v>3988</v>
      </c>
      <c r="H1221" s="234" t="s">
        <v>3988</v>
      </c>
      <c r="I1221" s="234" t="s">
        <v>3988</v>
      </c>
      <c r="J1221" s="251" t="s">
        <v>3988</v>
      </c>
    </row>
    <row r="1222" spans="1:10" ht="31.8" x14ac:dyDescent="0.3">
      <c r="A1222" s="242" t="s">
        <v>5272</v>
      </c>
      <c r="B1222" s="3905" t="s">
        <v>5368</v>
      </c>
      <c r="C1222" s="3906"/>
      <c r="D1222" s="3906"/>
      <c r="E1222" s="3907"/>
      <c r="F1222" s="241" t="s">
        <v>5274</v>
      </c>
      <c r="G1222" s="240">
        <v>71672110</v>
      </c>
      <c r="H1222" s="1791" t="s">
        <v>5276</v>
      </c>
      <c r="I1222" s="1791" t="s">
        <v>5277</v>
      </c>
      <c r="J1222" s="252" t="s">
        <v>5278</v>
      </c>
    </row>
    <row r="1223" spans="1:10" x14ac:dyDescent="0.3">
      <c r="A1223" s="3908"/>
      <c r="B1223" s="3909"/>
      <c r="C1223" s="3909"/>
      <c r="D1223" s="3909"/>
      <c r="E1223" s="3910"/>
      <c r="F1223" s="3911"/>
      <c r="G1223" s="3912"/>
      <c r="H1223" s="256">
        <v>23</v>
      </c>
      <c r="I1223" s="256">
        <v>3</v>
      </c>
      <c r="J1223" s="257">
        <v>2022</v>
      </c>
    </row>
    <row r="1224" spans="1:10" x14ac:dyDescent="0.3">
      <c r="A1224" s="3913" t="s">
        <v>5279</v>
      </c>
      <c r="B1224" s="3914"/>
      <c r="C1224" s="3914"/>
      <c r="D1224" s="3914"/>
      <c r="E1224" s="3915"/>
      <c r="F1224" s="258" t="s">
        <v>5280</v>
      </c>
      <c r="G1224" s="1787" t="s">
        <v>3988</v>
      </c>
      <c r="H1224" s="259" t="s">
        <v>5281</v>
      </c>
      <c r="I1224" s="260" t="s">
        <v>3988</v>
      </c>
      <c r="J1224" s="261" t="s">
        <v>3988</v>
      </c>
    </row>
    <row r="1225" spans="1:10" x14ac:dyDescent="0.3">
      <c r="A1225" s="3913" t="s">
        <v>5369</v>
      </c>
      <c r="B1225" s="3914"/>
      <c r="C1225" s="3914"/>
      <c r="D1225" s="3914"/>
      <c r="E1225" s="3915"/>
      <c r="F1225" s="3911">
        <v>4531823</v>
      </c>
      <c r="G1225" s="3912"/>
      <c r="H1225" s="3911" t="s">
        <v>125</v>
      </c>
      <c r="I1225" s="3911"/>
      <c r="J1225" s="3916"/>
    </row>
    <row r="1226" spans="1:10" x14ac:dyDescent="0.3">
      <c r="A1226" s="262" t="s">
        <v>5284</v>
      </c>
      <c r="B1226" s="3911" t="s">
        <v>5285</v>
      </c>
      <c r="C1226" s="3911"/>
      <c r="D1226" s="3911"/>
      <c r="E1226" s="3912"/>
      <c r="F1226" s="3917" t="s">
        <v>3752</v>
      </c>
      <c r="G1226" s="3918"/>
      <c r="H1226" s="3911" t="s">
        <v>5286</v>
      </c>
      <c r="I1226" s="3911"/>
      <c r="J1226" s="3916"/>
    </row>
    <row r="1227" spans="1:10" x14ac:dyDescent="0.3">
      <c r="A1227" s="263">
        <v>2</v>
      </c>
      <c r="B1227" s="3887" t="s">
        <v>5371</v>
      </c>
      <c r="C1227" s="3887"/>
      <c r="D1227" s="3887"/>
      <c r="E1227" s="3887"/>
      <c r="F1227" s="3888">
        <v>2000</v>
      </c>
      <c r="G1227" s="3889"/>
      <c r="H1227" s="3887">
        <f>F1227*A1227</f>
        <v>4000</v>
      </c>
      <c r="I1227" s="3887"/>
      <c r="J1227" s="3890"/>
    </row>
    <row r="1228" spans="1:10" x14ac:dyDescent="0.3">
      <c r="A1228" s="263"/>
      <c r="B1228" s="3887"/>
      <c r="C1228" s="3887"/>
      <c r="D1228" s="3887"/>
      <c r="E1228" s="3887"/>
      <c r="F1228" s="3888"/>
      <c r="G1228" s="3889"/>
      <c r="H1228" s="3887"/>
      <c r="I1228" s="3887"/>
      <c r="J1228" s="3890"/>
    </row>
    <row r="1229" spans="1:10" x14ac:dyDescent="0.3">
      <c r="A1229" s="263" t="s">
        <v>3988</v>
      </c>
      <c r="B1229" s="264" t="s">
        <v>3988</v>
      </c>
      <c r="C1229" s="264" t="s">
        <v>3988</v>
      </c>
      <c r="D1229" s="264" t="s">
        <v>3988</v>
      </c>
      <c r="E1229" s="264" t="s">
        <v>3988</v>
      </c>
      <c r="F1229" s="3888" t="s">
        <v>3988</v>
      </c>
      <c r="G1229" s="3889"/>
      <c r="H1229" s="3887" t="s">
        <v>5287</v>
      </c>
      <c r="I1229" s="3887"/>
      <c r="J1229" s="3890"/>
    </row>
    <row r="1230" spans="1:10" x14ac:dyDescent="0.3">
      <c r="A1230" s="253" t="s">
        <v>3988</v>
      </c>
      <c r="B1230" s="236" t="s">
        <v>3988</v>
      </c>
      <c r="C1230" s="236" t="s">
        <v>3988</v>
      </c>
      <c r="D1230" s="236" t="s">
        <v>3988</v>
      </c>
      <c r="E1230" s="236" t="s">
        <v>3988</v>
      </c>
      <c r="F1230" s="3891" t="s">
        <v>3988</v>
      </c>
      <c r="G1230" s="3892"/>
      <c r="H1230" s="3893" t="s">
        <v>5287</v>
      </c>
      <c r="I1230" s="3893"/>
      <c r="J1230" s="3894"/>
    </row>
    <row r="1231" spans="1:10" x14ac:dyDescent="0.3">
      <c r="A1231" s="253" t="s">
        <v>3988</v>
      </c>
      <c r="B1231" s="236" t="s">
        <v>3988</v>
      </c>
      <c r="C1231" s="236" t="s">
        <v>3988</v>
      </c>
      <c r="D1231" s="236" t="s">
        <v>3988</v>
      </c>
      <c r="E1231" s="236" t="s">
        <v>3988</v>
      </c>
      <c r="F1231" s="3891" t="s">
        <v>3988</v>
      </c>
      <c r="G1231" s="3892"/>
      <c r="H1231" s="3893" t="s">
        <v>5287</v>
      </c>
      <c r="I1231" s="3893"/>
      <c r="J1231" s="3894"/>
    </row>
    <row r="1232" spans="1:10" x14ac:dyDescent="0.3">
      <c r="A1232" s="253" t="s">
        <v>3988</v>
      </c>
      <c r="B1232" s="236" t="s">
        <v>3988</v>
      </c>
      <c r="C1232" s="236" t="s">
        <v>3988</v>
      </c>
      <c r="D1232" s="236" t="s">
        <v>3988</v>
      </c>
      <c r="E1232" s="236" t="s">
        <v>3988</v>
      </c>
      <c r="F1232" s="3891" t="s">
        <v>3988</v>
      </c>
      <c r="G1232" s="3892"/>
      <c r="H1232" s="3893" t="s">
        <v>5287</v>
      </c>
      <c r="I1232" s="3893"/>
      <c r="J1232" s="3894"/>
    </row>
    <row r="1233" spans="1:10" x14ac:dyDescent="0.3">
      <c r="A1233" s="253" t="s">
        <v>3988</v>
      </c>
      <c r="B1233" s="236" t="s">
        <v>3988</v>
      </c>
      <c r="C1233" s="236" t="s">
        <v>3988</v>
      </c>
      <c r="D1233" s="236" t="s">
        <v>3988</v>
      </c>
      <c r="E1233" s="236" t="s">
        <v>3988</v>
      </c>
      <c r="F1233" s="3891" t="s">
        <v>3988</v>
      </c>
      <c r="G1233" s="3892"/>
      <c r="H1233" s="3893" t="s">
        <v>5287</v>
      </c>
      <c r="I1233" s="3893"/>
      <c r="J1233" s="3894"/>
    </row>
    <row r="1234" spans="1:10" x14ac:dyDescent="0.3">
      <c r="A1234" s="253" t="s">
        <v>3988</v>
      </c>
      <c r="B1234" s="236" t="s">
        <v>3988</v>
      </c>
      <c r="C1234" s="236" t="s">
        <v>3988</v>
      </c>
      <c r="D1234" s="236" t="s">
        <v>3988</v>
      </c>
      <c r="E1234" s="236" t="s">
        <v>3988</v>
      </c>
      <c r="F1234" s="3891" t="s">
        <v>3988</v>
      </c>
      <c r="G1234" s="3892"/>
      <c r="H1234" s="3893" t="s">
        <v>5287</v>
      </c>
      <c r="I1234" s="3893"/>
      <c r="J1234" s="3894"/>
    </row>
    <row r="1235" spans="1:10" x14ac:dyDescent="0.3">
      <c r="A1235" s="253" t="s">
        <v>3988</v>
      </c>
      <c r="B1235" s="236" t="s">
        <v>3988</v>
      </c>
      <c r="C1235" s="236" t="s">
        <v>3988</v>
      </c>
      <c r="D1235" s="236" t="s">
        <v>3988</v>
      </c>
      <c r="E1235" s="236" t="s">
        <v>3988</v>
      </c>
      <c r="F1235" s="3891" t="s">
        <v>3988</v>
      </c>
      <c r="G1235" s="3892"/>
      <c r="H1235" s="3893" t="s">
        <v>5287</v>
      </c>
      <c r="I1235" s="3893"/>
      <c r="J1235" s="3894"/>
    </row>
    <row r="1236" spans="1:10" x14ac:dyDescent="0.3">
      <c r="A1236" s="1788" t="s">
        <v>3753</v>
      </c>
      <c r="B1236" s="235" t="s">
        <v>3988</v>
      </c>
      <c r="C1236" s="235" t="s">
        <v>3988</v>
      </c>
      <c r="D1236" s="235" t="s">
        <v>3988</v>
      </c>
      <c r="E1236" s="3859" t="s">
        <v>5288</v>
      </c>
      <c r="F1236" s="3860"/>
      <c r="G1236" s="3861">
        <f>H1227+H1228</f>
        <v>4000</v>
      </c>
      <c r="H1236" s="3861"/>
      <c r="I1236" s="3862"/>
      <c r="J1236" s="254"/>
    </row>
    <row r="1237" spans="1:10" x14ac:dyDescent="0.3">
      <c r="A1237" s="255" t="s">
        <v>3988</v>
      </c>
      <c r="B1237" s="237" t="s">
        <v>3988</v>
      </c>
      <c r="C1237" s="237" t="s">
        <v>3988</v>
      </c>
      <c r="D1237" s="237" t="s">
        <v>3988</v>
      </c>
      <c r="E1237" s="237" t="s">
        <v>3988</v>
      </c>
      <c r="F1237" s="238" t="s">
        <v>5289</v>
      </c>
      <c r="G1237" s="239" t="s">
        <v>5290</v>
      </c>
      <c r="H1237" s="3863" t="s">
        <v>5291</v>
      </c>
      <c r="I1237" s="3863"/>
      <c r="J1237" s="3864"/>
    </row>
    <row r="1238" spans="1:10" x14ac:dyDescent="0.3">
      <c r="A1238" s="3865" t="s">
        <v>5292</v>
      </c>
      <c r="B1238" s="3866"/>
      <c r="C1238" s="3866"/>
      <c r="D1238" s="3866"/>
      <c r="E1238" s="3867"/>
      <c r="F1238" s="3871" t="s">
        <v>5293</v>
      </c>
      <c r="G1238" s="3872"/>
      <c r="H1238" s="3875">
        <f>G1236</f>
        <v>4000</v>
      </c>
      <c r="I1238" s="3876"/>
      <c r="J1238" s="3877"/>
    </row>
    <row r="1239" spans="1:10" x14ac:dyDescent="0.3">
      <c r="A1239" s="3868"/>
      <c r="B1239" s="3869"/>
      <c r="C1239" s="3869"/>
      <c r="D1239" s="3869"/>
      <c r="E1239" s="3870"/>
      <c r="F1239" s="3873"/>
      <c r="G1239" s="3874"/>
      <c r="H1239" s="3878"/>
      <c r="I1239" s="3879"/>
      <c r="J1239" s="3880"/>
    </row>
    <row r="1240" spans="1:10" x14ac:dyDescent="0.3">
      <c r="A1240" s="3881" t="s">
        <v>5294</v>
      </c>
      <c r="B1240" s="3882"/>
      <c r="C1240" s="3882"/>
      <c r="D1240" s="3882"/>
      <c r="E1240" s="3882"/>
      <c r="F1240" s="3882"/>
      <c r="G1240" s="3882"/>
      <c r="H1240" s="3882"/>
      <c r="I1240" s="3882"/>
      <c r="J1240" s="3883"/>
    </row>
    <row r="1241" spans="1:10" x14ac:dyDescent="0.3">
      <c r="A1241" s="3884"/>
      <c r="B1241" s="3885"/>
      <c r="C1241" s="3885"/>
      <c r="D1241" s="3885"/>
      <c r="E1241" s="3885"/>
      <c r="F1241" s="3885"/>
      <c r="G1241" s="3885"/>
      <c r="H1241" s="3885"/>
      <c r="I1241" s="3885"/>
      <c r="J1241" s="3886"/>
    </row>
    <row r="1243" spans="1:10" x14ac:dyDescent="0.3">
      <c r="A1243" s="246" t="s">
        <v>3988</v>
      </c>
      <c r="B1243" s="247" t="s">
        <v>3988</v>
      </c>
      <c r="C1243" s="3895" t="s">
        <v>5267</v>
      </c>
      <c r="D1243" s="3895"/>
      <c r="E1243" s="3895"/>
      <c r="F1243" s="3896"/>
      <c r="G1243" s="247" t="s">
        <v>3988</v>
      </c>
      <c r="H1243" s="1789" t="s">
        <v>3988</v>
      </c>
      <c r="I1243" s="1789" t="s">
        <v>3988</v>
      </c>
      <c r="J1243" s="248" t="s">
        <v>3988</v>
      </c>
    </row>
    <row r="1244" spans="1:10" ht="15.6" x14ac:dyDescent="0.3">
      <c r="A1244" s="249" t="s">
        <v>3988</v>
      </c>
      <c r="B1244" s="231"/>
      <c r="C1244" s="3897" t="s">
        <v>3986</v>
      </c>
      <c r="D1244" s="3897"/>
      <c r="E1244" s="3897"/>
      <c r="F1244" s="3898"/>
      <c r="G1244" s="1790" t="s">
        <v>3988</v>
      </c>
      <c r="H1244" s="3899" t="s">
        <v>5394</v>
      </c>
      <c r="I1244" s="3899"/>
      <c r="J1244" s="250" t="s">
        <v>3988</v>
      </c>
    </row>
    <row r="1245" spans="1:10" ht="17.399999999999999" x14ac:dyDescent="0.3">
      <c r="A1245" s="249" t="s">
        <v>3988</v>
      </c>
      <c r="B1245" s="232"/>
      <c r="C1245" s="3901" t="s">
        <v>5269</v>
      </c>
      <c r="D1245" s="3901"/>
      <c r="E1245" s="3901"/>
      <c r="F1245" s="3902"/>
      <c r="G1245" s="233" t="s">
        <v>5270</v>
      </c>
      <c r="H1245" s="3900"/>
      <c r="I1245" s="3900"/>
      <c r="J1245" s="250" t="s">
        <v>3988</v>
      </c>
    </row>
    <row r="1246" spans="1:10" x14ac:dyDescent="0.3">
      <c r="A1246" s="249" t="s">
        <v>3988</v>
      </c>
      <c r="B1246" s="232" t="s">
        <v>3988</v>
      </c>
      <c r="C1246" s="3903" t="s">
        <v>5271</v>
      </c>
      <c r="D1246" s="3903"/>
      <c r="E1246" s="3903"/>
      <c r="F1246" s="3904"/>
      <c r="G1246" s="1790" t="s">
        <v>3988</v>
      </c>
      <c r="H1246" s="234" t="s">
        <v>3988</v>
      </c>
      <c r="I1246" s="234" t="s">
        <v>3988</v>
      </c>
      <c r="J1246" s="251" t="s">
        <v>3988</v>
      </c>
    </row>
    <row r="1247" spans="1:10" ht="31.8" x14ac:dyDescent="0.3">
      <c r="A1247" s="242" t="s">
        <v>5272</v>
      </c>
      <c r="B1247" s="3905" t="s">
        <v>5362</v>
      </c>
      <c r="C1247" s="3906"/>
      <c r="D1247" s="3906"/>
      <c r="E1247" s="3907"/>
      <c r="F1247" s="241" t="s">
        <v>5274</v>
      </c>
      <c r="G1247" s="240">
        <v>98529299</v>
      </c>
      <c r="H1247" s="1791" t="s">
        <v>5276</v>
      </c>
      <c r="I1247" s="1791" t="s">
        <v>5277</v>
      </c>
      <c r="J1247" s="252" t="s">
        <v>5278</v>
      </c>
    </row>
    <row r="1248" spans="1:10" x14ac:dyDescent="0.3">
      <c r="A1248" s="3908"/>
      <c r="B1248" s="3909"/>
      <c r="C1248" s="3909"/>
      <c r="D1248" s="3909"/>
      <c r="E1248" s="3910"/>
      <c r="F1248" s="3911"/>
      <c r="G1248" s="3912"/>
      <c r="H1248" s="256">
        <v>3</v>
      </c>
      <c r="I1248" s="256">
        <v>1</v>
      </c>
      <c r="J1248" s="257">
        <v>2022</v>
      </c>
    </row>
    <row r="1249" spans="1:10" x14ac:dyDescent="0.3">
      <c r="A1249" s="3913" t="s">
        <v>5279</v>
      </c>
      <c r="B1249" s="3914"/>
      <c r="C1249" s="3914"/>
      <c r="D1249" s="3914"/>
      <c r="E1249" s="3915"/>
      <c r="F1249" s="258" t="s">
        <v>5280</v>
      </c>
      <c r="G1249" s="1787" t="s">
        <v>3988</v>
      </c>
      <c r="H1249" s="259" t="s">
        <v>5281</v>
      </c>
      <c r="I1249" s="260" t="s">
        <v>3988</v>
      </c>
      <c r="J1249" s="261" t="s">
        <v>3988</v>
      </c>
    </row>
    <row r="1250" spans="1:10" x14ac:dyDescent="0.3">
      <c r="A1250" s="3913" t="s">
        <v>5363</v>
      </c>
      <c r="B1250" s="3914"/>
      <c r="C1250" s="3914"/>
      <c r="D1250" s="3914"/>
      <c r="E1250" s="3915"/>
      <c r="F1250" s="3911" t="s">
        <v>5364</v>
      </c>
      <c r="G1250" s="3912"/>
      <c r="H1250" s="3911" t="s">
        <v>125</v>
      </c>
      <c r="I1250" s="3911"/>
      <c r="J1250" s="3916"/>
    </row>
    <row r="1251" spans="1:10" x14ac:dyDescent="0.3">
      <c r="A1251" s="262" t="s">
        <v>5284</v>
      </c>
      <c r="B1251" s="3911" t="s">
        <v>5285</v>
      </c>
      <c r="C1251" s="3911"/>
      <c r="D1251" s="3911"/>
      <c r="E1251" s="3912"/>
      <c r="F1251" s="3917" t="s">
        <v>3752</v>
      </c>
      <c r="G1251" s="3918"/>
      <c r="H1251" s="3911" t="s">
        <v>5286</v>
      </c>
      <c r="I1251" s="3911"/>
      <c r="J1251" s="3916"/>
    </row>
    <row r="1252" spans="1:10" x14ac:dyDescent="0.3">
      <c r="A1252" s="263">
        <v>2</v>
      </c>
      <c r="B1252" s="3887" t="s">
        <v>5331</v>
      </c>
      <c r="C1252" s="3887"/>
      <c r="D1252" s="3887"/>
      <c r="E1252" s="3887"/>
      <c r="F1252" s="3888">
        <v>2000</v>
      </c>
      <c r="G1252" s="3889"/>
      <c r="H1252" s="3887">
        <f>F1252*A1252</f>
        <v>4000</v>
      </c>
      <c r="I1252" s="3887"/>
      <c r="J1252" s="3890"/>
    </row>
    <row r="1253" spans="1:10" x14ac:dyDescent="0.3">
      <c r="A1253" s="263" t="s">
        <v>3988</v>
      </c>
      <c r="B1253" s="3887" t="s">
        <v>3988</v>
      </c>
      <c r="C1253" s="3887"/>
      <c r="D1253" s="3887"/>
      <c r="E1253" s="3887"/>
      <c r="F1253" s="3888" t="s">
        <v>3988</v>
      </c>
      <c r="G1253" s="3889"/>
      <c r="H1253" s="3887" t="s">
        <v>3988</v>
      </c>
      <c r="I1253" s="3887"/>
      <c r="J1253" s="3890"/>
    </row>
    <row r="1254" spans="1:10" x14ac:dyDescent="0.3">
      <c r="A1254" s="263" t="s">
        <v>3988</v>
      </c>
      <c r="B1254" s="264" t="s">
        <v>3988</v>
      </c>
      <c r="C1254" s="264" t="s">
        <v>3988</v>
      </c>
      <c r="D1254" s="264" t="s">
        <v>3988</v>
      </c>
      <c r="E1254" s="264" t="s">
        <v>3988</v>
      </c>
      <c r="F1254" s="3888" t="s">
        <v>3988</v>
      </c>
      <c r="G1254" s="3889"/>
      <c r="H1254" s="3887" t="s">
        <v>5287</v>
      </c>
      <c r="I1254" s="3887"/>
      <c r="J1254" s="3890"/>
    </row>
    <row r="1255" spans="1:10" x14ac:dyDescent="0.3">
      <c r="A1255" s="253" t="s">
        <v>3988</v>
      </c>
      <c r="B1255" s="236" t="s">
        <v>3988</v>
      </c>
      <c r="C1255" s="236" t="s">
        <v>3988</v>
      </c>
      <c r="D1255" s="236" t="s">
        <v>3988</v>
      </c>
      <c r="E1255" s="236" t="s">
        <v>3988</v>
      </c>
      <c r="F1255" s="3891" t="s">
        <v>3988</v>
      </c>
      <c r="G1255" s="3892"/>
      <c r="H1255" s="3893" t="s">
        <v>5287</v>
      </c>
      <c r="I1255" s="3893"/>
      <c r="J1255" s="3894"/>
    </row>
    <row r="1256" spans="1:10" x14ac:dyDescent="0.3">
      <c r="A1256" s="253" t="s">
        <v>3988</v>
      </c>
      <c r="B1256" s="236" t="s">
        <v>3988</v>
      </c>
      <c r="C1256" s="236" t="s">
        <v>3988</v>
      </c>
      <c r="D1256" s="236" t="s">
        <v>3988</v>
      </c>
      <c r="E1256" s="236" t="s">
        <v>3988</v>
      </c>
      <c r="F1256" s="3891" t="s">
        <v>3988</v>
      </c>
      <c r="G1256" s="3892"/>
      <c r="H1256" s="3893" t="s">
        <v>5287</v>
      </c>
      <c r="I1256" s="3893"/>
      <c r="J1256" s="3894"/>
    </row>
    <row r="1257" spans="1:10" x14ac:dyDescent="0.3">
      <c r="A1257" s="253" t="s">
        <v>3988</v>
      </c>
      <c r="B1257" s="236" t="s">
        <v>3988</v>
      </c>
      <c r="C1257" s="236" t="s">
        <v>3988</v>
      </c>
      <c r="D1257" s="236" t="s">
        <v>3988</v>
      </c>
      <c r="E1257" s="236" t="s">
        <v>3988</v>
      </c>
      <c r="F1257" s="3891" t="s">
        <v>3988</v>
      </c>
      <c r="G1257" s="3892"/>
      <c r="H1257" s="3893" t="s">
        <v>5287</v>
      </c>
      <c r="I1257" s="3893"/>
      <c r="J1257" s="3894"/>
    </row>
    <row r="1258" spans="1:10" x14ac:dyDescent="0.3">
      <c r="A1258" s="253" t="s">
        <v>3988</v>
      </c>
      <c r="B1258" s="236" t="s">
        <v>3988</v>
      </c>
      <c r="C1258" s="236" t="s">
        <v>3988</v>
      </c>
      <c r="D1258" s="236" t="s">
        <v>3988</v>
      </c>
      <c r="E1258" s="236" t="s">
        <v>3988</v>
      </c>
      <c r="F1258" s="3891" t="s">
        <v>3988</v>
      </c>
      <c r="G1258" s="3892"/>
      <c r="H1258" s="3893" t="s">
        <v>5287</v>
      </c>
      <c r="I1258" s="3893"/>
      <c r="J1258" s="3894"/>
    </row>
    <row r="1259" spans="1:10" x14ac:dyDescent="0.3">
      <c r="A1259" s="253" t="s">
        <v>3988</v>
      </c>
      <c r="B1259" s="236" t="s">
        <v>3988</v>
      </c>
      <c r="C1259" s="236" t="s">
        <v>3988</v>
      </c>
      <c r="D1259" s="236" t="s">
        <v>3988</v>
      </c>
      <c r="E1259" s="236" t="s">
        <v>3988</v>
      </c>
      <c r="F1259" s="3891" t="s">
        <v>3988</v>
      </c>
      <c r="G1259" s="3892"/>
      <c r="H1259" s="3893" t="s">
        <v>5287</v>
      </c>
      <c r="I1259" s="3893"/>
      <c r="J1259" s="3894"/>
    </row>
    <row r="1260" spans="1:10" x14ac:dyDescent="0.3">
      <c r="A1260" s="253" t="s">
        <v>3988</v>
      </c>
      <c r="B1260" s="236" t="s">
        <v>3988</v>
      </c>
      <c r="C1260" s="236" t="s">
        <v>3988</v>
      </c>
      <c r="D1260" s="236" t="s">
        <v>3988</v>
      </c>
      <c r="E1260" s="236" t="s">
        <v>3988</v>
      </c>
      <c r="F1260" s="3891" t="s">
        <v>3988</v>
      </c>
      <c r="G1260" s="3892"/>
      <c r="H1260" s="3893" t="s">
        <v>5287</v>
      </c>
      <c r="I1260" s="3893"/>
      <c r="J1260" s="3894"/>
    </row>
    <row r="1261" spans="1:10" x14ac:dyDescent="0.3">
      <c r="A1261" s="1788" t="s">
        <v>3753</v>
      </c>
      <c r="B1261" s="235" t="s">
        <v>3988</v>
      </c>
      <c r="C1261" s="235" t="s">
        <v>3988</v>
      </c>
      <c r="D1261" s="235" t="s">
        <v>3988</v>
      </c>
      <c r="E1261" s="3859" t="s">
        <v>5288</v>
      </c>
      <c r="F1261" s="3860"/>
      <c r="G1261" s="3861">
        <f>H1252</f>
        <v>4000</v>
      </c>
      <c r="H1261" s="3861"/>
      <c r="I1261" s="3862"/>
      <c r="J1261" s="254"/>
    </row>
    <row r="1262" spans="1:10" x14ac:dyDescent="0.3">
      <c r="A1262" s="255" t="s">
        <v>3988</v>
      </c>
      <c r="B1262" s="237" t="s">
        <v>3988</v>
      </c>
      <c r="C1262" s="237" t="s">
        <v>3988</v>
      </c>
      <c r="D1262" s="237" t="s">
        <v>3988</v>
      </c>
      <c r="E1262" s="237" t="s">
        <v>3988</v>
      </c>
      <c r="F1262" s="238" t="s">
        <v>5289</v>
      </c>
      <c r="G1262" s="239" t="s">
        <v>5290</v>
      </c>
      <c r="H1262" s="3863" t="s">
        <v>5291</v>
      </c>
      <c r="I1262" s="3863"/>
      <c r="J1262" s="3864"/>
    </row>
    <row r="1263" spans="1:10" x14ac:dyDescent="0.3">
      <c r="A1263" s="3865" t="s">
        <v>5292</v>
      </c>
      <c r="B1263" s="3866"/>
      <c r="C1263" s="3866"/>
      <c r="D1263" s="3866"/>
      <c r="E1263" s="3867"/>
      <c r="F1263" s="3871" t="s">
        <v>5293</v>
      </c>
      <c r="G1263" s="3872"/>
      <c r="H1263" s="3875">
        <f>G1261</f>
        <v>4000</v>
      </c>
      <c r="I1263" s="3876"/>
      <c r="J1263" s="3877"/>
    </row>
    <row r="1264" spans="1:10" x14ac:dyDescent="0.3">
      <c r="A1264" s="3868"/>
      <c r="B1264" s="3869"/>
      <c r="C1264" s="3869"/>
      <c r="D1264" s="3869"/>
      <c r="E1264" s="3870"/>
      <c r="F1264" s="3873"/>
      <c r="G1264" s="3874"/>
      <c r="H1264" s="3878"/>
      <c r="I1264" s="3879"/>
      <c r="J1264" s="3880"/>
    </row>
    <row r="1265" spans="1:10" x14ac:dyDescent="0.3">
      <c r="A1265" s="3881" t="s">
        <v>5294</v>
      </c>
      <c r="B1265" s="3882"/>
      <c r="C1265" s="3882"/>
      <c r="D1265" s="3882"/>
      <c r="E1265" s="3882"/>
      <c r="F1265" s="3882"/>
      <c r="G1265" s="3882"/>
      <c r="H1265" s="3882"/>
      <c r="I1265" s="3882"/>
      <c r="J1265" s="3883"/>
    </row>
    <row r="1266" spans="1:10" x14ac:dyDescent="0.3">
      <c r="A1266" s="3884"/>
      <c r="B1266" s="3885"/>
      <c r="C1266" s="3885"/>
      <c r="D1266" s="3885"/>
      <c r="E1266" s="3885"/>
      <c r="F1266" s="3885"/>
      <c r="G1266" s="3885"/>
      <c r="H1266" s="3885"/>
      <c r="I1266" s="3885"/>
      <c r="J1266" s="3886"/>
    </row>
    <row r="1268" spans="1:10" x14ac:dyDescent="0.3">
      <c r="A1268" s="246" t="s">
        <v>3988</v>
      </c>
      <c r="B1268" s="247" t="s">
        <v>3988</v>
      </c>
      <c r="C1268" s="3895" t="s">
        <v>5267</v>
      </c>
      <c r="D1268" s="3895"/>
      <c r="E1268" s="3895"/>
      <c r="F1268" s="3896"/>
      <c r="G1268" s="247" t="s">
        <v>3988</v>
      </c>
      <c r="H1268" s="1789" t="s">
        <v>3988</v>
      </c>
      <c r="I1268" s="1789" t="s">
        <v>3988</v>
      </c>
      <c r="J1268" s="248" t="s">
        <v>3988</v>
      </c>
    </row>
    <row r="1269" spans="1:10" ht="15.6" x14ac:dyDescent="0.3">
      <c r="A1269" s="249" t="s">
        <v>3988</v>
      </c>
      <c r="B1269" s="231"/>
      <c r="C1269" s="3897" t="s">
        <v>3986</v>
      </c>
      <c r="D1269" s="3897"/>
      <c r="E1269" s="3897"/>
      <c r="F1269" s="3898"/>
      <c r="G1269" s="1790" t="s">
        <v>3988</v>
      </c>
      <c r="H1269" s="3899" t="s">
        <v>5395</v>
      </c>
      <c r="I1269" s="3899"/>
      <c r="J1269" s="250" t="s">
        <v>3988</v>
      </c>
    </row>
    <row r="1270" spans="1:10" ht="17.399999999999999" x14ac:dyDescent="0.3">
      <c r="A1270" s="249" t="s">
        <v>3988</v>
      </c>
      <c r="B1270" s="232"/>
      <c r="C1270" s="3901" t="s">
        <v>5269</v>
      </c>
      <c r="D1270" s="3901"/>
      <c r="E1270" s="3901"/>
      <c r="F1270" s="3902"/>
      <c r="G1270" s="233" t="s">
        <v>5270</v>
      </c>
      <c r="H1270" s="3900"/>
      <c r="I1270" s="3900"/>
      <c r="J1270" s="250" t="s">
        <v>3988</v>
      </c>
    </row>
    <row r="1271" spans="1:10" x14ac:dyDescent="0.3">
      <c r="A1271" s="249" t="s">
        <v>3988</v>
      </c>
      <c r="B1271" s="232" t="s">
        <v>3988</v>
      </c>
      <c r="C1271" s="3903" t="s">
        <v>5271</v>
      </c>
      <c r="D1271" s="3903"/>
      <c r="E1271" s="3903"/>
      <c r="F1271" s="3904"/>
      <c r="G1271" s="1790" t="s">
        <v>3988</v>
      </c>
      <c r="H1271" s="234"/>
      <c r="I1271" s="234" t="s">
        <v>3988</v>
      </c>
      <c r="J1271" s="251" t="s">
        <v>3988</v>
      </c>
    </row>
    <row r="1272" spans="1:10" ht="31.8" x14ac:dyDescent="0.3">
      <c r="A1272" s="242" t="s">
        <v>5272</v>
      </c>
      <c r="B1272" s="3905" t="s">
        <v>5383</v>
      </c>
      <c r="C1272" s="3906"/>
      <c r="D1272" s="3906"/>
      <c r="E1272" s="3907"/>
      <c r="F1272" s="241" t="s">
        <v>5274</v>
      </c>
      <c r="G1272" s="240">
        <v>71270077</v>
      </c>
      <c r="H1272" s="1791" t="s">
        <v>5276</v>
      </c>
      <c r="I1272" s="1791" t="s">
        <v>5277</v>
      </c>
      <c r="J1272" s="252" t="s">
        <v>5278</v>
      </c>
    </row>
    <row r="1273" spans="1:10" x14ac:dyDescent="0.3">
      <c r="A1273" s="3908"/>
      <c r="B1273" s="3909"/>
      <c r="C1273" s="3909"/>
      <c r="D1273" s="3909"/>
      <c r="E1273" s="3910"/>
      <c r="F1273" s="3911"/>
      <c r="G1273" s="3912"/>
      <c r="H1273" s="256">
        <v>26</v>
      </c>
      <c r="I1273" s="256">
        <v>1</v>
      </c>
      <c r="J1273" s="257">
        <v>2022</v>
      </c>
    </row>
    <row r="1274" spans="1:10" x14ac:dyDescent="0.3">
      <c r="A1274" s="3913" t="s">
        <v>5279</v>
      </c>
      <c r="B1274" s="3914"/>
      <c r="C1274" s="3914"/>
      <c r="D1274" s="3914"/>
      <c r="E1274" s="3915"/>
      <c r="F1274" s="258" t="s">
        <v>5280</v>
      </c>
      <c r="G1274" s="1787" t="s">
        <v>3988</v>
      </c>
      <c r="H1274" s="259" t="s">
        <v>5281</v>
      </c>
      <c r="I1274" s="260" t="s">
        <v>3988</v>
      </c>
      <c r="J1274" s="261" t="s">
        <v>3988</v>
      </c>
    </row>
    <row r="1275" spans="1:10" x14ac:dyDescent="0.3">
      <c r="A1275" s="3913" t="s">
        <v>5384</v>
      </c>
      <c r="B1275" s="3914"/>
      <c r="C1275" s="3914"/>
      <c r="D1275" s="3914"/>
      <c r="E1275" s="3915"/>
      <c r="F1275" s="3911">
        <v>2755591</v>
      </c>
      <c r="G1275" s="3912"/>
      <c r="H1275" s="3911" t="s">
        <v>125</v>
      </c>
      <c r="I1275" s="3911"/>
      <c r="J1275" s="3916"/>
    </row>
    <row r="1276" spans="1:10" x14ac:dyDescent="0.3">
      <c r="A1276" s="262" t="s">
        <v>5284</v>
      </c>
      <c r="B1276" s="3911" t="s">
        <v>5285</v>
      </c>
      <c r="C1276" s="3911"/>
      <c r="D1276" s="3911"/>
      <c r="E1276" s="3912"/>
      <c r="F1276" s="3917" t="s">
        <v>3752</v>
      </c>
      <c r="G1276" s="3918"/>
      <c r="H1276" s="3911" t="s">
        <v>5286</v>
      </c>
      <c r="I1276" s="3911"/>
      <c r="J1276" s="3916"/>
    </row>
    <row r="1277" spans="1:10" x14ac:dyDescent="0.3">
      <c r="A1277" s="263">
        <v>3</v>
      </c>
      <c r="B1277" s="3887" t="s">
        <v>5379</v>
      </c>
      <c r="C1277" s="3887"/>
      <c r="D1277" s="3887"/>
      <c r="E1277" s="3887"/>
      <c r="F1277" s="3888">
        <v>1800</v>
      </c>
      <c r="G1277" s="3889"/>
      <c r="H1277" s="3887">
        <f>F1277*A1277</f>
        <v>5400</v>
      </c>
      <c r="I1277" s="3887"/>
      <c r="J1277" s="3890"/>
    </row>
    <row r="1278" spans="1:10" x14ac:dyDescent="0.3">
      <c r="A1278" s="263"/>
      <c r="B1278" s="3887"/>
      <c r="C1278" s="3887"/>
      <c r="D1278" s="3887"/>
      <c r="E1278" s="3887"/>
      <c r="F1278" s="3888"/>
      <c r="G1278" s="3889"/>
      <c r="H1278" s="3887"/>
      <c r="I1278" s="3887"/>
      <c r="J1278" s="3890"/>
    </row>
    <row r="1279" spans="1:10" x14ac:dyDescent="0.3">
      <c r="A1279" s="263" t="s">
        <v>3988</v>
      </c>
      <c r="B1279" s="264" t="s">
        <v>3988</v>
      </c>
      <c r="C1279" s="264" t="s">
        <v>3988</v>
      </c>
      <c r="D1279" s="264" t="s">
        <v>3988</v>
      </c>
      <c r="E1279" s="264" t="s">
        <v>3988</v>
      </c>
      <c r="F1279" s="3888" t="s">
        <v>3988</v>
      </c>
      <c r="G1279" s="3889"/>
      <c r="H1279" s="3887" t="s">
        <v>5287</v>
      </c>
      <c r="I1279" s="3887"/>
      <c r="J1279" s="3890"/>
    </row>
    <row r="1280" spans="1:10" x14ac:dyDescent="0.3">
      <c r="A1280" s="253" t="s">
        <v>3988</v>
      </c>
      <c r="B1280" s="236" t="s">
        <v>3988</v>
      </c>
      <c r="C1280" s="236" t="s">
        <v>3988</v>
      </c>
      <c r="D1280" s="236" t="s">
        <v>3988</v>
      </c>
      <c r="E1280" s="236" t="s">
        <v>3988</v>
      </c>
      <c r="F1280" s="3891" t="s">
        <v>3988</v>
      </c>
      <c r="G1280" s="3892"/>
      <c r="H1280" s="3893" t="s">
        <v>5287</v>
      </c>
      <c r="I1280" s="3893"/>
      <c r="J1280" s="3894"/>
    </row>
    <row r="1281" spans="1:10" x14ac:dyDescent="0.3">
      <c r="A1281" s="253" t="s">
        <v>3988</v>
      </c>
      <c r="B1281" s="236" t="s">
        <v>3988</v>
      </c>
      <c r="C1281" s="236" t="s">
        <v>3988</v>
      </c>
      <c r="D1281" s="236" t="s">
        <v>3988</v>
      </c>
      <c r="E1281" s="236" t="s">
        <v>3988</v>
      </c>
      <c r="F1281" s="3891" t="s">
        <v>3988</v>
      </c>
      <c r="G1281" s="3892"/>
      <c r="H1281" s="3893" t="s">
        <v>5287</v>
      </c>
      <c r="I1281" s="3893"/>
      <c r="J1281" s="3894"/>
    </row>
    <row r="1282" spans="1:10" x14ac:dyDescent="0.3">
      <c r="A1282" s="253" t="s">
        <v>3988</v>
      </c>
      <c r="B1282" s="236" t="s">
        <v>3988</v>
      </c>
      <c r="C1282" s="236" t="s">
        <v>3988</v>
      </c>
      <c r="D1282" s="236" t="s">
        <v>3988</v>
      </c>
      <c r="E1282" s="236" t="s">
        <v>3988</v>
      </c>
      <c r="F1282" s="3891" t="s">
        <v>3988</v>
      </c>
      <c r="G1282" s="3892"/>
      <c r="H1282" s="3893" t="s">
        <v>5287</v>
      </c>
      <c r="I1282" s="3893"/>
      <c r="J1282" s="3894"/>
    </row>
    <row r="1283" spans="1:10" x14ac:dyDescent="0.3">
      <c r="A1283" s="253" t="s">
        <v>3988</v>
      </c>
      <c r="B1283" s="236" t="s">
        <v>3988</v>
      </c>
      <c r="C1283" s="236" t="s">
        <v>3988</v>
      </c>
      <c r="D1283" s="236" t="s">
        <v>3988</v>
      </c>
      <c r="E1283" s="236" t="s">
        <v>3988</v>
      </c>
      <c r="F1283" s="3891" t="s">
        <v>3988</v>
      </c>
      <c r="G1283" s="3892"/>
      <c r="H1283" s="3893" t="s">
        <v>5287</v>
      </c>
      <c r="I1283" s="3893"/>
      <c r="J1283" s="3894"/>
    </row>
    <row r="1284" spans="1:10" x14ac:dyDescent="0.3">
      <c r="A1284" s="253" t="s">
        <v>3988</v>
      </c>
      <c r="B1284" s="236" t="s">
        <v>3988</v>
      </c>
      <c r="C1284" s="236" t="s">
        <v>3988</v>
      </c>
      <c r="D1284" s="236" t="s">
        <v>3988</v>
      </c>
      <c r="E1284" s="236" t="s">
        <v>3988</v>
      </c>
      <c r="F1284" s="3891" t="s">
        <v>3988</v>
      </c>
      <c r="G1284" s="3892"/>
      <c r="H1284" s="3893" t="s">
        <v>5287</v>
      </c>
      <c r="I1284" s="3893"/>
      <c r="J1284" s="3894"/>
    </row>
    <row r="1285" spans="1:10" x14ac:dyDescent="0.3">
      <c r="A1285" s="253" t="s">
        <v>3988</v>
      </c>
      <c r="B1285" s="236" t="s">
        <v>3988</v>
      </c>
      <c r="C1285" s="236" t="s">
        <v>3988</v>
      </c>
      <c r="D1285" s="236" t="s">
        <v>3988</v>
      </c>
      <c r="E1285" s="236" t="s">
        <v>3988</v>
      </c>
      <c r="F1285" s="3891" t="s">
        <v>3988</v>
      </c>
      <c r="G1285" s="3892"/>
      <c r="H1285" s="3893" t="s">
        <v>5287</v>
      </c>
      <c r="I1285" s="3893"/>
      <c r="J1285" s="3894"/>
    </row>
    <row r="1286" spans="1:10" x14ac:dyDescent="0.3">
      <c r="A1286" s="1788" t="s">
        <v>3753</v>
      </c>
      <c r="B1286" s="235" t="s">
        <v>3988</v>
      </c>
      <c r="C1286" s="235" t="s">
        <v>3988</v>
      </c>
      <c r="D1286" s="235" t="s">
        <v>3988</v>
      </c>
      <c r="E1286" s="3859" t="s">
        <v>5288</v>
      </c>
      <c r="F1286" s="3860"/>
      <c r="G1286" s="3861">
        <f>H1277+H1278</f>
        <v>5400</v>
      </c>
      <c r="H1286" s="3861"/>
      <c r="I1286" s="3862"/>
      <c r="J1286" s="254"/>
    </row>
    <row r="1287" spans="1:10" x14ac:dyDescent="0.3">
      <c r="A1287" s="255" t="s">
        <v>3988</v>
      </c>
      <c r="B1287" s="237" t="s">
        <v>3988</v>
      </c>
      <c r="C1287" s="237" t="s">
        <v>3988</v>
      </c>
      <c r="D1287" s="237" t="s">
        <v>3988</v>
      </c>
      <c r="E1287" s="237" t="s">
        <v>3988</v>
      </c>
      <c r="F1287" s="238" t="s">
        <v>5289</v>
      </c>
      <c r="G1287" s="239" t="s">
        <v>5290</v>
      </c>
      <c r="H1287" s="3863" t="s">
        <v>5291</v>
      </c>
      <c r="I1287" s="3863"/>
      <c r="J1287" s="3864"/>
    </row>
    <row r="1288" spans="1:10" x14ac:dyDescent="0.3">
      <c r="A1288" s="3865" t="s">
        <v>5292</v>
      </c>
      <c r="B1288" s="3866"/>
      <c r="C1288" s="3866"/>
      <c r="D1288" s="3866"/>
      <c r="E1288" s="3867"/>
      <c r="F1288" s="3871" t="s">
        <v>5293</v>
      </c>
      <c r="G1288" s="3872"/>
      <c r="H1288" s="3875">
        <f>G1286</f>
        <v>5400</v>
      </c>
      <c r="I1288" s="3876"/>
      <c r="J1288" s="3877"/>
    </row>
    <row r="1289" spans="1:10" x14ac:dyDescent="0.3">
      <c r="A1289" s="3868"/>
      <c r="B1289" s="3869"/>
      <c r="C1289" s="3869"/>
      <c r="D1289" s="3869"/>
      <c r="E1289" s="3870"/>
      <c r="F1289" s="3873"/>
      <c r="G1289" s="3874"/>
      <c r="H1289" s="3878"/>
      <c r="I1289" s="3879"/>
      <c r="J1289" s="3880"/>
    </row>
    <row r="1290" spans="1:10" x14ac:dyDescent="0.3">
      <c r="A1290" s="3881" t="s">
        <v>5294</v>
      </c>
      <c r="B1290" s="3882"/>
      <c r="C1290" s="3882"/>
      <c r="D1290" s="3882"/>
      <c r="E1290" s="3882"/>
      <c r="F1290" s="3882"/>
      <c r="G1290" s="3882"/>
      <c r="H1290" s="3882"/>
      <c r="I1290" s="3882"/>
      <c r="J1290" s="3883"/>
    </row>
    <row r="1291" spans="1:10" x14ac:dyDescent="0.3">
      <c r="A1291" s="3884"/>
      <c r="B1291" s="3885"/>
      <c r="C1291" s="3885"/>
      <c r="D1291" s="3885"/>
      <c r="E1291" s="3885"/>
      <c r="F1291" s="3885"/>
      <c r="G1291" s="3885"/>
      <c r="H1291" s="3885"/>
      <c r="I1291" s="3885"/>
      <c r="J1291" s="3886"/>
    </row>
    <row r="1293" spans="1:10" x14ac:dyDescent="0.3">
      <c r="A1293" s="246" t="s">
        <v>3988</v>
      </c>
      <c r="B1293" s="247" t="s">
        <v>3988</v>
      </c>
      <c r="C1293" s="3895" t="s">
        <v>5267</v>
      </c>
      <c r="D1293" s="3895"/>
      <c r="E1293" s="3895"/>
      <c r="F1293" s="3896"/>
      <c r="G1293" s="247" t="s">
        <v>3988</v>
      </c>
      <c r="H1293" s="1789" t="s">
        <v>3988</v>
      </c>
      <c r="I1293" s="1789" t="s">
        <v>3988</v>
      </c>
      <c r="J1293" s="248" t="s">
        <v>3988</v>
      </c>
    </row>
    <row r="1294" spans="1:10" ht="15.6" x14ac:dyDescent="0.3">
      <c r="A1294" s="249" t="s">
        <v>3988</v>
      </c>
      <c r="B1294" s="231"/>
      <c r="C1294" s="3897" t="s">
        <v>3986</v>
      </c>
      <c r="D1294" s="3897"/>
      <c r="E1294" s="3897"/>
      <c r="F1294" s="3898"/>
      <c r="G1294" s="1790" t="s">
        <v>3988</v>
      </c>
      <c r="H1294" s="3899" t="s">
        <v>5396</v>
      </c>
      <c r="I1294" s="3899"/>
      <c r="J1294" s="250" t="s">
        <v>3988</v>
      </c>
    </row>
    <row r="1295" spans="1:10" ht="17.399999999999999" x14ac:dyDescent="0.3">
      <c r="A1295" s="249" t="s">
        <v>3988</v>
      </c>
      <c r="B1295" s="232"/>
      <c r="C1295" s="3901" t="s">
        <v>5269</v>
      </c>
      <c r="D1295" s="3901"/>
      <c r="E1295" s="3901"/>
      <c r="F1295" s="3902"/>
      <c r="G1295" s="233" t="s">
        <v>5270</v>
      </c>
      <c r="H1295" s="3900"/>
      <c r="I1295" s="3900"/>
      <c r="J1295" s="250" t="s">
        <v>3988</v>
      </c>
    </row>
    <row r="1296" spans="1:10" x14ac:dyDescent="0.3">
      <c r="A1296" s="249" t="s">
        <v>3988</v>
      </c>
      <c r="B1296" s="232" t="s">
        <v>3988</v>
      </c>
      <c r="C1296" s="3903" t="s">
        <v>5271</v>
      </c>
      <c r="D1296" s="3903"/>
      <c r="E1296" s="3903"/>
      <c r="F1296" s="3904"/>
      <c r="G1296" s="1790" t="s">
        <v>3988</v>
      </c>
      <c r="H1296" s="234"/>
      <c r="I1296" s="234" t="s">
        <v>3988</v>
      </c>
      <c r="J1296" s="251" t="s">
        <v>3988</v>
      </c>
    </row>
    <row r="1297" spans="1:10" ht="31.8" x14ac:dyDescent="0.3">
      <c r="A1297" s="242" t="s">
        <v>5272</v>
      </c>
      <c r="B1297" s="3905" t="s">
        <v>5383</v>
      </c>
      <c r="C1297" s="3906"/>
      <c r="D1297" s="3906"/>
      <c r="E1297" s="3907"/>
      <c r="F1297" s="241" t="s">
        <v>5274</v>
      </c>
      <c r="G1297" s="240">
        <v>71270077</v>
      </c>
      <c r="H1297" s="1791" t="s">
        <v>5276</v>
      </c>
      <c r="I1297" s="1791" t="s">
        <v>5277</v>
      </c>
      <c r="J1297" s="252" t="s">
        <v>5278</v>
      </c>
    </row>
    <row r="1298" spans="1:10" x14ac:dyDescent="0.3">
      <c r="A1298" s="3908"/>
      <c r="B1298" s="3909"/>
      <c r="C1298" s="3909"/>
      <c r="D1298" s="3909"/>
      <c r="E1298" s="3910"/>
      <c r="F1298" s="3911"/>
      <c r="G1298" s="3912"/>
      <c r="H1298" s="256">
        <v>29</v>
      </c>
      <c r="I1298" s="256">
        <v>1</v>
      </c>
      <c r="J1298" s="257">
        <v>2022</v>
      </c>
    </row>
    <row r="1299" spans="1:10" x14ac:dyDescent="0.3">
      <c r="A1299" s="3913" t="s">
        <v>5279</v>
      </c>
      <c r="B1299" s="3914"/>
      <c r="C1299" s="3914"/>
      <c r="D1299" s="3914"/>
      <c r="E1299" s="3915"/>
      <c r="F1299" s="258" t="s">
        <v>5280</v>
      </c>
      <c r="G1299" s="1787" t="s">
        <v>3988</v>
      </c>
      <c r="H1299" s="259" t="s">
        <v>5281</v>
      </c>
      <c r="I1299" s="260" t="s">
        <v>3988</v>
      </c>
      <c r="J1299" s="261" t="s">
        <v>3988</v>
      </c>
    </row>
    <row r="1300" spans="1:10" x14ac:dyDescent="0.3">
      <c r="A1300" s="3913" t="s">
        <v>5384</v>
      </c>
      <c r="B1300" s="3914"/>
      <c r="C1300" s="3914"/>
      <c r="D1300" s="3914"/>
      <c r="E1300" s="3915"/>
      <c r="F1300" s="3911">
        <v>2755591</v>
      </c>
      <c r="G1300" s="3912"/>
      <c r="H1300" s="3911" t="s">
        <v>125</v>
      </c>
      <c r="I1300" s="3911"/>
      <c r="J1300" s="3916"/>
    </row>
    <row r="1301" spans="1:10" x14ac:dyDescent="0.3">
      <c r="A1301" s="262" t="s">
        <v>5284</v>
      </c>
      <c r="B1301" s="3911" t="s">
        <v>5285</v>
      </c>
      <c r="C1301" s="3911"/>
      <c r="D1301" s="3911"/>
      <c r="E1301" s="3912"/>
      <c r="F1301" s="3917" t="s">
        <v>3752</v>
      </c>
      <c r="G1301" s="3918"/>
      <c r="H1301" s="3911" t="s">
        <v>5286</v>
      </c>
      <c r="I1301" s="3911"/>
      <c r="J1301" s="3916"/>
    </row>
    <row r="1302" spans="1:10" x14ac:dyDescent="0.3">
      <c r="A1302" s="263">
        <v>2</v>
      </c>
      <c r="B1302" s="3887" t="s">
        <v>5379</v>
      </c>
      <c r="C1302" s="3887"/>
      <c r="D1302" s="3887"/>
      <c r="E1302" s="3887"/>
      <c r="F1302" s="3888">
        <v>1800</v>
      </c>
      <c r="G1302" s="3889"/>
      <c r="H1302" s="3887">
        <f>F1302*A1302</f>
        <v>3600</v>
      </c>
      <c r="I1302" s="3887"/>
      <c r="J1302" s="3890"/>
    </row>
    <row r="1303" spans="1:10" x14ac:dyDescent="0.3">
      <c r="A1303" s="263"/>
      <c r="B1303" s="3887"/>
      <c r="C1303" s="3887"/>
      <c r="D1303" s="3887"/>
      <c r="E1303" s="3887"/>
      <c r="F1303" s="3888"/>
      <c r="G1303" s="3889"/>
      <c r="H1303" s="3887"/>
      <c r="I1303" s="3887"/>
      <c r="J1303" s="3890"/>
    </row>
    <row r="1304" spans="1:10" x14ac:dyDescent="0.3">
      <c r="A1304" s="263" t="s">
        <v>3988</v>
      </c>
      <c r="B1304" s="264" t="s">
        <v>3988</v>
      </c>
      <c r="C1304" s="264" t="s">
        <v>3988</v>
      </c>
      <c r="D1304" s="264" t="s">
        <v>3988</v>
      </c>
      <c r="E1304" s="264" t="s">
        <v>3988</v>
      </c>
      <c r="F1304" s="3888" t="s">
        <v>3988</v>
      </c>
      <c r="G1304" s="3889"/>
      <c r="H1304" s="3887" t="s">
        <v>5287</v>
      </c>
      <c r="I1304" s="3887"/>
      <c r="J1304" s="3890"/>
    </row>
    <row r="1305" spans="1:10" x14ac:dyDescent="0.3">
      <c r="A1305" s="253" t="s">
        <v>3988</v>
      </c>
      <c r="B1305" s="236" t="s">
        <v>3988</v>
      </c>
      <c r="C1305" s="236" t="s">
        <v>3988</v>
      </c>
      <c r="D1305" s="236" t="s">
        <v>3988</v>
      </c>
      <c r="E1305" s="236" t="s">
        <v>3988</v>
      </c>
      <c r="F1305" s="3891" t="s">
        <v>3988</v>
      </c>
      <c r="G1305" s="3892"/>
      <c r="H1305" s="3893" t="s">
        <v>5287</v>
      </c>
      <c r="I1305" s="3893"/>
      <c r="J1305" s="3894"/>
    </row>
    <row r="1306" spans="1:10" x14ac:dyDescent="0.3">
      <c r="A1306" s="253" t="s">
        <v>3988</v>
      </c>
      <c r="B1306" s="236" t="s">
        <v>3988</v>
      </c>
      <c r="C1306" s="236" t="s">
        <v>3988</v>
      </c>
      <c r="D1306" s="236" t="s">
        <v>3988</v>
      </c>
      <c r="E1306" s="236" t="s">
        <v>3988</v>
      </c>
      <c r="F1306" s="3891" t="s">
        <v>3988</v>
      </c>
      <c r="G1306" s="3892"/>
      <c r="H1306" s="3893" t="s">
        <v>5287</v>
      </c>
      <c r="I1306" s="3893"/>
      <c r="J1306" s="3894"/>
    </row>
    <row r="1307" spans="1:10" x14ac:dyDescent="0.3">
      <c r="A1307" s="253" t="s">
        <v>3988</v>
      </c>
      <c r="B1307" s="236" t="s">
        <v>3988</v>
      </c>
      <c r="C1307" s="236" t="s">
        <v>3988</v>
      </c>
      <c r="D1307" s="236" t="s">
        <v>3988</v>
      </c>
      <c r="E1307" s="236" t="s">
        <v>3988</v>
      </c>
      <c r="F1307" s="3891" t="s">
        <v>3988</v>
      </c>
      <c r="G1307" s="3892"/>
      <c r="H1307" s="3893" t="s">
        <v>5287</v>
      </c>
      <c r="I1307" s="3893"/>
      <c r="J1307" s="3894"/>
    </row>
    <row r="1308" spans="1:10" x14ac:dyDescent="0.3">
      <c r="A1308" s="253" t="s">
        <v>3988</v>
      </c>
      <c r="B1308" s="236" t="s">
        <v>3988</v>
      </c>
      <c r="C1308" s="236" t="s">
        <v>3988</v>
      </c>
      <c r="D1308" s="236" t="s">
        <v>3988</v>
      </c>
      <c r="E1308" s="236" t="s">
        <v>3988</v>
      </c>
      <c r="F1308" s="3891" t="s">
        <v>3988</v>
      </c>
      <c r="G1308" s="3892"/>
      <c r="H1308" s="3893" t="s">
        <v>5287</v>
      </c>
      <c r="I1308" s="3893"/>
      <c r="J1308" s="3894"/>
    </row>
    <row r="1309" spans="1:10" x14ac:dyDescent="0.3">
      <c r="A1309" s="253" t="s">
        <v>3988</v>
      </c>
      <c r="B1309" s="236" t="s">
        <v>3988</v>
      </c>
      <c r="C1309" s="236" t="s">
        <v>3988</v>
      </c>
      <c r="D1309" s="236" t="s">
        <v>3988</v>
      </c>
      <c r="E1309" s="236" t="s">
        <v>3988</v>
      </c>
      <c r="F1309" s="3891" t="s">
        <v>3988</v>
      </c>
      <c r="G1309" s="3892"/>
      <c r="H1309" s="3893" t="s">
        <v>5287</v>
      </c>
      <c r="I1309" s="3893"/>
      <c r="J1309" s="3894"/>
    </row>
    <row r="1310" spans="1:10" x14ac:dyDescent="0.3">
      <c r="A1310" s="253" t="s">
        <v>3988</v>
      </c>
      <c r="B1310" s="236" t="s">
        <v>3988</v>
      </c>
      <c r="C1310" s="236" t="s">
        <v>3988</v>
      </c>
      <c r="D1310" s="236" t="s">
        <v>3988</v>
      </c>
      <c r="E1310" s="236" t="s">
        <v>3988</v>
      </c>
      <c r="F1310" s="3891" t="s">
        <v>3988</v>
      </c>
      <c r="G1310" s="3892"/>
      <c r="H1310" s="3893" t="s">
        <v>5287</v>
      </c>
      <c r="I1310" s="3893"/>
      <c r="J1310" s="3894"/>
    </row>
    <row r="1311" spans="1:10" x14ac:dyDescent="0.3">
      <c r="A1311" s="1788" t="s">
        <v>3753</v>
      </c>
      <c r="B1311" s="235" t="s">
        <v>3988</v>
      </c>
      <c r="C1311" s="235" t="s">
        <v>3988</v>
      </c>
      <c r="D1311" s="235" t="s">
        <v>3988</v>
      </c>
      <c r="E1311" s="3859" t="s">
        <v>5288</v>
      </c>
      <c r="F1311" s="3860"/>
      <c r="G1311" s="3861">
        <f>H1302+H1303</f>
        <v>3600</v>
      </c>
      <c r="H1311" s="3861"/>
      <c r="I1311" s="3862"/>
      <c r="J1311" s="254"/>
    </row>
    <row r="1312" spans="1:10" x14ac:dyDescent="0.3">
      <c r="A1312" s="255" t="s">
        <v>3988</v>
      </c>
      <c r="B1312" s="237" t="s">
        <v>3988</v>
      </c>
      <c r="C1312" s="237" t="s">
        <v>3988</v>
      </c>
      <c r="D1312" s="237" t="s">
        <v>3988</v>
      </c>
      <c r="E1312" s="237" t="s">
        <v>3988</v>
      </c>
      <c r="F1312" s="238" t="s">
        <v>5289</v>
      </c>
      <c r="G1312" s="239" t="s">
        <v>5290</v>
      </c>
      <c r="H1312" s="3863" t="s">
        <v>5291</v>
      </c>
      <c r="I1312" s="3863"/>
      <c r="J1312" s="3864"/>
    </row>
    <row r="1313" spans="1:10" x14ac:dyDescent="0.3">
      <c r="A1313" s="3865" t="s">
        <v>5292</v>
      </c>
      <c r="B1313" s="3866"/>
      <c r="C1313" s="3866"/>
      <c r="D1313" s="3866"/>
      <c r="E1313" s="3867"/>
      <c r="F1313" s="3871" t="s">
        <v>5293</v>
      </c>
      <c r="G1313" s="3872"/>
      <c r="H1313" s="3875">
        <f>G1311</f>
        <v>3600</v>
      </c>
      <c r="I1313" s="3876"/>
      <c r="J1313" s="3877"/>
    </row>
    <row r="1314" spans="1:10" x14ac:dyDescent="0.3">
      <c r="A1314" s="3868"/>
      <c r="B1314" s="3869"/>
      <c r="C1314" s="3869"/>
      <c r="D1314" s="3869"/>
      <c r="E1314" s="3870"/>
      <c r="F1314" s="3873"/>
      <c r="G1314" s="3874"/>
      <c r="H1314" s="3878"/>
      <c r="I1314" s="3879"/>
      <c r="J1314" s="3880"/>
    </row>
    <row r="1315" spans="1:10" x14ac:dyDescent="0.3">
      <c r="A1315" s="3881" t="s">
        <v>5294</v>
      </c>
      <c r="B1315" s="3882"/>
      <c r="C1315" s="3882"/>
      <c r="D1315" s="3882"/>
      <c r="E1315" s="3882"/>
      <c r="F1315" s="3882"/>
      <c r="G1315" s="3882"/>
      <c r="H1315" s="3882"/>
      <c r="I1315" s="3882"/>
      <c r="J1315" s="3883"/>
    </row>
    <row r="1316" spans="1:10" x14ac:dyDescent="0.3">
      <c r="A1316" s="3884"/>
      <c r="B1316" s="3885"/>
      <c r="C1316" s="3885"/>
      <c r="D1316" s="3885"/>
      <c r="E1316" s="3885"/>
      <c r="F1316" s="3885"/>
      <c r="G1316" s="3885"/>
      <c r="H1316" s="3885"/>
      <c r="I1316" s="3885"/>
      <c r="J1316" s="3886"/>
    </row>
    <row r="1318" spans="1:10" x14ac:dyDescent="0.3">
      <c r="A1318" s="246" t="s">
        <v>3988</v>
      </c>
      <c r="B1318" s="247" t="s">
        <v>3988</v>
      </c>
      <c r="C1318" s="3895" t="s">
        <v>5267</v>
      </c>
      <c r="D1318" s="3895"/>
      <c r="E1318" s="3895"/>
      <c r="F1318" s="3896"/>
      <c r="G1318" s="247" t="s">
        <v>3988</v>
      </c>
      <c r="H1318" s="1789" t="s">
        <v>3988</v>
      </c>
      <c r="I1318" s="1789" t="s">
        <v>3988</v>
      </c>
      <c r="J1318" s="248" t="s">
        <v>3988</v>
      </c>
    </row>
    <row r="1319" spans="1:10" ht="15.6" x14ac:dyDescent="0.3">
      <c r="A1319" s="249" t="s">
        <v>3988</v>
      </c>
      <c r="B1319" s="231"/>
      <c r="C1319" s="3897" t="s">
        <v>3986</v>
      </c>
      <c r="D1319" s="3897"/>
      <c r="E1319" s="3897"/>
      <c r="F1319" s="3898"/>
      <c r="G1319" s="1790" t="s">
        <v>3988</v>
      </c>
      <c r="H1319" s="3899" t="s">
        <v>5397</v>
      </c>
      <c r="I1319" s="3899"/>
      <c r="J1319" s="250" t="s">
        <v>3988</v>
      </c>
    </row>
    <row r="1320" spans="1:10" ht="17.399999999999999" x14ac:dyDescent="0.3">
      <c r="A1320" s="249" t="s">
        <v>3988</v>
      </c>
      <c r="B1320" s="232"/>
      <c r="C1320" s="3901" t="s">
        <v>5269</v>
      </c>
      <c r="D1320" s="3901"/>
      <c r="E1320" s="3901"/>
      <c r="F1320" s="3902"/>
      <c r="G1320" s="233" t="s">
        <v>5270</v>
      </c>
      <c r="H1320" s="3900"/>
      <c r="I1320" s="3900"/>
      <c r="J1320" s="250" t="s">
        <v>3988</v>
      </c>
    </row>
    <row r="1321" spans="1:10" x14ac:dyDescent="0.3">
      <c r="A1321" s="249" t="s">
        <v>3988</v>
      </c>
      <c r="B1321" s="232" t="s">
        <v>3988</v>
      </c>
      <c r="C1321" s="3903" t="s">
        <v>5271</v>
      </c>
      <c r="D1321" s="3903"/>
      <c r="E1321" s="3903"/>
      <c r="F1321" s="3904"/>
      <c r="G1321" s="1790" t="s">
        <v>3988</v>
      </c>
      <c r="H1321" s="234"/>
      <c r="I1321" s="234" t="s">
        <v>3988</v>
      </c>
      <c r="J1321" s="251" t="s">
        <v>3988</v>
      </c>
    </row>
    <row r="1322" spans="1:10" ht="31.8" x14ac:dyDescent="0.3">
      <c r="A1322" s="242" t="s">
        <v>5272</v>
      </c>
      <c r="B1322" s="3905" t="s">
        <v>5383</v>
      </c>
      <c r="C1322" s="3906"/>
      <c r="D1322" s="3906"/>
      <c r="E1322" s="3907"/>
      <c r="F1322" s="241" t="s">
        <v>5274</v>
      </c>
      <c r="G1322" s="240">
        <v>71270077</v>
      </c>
      <c r="H1322" s="1791" t="s">
        <v>5276</v>
      </c>
      <c r="I1322" s="1791" t="s">
        <v>5277</v>
      </c>
      <c r="J1322" s="252" t="s">
        <v>5278</v>
      </c>
    </row>
    <row r="1323" spans="1:10" x14ac:dyDescent="0.3">
      <c r="A1323" s="3908"/>
      <c r="B1323" s="3909"/>
      <c r="C1323" s="3909"/>
      <c r="D1323" s="3909"/>
      <c r="E1323" s="3910"/>
      <c r="F1323" s="3911"/>
      <c r="G1323" s="3912"/>
      <c r="H1323" s="256">
        <v>11</v>
      </c>
      <c r="I1323" s="256">
        <v>2</v>
      </c>
      <c r="J1323" s="257">
        <v>2022</v>
      </c>
    </row>
    <row r="1324" spans="1:10" x14ac:dyDescent="0.3">
      <c r="A1324" s="3913" t="s">
        <v>5279</v>
      </c>
      <c r="B1324" s="3914"/>
      <c r="C1324" s="3914"/>
      <c r="D1324" s="3914"/>
      <c r="E1324" s="3915"/>
      <c r="F1324" s="258" t="s">
        <v>5280</v>
      </c>
      <c r="G1324" s="1787" t="s">
        <v>3988</v>
      </c>
      <c r="H1324" s="259" t="s">
        <v>5281</v>
      </c>
      <c r="I1324" s="260" t="s">
        <v>3988</v>
      </c>
      <c r="J1324" s="261" t="s">
        <v>3988</v>
      </c>
    </row>
    <row r="1325" spans="1:10" x14ac:dyDescent="0.3">
      <c r="A1325" s="3913" t="s">
        <v>5384</v>
      </c>
      <c r="B1325" s="3914"/>
      <c r="C1325" s="3914"/>
      <c r="D1325" s="3914"/>
      <c r="E1325" s="3915"/>
      <c r="F1325" s="3911">
        <v>2755591</v>
      </c>
      <c r="G1325" s="3912"/>
      <c r="H1325" s="3911" t="s">
        <v>125</v>
      </c>
      <c r="I1325" s="3911"/>
      <c r="J1325" s="3916"/>
    </row>
    <row r="1326" spans="1:10" x14ac:dyDescent="0.3">
      <c r="A1326" s="262" t="s">
        <v>5284</v>
      </c>
      <c r="B1326" s="3911" t="s">
        <v>5285</v>
      </c>
      <c r="C1326" s="3911"/>
      <c r="D1326" s="3911"/>
      <c r="E1326" s="3912"/>
      <c r="F1326" s="3917" t="s">
        <v>3752</v>
      </c>
      <c r="G1326" s="3918"/>
      <c r="H1326" s="3911" t="s">
        <v>5286</v>
      </c>
      <c r="I1326" s="3911"/>
      <c r="J1326" s="3916"/>
    </row>
    <row r="1327" spans="1:10" x14ac:dyDescent="0.3">
      <c r="A1327" s="263">
        <v>2</v>
      </c>
      <c r="B1327" s="3887" t="s">
        <v>5379</v>
      </c>
      <c r="C1327" s="3887"/>
      <c r="D1327" s="3887"/>
      <c r="E1327" s="3887"/>
      <c r="F1327" s="3888">
        <v>1800</v>
      </c>
      <c r="G1327" s="3889"/>
      <c r="H1327" s="3887">
        <f>F1327*A1327</f>
        <v>3600</v>
      </c>
      <c r="I1327" s="3887"/>
      <c r="J1327" s="3890"/>
    </row>
    <row r="1328" spans="1:10" x14ac:dyDescent="0.3">
      <c r="A1328" s="263"/>
      <c r="B1328" s="3887"/>
      <c r="C1328" s="3887"/>
      <c r="D1328" s="3887"/>
      <c r="E1328" s="3887"/>
      <c r="F1328" s="3888"/>
      <c r="G1328" s="3889"/>
      <c r="H1328" s="3887"/>
      <c r="I1328" s="3887"/>
      <c r="J1328" s="3890"/>
    </row>
    <row r="1329" spans="1:10" x14ac:dyDescent="0.3">
      <c r="A1329" s="263" t="s">
        <v>3988</v>
      </c>
      <c r="B1329" s="264" t="s">
        <v>3988</v>
      </c>
      <c r="C1329" s="264" t="s">
        <v>3988</v>
      </c>
      <c r="D1329" s="264" t="s">
        <v>3988</v>
      </c>
      <c r="E1329" s="264" t="s">
        <v>3988</v>
      </c>
      <c r="F1329" s="3888" t="s">
        <v>3988</v>
      </c>
      <c r="G1329" s="3889"/>
      <c r="H1329" s="3887" t="s">
        <v>5287</v>
      </c>
      <c r="I1329" s="3887"/>
      <c r="J1329" s="3890"/>
    </row>
    <row r="1330" spans="1:10" x14ac:dyDescent="0.3">
      <c r="A1330" s="253" t="s">
        <v>3988</v>
      </c>
      <c r="B1330" s="236" t="s">
        <v>3988</v>
      </c>
      <c r="C1330" s="236" t="s">
        <v>3988</v>
      </c>
      <c r="D1330" s="236" t="s">
        <v>3988</v>
      </c>
      <c r="E1330" s="236" t="s">
        <v>3988</v>
      </c>
      <c r="F1330" s="3891" t="s">
        <v>3988</v>
      </c>
      <c r="G1330" s="3892"/>
      <c r="H1330" s="3893" t="s">
        <v>5287</v>
      </c>
      <c r="I1330" s="3893"/>
      <c r="J1330" s="3894"/>
    </row>
    <row r="1331" spans="1:10" x14ac:dyDescent="0.3">
      <c r="A1331" s="253" t="s">
        <v>3988</v>
      </c>
      <c r="B1331" s="236" t="s">
        <v>3988</v>
      </c>
      <c r="C1331" s="236" t="s">
        <v>3988</v>
      </c>
      <c r="D1331" s="236" t="s">
        <v>3988</v>
      </c>
      <c r="E1331" s="236" t="s">
        <v>3988</v>
      </c>
      <c r="F1331" s="3891" t="s">
        <v>3988</v>
      </c>
      <c r="G1331" s="3892"/>
      <c r="H1331" s="3893" t="s">
        <v>5287</v>
      </c>
      <c r="I1331" s="3893"/>
      <c r="J1331" s="3894"/>
    </row>
    <row r="1332" spans="1:10" x14ac:dyDescent="0.3">
      <c r="A1332" s="253" t="s">
        <v>3988</v>
      </c>
      <c r="B1332" s="236" t="s">
        <v>3988</v>
      </c>
      <c r="C1332" s="236" t="s">
        <v>3988</v>
      </c>
      <c r="D1332" s="236" t="s">
        <v>3988</v>
      </c>
      <c r="E1332" s="236" t="s">
        <v>3988</v>
      </c>
      <c r="F1332" s="3891" t="s">
        <v>3988</v>
      </c>
      <c r="G1332" s="3892"/>
      <c r="H1332" s="3893" t="s">
        <v>5287</v>
      </c>
      <c r="I1332" s="3893"/>
      <c r="J1332" s="3894"/>
    </row>
    <row r="1333" spans="1:10" x14ac:dyDescent="0.3">
      <c r="A1333" s="253" t="s">
        <v>3988</v>
      </c>
      <c r="B1333" s="236" t="s">
        <v>3988</v>
      </c>
      <c r="C1333" s="236" t="s">
        <v>3988</v>
      </c>
      <c r="D1333" s="236" t="s">
        <v>3988</v>
      </c>
      <c r="E1333" s="236" t="s">
        <v>3988</v>
      </c>
      <c r="F1333" s="3891" t="s">
        <v>3988</v>
      </c>
      <c r="G1333" s="3892"/>
      <c r="H1333" s="3893" t="s">
        <v>5287</v>
      </c>
      <c r="I1333" s="3893"/>
      <c r="J1333" s="3894"/>
    </row>
    <row r="1334" spans="1:10" x14ac:dyDescent="0.3">
      <c r="A1334" s="253" t="s">
        <v>3988</v>
      </c>
      <c r="B1334" s="236" t="s">
        <v>3988</v>
      </c>
      <c r="C1334" s="236" t="s">
        <v>3988</v>
      </c>
      <c r="D1334" s="236" t="s">
        <v>3988</v>
      </c>
      <c r="E1334" s="236" t="s">
        <v>3988</v>
      </c>
      <c r="F1334" s="3891" t="s">
        <v>3988</v>
      </c>
      <c r="G1334" s="3892"/>
      <c r="H1334" s="3893" t="s">
        <v>5287</v>
      </c>
      <c r="I1334" s="3893"/>
      <c r="J1334" s="3894"/>
    </row>
    <row r="1335" spans="1:10" x14ac:dyDescent="0.3">
      <c r="A1335" s="253" t="s">
        <v>3988</v>
      </c>
      <c r="B1335" s="236" t="s">
        <v>3988</v>
      </c>
      <c r="C1335" s="236" t="s">
        <v>3988</v>
      </c>
      <c r="D1335" s="236" t="s">
        <v>3988</v>
      </c>
      <c r="E1335" s="236" t="s">
        <v>3988</v>
      </c>
      <c r="F1335" s="3891" t="s">
        <v>3988</v>
      </c>
      <c r="G1335" s="3892"/>
      <c r="H1335" s="3893" t="s">
        <v>5287</v>
      </c>
      <c r="I1335" s="3893"/>
      <c r="J1335" s="3894"/>
    </row>
    <row r="1336" spans="1:10" x14ac:dyDescent="0.3">
      <c r="A1336" s="1788" t="s">
        <v>3753</v>
      </c>
      <c r="B1336" s="235" t="s">
        <v>3988</v>
      </c>
      <c r="C1336" s="235" t="s">
        <v>3988</v>
      </c>
      <c r="D1336" s="235" t="s">
        <v>3988</v>
      </c>
      <c r="E1336" s="3859" t="s">
        <v>5288</v>
      </c>
      <c r="F1336" s="3860"/>
      <c r="G1336" s="3861">
        <f>H1327+H1328</f>
        <v>3600</v>
      </c>
      <c r="H1336" s="3861"/>
      <c r="I1336" s="3862"/>
      <c r="J1336" s="254"/>
    </row>
    <row r="1337" spans="1:10" x14ac:dyDescent="0.3">
      <c r="A1337" s="255" t="s">
        <v>3988</v>
      </c>
      <c r="B1337" s="237" t="s">
        <v>3988</v>
      </c>
      <c r="C1337" s="237" t="s">
        <v>3988</v>
      </c>
      <c r="D1337" s="237" t="s">
        <v>3988</v>
      </c>
      <c r="E1337" s="237" t="s">
        <v>3988</v>
      </c>
      <c r="F1337" s="238" t="s">
        <v>5289</v>
      </c>
      <c r="G1337" s="239" t="s">
        <v>5290</v>
      </c>
      <c r="H1337" s="3863" t="s">
        <v>5291</v>
      </c>
      <c r="I1337" s="3863"/>
      <c r="J1337" s="3864"/>
    </row>
    <row r="1338" spans="1:10" x14ac:dyDescent="0.3">
      <c r="A1338" s="3865" t="s">
        <v>5292</v>
      </c>
      <c r="B1338" s="3866"/>
      <c r="C1338" s="3866"/>
      <c r="D1338" s="3866"/>
      <c r="E1338" s="3867"/>
      <c r="F1338" s="3871" t="s">
        <v>5293</v>
      </c>
      <c r="G1338" s="3872"/>
      <c r="H1338" s="3875">
        <f>G1336</f>
        <v>3600</v>
      </c>
      <c r="I1338" s="3876"/>
      <c r="J1338" s="3877"/>
    </row>
    <row r="1339" spans="1:10" x14ac:dyDescent="0.3">
      <c r="A1339" s="3868"/>
      <c r="B1339" s="3869"/>
      <c r="C1339" s="3869"/>
      <c r="D1339" s="3869"/>
      <c r="E1339" s="3870"/>
      <c r="F1339" s="3873"/>
      <c r="G1339" s="3874"/>
      <c r="H1339" s="3878"/>
      <c r="I1339" s="3879"/>
      <c r="J1339" s="3880"/>
    </row>
    <row r="1340" spans="1:10" x14ac:dyDescent="0.3">
      <c r="A1340" s="3881" t="s">
        <v>5294</v>
      </c>
      <c r="B1340" s="3882"/>
      <c r="C1340" s="3882"/>
      <c r="D1340" s="3882"/>
      <c r="E1340" s="3882"/>
      <c r="F1340" s="3882"/>
      <c r="G1340" s="3882"/>
      <c r="H1340" s="3882"/>
      <c r="I1340" s="3882"/>
      <c r="J1340" s="3883"/>
    </row>
    <row r="1341" spans="1:10" x14ac:dyDescent="0.3">
      <c r="A1341" s="3884"/>
      <c r="B1341" s="3885"/>
      <c r="C1341" s="3885"/>
      <c r="D1341" s="3885"/>
      <c r="E1341" s="3885"/>
      <c r="F1341" s="3885"/>
      <c r="G1341" s="3885"/>
      <c r="H1341" s="3885"/>
      <c r="I1341" s="3885"/>
      <c r="J1341" s="3886"/>
    </row>
    <row r="1343" spans="1:10" x14ac:dyDescent="0.3">
      <c r="A1343" s="246" t="s">
        <v>3988</v>
      </c>
      <c r="B1343" s="247" t="s">
        <v>3988</v>
      </c>
      <c r="C1343" s="3895" t="s">
        <v>5267</v>
      </c>
      <c r="D1343" s="3895"/>
      <c r="E1343" s="3895"/>
      <c r="F1343" s="3896"/>
      <c r="G1343" s="247" t="s">
        <v>3988</v>
      </c>
      <c r="H1343" s="1789" t="s">
        <v>3988</v>
      </c>
      <c r="I1343" s="1789" t="s">
        <v>3988</v>
      </c>
      <c r="J1343" s="248" t="s">
        <v>3988</v>
      </c>
    </row>
    <row r="1344" spans="1:10" ht="15.6" x14ac:dyDescent="0.3">
      <c r="A1344" s="249" t="s">
        <v>3988</v>
      </c>
      <c r="B1344" s="231"/>
      <c r="C1344" s="3897" t="s">
        <v>3986</v>
      </c>
      <c r="D1344" s="3897"/>
      <c r="E1344" s="3897"/>
      <c r="F1344" s="3898"/>
      <c r="G1344" s="1790" t="s">
        <v>3988</v>
      </c>
      <c r="H1344" s="3899" t="s">
        <v>5398</v>
      </c>
      <c r="I1344" s="3899"/>
      <c r="J1344" s="250" t="s">
        <v>3988</v>
      </c>
    </row>
    <row r="1345" spans="1:10" ht="17.399999999999999" x14ac:dyDescent="0.3">
      <c r="A1345" s="249" t="s">
        <v>3988</v>
      </c>
      <c r="B1345" s="232"/>
      <c r="C1345" s="3901" t="s">
        <v>5269</v>
      </c>
      <c r="D1345" s="3901"/>
      <c r="E1345" s="3901"/>
      <c r="F1345" s="3902"/>
      <c r="G1345" s="233" t="s">
        <v>5270</v>
      </c>
      <c r="H1345" s="3900"/>
      <c r="I1345" s="3900"/>
      <c r="J1345" s="250" t="s">
        <v>3988</v>
      </c>
    </row>
    <row r="1346" spans="1:10" x14ac:dyDescent="0.3">
      <c r="A1346" s="249" t="s">
        <v>3988</v>
      </c>
      <c r="B1346" s="232" t="s">
        <v>3988</v>
      </c>
      <c r="C1346" s="3903" t="s">
        <v>5271</v>
      </c>
      <c r="D1346" s="3903"/>
      <c r="E1346" s="3903"/>
      <c r="F1346" s="3904"/>
      <c r="G1346" s="1790" t="s">
        <v>3988</v>
      </c>
      <c r="H1346" s="234"/>
      <c r="I1346" s="234" t="s">
        <v>3988</v>
      </c>
      <c r="J1346" s="251" t="s">
        <v>3988</v>
      </c>
    </row>
    <row r="1347" spans="1:10" ht="31.8" x14ac:dyDescent="0.3">
      <c r="A1347" s="242" t="s">
        <v>5272</v>
      </c>
      <c r="B1347" s="3905" t="s">
        <v>5383</v>
      </c>
      <c r="C1347" s="3906"/>
      <c r="D1347" s="3906"/>
      <c r="E1347" s="3907"/>
      <c r="F1347" s="241" t="s">
        <v>5274</v>
      </c>
      <c r="G1347" s="240">
        <v>71270077</v>
      </c>
      <c r="H1347" s="1791" t="s">
        <v>5276</v>
      </c>
      <c r="I1347" s="1791" t="s">
        <v>5277</v>
      </c>
      <c r="J1347" s="252" t="s">
        <v>5278</v>
      </c>
    </row>
    <row r="1348" spans="1:10" x14ac:dyDescent="0.3">
      <c r="A1348" s="3908"/>
      <c r="B1348" s="3909"/>
      <c r="C1348" s="3909"/>
      <c r="D1348" s="3909"/>
      <c r="E1348" s="3910"/>
      <c r="F1348" s="3911"/>
      <c r="G1348" s="3912"/>
      <c r="H1348" s="256">
        <v>21</v>
      </c>
      <c r="I1348" s="256">
        <v>2</v>
      </c>
      <c r="J1348" s="257">
        <v>2022</v>
      </c>
    </row>
    <row r="1349" spans="1:10" x14ac:dyDescent="0.3">
      <c r="A1349" s="3913" t="s">
        <v>5279</v>
      </c>
      <c r="B1349" s="3914"/>
      <c r="C1349" s="3914"/>
      <c r="D1349" s="3914"/>
      <c r="E1349" s="3915"/>
      <c r="F1349" s="258" t="s">
        <v>5280</v>
      </c>
      <c r="G1349" s="1787" t="s">
        <v>3988</v>
      </c>
      <c r="H1349" s="259" t="s">
        <v>5281</v>
      </c>
      <c r="I1349" s="260" t="s">
        <v>3988</v>
      </c>
      <c r="J1349" s="261" t="s">
        <v>3988</v>
      </c>
    </row>
    <row r="1350" spans="1:10" x14ac:dyDescent="0.3">
      <c r="A1350" s="3913" t="s">
        <v>5384</v>
      </c>
      <c r="B1350" s="3914"/>
      <c r="C1350" s="3914"/>
      <c r="D1350" s="3914"/>
      <c r="E1350" s="3915"/>
      <c r="F1350" s="3911">
        <v>2755591</v>
      </c>
      <c r="G1350" s="3912"/>
      <c r="H1350" s="3911" t="s">
        <v>125</v>
      </c>
      <c r="I1350" s="3911"/>
      <c r="J1350" s="3916"/>
    </row>
    <row r="1351" spans="1:10" x14ac:dyDescent="0.3">
      <c r="A1351" s="262" t="s">
        <v>5284</v>
      </c>
      <c r="B1351" s="3911" t="s">
        <v>5285</v>
      </c>
      <c r="C1351" s="3911"/>
      <c r="D1351" s="3911"/>
      <c r="E1351" s="3912"/>
      <c r="F1351" s="3917" t="s">
        <v>3752</v>
      </c>
      <c r="G1351" s="3918"/>
      <c r="H1351" s="3911" t="s">
        <v>5286</v>
      </c>
      <c r="I1351" s="3911"/>
      <c r="J1351" s="3916"/>
    </row>
    <row r="1352" spans="1:10" x14ac:dyDescent="0.3">
      <c r="A1352" s="263">
        <v>1</v>
      </c>
      <c r="B1352" s="3887" t="s">
        <v>5379</v>
      </c>
      <c r="C1352" s="3887"/>
      <c r="D1352" s="3887"/>
      <c r="E1352" s="3887"/>
      <c r="F1352" s="3888">
        <v>1800</v>
      </c>
      <c r="G1352" s="3889"/>
      <c r="H1352" s="3887">
        <f>F1352*A1352</f>
        <v>1800</v>
      </c>
      <c r="I1352" s="3887"/>
      <c r="J1352" s="3890"/>
    </row>
    <row r="1353" spans="1:10" x14ac:dyDescent="0.3">
      <c r="A1353" s="263"/>
      <c r="B1353" s="3887"/>
      <c r="C1353" s="3887"/>
      <c r="D1353" s="3887"/>
      <c r="E1353" s="3887"/>
      <c r="F1353" s="3888"/>
      <c r="G1353" s="3889"/>
      <c r="H1353" s="3887"/>
      <c r="I1353" s="3887"/>
      <c r="J1353" s="3890"/>
    </row>
    <row r="1354" spans="1:10" x14ac:dyDescent="0.3">
      <c r="A1354" s="263" t="s">
        <v>3988</v>
      </c>
      <c r="B1354" s="264" t="s">
        <v>3988</v>
      </c>
      <c r="C1354" s="264" t="s">
        <v>3988</v>
      </c>
      <c r="D1354" s="264" t="s">
        <v>3988</v>
      </c>
      <c r="E1354" s="264" t="s">
        <v>3988</v>
      </c>
      <c r="F1354" s="3888" t="s">
        <v>3988</v>
      </c>
      <c r="G1354" s="3889"/>
      <c r="H1354" s="3887" t="s">
        <v>5287</v>
      </c>
      <c r="I1354" s="3887"/>
      <c r="J1354" s="3890"/>
    </row>
    <row r="1355" spans="1:10" x14ac:dyDescent="0.3">
      <c r="A1355" s="253" t="s">
        <v>3988</v>
      </c>
      <c r="B1355" s="236" t="s">
        <v>3988</v>
      </c>
      <c r="C1355" s="236" t="s">
        <v>3988</v>
      </c>
      <c r="D1355" s="236" t="s">
        <v>3988</v>
      </c>
      <c r="E1355" s="236" t="s">
        <v>3988</v>
      </c>
      <c r="F1355" s="3891" t="s">
        <v>3988</v>
      </c>
      <c r="G1355" s="3892"/>
      <c r="H1355" s="3893" t="s">
        <v>5287</v>
      </c>
      <c r="I1355" s="3893"/>
      <c r="J1355" s="3894"/>
    </row>
    <row r="1356" spans="1:10" x14ac:dyDescent="0.3">
      <c r="A1356" s="253" t="s">
        <v>3988</v>
      </c>
      <c r="B1356" s="236" t="s">
        <v>3988</v>
      </c>
      <c r="C1356" s="236" t="s">
        <v>3988</v>
      </c>
      <c r="D1356" s="236" t="s">
        <v>3988</v>
      </c>
      <c r="E1356" s="236" t="s">
        <v>3988</v>
      </c>
      <c r="F1356" s="3891" t="s">
        <v>3988</v>
      </c>
      <c r="G1356" s="3892"/>
      <c r="H1356" s="3893" t="s">
        <v>5287</v>
      </c>
      <c r="I1356" s="3893"/>
      <c r="J1356" s="3894"/>
    </row>
    <row r="1357" spans="1:10" x14ac:dyDescent="0.3">
      <c r="A1357" s="253" t="s">
        <v>3988</v>
      </c>
      <c r="B1357" s="236" t="s">
        <v>3988</v>
      </c>
      <c r="C1357" s="236" t="s">
        <v>3988</v>
      </c>
      <c r="D1357" s="236" t="s">
        <v>3988</v>
      </c>
      <c r="E1357" s="236" t="s">
        <v>3988</v>
      </c>
      <c r="F1357" s="3891" t="s">
        <v>3988</v>
      </c>
      <c r="G1357" s="3892"/>
      <c r="H1357" s="3893" t="s">
        <v>5287</v>
      </c>
      <c r="I1357" s="3893"/>
      <c r="J1357" s="3894"/>
    </row>
    <row r="1358" spans="1:10" x14ac:dyDescent="0.3">
      <c r="A1358" s="253" t="s">
        <v>3988</v>
      </c>
      <c r="B1358" s="236" t="s">
        <v>3988</v>
      </c>
      <c r="C1358" s="236" t="s">
        <v>3988</v>
      </c>
      <c r="D1358" s="236" t="s">
        <v>3988</v>
      </c>
      <c r="E1358" s="236" t="s">
        <v>3988</v>
      </c>
      <c r="F1358" s="3891" t="s">
        <v>3988</v>
      </c>
      <c r="G1358" s="3892"/>
      <c r="H1358" s="3893" t="s">
        <v>5287</v>
      </c>
      <c r="I1358" s="3893"/>
      <c r="J1358" s="3894"/>
    </row>
    <row r="1359" spans="1:10" x14ac:dyDescent="0.3">
      <c r="A1359" s="253" t="s">
        <v>3988</v>
      </c>
      <c r="B1359" s="236" t="s">
        <v>3988</v>
      </c>
      <c r="C1359" s="236" t="s">
        <v>3988</v>
      </c>
      <c r="D1359" s="236" t="s">
        <v>3988</v>
      </c>
      <c r="E1359" s="236" t="s">
        <v>3988</v>
      </c>
      <c r="F1359" s="3891" t="s">
        <v>3988</v>
      </c>
      <c r="G1359" s="3892"/>
      <c r="H1359" s="3893" t="s">
        <v>5287</v>
      </c>
      <c r="I1359" s="3893"/>
      <c r="J1359" s="3894"/>
    </row>
    <row r="1360" spans="1:10" x14ac:dyDescent="0.3">
      <c r="A1360" s="253" t="s">
        <v>3988</v>
      </c>
      <c r="B1360" s="236" t="s">
        <v>3988</v>
      </c>
      <c r="C1360" s="236" t="s">
        <v>3988</v>
      </c>
      <c r="D1360" s="236" t="s">
        <v>3988</v>
      </c>
      <c r="E1360" s="236" t="s">
        <v>3988</v>
      </c>
      <c r="F1360" s="3891" t="s">
        <v>3988</v>
      </c>
      <c r="G1360" s="3892"/>
      <c r="H1360" s="3893" t="s">
        <v>5287</v>
      </c>
      <c r="I1360" s="3893"/>
      <c r="J1360" s="3894"/>
    </row>
    <row r="1361" spans="1:10" x14ac:dyDescent="0.3">
      <c r="A1361" s="1788" t="s">
        <v>3753</v>
      </c>
      <c r="B1361" s="235" t="s">
        <v>3988</v>
      </c>
      <c r="C1361" s="235" t="s">
        <v>3988</v>
      </c>
      <c r="D1361" s="235" t="s">
        <v>3988</v>
      </c>
      <c r="E1361" s="3859" t="s">
        <v>5288</v>
      </c>
      <c r="F1361" s="3860"/>
      <c r="G1361" s="3861">
        <f>H1352+H1353</f>
        <v>1800</v>
      </c>
      <c r="H1361" s="3861"/>
      <c r="I1361" s="3862"/>
      <c r="J1361" s="254"/>
    </row>
    <row r="1362" spans="1:10" x14ac:dyDescent="0.3">
      <c r="A1362" s="255" t="s">
        <v>3988</v>
      </c>
      <c r="B1362" s="237" t="s">
        <v>3988</v>
      </c>
      <c r="C1362" s="237" t="s">
        <v>3988</v>
      </c>
      <c r="D1362" s="237" t="s">
        <v>3988</v>
      </c>
      <c r="E1362" s="237" t="s">
        <v>3988</v>
      </c>
      <c r="F1362" s="238" t="s">
        <v>5289</v>
      </c>
      <c r="G1362" s="239" t="s">
        <v>5290</v>
      </c>
      <c r="H1362" s="3863" t="s">
        <v>5291</v>
      </c>
      <c r="I1362" s="3863"/>
      <c r="J1362" s="3864"/>
    </row>
    <row r="1363" spans="1:10" x14ac:dyDescent="0.3">
      <c r="A1363" s="3865" t="s">
        <v>5292</v>
      </c>
      <c r="B1363" s="3866"/>
      <c r="C1363" s="3866"/>
      <c r="D1363" s="3866"/>
      <c r="E1363" s="3867"/>
      <c r="F1363" s="3871" t="s">
        <v>5293</v>
      </c>
      <c r="G1363" s="3872"/>
      <c r="H1363" s="3875">
        <f>G1361</f>
        <v>1800</v>
      </c>
      <c r="I1363" s="3876"/>
      <c r="J1363" s="3877"/>
    </row>
    <row r="1364" spans="1:10" x14ac:dyDescent="0.3">
      <c r="A1364" s="3868"/>
      <c r="B1364" s="3869"/>
      <c r="C1364" s="3869"/>
      <c r="D1364" s="3869"/>
      <c r="E1364" s="3870"/>
      <c r="F1364" s="3873"/>
      <c r="G1364" s="3874"/>
      <c r="H1364" s="3878"/>
      <c r="I1364" s="3879"/>
      <c r="J1364" s="3880"/>
    </row>
    <row r="1365" spans="1:10" x14ac:dyDescent="0.3">
      <c r="A1365" s="3881" t="s">
        <v>5294</v>
      </c>
      <c r="B1365" s="3882"/>
      <c r="C1365" s="3882"/>
      <c r="D1365" s="3882"/>
      <c r="E1365" s="3882"/>
      <c r="F1365" s="3882"/>
      <c r="G1365" s="3882"/>
      <c r="H1365" s="3882"/>
      <c r="I1365" s="3882"/>
      <c r="J1365" s="3883"/>
    </row>
    <row r="1366" spans="1:10" x14ac:dyDescent="0.3">
      <c r="A1366" s="3884"/>
      <c r="B1366" s="3885"/>
      <c r="C1366" s="3885"/>
      <c r="D1366" s="3885"/>
      <c r="E1366" s="3885"/>
      <c r="F1366" s="3885"/>
      <c r="G1366" s="3885"/>
      <c r="H1366" s="3885"/>
      <c r="I1366" s="3885"/>
      <c r="J1366" s="3886"/>
    </row>
  </sheetData>
  <mergeCells count="2231">
    <mergeCell ref="F1159:G1159"/>
    <mergeCell ref="H1159:J1159"/>
    <mergeCell ref="E1160:F1160"/>
    <mergeCell ref="G1160:I1160"/>
    <mergeCell ref="H1161:J1161"/>
    <mergeCell ref="A1162:E1163"/>
    <mergeCell ref="F1162:G1163"/>
    <mergeCell ref="H1162:J1163"/>
    <mergeCell ref="A1164:J1165"/>
    <mergeCell ref="B1151:E1151"/>
    <mergeCell ref="F1151:G1151"/>
    <mergeCell ref="H1151:J1151"/>
    <mergeCell ref="B1152:E1152"/>
    <mergeCell ref="F1152:G1152"/>
    <mergeCell ref="H1152:J1152"/>
    <mergeCell ref="F1153:G1153"/>
    <mergeCell ref="H1153:J1153"/>
    <mergeCell ref="F1154:G1154"/>
    <mergeCell ref="H1154:J1154"/>
    <mergeCell ref="F1155:G1155"/>
    <mergeCell ref="H1155:J1155"/>
    <mergeCell ref="F1156:G1156"/>
    <mergeCell ref="H1156:J1156"/>
    <mergeCell ref="F1157:G1157"/>
    <mergeCell ref="H1157:J1157"/>
    <mergeCell ref="F1158:G1158"/>
    <mergeCell ref="H1158:J1158"/>
    <mergeCell ref="A1139:J1140"/>
    <mergeCell ref="C1142:F1142"/>
    <mergeCell ref="C1143:F1143"/>
    <mergeCell ref="H1143:I1144"/>
    <mergeCell ref="C1144:F1144"/>
    <mergeCell ref="C1145:F1145"/>
    <mergeCell ref="B1146:E1146"/>
    <mergeCell ref="A1147:E1147"/>
    <mergeCell ref="F1147:G1147"/>
    <mergeCell ref="A1148:E1148"/>
    <mergeCell ref="F1148:G1148"/>
    <mergeCell ref="H1148:J1148"/>
    <mergeCell ref="A1149:E1149"/>
    <mergeCell ref="F1149:G1149"/>
    <mergeCell ref="H1149:J1149"/>
    <mergeCell ref="B1150:E1150"/>
    <mergeCell ref="F1150:G1150"/>
    <mergeCell ref="H1150:J1150"/>
    <mergeCell ref="F1129:G1129"/>
    <mergeCell ref="H1129:J1129"/>
    <mergeCell ref="F1130:G1130"/>
    <mergeCell ref="H1130:J1130"/>
    <mergeCell ref="F1131:G1131"/>
    <mergeCell ref="H1131:J1131"/>
    <mergeCell ref="F1132:G1132"/>
    <mergeCell ref="H1132:J1132"/>
    <mergeCell ref="F1133:G1133"/>
    <mergeCell ref="H1133:J1133"/>
    <mergeCell ref="F1134:G1134"/>
    <mergeCell ref="H1134:J1134"/>
    <mergeCell ref="E1135:F1135"/>
    <mergeCell ref="G1135:I1135"/>
    <mergeCell ref="H1136:J1136"/>
    <mergeCell ref="A1137:E1138"/>
    <mergeCell ref="F1137:G1138"/>
    <mergeCell ref="H1137:J1138"/>
    <mergeCell ref="A1123:E1123"/>
    <mergeCell ref="F1123:G1123"/>
    <mergeCell ref="H1123:J1123"/>
    <mergeCell ref="A1124:E1124"/>
    <mergeCell ref="F1124:G1124"/>
    <mergeCell ref="H1124:J1124"/>
    <mergeCell ref="B1125:E1125"/>
    <mergeCell ref="F1125:G1125"/>
    <mergeCell ref="H1125:J1125"/>
    <mergeCell ref="B1126:E1126"/>
    <mergeCell ref="F1126:G1126"/>
    <mergeCell ref="H1126:J1126"/>
    <mergeCell ref="B1127:E1127"/>
    <mergeCell ref="F1127:G1127"/>
    <mergeCell ref="H1127:J1127"/>
    <mergeCell ref="F1128:G1128"/>
    <mergeCell ref="H1128:J1128"/>
    <mergeCell ref="E1110:F1110"/>
    <mergeCell ref="G1110:I1110"/>
    <mergeCell ref="H1111:J1111"/>
    <mergeCell ref="A1112:E1113"/>
    <mergeCell ref="F1112:G1113"/>
    <mergeCell ref="H1112:J1113"/>
    <mergeCell ref="A1114:J1115"/>
    <mergeCell ref="H1098:J1098"/>
    <mergeCell ref="F1098:G1098"/>
    <mergeCell ref="C1117:F1117"/>
    <mergeCell ref="C1118:F1118"/>
    <mergeCell ref="H1118:I1119"/>
    <mergeCell ref="C1119:F1119"/>
    <mergeCell ref="C1120:F1120"/>
    <mergeCell ref="B1121:E1121"/>
    <mergeCell ref="A1122:E1122"/>
    <mergeCell ref="F1122:G1122"/>
    <mergeCell ref="B1102:E1102"/>
    <mergeCell ref="F1102:G1102"/>
    <mergeCell ref="H1102:J1102"/>
    <mergeCell ref="F1103:G1103"/>
    <mergeCell ref="H1103:J1103"/>
    <mergeCell ref="F1104:G1104"/>
    <mergeCell ref="H1104:J1104"/>
    <mergeCell ref="F1105:G1105"/>
    <mergeCell ref="H1105:J1105"/>
    <mergeCell ref="F1106:G1106"/>
    <mergeCell ref="H1106:J1106"/>
    <mergeCell ref="F1107:G1107"/>
    <mergeCell ref="H1107:J1107"/>
    <mergeCell ref="F1108:G1108"/>
    <mergeCell ref="H1108:J1108"/>
    <mergeCell ref="F1109:G1109"/>
    <mergeCell ref="H1109:J1109"/>
    <mergeCell ref="C1092:F1092"/>
    <mergeCell ref="C1093:F1093"/>
    <mergeCell ref="H1093:I1094"/>
    <mergeCell ref="C1094:F1094"/>
    <mergeCell ref="C1095:F1095"/>
    <mergeCell ref="B1096:E1096"/>
    <mergeCell ref="A1097:E1097"/>
    <mergeCell ref="F1097:G1097"/>
    <mergeCell ref="A1098:E1098"/>
    <mergeCell ref="A1099:E1099"/>
    <mergeCell ref="F1099:G1099"/>
    <mergeCell ref="H1099:J1099"/>
    <mergeCell ref="B1100:E1100"/>
    <mergeCell ref="F1100:G1100"/>
    <mergeCell ref="H1100:J1100"/>
    <mergeCell ref="B1101:E1101"/>
    <mergeCell ref="F1101:G1101"/>
    <mergeCell ref="H1101:J1101"/>
    <mergeCell ref="F1080:G1080"/>
    <mergeCell ref="H1080:J1080"/>
    <mergeCell ref="F1081:G1081"/>
    <mergeCell ref="H1081:J1081"/>
    <mergeCell ref="F1082:G1082"/>
    <mergeCell ref="H1082:J1082"/>
    <mergeCell ref="E1083:F1083"/>
    <mergeCell ref="G1083:I1083"/>
    <mergeCell ref="H1084:J1084"/>
    <mergeCell ref="A1085:E1086"/>
    <mergeCell ref="F1085:G1086"/>
    <mergeCell ref="H1085:J1086"/>
    <mergeCell ref="A1087:J1088"/>
    <mergeCell ref="B1073:E1073"/>
    <mergeCell ref="F1073:G1073"/>
    <mergeCell ref="H1073:J1073"/>
    <mergeCell ref="B1074:E1074"/>
    <mergeCell ref="F1074:G1074"/>
    <mergeCell ref="H1074:J1074"/>
    <mergeCell ref="B1075:E1075"/>
    <mergeCell ref="F1075:G1075"/>
    <mergeCell ref="H1075:J1075"/>
    <mergeCell ref="F1076:G1076"/>
    <mergeCell ref="H1076:J1076"/>
    <mergeCell ref="F1077:G1077"/>
    <mergeCell ref="H1077:J1077"/>
    <mergeCell ref="F1078:G1078"/>
    <mergeCell ref="H1078:J1078"/>
    <mergeCell ref="F1079:G1079"/>
    <mergeCell ref="H1079:J1079"/>
    <mergeCell ref="E1058:F1058"/>
    <mergeCell ref="G1058:I1058"/>
    <mergeCell ref="H1059:J1059"/>
    <mergeCell ref="A1060:E1061"/>
    <mergeCell ref="F1060:G1061"/>
    <mergeCell ref="H1060:J1061"/>
    <mergeCell ref="A1062:J1063"/>
    <mergeCell ref="C1065:F1065"/>
    <mergeCell ref="C1066:F1066"/>
    <mergeCell ref="H1066:I1067"/>
    <mergeCell ref="C1067:F1067"/>
    <mergeCell ref="C1068:F1068"/>
    <mergeCell ref="B1069:E1069"/>
    <mergeCell ref="A1070:E1070"/>
    <mergeCell ref="F1070:G1070"/>
    <mergeCell ref="A1071:E1071"/>
    <mergeCell ref="A1072:E1072"/>
    <mergeCell ref="F1072:G1072"/>
    <mergeCell ref="H1072:J1072"/>
    <mergeCell ref="B1050:E1050"/>
    <mergeCell ref="F1050:G1050"/>
    <mergeCell ref="H1050:J1050"/>
    <mergeCell ref="F1051:G1051"/>
    <mergeCell ref="H1051:J1051"/>
    <mergeCell ref="F1052:G1052"/>
    <mergeCell ref="H1052:J1052"/>
    <mergeCell ref="F1053:G1053"/>
    <mergeCell ref="H1053:J1053"/>
    <mergeCell ref="F1054:G1054"/>
    <mergeCell ref="H1054:J1054"/>
    <mergeCell ref="F1055:G1055"/>
    <mergeCell ref="H1055:J1055"/>
    <mergeCell ref="F1056:G1056"/>
    <mergeCell ref="H1056:J1056"/>
    <mergeCell ref="F1057:G1057"/>
    <mergeCell ref="H1057:J1057"/>
    <mergeCell ref="C1040:F1040"/>
    <mergeCell ref="C1041:F1041"/>
    <mergeCell ref="H1041:I1042"/>
    <mergeCell ref="C1042:F1042"/>
    <mergeCell ref="C1043:F1043"/>
    <mergeCell ref="B1044:E1044"/>
    <mergeCell ref="A1045:E1045"/>
    <mergeCell ref="F1045:G1045"/>
    <mergeCell ref="A1046:E1046"/>
    <mergeCell ref="A1047:E1047"/>
    <mergeCell ref="F1047:G1047"/>
    <mergeCell ref="H1047:J1047"/>
    <mergeCell ref="B1048:E1048"/>
    <mergeCell ref="F1048:G1048"/>
    <mergeCell ref="H1048:J1048"/>
    <mergeCell ref="B1049:E1049"/>
    <mergeCell ref="F1049:G1049"/>
    <mergeCell ref="H1049:J1049"/>
    <mergeCell ref="F1030:G1030"/>
    <mergeCell ref="H1030:J1030"/>
    <mergeCell ref="F1031:G1031"/>
    <mergeCell ref="H1031:J1031"/>
    <mergeCell ref="F1032:G1032"/>
    <mergeCell ref="H1032:J1032"/>
    <mergeCell ref="E1033:F1033"/>
    <mergeCell ref="G1033:I1033"/>
    <mergeCell ref="H1034:J1034"/>
    <mergeCell ref="A1035:E1036"/>
    <mergeCell ref="F1035:G1036"/>
    <mergeCell ref="H1035:J1036"/>
    <mergeCell ref="A1037:J1038"/>
    <mergeCell ref="B1023:E1023"/>
    <mergeCell ref="F1023:G1023"/>
    <mergeCell ref="H1023:J1023"/>
    <mergeCell ref="B1024:E1024"/>
    <mergeCell ref="F1024:G1024"/>
    <mergeCell ref="H1024:J1024"/>
    <mergeCell ref="B1025:E1025"/>
    <mergeCell ref="F1025:G1025"/>
    <mergeCell ref="H1025:J1025"/>
    <mergeCell ref="F1026:G1026"/>
    <mergeCell ref="H1026:J1026"/>
    <mergeCell ref="F1027:G1027"/>
    <mergeCell ref="H1027:J1027"/>
    <mergeCell ref="F1028:G1028"/>
    <mergeCell ref="H1028:J1028"/>
    <mergeCell ref="F1029:G1029"/>
    <mergeCell ref="H1029:J1029"/>
    <mergeCell ref="E1008:F1008"/>
    <mergeCell ref="G1008:I1008"/>
    <mergeCell ref="H1009:J1009"/>
    <mergeCell ref="A1010:E1011"/>
    <mergeCell ref="F1010:G1011"/>
    <mergeCell ref="H1010:J1011"/>
    <mergeCell ref="A1012:J1013"/>
    <mergeCell ref="C1015:F1015"/>
    <mergeCell ref="C1016:F1016"/>
    <mergeCell ref="H1016:I1017"/>
    <mergeCell ref="C1017:F1017"/>
    <mergeCell ref="C1018:F1018"/>
    <mergeCell ref="B1019:E1019"/>
    <mergeCell ref="A1020:E1020"/>
    <mergeCell ref="F1020:G1020"/>
    <mergeCell ref="A1021:E1021"/>
    <mergeCell ref="A1022:E1022"/>
    <mergeCell ref="F1022:G1022"/>
    <mergeCell ref="H1022:J1022"/>
    <mergeCell ref="B1000:E1000"/>
    <mergeCell ref="F1000:G1000"/>
    <mergeCell ref="H1000:J1000"/>
    <mergeCell ref="F1001:G1001"/>
    <mergeCell ref="H1001:J1001"/>
    <mergeCell ref="F1002:G1002"/>
    <mergeCell ref="H1002:J1002"/>
    <mergeCell ref="F1003:G1003"/>
    <mergeCell ref="H1003:J1003"/>
    <mergeCell ref="F1004:G1004"/>
    <mergeCell ref="H1004:J1004"/>
    <mergeCell ref="F1005:G1005"/>
    <mergeCell ref="H1005:J1005"/>
    <mergeCell ref="F1006:G1006"/>
    <mergeCell ref="H1006:J1006"/>
    <mergeCell ref="F1007:G1007"/>
    <mergeCell ref="H1007:J1007"/>
    <mergeCell ref="C990:F990"/>
    <mergeCell ref="C991:F991"/>
    <mergeCell ref="H991:I992"/>
    <mergeCell ref="C992:F992"/>
    <mergeCell ref="C993:F993"/>
    <mergeCell ref="B994:E994"/>
    <mergeCell ref="A995:E995"/>
    <mergeCell ref="F995:G995"/>
    <mergeCell ref="A996:E996"/>
    <mergeCell ref="A997:E997"/>
    <mergeCell ref="F997:G997"/>
    <mergeCell ref="H997:J997"/>
    <mergeCell ref="B998:E998"/>
    <mergeCell ref="F998:G998"/>
    <mergeCell ref="H998:J998"/>
    <mergeCell ref="B999:E999"/>
    <mergeCell ref="F999:G999"/>
    <mergeCell ref="H999:J999"/>
    <mergeCell ref="F978:G978"/>
    <mergeCell ref="H978:J978"/>
    <mergeCell ref="F979:G979"/>
    <mergeCell ref="H979:J979"/>
    <mergeCell ref="F980:G980"/>
    <mergeCell ref="H980:J980"/>
    <mergeCell ref="F981:G981"/>
    <mergeCell ref="H981:J981"/>
    <mergeCell ref="F982:G982"/>
    <mergeCell ref="H982:J982"/>
    <mergeCell ref="E983:F983"/>
    <mergeCell ref="G983:I983"/>
    <mergeCell ref="H984:J984"/>
    <mergeCell ref="A985:E986"/>
    <mergeCell ref="F985:G986"/>
    <mergeCell ref="H985:J986"/>
    <mergeCell ref="A987:J988"/>
    <mergeCell ref="A971:E971"/>
    <mergeCell ref="A972:E972"/>
    <mergeCell ref="F972:G972"/>
    <mergeCell ref="H972:J972"/>
    <mergeCell ref="B973:E973"/>
    <mergeCell ref="F973:G973"/>
    <mergeCell ref="H973:J973"/>
    <mergeCell ref="B974:E974"/>
    <mergeCell ref="F974:G974"/>
    <mergeCell ref="H974:J974"/>
    <mergeCell ref="B975:E975"/>
    <mergeCell ref="F975:G975"/>
    <mergeCell ref="H975:J975"/>
    <mergeCell ref="F976:G976"/>
    <mergeCell ref="H976:J976"/>
    <mergeCell ref="F977:G977"/>
    <mergeCell ref="H977:J977"/>
    <mergeCell ref="F957:G957"/>
    <mergeCell ref="H957:J957"/>
    <mergeCell ref="E958:F958"/>
    <mergeCell ref="G958:I958"/>
    <mergeCell ref="H959:J959"/>
    <mergeCell ref="A960:E961"/>
    <mergeCell ref="F960:G961"/>
    <mergeCell ref="H960:J961"/>
    <mergeCell ref="A962:J963"/>
    <mergeCell ref="C965:F965"/>
    <mergeCell ref="C966:F966"/>
    <mergeCell ref="H966:I967"/>
    <mergeCell ref="C967:F967"/>
    <mergeCell ref="C968:F968"/>
    <mergeCell ref="B969:E969"/>
    <mergeCell ref="A970:E970"/>
    <mergeCell ref="F970:G970"/>
    <mergeCell ref="B949:E949"/>
    <mergeCell ref="F949:G949"/>
    <mergeCell ref="H949:J949"/>
    <mergeCell ref="B950:E950"/>
    <mergeCell ref="F950:G950"/>
    <mergeCell ref="H950:J950"/>
    <mergeCell ref="F951:G951"/>
    <mergeCell ref="H951:J951"/>
    <mergeCell ref="F952:G952"/>
    <mergeCell ref="H952:J952"/>
    <mergeCell ref="F953:G953"/>
    <mergeCell ref="H953:J953"/>
    <mergeCell ref="F954:G954"/>
    <mergeCell ref="H954:J954"/>
    <mergeCell ref="F955:G955"/>
    <mergeCell ref="H955:J955"/>
    <mergeCell ref="F956:G956"/>
    <mergeCell ref="H956:J956"/>
    <mergeCell ref="A935:E936"/>
    <mergeCell ref="F935:G936"/>
    <mergeCell ref="H935:J936"/>
    <mergeCell ref="A937:J938"/>
    <mergeCell ref="C940:F940"/>
    <mergeCell ref="C941:F941"/>
    <mergeCell ref="H941:I942"/>
    <mergeCell ref="C942:F942"/>
    <mergeCell ref="C943:F943"/>
    <mergeCell ref="B944:E944"/>
    <mergeCell ref="A945:E945"/>
    <mergeCell ref="F945:G945"/>
    <mergeCell ref="A946:E946"/>
    <mergeCell ref="A947:E947"/>
    <mergeCell ref="F947:G947"/>
    <mergeCell ref="H947:J947"/>
    <mergeCell ref="B948:E948"/>
    <mergeCell ref="F948:G948"/>
    <mergeCell ref="H948:J948"/>
    <mergeCell ref="F926:G926"/>
    <mergeCell ref="H926:J926"/>
    <mergeCell ref="F927:G927"/>
    <mergeCell ref="H927:J927"/>
    <mergeCell ref="F928:G928"/>
    <mergeCell ref="H928:J928"/>
    <mergeCell ref="F929:G929"/>
    <mergeCell ref="H929:J929"/>
    <mergeCell ref="F930:G930"/>
    <mergeCell ref="H930:J930"/>
    <mergeCell ref="F931:G931"/>
    <mergeCell ref="H931:J931"/>
    <mergeCell ref="F932:G932"/>
    <mergeCell ref="H932:J932"/>
    <mergeCell ref="E933:F933"/>
    <mergeCell ref="G933:I933"/>
    <mergeCell ref="H934:J934"/>
    <mergeCell ref="C918:F918"/>
    <mergeCell ref="B919:E919"/>
    <mergeCell ref="A920:E920"/>
    <mergeCell ref="F920:G920"/>
    <mergeCell ref="A921:E921"/>
    <mergeCell ref="A922:E922"/>
    <mergeCell ref="F922:G922"/>
    <mergeCell ref="H922:J922"/>
    <mergeCell ref="B923:E923"/>
    <mergeCell ref="F923:G923"/>
    <mergeCell ref="H923:J923"/>
    <mergeCell ref="B924:E924"/>
    <mergeCell ref="F924:G924"/>
    <mergeCell ref="H924:J924"/>
    <mergeCell ref="B925:E925"/>
    <mergeCell ref="F925:G925"/>
    <mergeCell ref="H925:J925"/>
    <mergeCell ref="F905:G905"/>
    <mergeCell ref="H905:J905"/>
    <mergeCell ref="F906:G906"/>
    <mergeCell ref="H906:J906"/>
    <mergeCell ref="F907:G907"/>
    <mergeCell ref="H907:J907"/>
    <mergeCell ref="E908:F908"/>
    <mergeCell ref="G908:I908"/>
    <mergeCell ref="H909:J909"/>
    <mergeCell ref="A910:E911"/>
    <mergeCell ref="F910:G911"/>
    <mergeCell ref="H910:J911"/>
    <mergeCell ref="A912:J913"/>
    <mergeCell ref="C915:F915"/>
    <mergeCell ref="C916:F916"/>
    <mergeCell ref="H916:I917"/>
    <mergeCell ref="C917:F917"/>
    <mergeCell ref="B898:E898"/>
    <mergeCell ref="F898:G898"/>
    <mergeCell ref="H898:J898"/>
    <mergeCell ref="B899:E899"/>
    <mergeCell ref="F899:G899"/>
    <mergeCell ref="H899:J899"/>
    <mergeCell ref="B900:E900"/>
    <mergeCell ref="F900:G900"/>
    <mergeCell ref="H900:J900"/>
    <mergeCell ref="F901:G901"/>
    <mergeCell ref="H901:J901"/>
    <mergeCell ref="F902:G902"/>
    <mergeCell ref="H902:J902"/>
    <mergeCell ref="F903:G903"/>
    <mergeCell ref="H903:J903"/>
    <mergeCell ref="F904:G904"/>
    <mergeCell ref="H904:J904"/>
    <mergeCell ref="E883:F883"/>
    <mergeCell ref="G883:I883"/>
    <mergeCell ref="H884:J884"/>
    <mergeCell ref="A885:E886"/>
    <mergeCell ref="F885:G886"/>
    <mergeCell ref="H885:J886"/>
    <mergeCell ref="A887:J888"/>
    <mergeCell ref="C890:F890"/>
    <mergeCell ref="C891:F891"/>
    <mergeCell ref="H891:I892"/>
    <mergeCell ref="C892:F892"/>
    <mergeCell ref="C893:F893"/>
    <mergeCell ref="B894:E894"/>
    <mergeCell ref="A895:E895"/>
    <mergeCell ref="F895:G895"/>
    <mergeCell ref="A896:E896"/>
    <mergeCell ref="A897:E897"/>
    <mergeCell ref="F897:G897"/>
    <mergeCell ref="H897:J897"/>
    <mergeCell ref="B875:E875"/>
    <mergeCell ref="F875:G875"/>
    <mergeCell ref="H875:J875"/>
    <mergeCell ref="F876:G876"/>
    <mergeCell ref="H876:J876"/>
    <mergeCell ref="F877:G877"/>
    <mergeCell ref="H877:J877"/>
    <mergeCell ref="F878:G878"/>
    <mergeCell ref="H878:J878"/>
    <mergeCell ref="F879:G879"/>
    <mergeCell ref="H879:J879"/>
    <mergeCell ref="F880:G880"/>
    <mergeCell ref="H880:J880"/>
    <mergeCell ref="F881:G881"/>
    <mergeCell ref="H881:J881"/>
    <mergeCell ref="F882:G882"/>
    <mergeCell ref="H882:J882"/>
    <mergeCell ref="C865:F865"/>
    <mergeCell ref="C866:F866"/>
    <mergeCell ref="H866:I867"/>
    <mergeCell ref="C867:F867"/>
    <mergeCell ref="C868:F868"/>
    <mergeCell ref="B869:E869"/>
    <mergeCell ref="A870:E870"/>
    <mergeCell ref="F870:G870"/>
    <mergeCell ref="A871:E871"/>
    <mergeCell ref="A872:E872"/>
    <mergeCell ref="F872:G872"/>
    <mergeCell ref="H872:J872"/>
    <mergeCell ref="B873:E873"/>
    <mergeCell ref="F873:G873"/>
    <mergeCell ref="H873:J873"/>
    <mergeCell ref="B874:E874"/>
    <mergeCell ref="F874:G874"/>
    <mergeCell ref="H874:J874"/>
    <mergeCell ref="F853:G853"/>
    <mergeCell ref="H853:J853"/>
    <mergeCell ref="F854:G854"/>
    <mergeCell ref="H854:J854"/>
    <mergeCell ref="F855:G855"/>
    <mergeCell ref="H855:J855"/>
    <mergeCell ref="F856:G856"/>
    <mergeCell ref="H856:J856"/>
    <mergeCell ref="F857:G857"/>
    <mergeCell ref="H857:J857"/>
    <mergeCell ref="E858:F858"/>
    <mergeCell ref="G858:I858"/>
    <mergeCell ref="H859:J859"/>
    <mergeCell ref="A860:E861"/>
    <mergeCell ref="F860:G861"/>
    <mergeCell ref="H860:J861"/>
    <mergeCell ref="A862:J863"/>
    <mergeCell ref="A846:E846"/>
    <mergeCell ref="A847:E847"/>
    <mergeCell ref="F847:G847"/>
    <mergeCell ref="H847:J847"/>
    <mergeCell ref="B848:E848"/>
    <mergeCell ref="F848:G848"/>
    <mergeCell ref="H848:J848"/>
    <mergeCell ref="B849:E849"/>
    <mergeCell ref="F849:G849"/>
    <mergeCell ref="H849:J849"/>
    <mergeCell ref="B850:E850"/>
    <mergeCell ref="F850:G850"/>
    <mergeCell ref="H850:J850"/>
    <mergeCell ref="F851:G851"/>
    <mergeCell ref="H851:J851"/>
    <mergeCell ref="F852:G852"/>
    <mergeCell ref="H852:J852"/>
    <mergeCell ref="F832:G832"/>
    <mergeCell ref="H832:J832"/>
    <mergeCell ref="E833:F833"/>
    <mergeCell ref="G833:I833"/>
    <mergeCell ref="H834:J834"/>
    <mergeCell ref="A835:E836"/>
    <mergeCell ref="F835:G836"/>
    <mergeCell ref="H835:J836"/>
    <mergeCell ref="A837:J838"/>
    <mergeCell ref="C840:F840"/>
    <mergeCell ref="C841:F841"/>
    <mergeCell ref="H841:I842"/>
    <mergeCell ref="C842:F842"/>
    <mergeCell ref="C843:F843"/>
    <mergeCell ref="B844:E844"/>
    <mergeCell ref="A845:E845"/>
    <mergeCell ref="F845:G845"/>
    <mergeCell ref="B824:E824"/>
    <mergeCell ref="F824:G824"/>
    <mergeCell ref="H824:J824"/>
    <mergeCell ref="B825:E825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F830:G830"/>
    <mergeCell ref="H830:J830"/>
    <mergeCell ref="F831:G831"/>
    <mergeCell ref="H831:J831"/>
    <mergeCell ref="A810:E811"/>
    <mergeCell ref="F810:G811"/>
    <mergeCell ref="H810:J811"/>
    <mergeCell ref="A812:J813"/>
    <mergeCell ref="C815:F815"/>
    <mergeCell ref="C816:F816"/>
    <mergeCell ref="H816:I817"/>
    <mergeCell ref="C817:F817"/>
    <mergeCell ref="C818:F818"/>
    <mergeCell ref="B819:E819"/>
    <mergeCell ref="A820:E820"/>
    <mergeCell ref="F820:G820"/>
    <mergeCell ref="A821:E821"/>
    <mergeCell ref="A822:E822"/>
    <mergeCell ref="F822:G822"/>
    <mergeCell ref="H822:J822"/>
    <mergeCell ref="B823:E823"/>
    <mergeCell ref="F823:G823"/>
    <mergeCell ref="H823:J823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E808:F808"/>
    <mergeCell ref="G808:I808"/>
    <mergeCell ref="H809:J809"/>
    <mergeCell ref="C793:F793"/>
    <mergeCell ref="B794:E794"/>
    <mergeCell ref="A795:E795"/>
    <mergeCell ref="F795:G795"/>
    <mergeCell ref="A796:E796"/>
    <mergeCell ref="A797:E797"/>
    <mergeCell ref="F797:G797"/>
    <mergeCell ref="H797:J797"/>
    <mergeCell ref="B798:E798"/>
    <mergeCell ref="F798:G798"/>
    <mergeCell ref="H798:J798"/>
    <mergeCell ref="B799:E799"/>
    <mergeCell ref="F799:G799"/>
    <mergeCell ref="H799:J799"/>
    <mergeCell ref="B800:E800"/>
    <mergeCell ref="F800:G800"/>
    <mergeCell ref="H800:J800"/>
    <mergeCell ref="F780:G780"/>
    <mergeCell ref="H780:J780"/>
    <mergeCell ref="F781:G781"/>
    <mergeCell ref="H781:J781"/>
    <mergeCell ref="F782:G782"/>
    <mergeCell ref="H782:J782"/>
    <mergeCell ref="E783:F783"/>
    <mergeCell ref="G783:I783"/>
    <mergeCell ref="H784:J784"/>
    <mergeCell ref="A785:E786"/>
    <mergeCell ref="F785:G786"/>
    <mergeCell ref="H785:J786"/>
    <mergeCell ref="A787:J788"/>
    <mergeCell ref="C790:F790"/>
    <mergeCell ref="C791:F791"/>
    <mergeCell ref="H791:I792"/>
    <mergeCell ref="C792:F792"/>
    <mergeCell ref="B773:E773"/>
    <mergeCell ref="F773:G773"/>
    <mergeCell ref="H773:J773"/>
    <mergeCell ref="B774:E774"/>
    <mergeCell ref="F774:G774"/>
    <mergeCell ref="H774:J774"/>
    <mergeCell ref="B775:E775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E758:F758"/>
    <mergeCell ref="G758:I758"/>
    <mergeCell ref="H759:J759"/>
    <mergeCell ref="A760:E761"/>
    <mergeCell ref="F760:G761"/>
    <mergeCell ref="H760:J761"/>
    <mergeCell ref="A762:J763"/>
    <mergeCell ref="C765:F765"/>
    <mergeCell ref="C766:F766"/>
    <mergeCell ref="H766:I767"/>
    <mergeCell ref="C767:F767"/>
    <mergeCell ref="C768:F768"/>
    <mergeCell ref="B769:E769"/>
    <mergeCell ref="A770:E770"/>
    <mergeCell ref="F770:G770"/>
    <mergeCell ref="A771:E771"/>
    <mergeCell ref="A772:E772"/>
    <mergeCell ref="F772:G772"/>
    <mergeCell ref="H772:J772"/>
    <mergeCell ref="B750:E750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C740:F740"/>
    <mergeCell ref="C741:F741"/>
    <mergeCell ref="H741:I742"/>
    <mergeCell ref="C742:F742"/>
    <mergeCell ref="C743:F743"/>
    <mergeCell ref="B744:E744"/>
    <mergeCell ref="A745:E745"/>
    <mergeCell ref="F745:G745"/>
    <mergeCell ref="A746:E746"/>
    <mergeCell ref="A747:E747"/>
    <mergeCell ref="F747:G747"/>
    <mergeCell ref="H747:J747"/>
    <mergeCell ref="B748:E748"/>
    <mergeCell ref="F748:G748"/>
    <mergeCell ref="H748:J748"/>
    <mergeCell ref="B749:E749"/>
    <mergeCell ref="F749:G749"/>
    <mergeCell ref="H749:J749"/>
    <mergeCell ref="C717:F717"/>
    <mergeCell ref="B718:E718"/>
    <mergeCell ref="A719:E719"/>
    <mergeCell ref="F719:G719"/>
    <mergeCell ref="A720:E720"/>
    <mergeCell ref="A721:E721"/>
    <mergeCell ref="F721:G721"/>
    <mergeCell ref="H721:J721"/>
    <mergeCell ref="B722:E722"/>
    <mergeCell ref="F722:G722"/>
    <mergeCell ref="H722:J722"/>
    <mergeCell ref="H707:J707"/>
    <mergeCell ref="A708:E709"/>
    <mergeCell ref="F708:G709"/>
    <mergeCell ref="H708:J709"/>
    <mergeCell ref="A710:J711"/>
    <mergeCell ref="C714:F714"/>
    <mergeCell ref="C715:F715"/>
    <mergeCell ref="H715:I716"/>
    <mergeCell ref="C716:F716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E706:F706"/>
    <mergeCell ref="G706:I706"/>
    <mergeCell ref="B698:E698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A694:E694"/>
    <mergeCell ref="A695:E695"/>
    <mergeCell ref="F695:G695"/>
    <mergeCell ref="H695:J695"/>
    <mergeCell ref="B696:E696"/>
    <mergeCell ref="F696:G696"/>
    <mergeCell ref="H696:J696"/>
    <mergeCell ref="B697:E697"/>
    <mergeCell ref="F697:G697"/>
    <mergeCell ref="H697:J697"/>
    <mergeCell ref="A684:J685"/>
    <mergeCell ref="C688:F688"/>
    <mergeCell ref="C689:F689"/>
    <mergeCell ref="H689:I690"/>
    <mergeCell ref="C690:F690"/>
    <mergeCell ref="C691:F691"/>
    <mergeCell ref="B692:E692"/>
    <mergeCell ref="A693:E693"/>
    <mergeCell ref="F693:G693"/>
    <mergeCell ref="F678:G678"/>
    <mergeCell ref="H678:J678"/>
    <mergeCell ref="F679:G679"/>
    <mergeCell ref="H679:J679"/>
    <mergeCell ref="E680:F680"/>
    <mergeCell ref="G680:I680"/>
    <mergeCell ref="H681:J681"/>
    <mergeCell ref="A682:E683"/>
    <mergeCell ref="F682:G683"/>
    <mergeCell ref="H682:J683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A487:E487"/>
    <mergeCell ref="F487:G487"/>
    <mergeCell ref="H487:J487"/>
    <mergeCell ref="B488:E488"/>
    <mergeCell ref="F488:G488"/>
    <mergeCell ref="H488:J488"/>
    <mergeCell ref="B489:E489"/>
    <mergeCell ref="F489:G489"/>
    <mergeCell ref="A502:J503"/>
    <mergeCell ref="C662:F662"/>
    <mergeCell ref="C663:F663"/>
    <mergeCell ref="H663:I664"/>
    <mergeCell ref="C664:F664"/>
    <mergeCell ref="C665:F665"/>
    <mergeCell ref="B666:E666"/>
    <mergeCell ref="A667:E667"/>
    <mergeCell ref="F667:G667"/>
    <mergeCell ref="H495:J495"/>
    <mergeCell ref="F496:G496"/>
    <mergeCell ref="H496:J496"/>
    <mergeCell ref="F497:G497"/>
    <mergeCell ref="H497:J497"/>
    <mergeCell ref="E498:F498"/>
    <mergeCell ref="G498:I498"/>
    <mergeCell ref="H499:J499"/>
    <mergeCell ref="A500:E501"/>
    <mergeCell ref="F500:G501"/>
    <mergeCell ref="H500:J501"/>
    <mergeCell ref="E654:F654"/>
    <mergeCell ref="G654:I654"/>
    <mergeCell ref="H655:J655"/>
    <mergeCell ref="A656:E657"/>
    <mergeCell ref="A736:J737"/>
    <mergeCell ref="H733:J733"/>
    <mergeCell ref="E732:F732"/>
    <mergeCell ref="G732:I732"/>
    <mergeCell ref="A734:E735"/>
    <mergeCell ref="F734:G735"/>
    <mergeCell ref="H734:J735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B723:E723"/>
    <mergeCell ref="F724:G724"/>
    <mergeCell ref="F726:G726"/>
    <mergeCell ref="H726:J726"/>
    <mergeCell ref="F727:G727"/>
    <mergeCell ref="H727:J727"/>
    <mergeCell ref="F723:G723"/>
    <mergeCell ref="H723:J723"/>
    <mergeCell ref="B724:E724"/>
    <mergeCell ref="H724:J724"/>
    <mergeCell ref="F725:G725"/>
    <mergeCell ref="H725:J725"/>
    <mergeCell ref="A668:E668"/>
    <mergeCell ref="A669:E669"/>
    <mergeCell ref="F669:G669"/>
    <mergeCell ref="H669:J669"/>
    <mergeCell ref="B670:E670"/>
    <mergeCell ref="F670:G670"/>
    <mergeCell ref="H670:J670"/>
    <mergeCell ref="B671:E671"/>
    <mergeCell ref="F671:G671"/>
    <mergeCell ref="H671:J671"/>
    <mergeCell ref="B672:E672"/>
    <mergeCell ref="F672:G672"/>
    <mergeCell ref="H672:J672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6:G657"/>
    <mergeCell ref="H656:J657"/>
    <mergeCell ref="A658:J659"/>
    <mergeCell ref="H646:J646"/>
    <mergeCell ref="F647:G647"/>
    <mergeCell ref="H647:J647"/>
    <mergeCell ref="F648:G648"/>
    <mergeCell ref="H648:J648"/>
    <mergeCell ref="C639:F639"/>
    <mergeCell ref="B640:E640"/>
    <mergeCell ref="A641:E641"/>
    <mergeCell ref="F641:G641"/>
    <mergeCell ref="A642:E642"/>
    <mergeCell ref="A643:E643"/>
    <mergeCell ref="F643:G643"/>
    <mergeCell ref="H643:J643"/>
    <mergeCell ref="B644:E644"/>
    <mergeCell ref="F644:G644"/>
    <mergeCell ref="H644:J644"/>
    <mergeCell ref="E628:F628"/>
    <mergeCell ref="G628:I628"/>
    <mergeCell ref="H629:J629"/>
    <mergeCell ref="A630:E631"/>
    <mergeCell ref="F630:G631"/>
    <mergeCell ref="H630:J631"/>
    <mergeCell ref="A632:J633"/>
    <mergeCell ref="C636:F636"/>
    <mergeCell ref="C637:F637"/>
    <mergeCell ref="H637:I638"/>
    <mergeCell ref="C638:F638"/>
    <mergeCell ref="B645:E645"/>
    <mergeCell ref="F645:G645"/>
    <mergeCell ref="H645:J645"/>
    <mergeCell ref="B646:E646"/>
    <mergeCell ref="F646:G646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B619:E619"/>
    <mergeCell ref="F619:G619"/>
    <mergeCell ref="H619:J619"/>
    <mergeCell ref="B620:E620"/>
    <mergeCell ref="F620:G620"/>
    <mergeCell ref="H620:J620"/>
    <mergeCell ref="F621:G621"/>
    <mergeCell ref="H621:J621"/>
    <mergeCell ref="F622:G622"/>
    <mergeCell ref="H622:J622"/>
    <mergeCell ref="C613:F613"/>
    <mergeCell ref="B614:E614"/>
    <mergeCell ref="A615:E615"/>
    <mergeCell ref="F615:G615"/>
    <mergeCell ref="A616:E616"/>
    <mergeCell ref="A617:E617"/>
    <mergeCell ref="F617:G617"/>
    <mergeCell ref="H617:J617"/>
    <mergeCell ref="B618:E618"/>
    <mergeCell ref="F618:G618"/>
    <mergeCell ref="H618:J618"/>
    <mergeCell ref="E602:F602"/>
    <mergeCell ref="G602:I602"/>
    <mergeCell ref="H603:J603"/>
    <mergeCell ref="A604:E605"/>
    <mergeCell ref="F604:G605"/>
    <mergeCell ref="H604:J605"/>
    <mergeCell ref="A606:J607"/>
    <mergeCell ref="C610:F610"/>
    <mergeCell ref="C611:F611"/>
    <mergeCell ref="H611:I612"/>
    <mergeCell ref="C612:F612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B593:E593"/>
    <mergeCell ref="F593:G593"/>
    <mergeCell ref="H593:J593"/>
    <mergeCell ref="B594:E594"/>
    <mergeCell ref="F594:G594"/>
    <mergeCell ref="H594:J594"/>
    <mergeCell ref="F595:G595"/>
    <mergeCell ref="H595:J595"/>
    <mergeCell ref="F596:G596"/>
    <mergeCell ref="H596:J596"/>
    <mergeCell ref="C587:F587"/>
    <mergeCell ref="B588:E588"/>
    <mergeCell ref="A589:E589"/>
    <mergeCell ref="F589:G589"/>
    <mergeCell ref="A590:E590"/>
    <mergeCell ref="A591:E591"/>
    <mergeCell ref="F591:G591"/>
    <mergeCell ref="H591:J591"/>
    <mergeCell ref="B592:E592"/>
    <mergeCell ref="F592:G592"/>
    <mergeCell ref="H592:J592"/>
    <mergeCell ref="E576:F576"/>
    <mergeCell ref="G576:I576"/>
    <mergeCell ref="H577:J577"/>
    <mergeCell ref="A578:E579"/>
    <mergeCell ref="F578:G579"/>
    <mergeCell ref="H578:J579"/>
    <mergeCell ref="A580:J581"/>
    <mergeCell ref="C584:F584"/>
    <mergeCell ref="C585:F585"/>
    <mergeCell ref="H585:I586"/>
    <mergeCell ref="C586:F586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B567:E567"/>
    <mergeCell ref="F567:G567"/>
    <mergeCell ref="H567:J567"/>
    <mergeCell ref="B568:E568"/>
    <mergeCell ref="F568:G568"/>
    <mergeCell ref="H568:J568"/>
    <mergeCell ref="F569:G569"/>
    <mergeCell ref="H569:J569"/>
    <mergeCell ref="F570:G570"/>
    <mergeCell ref="H570:J570"/>
    <mergeCell ref="C561:F561"/>
    <mergeCell ref="B562:E562"/>
    <mergeCell ref="A563:E563"/>
    <mergeCell ref="F563:G563"/>
    <mergeCell ref="A564:E564"/>
    <mergeCell ref="A565:E565"/>
    <mergeCell ref="F565:G565"/>
    <mergeCell ref="H565:J565"/>
    <mergeCell ref="B566:E566"/>
    <mergeCell ref="F566:G566"/>
    <mergeCell ref="H566:J566"/>
    <mergeCell ref="E550:F550"/>
    <mergeCell ref="G550:I550"/>
    <mergeCell ref="H551:J551"/>
    <mergeCell ref="A552:E553"/>
    <mergeCell ref="F552:G553"/>
    <mergeCell ref="H552:J553"/>
    <mergeCell ref="A554:J555"/>
    <mergeCell ref="C558:F558"/>
    <mergeCell ref="C559:F559"/>
    <mergeCell ref="H559:I560"/>
    <mergeCell ref="C560:F560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B541:E541"/>
    <mergeCell ref="F541:G541"/>
    <mergeCell ref="H541:J541"/>
    <mergeCell ref="B542:E542"/>
    <mergeCell ref="F542:G542"/>
    <mergeCell ref="H542:J542"/>
    <mergeCell ref="F543:G543"/>
    <mergeCell ref="H543:J543"/>
    <mergeCell ref="F544:G544"/>
    <mergeCell ref="H544:J544"/>
    <mergeCell ref="C535:F535"/>
    <mergeCell ref="B536:E536"/>
    <mergeCell ref="A537:E537"/>
    <mergeCell ref="F537:G537"/>
    <mergeCell ref="A538:E538"/>
    <mergeCell ref="A539:E539"/>
    <mergeCell ref="F539:G539"/>
    <mergeCell ref="H539:J539"/>
    <mergeCell ref="B540:E540"/>
    <mergeCell ref="F540:G540"/>
    <mergeCell ref="H540:J540"/>
    <mergeCell ref="E524:F524"/>
    <mergeCell ref="G524:I524"/>
    <mergeCell ref="H525:J525"/>
    <mergeCell ref="A526:E527"/>
    <mergeCell ref="F526:G527"/>
    <mergeCell ref="H526:J527"/>
    <mergeCell ref="A528:J529"/>
    <mergeCell ref="C532:F532"/>
    <mergeCell ref="C533:F533"/>
    <mergeCell ref="H533:I534"/>
    <mergeCell ref="C534:F534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B515:E515"/>
    <mergeCell ref="F515:G515"/>
    <mergeCell ref="H515:J515"/>
    <mergeCell ref="B516:E516"/>
    <mergeCell ref="F516:G516"/>
    <mergeCell ref="H516:J516"/>
    <mergeCell ref="F517:G517"/>
    <mergeCell ref="H517:J517"/>
    <mergeCell ref="F518:G518"/>
    <mergeCell ref="H518:J518"/>
    <mergeCell ref="C509:F509"/>
    <mergeCell ref="B510:E510"/>
    <mergeCell ref="A511:E511"/>
    <mergeCell ref="F511:G511"/>
    <mergeCell ref="A512:E512"/>
    <mergeCell ref="A513:E513"/>
    <mergeCell ref="F513:G513"/>
    <mergeCell ref="H513:J513"/>
    <mergeCell ref="B514:E514"/>
    <mergeCell ref="F514:G514"/>
    <mergeCell ref="H514:J514"/>
    <mergeCell ref="E472:F472"/>
    <mergeCell ref="G472:I472"/>
    <mergeCell ref="H473:J473"/>
    <mergeCell ref="A474:E475"/>
    <mergeCell ref="F474:G475"/>
    <mergeCell ref="H474:J475"/>
    <mergeCell ref="A476:J477"/>
    <mergeCell ref="C506:F506"/>
    <mergeCell ref="C507:F507"/>
    <mergeCell ref="H507:I508"/>
    <mergeCell ref="C508:F508"/>
    <mergeCell ref="H489:J489"/>
    <mergeCell ref="B490:E490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B463:E463"/>
    <mergeCell ref="F463:G463"/>
    <mergeCell ref="H463:J463"/>
    <mergeCell ref="B464:E464"/>
    <mergeCell ref="F464:G464"/>
    <mergeCell ref="H464:J464"/>
    <mergeCell ref="F465:G465"/>
    <mergeCell ref="H465:J465"/>
    <mergeCell ref="F466:G466"/>
    <mergeCell ref="H466:J466"/>
    <mergeCell ref="C480:F480"/>
    <mergeCell ref="C481:F481"/>
    <mergeCell ref="H481:I482"/>
    <mergeCell ref="C482:F482"/>
    <mergeCell ref="C483:F483"/>
    <mergeCell ref="B484:E484"/>
    <mergeCell ref="A485:E485"/>
    <mergeCell ref="F485:G485"/>
    <mergeCell ref="A486:E486"/>
    <mergeCell ref="C457:F457"/>
    <mergeCell ref="B458:E458"/>
    <mergeCell ref="A459:E459"/>
    <mergeCell ref="F459:G459"/>
    <mergeCell ref="A460:E460"/>
    <mergeCell ref="A461:E461"/>
    <mergeCell ref="F461:G461"/>
    <mergeCell ref="H461:J461"/>
    <mergeCell ref="B462:E462"/>
    <mergeCell ref="F462:G462"/>
    <mergeCell ref="H462:J462"/>
    <mergeCell ref="E446:F446"/>
    <mergeCell ref="G446:I446"/>
    <mergeCell ref="H447:J447"/>
    <mergeCell ref="A448:E449"/>
    <mergeCell ref="F448:G449"/>
    <mergeCell ref="H448:J449"/>
    <mergeCell ref="A450:J451"/>
    <mergeCell ref="C454:F454"/>
    <mergeCell ref="C455:F455"/>
    <mergeCell ref="H455:I456"/>
    <mergeCell ref="C456:F456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B437:E437"/>
    <mergeCell ref="F437:G437"/>
    <mergeCell ref="H437:J437"/>
    <mergeCell ref="B438:E438"/>
    <mergeCell ref="F438:G438"/>
    <mergeCell ref="H438:J438"/>
    <mergeCell ref="F439:G439"/>
    <mergeCell ref="H439:J439"/>
    <mergeCell ref="F440:G440"/>
    <mergeCell ref="H440:J440"/>
    <mergeCell ref="C431:F431"/>
    <mergeCell ref="B432:E432"/>
    <mergeCell ref="A433:E433"/>
    <mergeCell ref="F433:G433"/>
    <mergeCell ref="A434:E434"/>
    <mergeCell ref="A435:E435"/>
    <mergeCell ref="F435:G435"/>
    <mergeCell ref="H435:J435"/>
    <mergeCell ref="B436:E436"/>
    <mergeCell ref="F436:G436"/>
    <mergeCell ref="H436:J436"/>
    <mergeCell ref="E420:F420"/>
    <mergeCell ref="G420:I420"/>
    <mergeCell ref="H421:J421"/>
    <mergeCell ref="A422:E423"/>
    <mergeCell ref="F422:G423"/>
    <mergeCell ref="H422:J423"/>
    <mergeCell ref="A424:J425"/>
    <mergeCell ref="C428:F428"/>
    <mergeCell ref="C429:F429"/>
    <mergeCell ref="H429:I430"/>
    <mergeCell ref="C430:F430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B411:E411"/>
    <mergeCell ref="F411:G411"/>
    <mergeCell ref="H411:J411"/>
    <mergeCell ref="B412:E412"/>
    <mergeCell ref="F412:G412"/>
    <mergeCell ref="H412:J412"/>
    <mergeCell ref="F413:G413"/>
    <mergeCell ref="H413:J413"/>
    <mergeCell ref="F414:G414"/>
    <mergeCell ref="H414:J414"/>
    <mergeCell ref="C405:F405"/>
    <mergeCell ref="B406:E406"/>
    <mergeCell ref="A407:E407"/>
    <mergeCell ref="F407:G407"/>
    <mergeCell ref="A408:E408"/>
    <mergeCell ref="A409:E409"/>
    <mergeCell ref="F409:G409"/>
    <mergeCell ref="H409:J409"/>
    <mergeCell ref="B410:E410"/>
    <mergeCell ref="F410:G410"/>
    <mergeCell ref="H410:J410"/>
    <mergeCell ref="H395:J395"/>
    <mergeCell ref="A396:E397"/>
    <mergeCell ref="F396:G397"/>
    <mergeCell ref="H396:J397"/>
    <mergeCell ref="A398:J399"/>
    <mergeCell ref="C402:F402"/>
    <mergeCell ref="C403:F403"/>
    <mergeCell ref="H403:I404"/>
    <mergeCell ref="C404:F404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E394:F394"/>
    <mergeCell ref="G394:I394"/>
    <mergeCell ref="B386:E386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A383:E383"/>
    <mergeCell ref="F383:G383"/>
    <mergeCell ref="H383:J383"/>
    <mergeCell ref="B384:E384"/>
    <mergeCell ref="F384:G384"/>
    <mergeCell ref="H384:J384"/>
    <mergeCell ref="B385:E385"/>
    <mergeCell ref="F385:G385"/>
    <mergeCell ref="H385:J385"/>
    <mergeCell ref="C376:F376"/>
    <mergeCell ref="C377:F377"/>
    <mergeCell ref="H377:I378"/>
    <mergeCell ref="C378:F378"/>
    <mergeCell ref="C379:F379"/>
    <mergeCell ref="B380:E380"/>
    <mergeCell ref="A381:E381"/>
    <mergeCell ref="F381:G381"/>
    <mergeCell ref="A382:E382"/>
    <mergeCell ref="A158:J159"/>
    <mergeCell ref="B140:E140"/>
    <mergeCell ref="F152:G152"/>
    <mergeCell ref="H152:J152"/>
    <mergeCell ref="F153:G153"/>
    <mergeCell ref="H153:J153"/>
    <mergeCell ref="E154:F154"/>
    <mergeCell ref="G154:I154"/>
    <mergeCell ref="H155:J155"/>
    <mergeCell ref="A156:E157"/>
    <mergeCell ref="F156:G157"/>
    <mergeCell ref="H156:J157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B144:E144"/>
    <mergeCell ref="F144:G144"/>
    <mergeCell ref="H144:J144"/>
    <mergeCell ref="B145:E145"/>
    <mergeCell ref="F145:G145"/>
    <mergeCell ref="H145:J145"/>
    <mergeCell ref="B146:E146"/>
    <mergeCell ref="F146:G146"/>
    <mergeCell ref="H146:J146"/>
    <mergeCell ref="C136:F136"/>
    <mergeCell ref="C137:F137"/>
    <mergeCell ref="H137:I138"/>
    <mergeCell ref="C138:F138"/>
    <mergeCell ref="C139:F139"/>
    <mergeCell ref="A141:E141"/>
    <mergeCell ref="F141:G141"/>
    <mergeCell ref="A142:E142"/>
    <mergeCell ref="A143:E143"/>
    <mergeCell ref="F143:G143"/>
    <mergeCell ref="H143:J143"/>
    <mergeCell ref="C2:F2"/>
    <mergeCell ref="C3:F3"/>
    <mergeCell ref="H3:I4"/>
    <mergeCell ref="C4:F4"/>
    <mergeCell ref="C5:F5"/>
    <mergeCell ref="H9:J9"/>
    <mergeCell ref="B10:E10"/>
    <mergeCell ref="F10:G10"/>
    <mergeCell ref="H10:J10"/>
    <mergeCell ref="B11:E11"/>
    <mergeCell ref="F11:G11"/>
    <mergeCell ref="H11:J11"/>
    <mergeCell ref="A7:E7"/>
    <mergeCell ref="F7:G7"/>
    <mergeCell ref="A8:E8"/>
    <mergeCell ref="A9:E9"/>
    <mergeCell ref="F9:G9"/>
    <mergeCell ref="F14:G14"/>
    <mergeCell ref="H14:J14"/>
    <mergeCell ref="F15:G15"/>
    <mergeCell ref="H15:J15"/>
    <mergeCell ref="F16:G16"/>
    <mergeCell ref="H16:J16"/>
    <mergeCell ref="B12:E12"/>
    <mergeCell ref="F12:G12"/>
    <mergeCell ref="H12:J12"/>
    <mergeCell ref="F13:G13"/>
    <mergeCell ref="H13:J13"/>
    <mergeCell ref="E20:F20"/>
    <mergeCell ref="G20:I20"/>
    <mergeCell ref="H21:J21"/>
    <mergeCell ref="A22:E23"/>
    <mergeCell ref="F22:G23"/>
    <mergeCell ref="H22:J23"/>
    <mergeCell ref="F17:G17"/>
    <mergeCell ref="H17:J17"/>
    <mergeCell ref="F18:G18"/>
    <mergeCell ref="H18:J18"/>
    <mergeCell ref="F19:G19"/>
    <mergeCell ref="H19:J19"/>
    <mergeCell ref="C32:F32"/>
    <mergeCell ref="A34:E34"/>
    <mergeCell ref="F34:G34"/>
    <mergeCell ref="A35:E35"/>
    <mergeCell ref="A36:E36"/>
    <mergeCell ref="F36:G36"/>
    <mergeCell ref="A24:J25"/>
    <mergeCell ref="C29:F29"/>
    <mergeCell ref="C30:F30"/>
    <mergeCell ref="H30:I31"/>
    <mergeCell ref="C31:F31"/>
    <mergeCell ref="B39:E39"/>
    <mergeCell ref="F39:G39"/>
    <mergeCell ref="H39:J39"/>
    <mergeCell ref="F40:G40"/>
    <mergeCell ref="H40:J40"/>
    <mergeCell ref="H36:J36"/>
    <mergeCell ref="B37:E37"/>
    <mergeCell ref="F37:G37"/>
    <mergeCell ref="H37:J37"/>
    <mergeCell ref="B38:E38"/>
    <mergeCell ref="F38:G38"/>
    <mergeCell ref="H38:J38"/>
    <mergeCell ref="F44:G44"/>
    <mergeCell ref="H44:J44"/>
    <mergeCell ref="F45:G45"/>
    <mergeCell ref="H45:J45"/>
    <mergeCell ref="F46:G46"/>
    <mergeCell ref="H46:J46"/>
    <mergeCell ref="F41:G41"/>
    <mergeCell ref="H41:J41"/>
    <mergeCell ref="F42:G42"/>
    <mergeCell ref="H42:J42"/>
    <mergeCell ref="F43:G43"/>
    <mergeCell ref="H43:J43"/>
    <mergeCell ref="A51:J52"/>
    <mergeCell ref="C56:F56"/>
    <mergeCell ref="C57:F57"/>
    <mergeCell ref="H57:I58"/>
    <mergeCell ref="C58:F58"/>
    <mergeCell ref="E47:F47"/>
    <mergeCell ref="G47:I47"/>
    <mergeCell ref="H48:J48"/>
    <mergeCell ref="A49:E50"/>
    <mergeCell ref="F49:G50"/>
    <mergeCell ref="H49:J50"/>
    <mergeCell ref="H63:J63"/>
    <mergeCell ref="B64:E64"/>
    <mergeCell ref="F64:G64"/>
    <mergeCell ref="H64:J64"/>
    <mergeCell ref="B65:E65"/>
    <mergeCell ref="F65:G65"/>
    <mergeCell ref="H65:J65"/>
    <mergeCell ref="C59:F59"/>
    <mergeCell ref="A61:E61"/>
    <mergeCell ref="F61:G61"/>
    <mergeCell ref="A62:E62"/>
    <mergeCell ref="A63:E63"/>
    <mergeCell ref="F63:G63"/>
    <mergeCell ref="F68:G68"/>
    <mergeCell ref="H68:J68"/>
    <mergeCell ref="F69:G69"/>
    <mergeCell ref="H69:J69"/>
    <mergeCell ref="F70:G70"/>
    <mergeCell ref="H70:J70"/>
    <mergeCell ref="B66:E66"/>
    <mergeCell ref="F66:G66"/>
    <mergeCell ref="H66:J66"/>
    <mergeCell ref="F67:G67"/>
    <mergeCell ref="H67:J67"/>
    <mergeCell ref="E74:F74"/>
    <mergeCell ref="G74:I74"/>
    <mergeCell ref="H75:J75"/>
    <mergeCell ref="A76:E77"/>
    <mergeCell ref="F76:G77"/>
    <mergeCell ref="H76:J77"/>
    <mergeCell ref="F71:G71"/>
    <mergeCell ref="H71:J71"/>
    <mergeCell ref="F72:G72"/>
    <mergeCell ref="H72:J72"/>
    <mergeCell ref="F73:G73"/>
    <mergeCell ref="H73:J73"/>
    <mergeCell ref="C86:F86"/>
    <mergeCell ref="A88:E88"/>
    <mergeCell ref="F88:G88"/>
    <mergeCell ref="A89:E89"/>
    <mergeCell ref="A90:E90"/>
    <mergeCell ref="F90:G90"/>
    <mergeCell ref="A78:J79"/>
    <mergeCell ref="C83:F83"/>
    <mergeCell ref="C84:F84"/>
    <mergeCell ref="H84:I85"/>
    <mergeCell ref="C85:F85"/>
    <mergeCell ref="B93:E93"/>
    <mergeCell ref="F93:G93"/>
    <mergeCell ref="H93:J93"/>
    <mergeCell ref="F94:G94"/>
    <mergeCell ref="H94:J94"/>
    <mergeCell ref="H90:J90"/>
    <mergeCell ref="B91:E91"/>
    <mergeCell ref="F91:G91"/>
    <mergeCell ref="H91:J91"/>
    <mergeCell ref="B92:E92"/>
    <mergeCell ref="F92:G92"/>
    <mergeCell ref="H92:J92"/>
    <mergeCell ref="F98:G98"/>
    <mergeCell ref="H98:J98"/>
    <mergeCell ref="F99:G99"/>
    <mergeCell ref="H99:J99"/>
    <mergeCell ref="F100:G100"/>
    <mergeCell ref="H100:J100"/>
    <mergeCell ref="F95:G95"/>
    <mergeCell ref="H95:J95"/>
    <mergeCell ref="F96:G96"/>
    <mergeCell ref="H96:J96"/>
    <mergeCell ref="F97:G97"/>
    <mergeCell ref="H97:J97"/>
    <mergeCell ref="A105:J106"/>
    <mergeCell ref="C110:F110"/>
    <mergeCell ref="C111:F111"/>
    <mergeCell ref="H111:I112"/>
    <mergeCell ref="C112:F112"/>
    <mergeCell ref="E101:F101"/>
    <mergeCell ref="G101:I101"/>
    <mergeCell ref="H102:J102"/>
    <mergeCell ref="A103:E104"/>
    <mergeCell ref="F103:G104"/>
    <mergeCell ref="H103:J104"/>
    <mergeCell ref="H117:J117"/>
    <mergeCell ref="B118:E118"/>
    <mergeCell ref="F118:G118"/>
    <mergeCell ref="H118:J118"/>
    <mergeCell ref="B119:E119"/>
    <mergeCell ref="F119:G119"/>
    <mergeCell ref="H119:J119"/>
    <mergeCell ref="C113:F113"/>
    <mergeCell ref="A115:E115"/>
    <mergeCell ref="F115:G115"/>
    <mergeCell ref="A116:E116"/>
    <mergeCell ref="A117:E117"/>
    <mergeCell ref="F117:G117"/>
    <mergeCell ref="F122:G122"/>
    <mergeCell ref="H122:J122"/>
    <mergeCell ref="F123:G123"/>
    <mergeCell ref="H123:J123"/>
    <mergeCell ref="F124:G124"/>
    <mergeCell ref="H124:J124"/>
    <mergeCell ref="B120:E120"/>
    <mergeCell ref="F120:G120"/>
    <mergeCell ref="H120:J120"/>
    <mergeCell ref="F121:G121"/>
    <mergeCell ref="H121:J121"/>
    <mergeCell ref="A132:J133"/>
    <mergeCell ref="E128:F128"/>
    <mergeCell ref="G128:I128"/>
    <mergeCell ref="H129:J129"/>
    <mergeCell ref="A130:E131"/>
    <mergeCell ref="F130:G131"/>
    <mergeCell ref="H130:J131"/>
    <mergeCell ref="F125:G125"/>
    <mergeCell ref="H125:J125"/>
    <mergeCell ref="F126:G126"/>
    <mergeCell ref="H126:J126"/>
    <mergeCell ref="F127:G127"/>
    <mergeCell ref="H127:J127"/>
    <mergeCell ref="C162:F162"/>
    <mergeCell ref="C163:F163"/>
    <mergeCell ref="H163:I164"/>
    <mergeCell ref="C164:F164"/>
    <mergeCell ref="C165:F165"/>
    <mergeCell ref="B166:E166"/>
    <mergeCell ref="A167:E167"/>
    <mergeCell ref="F167:G167"/>
    <mergeCell ref="A168:E168"/>
    <mergeCell ref="A169:E169"/>
    <mergeCell ref="F169:G169"/>
    <mergeCell ref="H169:J169"/>
    <mergeCell ref="B170:E170"/>
    <mergeCell ref="F170:G170"/>
    <mergeCell ref="H170:J170"/>
    <mergeCell ref="B171:E171"/>
    <mergeCell ref="F171:G171"/>
    <mergeCell ref="H171:J171"/>
    <mergeCell ref="B172:E172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E180:F180"/>
    <mergeCell ref="G180:I180"/>
    <mergeCell ref="H181:J181"/>
    <mergeCell ref="A182:E183"/>
    <mergeCell ref="F182:G183"/>
    <mergeCell ref="H182:J183"/>
    <mergeCell ref="A184:J185"/>
    <mergeCell ref="C190:F190"/>
    <mergeCell ref="C191:F191"/>
    <mergeCell ref="H191:I192"/>
    <mergeCell ref="C192:F192"/>
    <mergeCell ref="C193:F193"/>
    <mergeCell ref="B194:E194"/>
    <mergeCell ref="A195:E195"/>
    <mergeCell ref="F195:G195"/>
    <mergeCell ref="A196:E196"/>
    <mergeCell ref="A197:E197"/>
    <mergeCell ref="F197:G197"/>
    <mergeCell ref="H197:J197"/>
    <mergeCell ref="B198:E198"/>
    <mergeCell ref="F198:G198"/>
    <mergeCell ref="H198:J198"/>
    <mergeCell ref="B199:E199"/>
    <mergeCell ref="F199:G199"/>
    <mergeCell ref="H199:J199"/>
    <mergeCell ref="B200:E200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E208:F208"/>
    <mergeCell ref="G208:I208"/>
    <mergeCell ref="H209:J209"/>
    <mergeCell ref="A210:E211"/>
    <mergeCell ref="F210:G211"/>
    <mergeCell ref="H210:J211"/>
    <mergeCell ref="A212:J213"/>
    <mergeCell ref="C216:F216"/>
    <mergeCell ref="C217:F217"/>
    <mergeCell ref="H217:I218"/>
    <mergeCell ref="C218:F218"/>
    <mergeCell ref="C219:F219"/>
    <mergeCell ref="B220:E220"/>
    <mergeCell ref="A221:E221"/>
    <mergeCell ref="F221:G221"/>
    <mergeCell ref="A222:E222"/>
    <mergeCell ref="A223:E223"/>
    <mergeCell ref="F223:G223"/>
    <mergeCell ref="H223:J223"/>
    <mergeCell ref="B224:E224"/>
    <mergeCell ref="F224:G224"/>
    <mergeCell ref="H224:J224"/>
    <mergeCell ref="B225:E225"/>
    <mergeCell ref="F225:G225"/>
    <mergeCell ref="H225:J225"/>
    <mergeCell ref="B226:E226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E234:F234"/>
    <mergeCell ref="G234:I234"/>
    <mergeCell ref="H235:J235"/>
    <mergeCell ref="A236:E237"/>
    <mergeCell ref="F236:G237"/>
    <mergeCell ref="H236:J237"/>
    <mergeCell ref="A238:J239"/>
    <mergeCell ref="C244:F244"/>
    <mergeCell ref="C245:F245"/>
    <mergeCell ref="H245:I246"/>
    <mergeCell ref="C246:F246"/>
    <mergeCell ref="C247:F247"/>
    <mergeCell ref="B248:E248"/>
    <mergeCell ref="A249:E249"/>
    <mergeCell ref="F249:G249"/>
    <mergeCell ref="A250:E250"/>
    <mergeCell ref="A251:E251"/>
    <mergeCell ref="F251:G251"/>
    <mergeCell ref="H251:J251"/>
    <mergeCell ref="B252:E252"/>
    <mergeCell ref="F252:G252"/>
    <mergeCell ref="H252:J252"/>
    <mergeCell ref="B253:E253"/>
    <mergeCell ref="F253:G253"/>
    <mergeCell ref="H253:J253"/>
    <mergeCell ref="B254:E254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E262:F262"/>
    <mergeCell ref="G262:I262"/>
    <mergeCell ref="H263:J263"/>
    <mergeCell ref="A264:E265"/>
    <mergeCell ref="F264:G265"/>
    <mergeCell ref="H264:J265"/>
    <mergeCell ref="A266:J267"/>
    <mergeCell ref="C270:F270"/>
    <mergeCell ref="C271:F271"/>
    <mergeCell ref="H271:I272"/>
    <mergeCell ref="C272:F272"/>
    <mergeCell ref="C273:F273"/>
    <mergeCell ref="B274:E274"/>
    <mergeCell ref="A275:E275"/>
    <mergeCell ref="F275:G275"/>
    <mergeCell ref="A276:E276"/>
    <mergeCell ref="A277:E277"/>
    <mergeCell ref="F277:G277"/>
    <mergeCell ref="H277:J277"/>
    <mergeCell ref="B278:E278"/>
    <mergeCell ref="F278:G278"/>
    <mergeCell ref="H278:J278"/>
    <mergeCell ref="B279:E279"/>
    <mergeCell ref="F279:G279"/>
    <mergeCell ref="H279:J279"/>
    <mergeCell ref="B280:E280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E288:F288"/>
    <mergeCell ref="G288:I288"/>
    <mergeCell ref="H289:J289"/>
    <mergeCell ref="A290:E291"/>
    <mergeCell ref="F290:G291"/>
    <mergeCell ref="H290:J291"/>
    <mergeCell ref="A292:J293"/>
    <mergeCell ref="C298:F298"/>
    <mergeCell ref="C299:F299"/>
    <mergeCell ref="H299:I300"/>
    <mergeCell ref="C300:F300"/>
    <mergeCell ref="C301:F301"/>
    <mergeCell ref="B302:E302"/>
    <mergeCell ref="A303:E303"/>
    <mergeCell ref="F303:G303"/>
    <mergeCell ref="A304:E304"/>
    <mergeCell ref="A305:E305"/>
    <mergeCell ref="F305:G305"/>
    <mergeCell ref="H305:J305"/>
    <mergeCell ref="B306:E306"/>
    <mergeCell ref="F306:G306"/>
    <mergeCell ref="H306:J306"/>
    <mergeCell ref="B307:E307"/>
    <mergeCell ref="F307:G307"/>
    <mergeCell ref="H307:J307"/>
    <mergeCell ref="B308:E308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E316:F316"/>
    <mergeCell ref="G316:I316"/>
    <mergeCell ref="H317:J317"/>
    <mergeCell ref="A318:E319"/>
    <mergeCell ref="F318:G319"/>
    <mergeCell ref="H318:J319"/>
    <mergeCell ref="A320:J321"/>
    <mergeCell ref="C324:F324"/>
    <mergeCell ref="C325:F325"/>
    <mergeCell ref="H325:I326"/>
    <mergeCell ref="C326:F326"/>
    <mergeCell ref="C327:F327"/>
    <mergeCell ref="B328:E328"/>
    <mergeCell ref="A329:E329"/>
    <mergeCell ref="F329:G329"/>
    <mergeCell ref="A330:E330"/>
    <mergeCell ref="A331:E331"/>
    <mergeCell ref="F331:G331"/>
    <mergeCell ref="H331:J331"/>
    <mergeCell ref="B332:E332"/>
    <mergeCell ref="F332:G332"/>
    <mergeCell ref="H332:J332"/>
    <mergeCell ref="B333:E333"/>
    <mergeCell ref="F333:G333"/>
    <mergeCell ref="H333:J333"/>
    <mergeCell ref="B334:E334"/>
    <mergeCell ref="F334:G334"/>
    <mergeCell ref="H334:J334"/>
    <mergeCell ref="F335:G335"/>
    <mergeCell ref="H335:J335"/>
    <mergeCell ref="F336:G336"/>
    <mergeCell ref="H336:J336"/>
    <mergeCell ref="E342:F342"/>
    <mergeCell ref="G342:I342"/>
    <mergeCell ref="H343:J343"/>
    <mergeCell ref="A344:E345"/>
    <mergeCell ref="F344:G345"/>
    <mergeCell ref="H344:J345"/>
    <mergeCell ref="A346:J347"/>
    <mergeCell ref="F337:G337"/>
    <mergeCell ref="H337:J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C350:F350"/>
    <mergeCell ref="C351:F351"/>
    <mergeCell ref="H351:I352"/>
    <mergeCell ref="C352:F352"/>
    <mergeCell ref="C353:F353"/>
    <mergeCell ref="B354:E354"/>
    <mergeCell ref="A355:E355"/>
    <mergeCell ref="F355:G355"/>
    <mergeCell ref="A356:E356"/>
    <mergeCell ref="A357:E357"/>
    <mergeCell ref="F357:G357"/>
    <mergeCell ref="H357:J357"/>
    <mergeCell ref="B358:E358"/>
    <mergeCell ref="F358:G358"/>
    <mergeCell ref="H358:J358"/>
    <mergeCell ref="B359:E359"/>
    <mergeCell ref="F359:G359"/>
    <mergeCell ref="H359:J359"/>
    <mergeCell ref="B360:E360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H369:J369"/>
    <mergeCell ref="A370:E371"/>
    <mergeCell ref="F370:G371"/>
    <mergeCell ref="H370:J371"/>
    <mergeCell ref="A372:J37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E368:F368"/>
    <mergeCell ref="G368:I368"/>
    <mergeCell ref="C1167:F1167"/>
    <mergeCell ref="C1168:F1168"/>
    <mergeCell ref="H1168:I1169"/>
    <mergeCell ref="C1169:F1169"/>
    <mergeCell ref="C1170:F1170"/>
    <mergeCell ref="B1171:E1171"/>
    <mergeCell ref="A1172:E1172"/>
    <mergeCell ref="F1172:G1172"/>
    <mergeCell ref="A1173:E1173"/>
    <mergeCell ref="F1173:G1173"/>
    <mergeCell ref="H1173:J1173"/>
    <mergeCell ref="A1174:E1174"/>
    <mergeCell ref="F1174:G1174"/>
    <mergeCell ref="H1174:J1174"/>
    <mergeCell ref="B1175:E1175"/>
    <mergeCell ref="F1175:G1175"/>
    <mergeCell ref="H1175:J1175"/>
    <mergeCell ref="B1176:E1176"/>
    <mergeCell ref="F1176:G1176"/>
    <mergeCell ref="H1176:J1176"/>
    <mergeCell ref="B1177:E1177"/>
    <mergeCell ref="F1177:G1177"/>
    <mergeCell ref="H1177:J1177"/>
    <mergeCell ref="F1178:G1178"/>
    <mergeCell ref="H1178:J1178"/>
    <mergeCell ref="F1179:G1179"/>
    <mergeCell ref="H1179:J1179"/>
    <mergeCell ref="F1180:G1180"/>
    <mergeCell ref="H1180:J1180"/>
    <mergeCell ref="F1181:G1181"/>
    <mergeCell ref="H1181:J1181"/>
    <mergeCell ref="F1182:G1182"/>
    <mergeCell ref="H1182:J1182"/>
    <mergeCell ref="F1183:G1183"/>
    <mergeCell ref="H1183:J1183"/>
    <mergeCell ref="F1184:G1184"/>
    <mergeCell ref="H1184:J1184"/>
    <mergeCell ref="E1185:F1185"/>
    <mergeCell ref="G1185:I1185"/>
    <mergeCell ref="H1186:J1186"/>
    <mergeCell ref="A1187:E1188"/>
    <mergeCell ref="F1187:G1188"/>
    <mergeCell ref="H1187:J1188"/>
    <mergeCell ref="A1189:J1190"/>
    <mergeCell ref="C1192:F1192"/>
    <mergeCell ref="C1193:F1193"/>
    <mergeCell ref="H1193:I1194"/>
    <mergeCell ref="C1194:F1194"/>
    <mergeCell ref="C1195:F1195"/>
    <mergeCell ref="B1196:E1196"/>
    <mergeCell ref="A1197:E1197"/>
    <mergeCell ref="F1197:G1197"/>
    <mergeCell ref="A1198:E1198"/>
    <mergeCell ref="F1198:G1198"/>
    <mergeCell ref="H1198:J1198"/>
    <mergeCell ref="A1199:E1199"/>
    <mergeCell ref="F1199:G1199"/>
    <mergeCell ref="H1199:J1199"/>
    <mergeCell ref="B1200:E1200"/>
    <mergeCell ref="F1200:G1200"/>
    <mergeCell ref="H1200:J1200"/>
    <mergeCell ref="B1201:E1201"/>
    <mergeCell ref="F1201:G1201"/>
    <mergeCell ref="H1201:J1201"/>
    <mergeCell ref="B1202:E1202"/>
    <mergeCell ref="F1202:G1202"/>
    <mergeCell ref="H1202:J1202"/>
    <mergeCell ref="F1203:G1203"/>
    <mergeCell ref="H1203:J1203"/>
    <mergeCell ref="F1204:G1204"/>
    <mergeCell ref="H1204:J1204"/>
    <mergeCell ref="F1205:G1205"/>
    <mergeCell ref="H1205:J1205"/>
    <mergeCell ref="F1206:G1206"/>
    <mergeCell ref="H1206:J1206"/>
    <mergeCell ref="F1207:G1207"/>
    <mergeCell ref="H1207:J1207"/>
    <mergeCell ref="F1208:G1208"/>
    <mergeCell ref="H1208:J1208"/>
    <mergeCell ref="F1209:G1209"/>
    <mergeCell ref="H1209:J1209"/>
    <mergeCell ref="E1210:F1210"/>
    <mergeCell ref="G1210:I1210"/>
    <mergeCell ref="H1211:J1211"/>
    <mergeCell ref="A1212:E1213"/>
    <mergeCell ref="F1212:G1213"/>
    <mergeCell ref="H1212:J1213"/>
    <mergeCell ref="A1214:J1215"/>
    <mergeCell ref="C1218:F1218"/>
    <mergeCell ref="C1219:F1219"/>
    <mergeCell ref="H1219:I1220"/>
    <mergeCell ref="C1220:F1220"/>
    <mergeCell ref="C1221:F1221"/>
    <mergeCell ref="B1222:E1222"/>
    <mergeCell ref="A1223:E1223"/>
    <mergeCell ref="F1223:G1223"/>
    <mergeCell ref="A1224:E1224"/>
    <mergeCell ref="A1225:E1225"/>
    <mergeCell ref="F1225:G1225"/>
    <mergeCell ref="H1225:J1225"/>
    <mergeCell ref="B1226:E1226"/>
    <mergeCell ref="F1226:G1226"/>
    <mergeCell ref="H1226:J1226"/>
    <mergeCell ref="B1227:E1227"/>
    <mergeCell ref="F1227:G1227"/>
    <mergeCell ref="H1227:J1227"/>
    <mergeCell ref="B1228:E1228"/>
    <mergeCell ref="F1228:G1228"/>
    <mergeCell ref="H1228:J1228"/>
    <mergeCell ref="F1229:G1229"/>
    <mergeCell ref="H1229:J1229"/>
    <mergeCell ref="F1230:G1230"/>
    <mergeCell ref="H1230:J1230"/>
    <mergeCell ref="F1231:G1231"/>
    <mergeCell ref="H1231:J1231"/>
    <mergeCell ref="F1232:G1232"/>
    <mergeCell ref="H1232:J1232"/>
    <mergeCell ref="F1233:G1233"/>
    <mergeCell ref="H1233:J1233"/>
    <mergeCell ref="F1234:G1234"/>
    <mergeCell ref="H1234:J1234"/>
    <mergeCell ref="F1235:G1235"/>
    <mergeCell ref="H1235:J1235"/>
    <mergeCell ref="E1236:F1236"/>
    <mergeCell ref="G1236:I1236"/>
    <mergeCell ref="H1237:J1237"/>
    <mergeCell ref="A1238:E1239"/>
    <mergeCell ref="F1238:G1239"/>
    <mergeCell ref="H1238:J1239"/>
    <mergeCell ref="A1240:J1241"/>
    <mergeCell ref="C1243:F1243"/>
    <mergeCell ref="C1244:F1244"/>
    <mergeCell ref="H1244:I1245"/>
    <mergeCell ref="C1245:F1245"/>
    <mergeCell ref="C1246:F1246"/>
    <mergeCell ref="B1247:E1247"/>
    <mergeCell ref="A1248:E1248"/>
    <mergeCell ref="F1248:G1248"/>
    <mergeCell ref="A1249:E1249"/>
    <mergeCell ref="A1250:E1250"/>
    <mergeCell ref="F1250:G1250"/>
    <mergeCell ref="H1250:J1250"/>
    <mergeCell ref="B1251:E1251"/>
    <mergeCell ref="F1251:G1251"/>
    <mergeCell ref="H1251:J1251"/>
    <mergeCell ref="B1252:E1252"/>
    <mergeCell ref="F1252:G1252"/>
    <mergeCell ref="H1252:J1252"/>
    <mergeCell ref="B1253:E1253"/>
    <mergeCell ref="F1253:G1253"/>
    <mergeCell ref="H1253:J1253"/>
    <mergeCell ref="F1254:G1254"/>
    <mergeCell ref="H1254:J1254"/>
    <mergeCell ref="F1255:G1255"/>
    <mergeCell ref="H1255:J1255"/>
    <mergeCell ref="F1256:G1256"/>
    <mergeCell ref="H1256:J1256"/>
    <mergeCell ref="F1257:G1257"/>
    <mergeCell ref="H1257:J1257"/>
    <mergeCell ref="F1258:G1258"/>
    <mergeCell ref="H1258:J1258"/>
    <mergeCell ref="F1259:G1259"/>
    <mergeCell ref="H1259:J1259"/>
    <mergeCell ref="F1260:G1260"/>
    <mergeCell ref="H1260:J1260"/>
    <mergeCell ref="E1261:F1261"/>
    <mergeCell ref="G1261:I1261"/>
    <mergeCell ref="H1262:J1262"/>
    <mergeCell ref="A1263:E1264"/>
    <mergeCell ref="F1263:G1264"/>
    <mergeCell ref="H1263:J1264"/>
    <mergeCell ref="A1265:J1266"/>
    <mergeCell ref="C1268:F1268"/>
    <mergeCell ref="C1269:F1269"/>
    <mergeCell ref="H1269:I1270"/>
    <mergeCell ref="C1270:F1270"/>
    <mergeCell ref="C1271:F1271"/>
    <mergeCell ref="B1272:E1272"/>
    <mergeCell ref="A1273:E1273"/>
    <mergeCell ref="F1273:G1273"/>
    <mergeCell ref="A1274:E1274"/>
    <mergeCell ref="A1275:E1275"/>
    <mergeCell ref="F1275:G1275"/>
    <mergeCell ref="H1275:J1275"/>
    <mergeCell ref="B1276:E1276"/>
    <mergeCell ref="F1276:G1276"/>
    <mergeCell ref="H1276:J1276"/>
    <mergeCell ref="B1277:E1277"/>
    <mergeCell ref="F1277:G1277"/>
    <mergeCell ref="H1277:J1277"/>
    <mergeCell ref="B1278:E1278"/>
    <mergeCell ref="F1278:G1278"/>
    <mergeCell ref="H1278:J1278"/>
    <mergeCell ref="F1279:G1279"/>
    <mergeCell ref="H1279:J1279"/>
    <mergeCell ref="F1280:G1280"/>
    <mergeCell ref="H1280:J1280"/>
    <mergeCell ref="F1281:G1281"/>
    <mergeCell ref="H1281:J1281"/>
    <mergeCell ref="F1282:G1282"/>
    <mergeCell ref="H1282:J1282"/>
    <mergeCell ref="F1283:G1283"/>
    <mergeCell ref="H1283:J1283"/>
    <mergeCell ref="F1284:G1284"/>
    <mergeCell ref="H1284:J1284"/>
    <mergeCell ref="F1285:G1285"/>
    <mergeCell ref="H1285:J1285"/>
    <mergeCell ref="E1286:F1286"/>
    <mergeCell ref="G1286:I1286"/>
    <mergeCell ref="H1287:J1287"/>
    <mergeCell ref="A1288:E1289"/>
    <mergeCell ref="F1288:G1289"/>
    <mergeCell ref="H1288:J1289"/>
    <mergeCell ref="A1290:J1291"/>
    <mergeCell ref="C1293:F1293"/>
    <mergeCell ref="C1294:F1294"/>
    <mergeCell ref="H1294:I1295"/>
    <mergeCell ref="C1295:F1295"/>
    <mergeCell ref="C1296:F1296"/>
    <mergeCell ref="B1297:E1297"/>
    <mergeCell ref="A1298:E1298"/>
    <mergeCell ref="F1298:G1298"/>
    <mergeCell ref="A1299:E1299"/>
    <mergeCell ref="A1300:E1300"/>
    <mergeCell ref="F1300:G1300"/>
    <mergeCell ref="H1300:J1300"/>
    <mergeCell ref="B1301:E1301"/>
    <mergeCell ref="F1301:G1301"/>
    <mergeCell ref="H1301:J1301"/>
    <mergeCell ref="B1302:E1302"/>
    <mergeCell ref="F1302:G1302"/>
    <mergeCell ref="H1302:J1302"/>
    <mergeCell ref="B1303:E1303"/>
    <mergeCell ref="F1303:G1303"/>
    <mergeCell ref="H1303:J1303"/>
    <mergeCell ref="F1304:G1304"/>
    <mergeCell ref="H1304:J1304"/>
    <mergeCell ref="F1305:G1305"/>
    <mergeCell ref="H1305:J1305"/>
    <mergeCell ref="F1306:G1306"/>
    <mergeCell ref="H1306:J1306"/>
    <mergeCell ref="F1307:G1307"/>
    <mergeCell ref="H1307:J1307"/>
    <mergeCell ref="F1308:G1308"/>
    <mergeCell ref="H1308:J1308"/>
    <mergeCell ref="F1309:G1309"/>
    <mergeCell ref="H1309:J1309"/>
    <mergeCell ref="F1310:G1310"/>
    <mergeCell ref="H1310:J1310"/>
    <mergeCell ref="E1311:F1311"/>
    <mergeCell ref="G1311:I1311"/>
    <mergeCell ref="H1312:J1312"/>
    <mergeCell ref="A1313:E1314"/>
    <mergeCell ref="F1313:G1314"/>
    <mergeCell ref="H1313:J1314"/>
    <mergeCell ref="A1315:J1316"/>
    <mergeCell ref="C1318:F1318"/>
    <mergeCell ref="C1319:F1319"/>
    <mergeCell ref="H1319:I1320"/>
    <mergeCell ref="C1320:F1320"/>
    <mergeCell ref="C1321:F1321"/>
    <mergeCell ref="B1322:E1322"/>
    <mergeCell ref="A1323:E1323"/>
    <mergeCell ref="F1323:G1323"/>
    <mergeCell ref="A1324:E1324"/>
    <mergeCell ref="A1325:E1325"/>
    <mergeCell ref="F1325:G1325"/>
    <mergeCell ref="H1325:J1325"/>
    <mergeCell ref="B1326:E1326"/>
    <mergeCell ref="F1326:G1326"/>
    <mergeCell ref="H1326:J1326"/>
    <mergeCell ref="B1327:E1327"/>
    <mergeCell ref="F1327:G1327"/>
    <mergeCell ref="H1327:J1327"/>
    <mergeCell ref="B1328:E1328"/>
    <mergeCell ref="F1328:G1328"/>
    <mergeCell ref="H1328:J1328"/>
    <mergeCell ref="F1329:G1329"/>
    <mergeCell ref="H1329:J1329"/>
    <mergeCell ref="F1330:G1330"/>
    <mergeCell ref="H1330:J1330"/>
    <mergeCell ref="F1331:G1331"/>
    <mergeCell ref="H1331:J1331"/>
    <mergeCell ref="F1332:G1332"/>
    <mergeCell ref="H1332:J1332"/>
    <mergeCell ref="F1333:G1333"/>
    <mergeCell ref="H1333:J1333"/>
    <mergeCell ref="F1334:G1334"/>
    <mergeCell ref="H1334:J1334"/>
    <mergeCell ref="F1335:G1335"/>
    <mergeCell ref="H1335:J1335"/>
    <mergeCell ref="E1336:F1336"/>
    <mergeCell ref="G1336:I1336"/>
    <mergeCell ref="H1337:J1337"/>
    <mergeCell ref="A1338:E1339"/>
    <mergeCell ref="F1338:G1339"/>
    <mergeCell ref="H1338:J1339"/>
    <mergeCell ref="A1340:J1341"/>
    <mergeCell ref="C1343:F1343"/>
    <mergeCell ref="C1344:F1344"/>
    <mergeCell ref="H1344:I1345"/>
    <mergeCell ref="C1345:F1345"/>
    <mergeCell ref="C1346:F1346"/>
    <mergeCell ref="B1347:E1347"/>
    <mergeCell ref="A1348:E1348"/>
    <mergeCell ref="F1348:G1348"/>
    <mergeCell ref="A1349:E1349"/>
    <mergeCell ref="A1350:E1350"/>
    <mergeCell ref="F1350:G1350"/>
    <mergeCell ref="H1350:J1350"/>
    <mergeCell ref="B1351:E1351"/>
    <mergeCell ref="F1351:G1351"/>
    <mergeCell ref="H1351:J1351"/>
    <mergeCell ref="B1352:E1352"/>
    <mergeCell ref="F1352:G1352"/>
    <mergeCell ref="H1352:J1352"/>
    <mergeCell ref="E1361:F1361"/>
    <mergeCell ref="G1361:I1361"/>
    <mergeCell ref="H1362:J1362"/>
    <mergeCell ref="A1363:E1364"/>
    <mergeCell ref="F1363:G1364"/>
    <mergeCell ref="H1363:J1364"/>
    <mergeCell ref="A1365:J1366"/>
    <mergeCell ref="B1353:E1353"/>
    <mergeCell ref="F1353:G1353"/>
    <mergeCell ref="H1353:J1353"/>
    <mergeCell ref="F1354:G1354"/>
    <mergeCell ref="H1354:J1354"/>
    <mergeCell ref="F1355:G1355"/>
    <mergeCell ref="H1355:J1355"/>
    <mergeCell ref="F1356:G1356"/>
    <mergeCell ref="H1356:J1356"/>
    <mergeCell ref="F1357:G1357"/>
    <mergeCell ref="H1357:J1357"/>
    <mergeCell ref="F1358:G1358"/>
    <mergeCell ref="H1358:J1358"/>
    <mergeCell ref="F1359:G1359"/>
    <mergeCell ref="H1359:J1359"/>
    <mergeCell ref="F1360:G1360"/>
    <mergeCell ref="H1360:J1360"/>
  </mergeCells>
  <pageMargins left="0.7" right="0.7" top="0.75" bottom="0.75" header="0.3" footer="0.3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4b9ec1-f1ed-4c2d-8f06-e465d44f7fe6" xsi:nil="true"/>
    <lcf76f155ced4ddcb4097134ff3c332f xmlns="e7be84e2-caba-498a-9078-d8746d9714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3B8095E610F46997987F627BA2050" ma:contentTypeVersion="10" ma:contentTypeDescription="Create a new document." ma:contentTypeScope="" ma:versionID="b3bbc42fd73bed8b4972cfac315545d1">
  <xsd:schema xmlns:xsd="http://www.w3.org/2001/XMLSchema" xmlns:xs="http://www.w3.org/2001/XMLSchema" xmlns:p="http://schemas.microsoft.com/office/2006/metadata/properties" xmlns:ns2="e7be84e2-caba-498a-9078-d8746d97147d" xmlns:ns3="364b9ec1-f1ed-4c2d-8f06-e465d44f7fe6" targetNamespace="http://schemas.microsoft.com/office/2006/metadata/properties" ma:root="true" ma:fieldsID="9231a099640da205526a21db75d4eba4" ns2:_="" ns3:_="">
    <xsd:import namespace="e7be84e2-caba-498a-9078-d8746d97147d"/>
    <xsd:import namespace="364b9ec1-f1ed-4c2d-8f06-e465d44f7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84e2-caba-498a-9078-d8746d971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a31d128-36c8-48a1-b877-06626d8c01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b9ec1-f1ed-4c2d-8f06-e465d44f7fe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885a4d-7bf0-40a2-bf99-a0ad98738be2}" ma:internalName="TaxCatchAll" ma:showField="CatchAllData" ma:web="364b9ec1-f1ed-4c2d-8f06-e465d44f7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DBF136-67B2-4F7C-9EC4-A52D91EA61CB}">
  <ds:schemaRefs>
    <ds:schemaRef ds:uri="http://schemas.microsoft.com/office/2006/metadata/properties"/>
    <ds:schemaRef ds:uri="http://schemas.microsoft.com/office/infopath/2007/PartnerControls"/>
    <ds:schemaRef ds:uri="364b9ec1-f1ed-4c2d-8f06-e465d44f7fe6"/>
    <ds:schemaRef ds:uri="e7be84e2-caba-498a-9078-d8746d97147d"/>
  </ds:schemaRefs>
</ds:datastoreItem>
</file>

<file path=customXml/itemProps2.xml><?xml version="1.0" encoding="utf-8"?>
<ds:datastoreItem xmlns:ds="http://schemas.openxmlformats.org/officeDocument/2006/customXml" ds:itemID="{17E31001-5311-4932-875D-58A8F28651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D054F9-7FAB-45B4-8D73-E1E19E3A8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be84e2-caba-498a-9078-d8746d97147d"/>
    <ds:schemaRef ds:uri="364b9ec1-f1ed-4c2d-8f06-e465d44f7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CAPTACIONES 2021 </vt:lpstr>
      <vt:lpstr>ASESORES EXTERNOS </vt:lpstr>
      <vt:lpstr>ASESORES INTERNOS</vt:lpstr>
      <vt:lpstr>CELULAR ASESORES </vt:lpstr>
      <vt:lpstr>DAHIANA COMISION</vt:lpstr>
      <vt:lpstr>ADMINISTRACIONES Y PORTERIAS</vt:lpstr>
      <vt:lpstr>CAJA MENOR SEDE BELLO </vt:lpstr>
      <vt:lpstr>INFORME 2021 DAHIANA</vt:lpstr>
      <vt:lpstr>DOCUMENTO EQUIVALENTE BELLO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ESTADISTA</cp:lastModifiedBy>
  <cp:revision/>
  <dcterms:created xsi:type="dcterms:W3CDTF">2021-01-06T15:49:26Z</dcterms:created>
  <dcterms:modified xsi:type="dcterms:W3CDTF">2022-10-18T22:09:49Z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0x01010096B3B8095E610F46997987F627BA2050</vt:lpwstr>
  </property>
</Properties>
</file>