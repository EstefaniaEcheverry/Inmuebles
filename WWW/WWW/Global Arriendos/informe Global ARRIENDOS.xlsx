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  <Override PartName="/xl/threadedComments/threadedComment7.xml" ContentType="application/vnd.ms-excel.threadedcomments+xml"/>
  <Override PartName="/xl/threadedComments/threadedComment8.xml" ContentType="application/vnd.ms-excel.threadedcomments+xml"/>
  <Override PartName="/xl/threadedComments/threadedComment9.xml" ContentType="application/vnd.ms-excel.threadedcomments+xml"/>
  <Override PartName="/xl/threadedComments/threadedComment10.xml" ContentType="application/vnd.ms-excel.threadedcomments+xml"/>
  <Override PartName="/xl/threadedComments/threadedComment1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Inmuebles Arrendados\Portada Inmobiliaria\Inmuebles_Arrendados\Global Arriendos\"/>
    </mc:Choice>
  </mc:AlternateContent>
  <xr:revisionPtr revIDLastSave="0" documentId="13_ncr:1_{44469883-EB55-44EF-8AD8-D629FB416B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LORES " sheetId="1" r:id="rId1"/>
    <sheet name="CALASANZ " sheetId="11" r:id="rId2"/>
    <sheet name="LAURELES " sheetId="2" r:id="rId3"/>
    <sheet name="POBLADO " sheetId="3" r:id="rId4"/>
    <sheet name="SABANETA " sheetId="4" r:id="rId5"/>
    <sheet name="ESTRELLA " sheetId="9" r:id="rId6"/>
    <sheet name="ENVIGADO" sheetId="5" r:id="rId7"/>
    <sheet name="REUNION " sheetId="8" state="hidden" r:id="rId8"/>
    <sheet name="MANTENIMIENTOS " sheetId="6" state="hidden" r:id="rId9"/>
    <sheet name="BELLO " sheetId="10" r:id="rId10"/>
    <sheet name="GLOBAL SEDES" sheetId="7" r:id="rId11"/>
  </sheets>
  <calcPr calcId="181029"/>
</workbook>
</file>

<file path=xl/calcChain.xml><?xml version="1.0" encoding="utf-8"?>
<calcChain xmlns="http://schemas.openxmlformats.org/spreadsheetml/2006/main">
  <c r="Q44" i="4" l="1"/>
  <c r="O59" i="5"/>
  <c r="O58" i="5"/>
  <c r="P58" i="5" s="1"/>
  <c r="O4" i="10"/>
  <c r="O5" i="10"/>
  <c r="O6" i="10"/>
  <c r="O7" i="10"/>
  <c r="O8" i="10"/>
  <c r="O9" i="10"/>
  <c r="O10" i="10"/>
  <c r="O11" i="10"/>
  <c r="O12" i="10"/>
  <c r="O3" i="10"/>
  <c r="O13" i="10"/>
  <c r="J7" i="10"/>
  <c r="J8" i="10"/>
  <c r="C3" i="10"/>
  <c r="D3" i="10"/>
  <c r="J3" i="10"/>
  <c r="K3" i="10"/>
  <c r="L3" i="10"/>
  <c r="M3" i="10"/>
  <c r="N3" i="10"/>
  <c r="O72" i="4"/>
  <c r="J71" i="4"/>
  <c r="J70" i="4"/>
  <c r="J69" i="4"/>
  <c r="O69" i="4"/>
  <c r="O70" i="4"/>
  <c r="O71" i="4"/>
  <c r="J68" i="4"/>
  <c r="O68" i="4"/>
  <c r="O67" i="4"/>
  <c r="J67" i="4"/>
  <c r="O115" i="2"/>
  <c r="I66" i="3"/>
  <c r="O64" i="3"/>
  <c r="O63" i="3"/>
  <c r="J62" i="3"/>
  <c r="O61" i="3"/>
  <c r="O62" i="3"/>
  <c r="O66" i="3"/>
  <c r="O67" i="3"/>
  <c r="O60" i="3"/>
  <c r="O6" i="11"/>
  <c r="O100" i="1"/>
  <c r="O94" i="1"/>
  <c r="J94" i="1"/>
  <c r="O71" i="3"/>
  <c r="O72" i="3"/>
  <c r="O33" i="9"/>
  <c r="O34" i="9"/>
  <c r="O35" i="9"/>
  <c r="O36" i="9"/>
  <c r="O37" i="9"/>
  <c r="O38" i="9"/>
  <c r="O39" i="9"/>
  <c r="O40" i="9"/>
  <c r="O41" i="9"/>
  <c r="O42" i="9"/>
  <c r="O32" i="9"/>
  <c r="P65" i="5"/>
  <c r="P66" i="5"/>
  <c r="P67" i="5"/>
  <c r="P68" i="5"/>
  <c r="O68" i="5"/>
  <c r="J68" i="5"/>
  <c r="O65" i="5"/>
  <c r="O66" i="5"/>
  <c r="O67" i="5"/>
  <c r="O61" i="5"/>
  <c r="O63" i="5"/>
  <c r="O57" i="5"/>
  <c r="O106" i="2"/>
  <c r="O105" i="2"/>
  <c r="O114" i="2"/>
  <c r="O113" i="2"/>
  <c r="O100" i="2"/>
  <c r="O101" i="2"/>
  <c r="O102" i="2"/>
  <c r="O104" i="2"/>
  <c r="O99" i="2"/>
  <c r="O2" i="11"/>
  <c r="J103" i="1"/>
  <c r="O91" i="1"/>
  <c r="O92" i="1"/>
  <c r="O93" i="1"/>
  <c r="O102" i="1"/>
  <c r="O101" i="1"/>
  <c r="J77" i="7"/>
  <c r="J78" i="7"/>
  <c r="J79" i="7"/>
  <c r="H87" i="7"/>
  <c r="G87" i="7"/>
  <c r="F87" i="7"/>
  <c r="E87" i="7"/>
  <c r="D87" i="7"/>
  <c r="C87" i="7"/>
  <c r="B87" i="7"/>
  <c r="O46" i="9"/>
  <c r="O47" i="9"/>
  <c r="O45" i="9"/>
  <c r="O76" i="4"/>
  <c r="O77" i="4"/>
  <c r="O75" i="4"/>
  <c r="O70" i="3"/>
  <c r="O69" i="3"/>
  <c r="O9" i="11"/>
  <c r="O10" i="11"/>
  <c r="O8" i="11"/>
  <c r="O109" i="2"/>
  <c r="O110" i="2"/>
  <c r="O108" i="2"/>
  <c r="P63" i="5"/>
  <c r="P59" i="5"/>
  <c r="P61" i="5"/>
  <c r="J76" i="7"/>
  <c r="I87" i="7"/>
  <c r="J80" i="7"/>
  <c r="J81" i="7"/>
  <c r="J82" i="7"/>
  <c r="O90" i="1"/>
  <c r="O97" i="1"/>
  <c r="O98" i="1"/>
  <c r="O99" i="1"/>
  <c r="O89" i="1"/>
  <c r="O90" i="2"/>
  <c r="O91" i="2"/>
  <c r="O92" i="2"/>
  <c r="O93" i="2"/>
  <c r="O94" i="2"/>
  <c r="O95" i="2"/>
  <c r="O89" i="2"/>
  <c r="O81" i="2"/>
  <c r="O82" i="2"/>
  <c r="O83" i="2"/>
  <c r="O84" i="2"/>
  <c r="O85" i="2"/>
  <c r="O86" i="2"/>
  <c r="O87" i="2"/>
  <c r="O80" i="2"/>
  <c r="O41" i="5"/>
  <c r="O42" i="5"/>
  <c r="O43" i="5"/>
  <c r="O44" i="5"/>
  <c r="O45" i="5"/>
  <c r="O47" i="5"/>
  <c r="O48" i="5"/>
  <c r="O49" i="5"/>
  <c r="O50" i="5"/>
  <c r="O51" i="5"/>
  <c r="O52" i="5"/>
  <c r="O53" i="5"/>
  <c r="O40" i="5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49" i="4"/>
  <c r="O18" i="1"/>
  <c r="O19" i="1"/>
  <c r="O20" i="1"/>
  <c r="O21" i="1"/>
  <c r="O22" i="1"/>
  <c r="O23" i="1"/>
  <c r="O25" i="1"/>
  <c r="O27" i="1"/>
  <c r="O28" i="1"/>
  <c r="O29" i="1"/>
  <c r="O30" i="1"/>
  <c r="O32" i="1"/>
  <c r="O34" i="1"/>
  <c r="P40" i="1"/>
  <c r="P41" i="1"/>
  <c r="P42" i="1"/>
  <c r="P43" i="1"/>
  <c r="P44" i="1"/>
  <c r="P46" i="1"/>
  <c r="P47" i="1"/>
  <c r="P49" i="1"/>
  <c r="P50" i="1"/>
  <c r="P51" i="1"/>
  <c r="P52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47" i="3"/>
  <c r="P47" i="3"/>
  <c r="J75" i="7"/>
  <c r="J87" i="7" s="1"/>
  <c r="H51" i="7"/>
  <c r="H50" i="7"/>
  <c r="H49" i="7"/>
  <c r="H48" i="7"/>
  <c r="H47" i="7"/>
  <c r="H46" i="7"/>
  <c r="P67" i="2"/>
  <c r="O66" i="2"/>
  <c r="P66" i="2" s="1"/>
  <c r="O73" i="2"/>
  <c r="P73" i="2" s="1"/>
  <c r="O74" i="2"/>
  <c r="P74" i="2" s="1"/>
  <c r="O76" i="2"/>
  <c r="P76" i="2" s="1"/>
  <c r="O70" i="2"/>
  <c r="P70" i="2"/>
  <c r="R48" i="1"/>
  <c r="P39" i="3"/>
  <c r="P38" i="3"/>
  <c r="P34" i="3"/>
  <c r="P35" i="3"/>
  <c r="P36" i="3"/>
  <c r="P33" i="3"/>
  <c r="O53" i="3"/>
  <c r="P53" i="3" s="1"/>
  <c r="O52" i="3"/>
  <c r="P52" i="3" s="1"/>
  <c r="O46" i="3"/>
  <c r="P46" i="3" s="1"/>
  <c r="O45" i="3"/>
  <c r="P45" i="3" s="1"/>
  <c r="O44" i="3"/>
  <c r="P44" i="3" s="1"/>
  <c r="O43" i="3"/>
  <c r="P43" i="3" s="1"/>
  <c r="P56" i="2"/>
  <c r="P55" i="2"/>
  <c r="P54" i="2"/>
  <c r="P52" i="2"/>
  <c r="P50" i="2"/>
  <c r="P49" i="2"/>
  <c r="O72" i="2"/>
  <c r="P72" i="2" s="1"/>
  <c r="O71" i="2"/>
  <c r="P71" i="2" s="1"/>
  <c r="O68" i="2"/>
  <c r="P68" i="2" s="1"/>
  <c r="O65" i="2"/>
  <c r="P65" i="2" s="1"/>
  <c r="O64" i="2"/>
  <c r="P64" i="2" s="1"/>
  <c r="O63" i="2"/>
  <c r="P63" i="2" s="1"/>
  <c r="O62" i="2"/>
  <c r="P62" i="2" s="1"/>
  <c r="O61" i="2"/>
  <c r="P61" i="2" s="1"/>
  <c r="Q45" i="1"/>
  <c r="Q48" i="1"/>
  <c r="Q47" i="1"/>
  <c r="Q44" i="1"/>
  <c r="Q43" i="1"/>
  <c r="Q42" i="1"/>
  <c r="Q41" i="1"/>
  <c r="Q40" i="1"/>
  <c r="Q51" i="1"/>
  <c r="Q50" i="1"/>
  <c r="Q46" i="1"/>
  <c r="B64" i="7"/>
  <c r="G71" i="7"/>
  <c r="F71" i="7"/>
  <c r="E71" i="7"/>
  <c r="D71" i="7"/>
  <c r="C71" i="7"/>
  <c r="G70" i="7"/>
  <c r="F70" i="7"/>
  <c r="E70" i="7"/>
  <c r="D70" i="7"/>
  <c r="C70" i="7"/>
  <c r="G69" i="7"/>
  <c r="F69" i="7"/>
  <c r="E69" i="7"/>
  <c r="D69" i="7"/>
  <c r="C69" i="7"/>
  <c r="G68" i="7"/>
  <c r="F68" i="7"/>
  <c r="E68" i="7"/>
  <c r="D68" i="7"/>
  <c r="C68" i="7"/>
  <c r="G67" i="7"/>
  <c r="F67" i="7"/>
  <c r="E67" i="7"/>
  <c r="D67" i="7"/>
  <c r="C67" i="7"/>
  <c r="G66" i="7"/>
  <c r="F66" i="7"/>
  <c r="E66" i="7"/>
  <c r="D66" i="7"/>
  <c r="C66" i="7"/>
  <c r="G65" i="7"/>
  <c r="F65" i="7"/>
  <c r="E65" i="7"/>
  <c r="D65" i="7"/>
  <c r="C65" i="7"/>
  <c r="G64" i="7"/>
  <c r="F64" i="7"/>
  <c r="E64" i="7"/>
  <c r="D64" i="7"/>
  <c r="C64" i="7"/>
  <c r="G63" i="7"/>
  <c r="F63" i="7"/>
  <c r="E63" i="7"/>
  <c r="D63" i="7"/>
  <c r="C63" i="7"/>
  <c r="G62" i="7"/>
  <c r="F62" i="7"/>
  <c r="E62" i="7"/>
  <c r="D62" i="7"/>
  <c r="C62" i="7"/>
  <c r="G61" i="7"/>
  <c r="F61" i="7"/>
  <c r="E61" i="7"/>
  <c r="D61" i="7"/>
  <c r="C61" i="7"/>
  <c r="G60" i="7"/>
  <c r="F60" i="7"/>
  <c r="E60" i="7"/>
  <c r="D60" i="7"/>
  <c r="B71" i="7"/>
  <c r="H71" i="7" s="1"/>
  <c r="B70" i="7"/>
  <c r="H70" i="7" s="1"/>
  <c r="B69" i="7"/>
  <c r="H69" i="7" s="1"/>
  <c r="B68" i="7"/>
  <c r="H68" i="7" s="1"/>
  <c r="B67" i="7"/>
  <c r="H67" i="7" s="1"/>
  <c r="B66" i="7"/>
  <c r="H66" i="7" s="1"/>
  <c r="B65" i="7"/>
  <c r="H65" i="7" s="1"/>
  <c r="B63" i="7"/>
  <c r="H63" i="7" s="1"/>
  <c r="B62" i="7"/>
  <c r="H62" i="7" s="1"/>
  <c r="B61" i="7"/>
  <c r="H61" i="7" s="1"/>
  <c r="B60" i="7"/>
  <c r="H60" i="7" s="1"/>
  <c r="G17" i="7"/>
  <c r="F17" i="7"/>
  <c r="E17" i="7"/>
  <c r="D17" i="7"/>
  <c r="C17" i="7"/>
  <c r="B17" i="7"/>
  <c r="G36" i="7"/>
  <c r="F36" i="7"/>
  <c r="E36" i="7"/>
  <c r="D36" i="7"/>
  <c r="C36" i="7"/>
  <c r="B36" i="7"/>
  <c r="G55" i="7"/>
  <c r="G54" i="7"/>
  <c r="F55" i="7"/>
  <c r="F54" i="7"/>
  <c r="E55" i="7"/>
  <c r="E54" i="7"/>
  <c r="D55" i="7"/>
  <c r="D54" i="7"/>
  <c r="B55" i="7"/>
  <c r="B54" i="7"/>
  <c r="B53" i="7"/>
  <c r="G53" i="7"/>
  <c r="F53" i="7"/>
  <c r="E53" i="7"/>
  <c r="D53" i="7"/>
  <c r="C53" i="7"/>
  <c r="H42" i="7"/>
  <c r="H43" i="7"/>
  <c r="H44" i="7"/>
  <c r="H45" i="7"/>
  <c r="P29" i="5"/>
  <c r="P30" i="5"/>
  <c r="P31" i="5"/>
  <c r="P32" i="5"/>
  <c r="Q32" i="5" s="1"/>
  <c r="P34" i="5"/>
  <c r="P35" i="5"/>
  <c r="P36" i="5"/>
  <c r="P45" i="4"/>
  <c r="Q45" i="4" s="1"/>
  <c r="P44" i="4"/>
  <c r="P42" i="4"/>
  <c r="P38" i="4"/>
  <c r="P39" i="4"/>
  <c r="P40" i="4"/>
  <c r="P41" i="4"/>
  <c r="H64" i="7" l="1"/>
  <c r="P51" i="2"/>
  <c r="Q49" i="1"/>
  <c r="Q52" i="1"/>
  <c r="H41" i="7" l="1"/>
  <c r="Q26" i="9"/>
  <c r="Q25" i="9"/>
  <c r="Q21" i="9"/>
  <c r="Q20" i="9"/>
  <c r="Q19" i="9"/>
  <c r="Q18" i="9"/>
  <c r="P17" i="9"/>
  <c r="Q17" i="9" s="1"/>
  <c r="Q36" i="5" l="1"/>
  <c r="Q35" i="5"/>
  <c r="Q34" i="5"/>
  <c r="Q31" i="5"/>
  <c r="Q30" i="5"/>
  <c r="Q29" i="5"/>
  <c r="P28" i="5"/>
  <c r="Q28" i="5" s="1"/>
  <c r="Q42" i="4"/>
  <c r="Q40" i="4"/>
  <c r="Q39" i="4"/>
  <c r="Q38" i="4"/>
  <c r="P37" i="4"/>
  <c r="Q37" i="4" s="1"/>
  <c r="Q39" i="3"/>
  <c r="Q38" i="3"/>
  <c r="Q36" i="3"/>
  <c r="Q35" i="3"/>
  <c r="Q34" i="3"/>
  <c r="Q33" i="3"/>
  <c r="P32" i="3"/>
  <c r="Q32" i="3" s="1"/>
  <c r="Q54" i="2"/>
  <c r="Q55" i="2"/>
  <c r="Q56" i="2"/>
  <c r="Q50" i="2" l="1"/>
  <c r="Q51" i="2"/>
  <c r="Q52" i="2"/>
  <c r="Q49" i="2"/>
  <c r="P45" i="2"/>
  <c r="P43" i="2"/>
  <c r="P42" i="2"/>
  <c r="P41" i="2"/>
  <c r="P37" i="2"/>
  <c r="P36" i="2"/>
  <c r="P35" i="2"/>
  <c r="P34" i="2"/>
  <c r="P33" i="2"/>
  <c r="H33" i="7" l="1"/>
  <c r="H32" i="7" l="1"/>
  <c r="H31" i="7"/>
  <c r="H30" i="7"/>
  <c r="H29" i="7"/>
  <c r="H27" i="7"/>
  <c r="H28" i="7"/>
  <c r="N33" i="1"/>
  <c r="P7" i="9"/>
  <c r="P4" i="9"/>
  <c r="P20" i="5"/>
  <c r="P28" i="3" l="1"/>
  <c r="P27" i="3" l="1"/>
  <c r="P22" i="5" l="1"/>
  <c r="P29" i="2" l="1"/>
  <c r="P8" i="9" l="1"/>
  <c r="P13" i="9"/>
  <c r="H60" i="8"/>
  <c r="G60" i="8"/>
  <c r="F60" i="8"/>
  <c r="P31" i="4"/>
  <c r="Z27" i="8"/>
  <c r="AB27" i="8"/>
  <c r="AC10" i="8"/>
  <c r="Z10" i="8"/>
  <c r="P12" i="9"/>
  <c r="P11" i="9"/>
  <c r="P6" i="9"/>
  <c r="P5" i="9"/>
  <c r="P3" i="9"/>
  <c r="D60" i="8"/>
  <c r="T27" i="8"/>
  <c r="V27" i="8"/>
  <c r="W10" i="8"/>
  <c r="T10" i="8"/>
  <c r="H25" i="7"/>
  <c r="E60" i="8"/>
  <c r="B60" i="8"/>
  <c r="N27" i="8"/>
  <c r="P27" i="8"/>
  <c r="B27" i="8"/>
  <c r="D27" i="8"/>
  <c r="J26" i="8"/>
  <c r="Q10" i="8"/>
  <c r="N10" i="8"/>
  <c r="K10" i="8"/>
  <c r="H10" i="8"/>
  <c r="L10" i="8"/>
  <c r="E10" i="8"/>
  <c r="B10" i="8"/>
  <c r="F10" i="8"/>
  <c r="G35" i="7"/>
  <c r="F35" i="7"/>
  <c r="E35" i="7"/>
  <c r="D35" i="7"/>
  <c r="C35" i="7"/>
  <c r="B35" i="7"/>
  <c r="H24" i="7"/>
  <c r="H23" i="7"/>
  <c r="H22" i="7"/>
  <c r="H35" i="7" s="1"/>
  <c r="H4" i="7"/>
  <c r="H5" i="7"/>
  <c r="H6" i="7"/>
  <c r="H7" i="7"/>
  <c r="H8" i="7"/>
  <c r="H9" i="7"/>
  <c r="H10" i="7"/>
  <c r="H11" i="7"/>
  <c r="H12" i="7"/>
  <c r="H13" i="7"/>
  <c r="H14" i="7"/>
  <c r="H15" i="7"/>
  <c r="H17" i="7"/>
  <c r="G16" i="7"/>
  <c r="F16" i="7"/>
  <c r="E16" i="7"/>
  <c r="D16" i="7"/>
  <c r="C16" i="7"/>
  <c r="B16" i="7"/>
  <c r="O17" i="6"/>
  <c r="O18" i="6"/>
  <c r="O19" i="6"/>
  <c r="O20" i="6"/>
  <c r="O21" i="6"/>
  <c r="O22" i="6"/>
  <c r="O16" i="6"/>
  <c r="N4" i="6"/>
  <c r="N5" i="6"/>
  <c r="N6" i="6"/>
  <c r="N7" i="6"/>
  <c r="N8" i="6"/>
  <c r="N9" i="6"/>
  <c r="N10" i="6"/>
  <c r="N11" i="6"/>
  <c r="M12" i="6"/>
  <c r="N12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P23" i="5"/>
  <c r="P21" i="5"/>
  <c r="P18" i="5"/>
  <c r="P17" i="5"/>
  <c r="P16" i="5"/>
  <c r="P15" i="5"/>
  <c r="P14" i="5"/>
  <c r="O10" i="5"/>
  <c r="O9" i="5"/>
  <c r="O7" i="5"/>
  <c r="O6" i="5"/>
  <c r="O5" i="5"/>
  <c r="O4" i="5"/>
  <c r="O3" i="5"/>
  <c r="P30" i="4"/>
  <c r="P29" i="4"/>
  <c r="P27" i="4"/>
  <c r="P26" i="4"/>
  <c r="P25" i="4"/>
  <c r="P24" i="4"/>
  <c r="P23" i="4"/>
  <c r="O19" i="4"/>
  <c r="O18" i="4"/>
  <c r="O17" i="4"/>
  <c r="O16" i="4"/>
  <c r="O15" i="4"/>
  <c r="O14" i="4"/>
  <c r="O13" i="4"/>
  <c r="O11" i="4"/>
  <c r="O10" i="4"/>
  <c r="O9" i="4"/>
  <c r="O7" i="4"/>
  <c r="O6" i="4"/>
  <c r="O5" i="4"/>
  <c r="O4" i="4"/>
  <c r="O3" i="4"/>
  <c r="P26" i="3"/>
  <c r="P25" i="3"/>
  <c r="P23" i="3"/>
  <c r="P22" i="3"/>
  <c r="P21" i="3"/>
  <c r="P20" i="3"/>
  <c r="P19" i="3"/>
  <c r="P17" i="3"/>
  <c r="O14" i="3"/>
  <c r="O12" i="3"/>
  <c r="O9" i="3"/>
  <c r="O8" i="3"/>
  <c r="O7" i="3"/>
  <c r="O6" i="3"/>
  <c r="O5" i="3"/>
  <c r="O4" i="3"/>
  <c r="O3" i="3"/>
  <c r="P27" i="2"/>
  <c r="P26" i="2"/>
  <c r="P25" i="2"/>
  <c r="P21" i="2"/>
  <c r="P20" i="2"/>
  <c r="P19" i="2"/>
  <c r="P18" i="2"/>
  <c r="P17" i="2"/>
  <c r="O13" i="2"/>
  <c r="O12" i="2"/>
  <c r="O11" i="2"/>
  <c r="O8" i="2"/>
  <c r="O7" i="2"/>
  <c r="O6" i="2"/>
  <c r="O5" i="2"/>
  <c r="O4" i="2"/>
  <c r="O3" i="2"/>
  <c r="N14" i="1"/>
  <c r="N13" i="1"/>
  <c r="N12" i="1"/>
  <c r="N4" i="1"/>
  <c r="N5" i="1"/>
  <c r="N6" i="1"/>
  <c r="N7" i="1"/>
  <c r="N3" i="1"/>
  <c r="N8" i="1" l="1"/>
  <c r="O3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tc={8C207CC7-D1D5-4D4B-B04D-D9033837F474}</author>
    <author>tc={5784819C-81C6-486F-BE6F-E46AB621E0BF}</author>
    <author>tc={D2DADF0C-A0FD-4DD8-BD7E-97409A27B087}</author>
    <author>tc={01DED00E-DFE3-420D-BF4D-7C1C9539FE07}</author>
    <author>tc={CA8C2798-5380-4D5E-82CF-7B09D4EE96DB}</author>
    <author>tc={B054454B-07C0-4159-B89C-C19D21DBA6BC}</author>
    <author>tc={3911380A-0139-4636-A1D1-A63358C61AF0}</author>
    <author>tc={30000ACB-84F6-4D22-9A22-D6DC2915AAEF}</author>
    <author>tc={E427800A-5519-4C43-8592-8BE9C66269AD}</author>
    <author>tc={6D7BF572-80A2-4EBA-9A02-EB6F3D6EDFCF}</author>
    <author>tc={3F1251AB-41DB-4539-AB1D-5762E01DDA8B}</author>
    <author>tc={E81FB33F-ED9A-4FC8-BCA4-5272077FA5AC}</author>
    <author>tc={49A5B2E4-845B-4F5E-9C66-4A70EE82146C}</author>
    <author>tc={BA3F4F89-F41A-41A4-8566-3D9613662AC4}</author>
    <author>tc={BF5EE6D6-F817-46C0-BC41-D075FEBDFAF4}</author>
    <author>tc={32F7917F-8EAF-4118-B781-DD17CFE76AEC}</author>
    <author>tc={183395EE-40D2-498E-8268-1EB5CC880F1B}</author>
    <author>tc={4F45C618-AB0B-4E69-88BB-C95944D4274E}</author>
    <author>tc={AE2578A9-4CD6-4A82-A6D5-B887997D6CE6}</author>
    <author>tc={E892C6AE-7F6B-4FC5-BC32-7AD68606B40A}</author>
    <author>tc={5130B8BE-48CD-45F1-8FA1-E20464CC992C}</author>
    <author>tc={73749507-3C5C-46A9-9159-264B7D001404}</author>
    <author>tc={73FF3C71-A386-444E-AF0C-C45059661AF7}</author>
    <author>tc={FDB290A8-778C-4712-8276-1612B138FE7F}</author>
    <author>tc={6438B635-A846-480D-9BEE-27A797A8207C}</author>
    <author>tc={BE1A1802-D5F9-4DAD-9375-39A194DD784F}</author>
    <author>tc={7C674AD0-DDCB-4347-82B5-9B37B7FFC176}</author>
    <author>tc={5A6241B9-85E6-4B6A-8B70-37701D3D1772}</author>
    <author>tc={3DF31C22-C1D2-48E9-931B-4DF5DDD403A5}</author>
    <author>tc={97439F43-156B-4094-B736-001CDA4E4C37}</author>
    <author>tc={B7262B6A-8D28-4397-9F00-0E682E8B4634}</author>
    <author>tc={CB9DF89D-2482-47CD-95F0-56B49FDB5399}</author>
    <author>tc={9E4A7811-00FF-43D7-8241-DECB346DDCEE}</author>
    <author>tc={BB46EE30-2DB4-432D-ACFC-F94C8B166FAC}</author>
    <author>tc={28AB82E4-0A60-49E1-85D4-18248598CCD6}</author>
    <author>tc={D00CAE14-E9D4-470F-ADE4-187906F1CB26}</author>
    <author>tc={4E24A460-25D6-4172-A8ED-1CBBB5EF255F}</author>
    <author>tc={8D2385B9-7600-4585-9CC3-7B4D08EB1DD3}</author>
    <author>tc={F5F986A0-6A71-4646-8105-86055CBBAEB9}</author>
    <author>tc={27835BF2-D3B0-4B31-8734-77D22A0805FA}</author>
    <author>tc={93C779CC-078B-4F9A-9539-C0DDB835104F}</author>
    <author>tc={534F2675-A7C5-4782-8546-EDD1D9FD1B75}</author>
    <author>tc={FFA6A4C6-E5FB-44B0-A4EA-03293633B5BC}</author>
    <author>tc={5D07A4FE-B991-4B7E-8868-76695BCE4C0D}</author>
    <author>tc={E8A52DBF-0F41-4F3F-8E44-5C90F46840AB}</author>
    <author>tc={01C2CE16-B8F1-43E3-924C-8D38E78D33CE}</author>
    <author>tc={5D0C66E0-691A-4564-A0C7-BC4CC8087876}</author>
    <author>tc={83C58D21-9613-4FF7-BB59-B73F5182E3C8}</author>
    <author>tc={BFF992B8-A699-47A4-B75C-01471F31233C}</author>
    <author>tc={FA4142B3-44D6-41C4-8A19-6E4110C65F39}</author>
    <author>tc={3E6C5A7A-7432-4838-AD15-B8317FD4B4BB}</author>
    <author>tc={F989D50A-8385-48D2-A9E2-F666BF149B3A}</author>
    <author>tc={E113442A-A72D-4A43-86A5-9C065474952C}</author>
    <author>tc={DCE9E2B7-6D2A-45FC-950B-263A699FCB43}</author>
    <author>tc={9D2E75C8-2B3C-4CBB-8536-47E01DA8547E}</author>
  </authors>
  <commentList>
    <comment ref="I7" authorId="0" shapeId="0" xr:uid="{8C207CC7-D1D5-4D4B-B04D-D9033837F47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A LABORAR </t>
        </r>
      </text>
    </comment>
    <comment ref="J14" authorId="1" shapeId="0" xr:uid="{5784819C-81C6-486F-BE6F-E46AB621E0B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Apenas ingresa a laboral </t>
        </r>
      </text>
    </comment>
    <comment ref="F18" authorId="2" shapeId="0" xr:uid="{D2DADF0C-A0FD-4DD8-BD7E-97409A27B08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ADRIANA COMO ADMON 
</t>
        </r>
      </text>
    </comment>
    <comment ref="C20" authorId="3" shapeId="0" xr:uid="{01DED00E-DFE3-420D-BF4D-7C1C9539FE0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de vacaciones a mitad de mes! </t>
        </r>
      </text>
    </comment>
    <comment ref="E23" authorId="4" shapeId="0" xr:uid="{CA8C2798-5380-4D5E-82CF-7B09D4EE96D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EN ESTE MES , EN COLORES
</t>
        </r>
      </text>
    </comment>
    <comment ref="F23" authorId="5" shapeId="0" xr:uid="{B054454B-07C0-4159-B89C-C19D21DBA6B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DE VACACIONES 
</t>
        </r>
      </text>
    </comment>
    <comment ref="G23" authorId="6" shapeId="0" xr:uid="{3911380A-0139-4636-A1D1-A63358C61AF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Mitad de mes, inicia labores en el departamento de ventas.
</t>
        </r>
      </text>
    </comment>
    <comment ref="G24" authorId="7" shapeId="0" xr:uid="{30000ACB-84F6-4D22-9A22-D6DC2915AAE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PASA DE INVENTARIOS, ASESORA EXTERNA
</t>
        </r>
      </text>
    </comment>
    <comment ref="G25" authorId="8" shapeId="0" xr:uid="{E427800A-5519-4C43-8592-8BE9C66269A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DE NUEVO A LA EMPRESA COMO ASESOR EXTERNOS DE COLORES ANTES ERA INVENTARISTA
</t>
        </r>
      </text>
    </comment>
    <comment ref="F28" authorId="9" shapeId="0" xr:uid="{6D7BF572-80A2-4EBA-9A02-EB6F3D6EDFC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HIZO APOYO TODO EL MES COMO ADMON
</t>
        </r>
      </text>
    </comment>
    <comment ref="E31" authorId="10" shapeId="0" xr:uid="{3F1251AB-41DB-4539-AB1D-5762E01DDA8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NUEVA. 
</t>
        </r>
      </text>
    </comment>
    <comment ref="M31" authorId="11" shapeId="0" xr:uid="{E81FB33F-ED9A-4FC8-BCA4-5272077FA5A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poblado
</t>
        </r>
      </text>
    </comment>
    <comment ref="J34" authorId="12" shapeId="0" xr:uid="{49A5B2E4-845B-4F5E-9C66-4A70EE82146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EN VACACIONES 
</t>
        </r>
      </text>
    </comment>
    <comment ref="E40" authorId="13" shapeId="0" xr:uid="{BA3F4F89-F41A-41A4-8566-3D9613662AC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hasta este mes estuvo adriana como admon 
</t>
        </r>
      </text>
    </comment>
    <comment ref="G40" authorId="14" shapeId="0" xr:uid="{BF5EE6D6-F817-46C0-BC41-D075FEBDFAF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COVID 19 
</t>
        </r>
      </text>
    </comment>
    <comment ref="H40" authorId="15" shapeId="0" xr:uid="{32F7917F-8EAF-4118-B781-DD17CFE76AE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PAGA 105,000 A CADA UNA DE LAS INTERNAR. 
</t>
        </r>
      </text>
    </comment>
    <comment ref="F44" authorId="16" shapeId="0" xr:uid="{183395EE-40D2-498E-8268-1EB5CC880F1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LICENCIA DE MATERNIDAD
</t>
        </r>
      </text>
    </comment>
    <comment ref="D45" authorId="17" shapeId="0" xr:uid="{4F45C618-AB0B-4E69-88BB-C95944D4274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cumple meta se le envia primer Comunicado.
Reply:
    Se traslada para la sede de Laureles
</t>
        </r>
      </text>
    </comment>
    <comment ref="I46" authorId="18" shapeId="0" xr:uid="{AE2578A9-4CD6-4A82-A6D5-B887997D6CE6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realiza cambio para la sede de ENVIGADO</t>
        </r>
      </text>
    </comment>
    <comment ref="D49" authorId="19" shapeId="0" xr:uid="{E892C6AE-7F6B-4FC5-BC32-7AD68606B40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cumple meta, se le envia primer comunicado.
</t>
        </r>
      </text>
    </comment>
    <comment ref="B57" authorId="20" shapeId="0" xr:uid="{5130B8BE-48CD-45F1-8FA1-E20464CC992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META DE LA SEDE CAMBIA A 90,000,000 SUMANDO CALASANZ Y COLORES
</t>
        </r>
      </text>
    </comment>
    <comment ref="E57" authorId="21" shapeId="0" xr:uid="{73749507-3C5C-46A9-9159-264B7D00140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suma de calasanz y colores. </t>
        </r>
      </text>
    </comment>
    <comment ref="M57" authorId="22" shapeId="0" xr:uid="{73FF3C71-A386-444E-AF0C-C45059661AF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ADRIANA COMO ADMON </t>
        </r>
      </text>
    </comment>
    <comment ref="D59" authorId="23" shapeId="0" xr:uid="{FDB290A8-778C-4712-8276-1612B138FE7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 suma colores y calasanz </t>
        </r>
      </text>
    </comment>
    <comment ref="H59" authorId="24" shapeId="0" xr:uid="{6438B635-A846-480D-9BEE-27A797A8207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INICIADO FUNCION DE FORMADO DE ASESORES EXTERNOS.</t>
        </r>
      </text>
    </comment>
    <comment ref="E61" authorId="25" shapeId="0" xr:uid="{BE1A1802-D5F9-4DAD-9375-39A194DD784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Retiro de la empresa con justa causa.
incumplimiento de meta
</t>
        </r>
      </text>
    </comment>
    <comment ref="K63" authorId="26" shapeId="0" xr:uid="{7C674AD0-DDCB-4347-82B5-9B37B7FFC17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INCPACITADO
</t>
        </r>
      </text>
    </comment>
    <comment ref="D64" authorId="27" shapeId="0" xr:uid="{5A6241B9-85E6-4B6A-8B70-37701D3D177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OTRA SEDE </t>
        </r>
      </text>
    </comment>
    <comment ref="G66" authorId="28" shapeId="0" xr:uid="{3DF31C22-C1D2-48E9-931B-4DF5DDD403A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A LA EMPRESA
</t>
        </r>
      </text>
    </comment>
    <comment ref="G67" authorId="29" shapeId="0" xr:uid="{97439F43-156B-4094-B736-001CDA4E4C3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ERA INVENTARISTA </t>
        </r>
      </text>
    </comment>
    <comment ref="G68" authorId="30" shapeId="0" xr:uid="{B7262B6A-8D28-4397-9F00-0E682E8B463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APOYO EN COLORES
</t>
        </r>
      </text>
    </comment>
    <comment ref="H68" authorId="31" shapeId="0" xr:uid="{CB9DF89D-2482-47CD-95F0-56B49FDB539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LA SEDE DE BELLO NUEVAMENTE. 
</t>
        </r>
      </text>
    </comment>
    <comment ref="K71" authorId="32" shapeId="0" xr:uid="{9E4A7811-00FF-43D7-8241-DECB346DDCE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A LABORAR 
</t>
        </r>
      </text>
    </comment>
    <comment ref="E72" authorId="33" shapeId="0" xr:uid="{BB46EE30-2DB4-432D-ACFC-F94C8B166FA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A LA SEDE
</t>
        </r>
      </text>
    </comment>
    <comment ref="G72" authorId="34" shapeId="0" xr:uid="{28AB82E4-0A60-49E1-85D4-18248598CCD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DE PORTADA </t>
        </r>
      </text>
    </comment>
    <comment ref="B73" authorId="35" shapeId="0" xr:uid="{D00CAE14-E9D4-470F-ADE4-187906F1CB2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el mes de mayo Se modifica a 15.000.000
</t>
        </r>
      </text>
    </comment>
    <comment ref="K74" authorId="36" shapeId="0" xr:uid="{4E24A460-25D6-4172-A8ED-1CBBB5EF255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pasa como segunda de colores</t>
        </r>
      </text>
    </comment>
    <comment ref="I75" authorId="37" shapeId="0" xr:uid="{8D2385B9-7600-4585-9CC3-7B4D08EB1DD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INCIA PROCESO COMO APOYO A LAS INTERNAS 
</t>
        </r>
      </text>
    </comment>
    <comment ref="E76" authorId="38" shapeId="0" xr:uid="{F5F986A0-6A71-4646-8105-86055CBBAEB9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SALE DE LA EMPRESA</t>
        </r>
      </text>
    </comment>
    <comment ref="C78" authorId="39" shapeId="0" xr:uid="{27835BF2-D3B0-4B31-8734-77D22A0805F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OTRA SEDE </t>
        </r>
      </text>
    </comment>
    <comment ref="F78" authorId="40" shapeId="0" xr:uid="{93C779CC-078B-4F9A-9539-C0DDB835104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envía para la sede poblado </t>
        </r>
      </text>
    </comment>
    <comment ref="L78" authorId="41" shapeId="0" xr:uid="{534F2675-A7C5-4782-8546-EDD1D9FD1B7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 negocios del poblado NO incluidos 16.750.000
</t>
        </r>
      </text>
    </comment>
    <comment ref="E79" authorId="42" shapeId="0" xr:uid="{FFA6A4C6-E5FB-44B0-A4EA-03293633B5B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</t>
        </r>
      </text>
    </comment>
    <comment ref="J83" authorId="43" shapeId="0" xr:uid="{5D07A4FE-B991-4B7E-8868-76695BCE4C0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LABORES
COMO INTERNA
</t>
        </r>
      </text>
    </comment>
    <comment ref="L84" authorId="44" shapeId="0" xr:uid="{E8A52DBF-0F41-4F3F-8E44-5C90F46840A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  </r>
      </text>
    </comment>
    <comment ref="H92" authorId="45" shapeId="0" xr:uid="{01C2CE16-B8F1-43E3-924C-8D38E78D33C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de la empresa
</t>
        </r>
      </text>
    </comment>
    <comment ref="H94" authorId="46" shapeId="0" xr:uid="{5D0C66E0-691A-4564-A0C7-BC4CC808787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cumple periodo de prueba </t>
        </r>
      </text>
    </comment>
    <comment ref="J95" authorId="47" shapeId="0" xr:uid="{83C58D21-9613-4FF7-BB59-B73F5182E3C8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Y SALE EN PERIODO DE PRUEBA</t>
        </r>
      </text>
    </comment>
    <comment ref="C99" authorId="48" shapeId="0" xr:uid="{BFF992B8-A699-47A4-B75C-01471F31233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INCAPACITADO PERO ESTUVO EN POBLADO</t>
        </r>
      </text>
    </comment>
    <comment ref="D99" authorId="49" shapeId="0" xr:uid="{FA4142B3-44D6-41C4-8A19-6E4110C65F3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INCAPACITADO </t>
        </r>
      </text>
    </comment>
    <comment ref="E99" authorId="50" shapeId="0" xr:uid="{3E6C5A7A-7432-4838-AD15-B8317FD4B4B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INCAPACITADO </t>
        </r>
      </text>
    </comment>
    <comment ref="G100" authorId="51" shapeId="0" xr:uid="{F989D50A-8385-48D2-A9E2-F666BF149B3A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INCIA COMO INTERNA</t>
        </r>
      </text>
    </comment>
    <comment ref="I103" authorId="52" shapeId="0" xr:uid="{E113442A-A72D-4A43-86A5-9C065474952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PASA PARA SERVICIOS P</t>
        </r>
      </text>
    </comment>
    <comment ref="J104" authorId="53" shapeId="0" xr:uid="{DCE9E2B7-6D2A-45FC-950B-263A699FCB4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NUEVA </t>
        </r>
      </text>
    </comment>
    <comment ref="J105" authorId="54" shapeId="0" xr:uid="{9D2E75C8-2B3C-4CBB-8536-47E01DA8547E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NUEVA EN LA SEDE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tc={F2D0B5C3-4BF1-4FB6-9E49-2D68BD2F0F75}</author>
    <author>tc={2836A9DE-416C-450A-83F4-9251BBAAF67D}</author>
    <author>tc={C0AA2ED8-DD74-45A4-822B-759AE294FED3}</author>
    <author>tc={F8190EAD-BFC2-4287-A273-6643FE8ADE46}</author>
  </authors>
  <commentList>
    <comment ref="H5" authorId="0" shapeId="0" xr:uid="{F2D0B5C3-4BF1-4FB6-9E49-2D68BD2F0F75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EN ESTA SEDE Y TERMINA PROCESO YA QUE SE VA A REALIZAR PRACTICAS</t>
        </r>
      </text>
    </comment>
    <comment ref="H6" authorId="1" shapeId="0" xr:uid="{2836A9DE-416C-450A-83F4-9251BBAAF67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PROCESO DE APRENDIZAJE </t>
        </r>
      </text>
    </comment>
    <comment ref="I8" authorId="2" shapeId="0" xr:uid="{C0AA2ED8-DD74-45A4-822B-759AE294FED3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9,800,000 se cambia de sede y en total realiza 20,610,000</t>
        </r>
      </text>
    </comment>
    <comment ref="J8" authorId="3" shapeId="0" xr:uid="{F8190EAD-BFC2-4287-A273-6643FE8ADE4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en BELLO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tc={A4E5DF4C-D814-46A6-9EFE-0545594DA574}</author>
    <author>tc={848A8ACA-8EE9-4DAD-A4C6-72C9DC94E0EF}</author>
    <author>tc={9374B537-CEF1-4731-8569-0DB10E6D9A8B}</author>
    <author>tc={F00ED406-A8EE-4301-BB64-424630C343C6}</author>
    <author>tc={80283841-31D1-4DCC-BD9E-4E18038F771F}</author>
    <author>tc={8EC0182A-BE2A-4DC1-A851-E4F524CFE05C}</author>
    <author>tc={83F50C0B-952D-47A9-AEC7-5B6FFFA32587}</author>
    <author>tc={304FC5CA-11E3-479D-AFAE-5E9BD7529551}</author>
    <author>tc={F40771E4-EEF6-4466-BDF6-1CCD7BD2C5D1}</author>
    <author>tc={29AF7FBD-55EF-4EB5-BFEB-4A9777B5AE83}</author>
    <author>tc={AF6BCD02-CFEF-44E2-8501-A25F93BDB91A}</author>
    <author>tc={94D06FC1-8809-48BE-BFC6-7E8A5A3D9D5A}</author>
    <author>tc={0C56AC24-093A-4265-8414-C702BED25B0E}</author>
    <author>tc={C069785B-1F74-4995-BADD-2239675E15C0}</author>
    <author>tc={50DB0A1F-ED2D-4ECB-A03B-847427BC3592}</author>
    <author>tc={1903E2F0-C8A1-4F79-8198-335777251002}</author>
    <author>tc={8380E1F1-6A07-48C1-9E00-D6C04871597B}</author>
    <author>tc={87EB8794-972A-4507-8DED-63CC809375C9}</author>
    <author>tc={3818C3B4-93F3-4C4C-AAA2-FD02475455FB}</author>
    <author>tc={EB45ECC7-FC1C-429C-85E2-3BA4A3F33B33}</author>
    <author>tc={7165F430-3A23-4884-8960-8103E470FE2D}</author>
    <author>tc={14DDD1C9-673D-42FE-B051-1D8660BF976F}</author>
    <author>tc={76030812-A7B6-4E84-A363-0DE57ACEA7FB}</author>
    <author>tc={FD1A0E37-ECB3-4F0E-96D6-C90E5E2A6848}</author>
    <author>tc={FDF3804B-D83A-4731-80EF-A16D3F32AD31}</author>
    <author>tc={05368F4C-590C-422E-896C-4153124F66C8}</author>
    <author>tc={AD24C2F1-50B0-47AA-B0F2-BA598FB7473B}</author>
    <author>tc={CE220B8E-0CC0-44C3-9269-A4203E7C1BC3}</author>
    <author>tc={1CD9CAAF-DC9E-48E8-9617-B728DB5CA2AD}</author>
    <author>tc={265175D1-3C06-4C9F-9AEC-F851D4560726}</author>
    <author>tc={68B69EE6-AF18-41CA-B16C-5D4BB4A72E1A}</author>
    <author>tc={1F6A8E61-3E88-4C23-9D62-D271BB7A7427}</author>
    <author>tc={79C95ADF-33A4-4AD8-934C-EA4F73D4536F}</author>
    <author>tc={0948252A-8CA0-4B30-A62A-FDF460F20FC5}</author>
    <author>tc={E4FE344C-7E15-4EC3-ABAB-F0152848E40B}</author>
    <author>tc={1BCFE510-70C3-431E-BF32-83FDDF196BE0}</author>
    <author>tc={73BFEA4A-BD8E-425F-B79A-0E1ED886754F}</author>
    <author>tc={A44ED935-461B-4DB9-95AE-BDC1013FF15F}</author>
    <author>tc={A15BDE8A-6F93-494D-AD86-F40C4CAC1D42}</author>
    <author>tc={FD90451A-B876-4715-B232-E9E06B47C541}</author>
    <author>tc={181818E3-39A3-4E2A-ADB2-2A6BF6999097}</author>
    <author>Diana Gisela Rojas</author>
    <author>tc={67D9E7FF-0193-49A8-82E1-6F1E2AEEFC5E}</author>
    <author>tc={E0976B81-0B74-4509-B7A1-42ADE29E5C0E}</author>
    <author>tc={437D3586-8D20-4B83-BE03-12605064C3F4}</author>
    <author>tc={EA9AE12E-B068-48BD-8C14-AF498D43DE39}</author>
    <author>tc={FE7FA906-9B3D-4D2B-AC57-C102C32C35F2}</author>
    <author>tc={45BA9D7E-4FB7-4FC7-A010-2CF61FE0B79B}</author>
    <author>tc={83A5034D-ED3A-400D-8089-37AC452D03DE}</author>
    <author>tc={0579848D-6DA1-40D9-AF85-79A77442F6EE}</author>
    <author>tc={006F0039-5E7A-40F6-880E-2F51FB5AD7FC}</author>
    <author>tc={578F6DB3-90DE-4D6F-8577-2F5B924E5AF0}</author>
    <author>tc={3377E2FF-6EF0-4931-BB4A-87EEBB72643C}</author>
    <author>tc={4CC7DF1D-1A08-4C71-9FB9-A5F3AB9F152C}</author>
    <author>tc={17C1C4A7-373E-4D88-A331-866A8336BC4F}</author>
    <author>tc={905CE888-736F-4915-8AC8-F5C3BDFDAD96}</author>
    <author>tc={B0B6AF79-888C-4EA1-AECF-9306D7863038}</author>
    <author>tc={08431D15-4B46-4497-8029-C020B5BBE87D}</author>
    <author>tc={E7B29B23-9241-4F9B-9BDD-106C913A8144}</author>
    <author>tc={B111E431-0AF4-47E2-AB9D-16788F51C1C7}</author>
    <author>tc={68D97842-1EC3-4BCC-B988-861D969E2193}</author>
    <author>tc={9541351D-DCDD-4544-B81D-15A0753679AB}</author>
  </authors>
  <commentList>
    <comment ref="D17" authorId="0" shapeId="0" xr:uid="{A4E5DF4C-D814-46A6-9EFE-0545594DA57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admon estaba en vacaciones, ademas hace falta el apoyo de otra asesora interna! </t>
        </r>
      </text>
    </comment>
    <comment ref="D18" authorId="1" shapeId="0" xr:uid="{848A8ACA-8EE9-4DAD-A4C6-72C9DC94E0E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de vacaciones </t>
        </r>
      </text>
    </comment>
    <comment ref="J19" authorId="2" shapeId="0" xr:uid="{9374B537-CEF1-4731-8569-0DB10E6D9A8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TRABAJA 8 DIAS POR QUE INGRESA DE VACACIONES
</t>
        </r>
      </text>
    </comment>
    <comment ref="G25" authorId="3" shapeId="0" xr:uid="{F00ED406-A8EE-4301-BB64-424630C343C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REALIZA APOYO EN LA SEDE DE COLORES EN LABORES DE INTERNA Y EVACUANDO TRABAJO CON ADRIANA
</t>
        </r>
      </text>
    </comment>
    <comment ref="J25" authorId="4" shapeId="0" xr:uid="{80283841-31D1-4DCC-BD9E-4E18038F771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CERRO 4,700,00 EN LAURELES Y HACIENDO APOYO EN POBLADO CERRO 9,100,000
</t>
        </r>
      </text>
    </comment>
    <comment ref="F27" authorId="5" shapeId="0" xr:uid="{8EC0182A-BE2A-4DC1-A851-E4F524CFE05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mes en LAURELES, estaba en ENVIGADO
</t>
        </r>
      </text>
    </comment>
    <comment ref="H27" authorId="6" shapeId="0" xr:uid="{83F50C0B-952D-47A9-AEC7-5B6FFFA3258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  </r>
      </text>
    </comment>
    <comment ref="I29" authorId="7" shapeId="0" xr:uid="{304FC5CA-11E3-479D-AFAE-5E9BD752955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EL MES DE JUNIO COMO ASESORA INTERNA DE ARRENDAMIENTOS 
</t>
        </r>
      </text>
    </comment>
    <comment ref="J29" authorId="8" shapeId="0" xr:uid="{F40771E4-EEF6-4466-BDF6-1CCD7BD2C5D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MES COMO ASESORA INTERNA, ESTABA EN CONTRATOS
</t>
        </r>
      </text>
    </comment>
    <comment ref="D33" authorId="9" shapeId="0" xr:uid="{29AF7FBD-55EF-4EB5-BFEB-4A9777B5AE8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admon estaba en vacaciones, ademas hace falta el apoyo de otra asesora interna! </t>
        </r>
      </text>
    </comment>
    <comment ref="D34" authorId="10" shapeId="0" xr:uid="{AF6BCD02-CFEF-44E2-8501-A25F93BDB91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de vacaciones </t>
        </r>
      </text>
    </comment>
    <comment ref="J35" authorId="11" shapeId="0" xr:uid="{94D06FC1-8809-48BE-BFC6-7E8A5A3D9D5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TRABAJA 8 DIAS POR QUE INGRESA DE VACACIONES
</t>
        </r>
      </text>
    </comment>
    <comment ref="G41" authorId="12" shapeId="0" xr:uid="{0C56AC24-093A-4265-8414-C702BED25B0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REALIZA APOYO EN LA SEDE DE COLORES EN LABORES DE INTERNA Y EVACUANDO TRABAJO CON ADRIANA
</t>
        </r>
      </text>
    </comment>
    <comment ref="J41" authorId="13" shapeId="0" xr:uid="{C069785B-1F74-4995-BADD-2239675E15C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CERRO 4,700,00 EN LAURELES Y HACIENDO APOYO EN POBLADO CERRO 9,100,000
</t>
        </r>
      </text>
    </comment>
    <comment ref="F43" authorId="14" shapeId="0" xr:uid="{50DB0A1F-ED2D-4ECB-A03B-847427BC359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mes en LAURELES, estaba en ENVIGADO
</t>
        </r>
      </text>
    </comment>
    <comment ref="H43" authorId="15" shapeId="0" xr:uid="{1903E2F0-C8A1-4F79-8198-33577725100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  </r>
      </text>
    </comment>
    <comment ref="I45" authorId="16" shapeId="0" xr:uid="{8380E1F1-6A07-48C1-9E00-D6C04871597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EL MES DE JUNIO COMO ASESORA INTERNA DE ARRENDAMIENTOS 
</t>
        </r>
      </text>
    </comment>
    <comment ref="J45" authorId="17" shapeId="0" xr:uid="{87EB8794-972A-4507-8DED-63CC809375C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MES COMO ASESORA INTERNA, ESTABA EN CONTRATOS
</t>
        </r>
      </text>
    </comment>
    <comment ref="F49" authorId="18" shapeId="0" xr:uid="{3818C3B4-93F3-4C4C-AAA2-FD02475455F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COVID 19  EL 20 MARZO
</t>
        </r>
      </text>
    </comment>
    <comment ref="H49" authorId="19" shapeId="0" xr:uid="{EB45ECC7-FC1C-429C-85E2-3BA4A3F33B3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SEDE NO REALIZO NINGUN NEGOCIO
</t>
        </r>
      </text>
    </comment>
    <comment ref="D54" authorId="20" shapeId="0" xr:uid="{7165F430-3A23-4884-8960-8103E470FE2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CUMPLE SE LE ENVIA COMUNICADO POR INCUMPLIMIENTO META.
</t>
        </r>
      </text>
    </comment>
    <comment ref="L54" authorId="21" shapeId="0" xr:uid="{14DDD1C9-673D-42FE-B051-1D8660BF976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PASO PARA HACER APOYO EN COLORES, SE LE SUMAN AMBAS METAS </t>
        </r>
      </text>
    </comment>
    <comment ref="I55" authorId="22" shapeId="0" xr:uid="{76030812-A7B6-4E84-A363-0DE57ACEA7F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licencia de maternidad
</t>
        </r>
      </text>
    </comment>
    <comment ref="D56" authorId="23" shapeId="0" xr:uid="{FD1A0E37-ECB3-4F0E-96D6-C90E5E2A684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ENVIA COMUNICADO POR CAMBIO INCUMPLIMIENTO DE SEDE
</t>
        </r>
      </text>
    </comment>
    <comment ref="I61" authorId="24" shapeId="0" xr:uid="{FDF3804B-D83A-4731-80EF-A16D3F32AD3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ADMINISTRADOR KAREN CASTRO </t>
        </r>
      </text>
    </comment>
    <comment ref="J61" authorId="25" shapeId="0" xr:uid="{05368F4C-590C-422E-896C-4153124F66C8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ADMINISTRADOR CATHERINE</t>
        </r>
      </text>
    </comment>
    <comment ref="C64" authorId="26" shapeId="0" xr:uid="{AD24C2F1-50B0-47AA-B0F2-BA598FB7473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NUEVO
</t>
        </r>
      </text>
    </comment>
    <comment ref="C65" authorId="27" shapeId="0" xr:uid="{CE220B8E-0CC0-44C3-9269-A4203E7C1BC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LABORES EN LAURELES TRASLADO DE SEDE 
</t>
        </r>
      </text>
    </comment>
    <comment ref="J65" authorId="28" shapeId="0" xr:uid="{1CD9CAAF-DC9E-48E8-9617-B728DB5CA2A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SALE POR JUSTA CAUSA</t>
        </r>
      </text>
    </comment>
    <comment ref="J66" authorId="29" shapeId="0" xr:uid="{265175D1-3C06-4C9F-9AEC-F851D456072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COMO NUEVA EXTERNA </t>
        </r>
      </text>
    </comment>
    <comment ref="E70" authorId="30" shapeId="0" xr:uid="{68B69EE6-AF18-41CA-B16C-5D4BB4A72E1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DE LA EMPRESA </t>
        </r>
      </text>
    </comment>
    <comment ref="H71" authorId="31" shapeId="0" xr:uid="{1F6A8E61-3E88-4C23-9D62-D271BB7A742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TRASLADA PARA SEDE BELLO. </t>
        </r>
      </text>
    </comment>
    <comment ref="G74" authorId="32" shapeId="0" xr:uid="{79C95ADF-33A4-4AD8-934C-EA4F73D4536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INTERNO EN LA SEDE </t>
        </r>
      </text>
    </comment>
    <comment ref="J74" authorId="33" shapeId="0" xr:uid="{0948252A-8CA0-4B30-A62A-FDF460F20FC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CAMBIA DE SEDE PARA LA ESTRELLA </t>
        </r>
      </text>
    </comment>
    <comment ref="J75" authorId="34" shapeId="0" xr:uid="{E4FE344C-7E15-4EC3-ABAB-F0152848E40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</t>
        </r>
      </text>
    </comment>
    <comment ref="I76" authorId="35" shapeId="0" xr:uid="{1BCFE510-70C3-431E-BF32-83FDDF196BE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INTERNA </t>
        </r>
      </text>
    </comment>
    <comment ref="K76" authorId="36" shapeId="0" xr:uid="{73BFEA4A-BD8E-425F-B79A-0E1ED886754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SALE ANTES DEL PERIODO DE PRUEBA</t>
        </r>
      </text>
    </comment>
    <comment ref="G80" authorId="37" shapeId="0" xr:uid="{A44ED935-461B-4DB9-95AE-BDC1013FF15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ADMON KAREN CASTRO </t>
        </r>
      </text>
    </comment>
    <comment ref="L80" authorId="38" shapeId="0" xr:uid="{A15BDE8A-6F93-494D-AD86-F40C4CAC1D4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ADMON DE SESE CATHERINE </t>
        </r>
      </text>
    </comment>
    <comment ref="N81" authorId="39" shapeId="0" xr:uid="{FD90451A-B876-4715-B232-E9E06B47C54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DE VACACIONES E INGRESA A VENTAS</t>
        </r>
      </text>
    </comment>
    <comment ref="L83" authorId="40" shapeId="0" xr:uid="{181818E3-39A3-4E2A-ADB2-2A6BF699909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ENVIGADO </t>
        </r>
      </text>
    </comment>
    <comment ref="I84" authorId="41" shapeId="0" xr:uid="{D099570F-A4C1-4F2E-8CA3-5FEBD2F56EC4}">
      <text>
        <r>
          <rPr>
            <sz val="10"/>
            <color rgb="FF000000"/>
            <rFont val="Arial"/>
            <family val="2"/>
          </rPr>
          <t xml:space="preserve">Diana Gisela Rojas:
sale de la empresa </t>
        </r>
      </text>
    </comment>
    <comment ref="J85" authorId="42" shapeId="0" xr:uid="{67D9E7FF-0193-49A8-82E1-6F1E2AEEFC5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
</t>
        </r>
      </text>
    </comment>
    <comment ref="N86" authorId="43" shapeId="0" xr:uid="{E0976B81-0B74-4509-B7A1-42ADE29E5C0E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COMO EXTERNO,ANTES DE CUMPLIR DOS MESES SALE</t>
        </r>
      </text>
    </comment>
    <comment ref="M87" authorId="41" shapeId="0" xr:uid="{A1CA5A03-24F4-446D-A911-52958A2EEBF1}">
      <text>
        <r>
          <rPr>
            <sz val="10"/>
            <color rgb="FF000000"/>
            <rFont val="Arial"/>
            <family val="2"/>
          </rPr>
          <t>Diana Gisela Rojas:
SEGUNDO MES COMO EXTENRO</t>
        </r>
      </text>
    </comment>
    <comment ref="E90" authorId="44" shapeId="0" xr:uid="{437D3586-8D20-4B83-BE03-12605064C3F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DE LA EMPRESA
</t>
        </r>
      </text>
    </comment>
    <comment ref="H91" authorId="45" shapeId="0" xr:uid="{EA9AE12E-B068-48BD-8C14-AF498D43DE39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SEDE BELLO</t>
        </r>
      </text>
    </comment>
    <comment ref="G95" authorId="46" shapeId="0" xr:uid="{FE7FA906-9B3D-4D2B-AC57-C102C32C35F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INTERNO 
</t>
        </r>
      </text>
    </comment>
    <comment ref="A99" authorId="47" shapeId="0" xr:uid="{45BA9D7E-4FB7-4FC7-A010-2CF61FE0B79B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
Reply:
    LUEGO CATHERIENE Y EN JUNIO TOMA ESTEFANY EL LIDERAZGO</t>
        </r>
      </text>
    </comment>
    <comment ref="I103" authorId="48" shapeId="0" xr:uid="{83A5034D-ED3A-400D-8089-37AC452D03DE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NUEVO A LABORARE</t>
        </r>
      </text>
    </comment>
    <comment ref="G104" authorId="49" shapeId="0" xr:uid="{0579848D-6DA1-40D9-AF85-79A77442F6E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PASO A SER INVENTARISTA </t>
        </r>
      </text>
    </comment>
    <comment ref="D105" authorId="50" shapeId="0" xr:uid="{006F0039-5E7A-40F6-880E-2F51FB5AD7F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A LABORAR
</t>
        </r>
      </text>
    </comment>
    <comment ref="G106" authorId="51" shapeId="0" xr:uid="{578F6DB3-90DE-4D6F-8577-2F5B924E5AF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EN LA EMPRESA </t>
        </r>
      </text>
    </comment>
    <comment ref="D108" authorId="52" shapeId="0" xr:uid="{3377E2FF-6EF0-4931-BB4A-87EEBB72643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LA SEDE D BELLO A MITAD DE MES
Reply:
    Y EN BELLO 12.820.000 TOTAL 26.370,000
</t>
        </r>
      </text>
    </comment>
    <comment ref="G108" authorId="53" shapeId="0" xr:uid="{4CC7DF1D-1A08-4C71-9FB9-A5F3AB9F152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COMO ADMON</t>
        </r>
      </text>
    </comment>
    <comment ref="D110" authorId="54" shapeId="0" xr:uid="{17C1C4A7-373E-4D88-A331-866A8336BC4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PERIODO DE PRUBA (NUEVA)</t>
        </r>
      </text>
    </comment>
    <comment ref="J111" authorId="55" shapeId="0" xr:uid="{905CE888-736F-4915-8AC8-F5C3BDFDAD9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NUEVO </t>
        </r>
      </text>
    </comment>
    <comment ref="I112" authorId="56" shapeId="0" xr:uid="{B0B6AF79-888C-4EA1-AECF-9306D786303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NUEVO </t>
        </r>
      </text>
    </comment>
    <comment ref="J112" authorId="57" shapeId="0" xr:uid="{08431D15-4B46-4497-8029-C020B5BBE87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</t>
        </r>
      </text>
    </comment>
    <comment ref="D113" authorId="58" shapeId="0" xr:uid="{E7B29B23-9241-4F9B-9BDD-106C913A814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ESTABA EN BELLO INICIA LABORES EN ESTA SEDE
</t>
        </r>
      </text>
    </comment>
    <comment ref="E113" authorId="59" shapeId="0" xr:uid="{B111E431-0AF4-47E2-AB9D-16788F51C1C7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RENUNCIA VOLUNTARIA</t>
        </r>
      </text>
    </comment>
    <comment ref="H114" authorId="60" shapeId="0" xr:uid="{68D97842-1EC3-4BCC-B988-861D969E219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VOLUNTARIA </t>
        </r>
      </text>
    </comment>
    <comment ref="H115" authorId="61" shapeId="0" xr:uid="{9541351D-DCDD-4544-B81D-15A0753679A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TERMINA PROCESO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tc={0EB720AE-4B54-492E-9BB4-17A823C4C493}</author>
    <author>tc={33D84A9E-EAD1-44F9-BA51-005C13E70DDE}</author>
    <author>tc={C76019AD-E2EB-4F66-A947-ADC8315C870A}</author>
    <author>tc={4C93588E-633F-4286-8592-31D3952C7A66}</author>
    <author>tc={CF4F491A-F9AB-4A49-95DD-7EADEE3390EB}</author>
    <author>tc={6DD59D57-A04B-4BBC-8BA3-9F8C60EF0795}</author>
    <author>tc={B6A97DE0-3FBF-4555-956E-78E27880FFCB}</author>
    <author>tc={1B20937B-05FC-45C2-B34C-9EDA5C9ECE53}</author>
    <author>tc={BAF32BD0-2010-41C5-8C14-45B981E611C8}</author>
    <author>tc={E5FF47AC-6FB8-49E6-BB9A-DB83E79DA84B}</author>
    <author>tc={F20C3959-E566-4D16-8567-67A381618542}</author>
    <author>tc={9C66033D-A7D1-44D6-A0B0-AB570B66E8EC}</author>
    <author>tc={20EE0D71-D59B-440A-8CB8-D3B0709B5F14}</author>
    <author>tc={CE4179A0-2337-40E6-9EFB-76EC6A617EA4}</author>
    <author>tc={7A7416AA-5A22-466D-859F-62CB078F0430}</author>
    <author>tc={C3E3155D-5607-49A5-9B01-36804CB04D55}</author>
    <author>tc={D539160F-D780-4323-B23A-A73EE5FD5903}</author>
    <author>tc={3A90B083-0CAD-43A5-ADCA-CE5BD5729E5B}</author>
    <author>tc={9B37A867-D22C-472C-8680-947137E8C4E9}</author>
    <author>tc={842C05CB-1DEC-49B1-B25E-7C37A1C06940}</author>
    <author>tc={3247CFF6-17F5-40C6-BC25-D31D369FEC7A}</author>
    <author>tc={AEB14D19-2ADE-4247-9449-7C6EC7568804}</author>
    <author>tc={3F6C6FD3-A50B-4CD0-8AEC-DBA745ABCC76}</author>
    <author>tc={62CA8785-6827-4179-A3D4-D9C56949FE72}</author>
    <author>tc={C8C400DD-BC9D-4497-AECF-38A2739FF8E0}</author>
    <author>tc={D338688F-BE0F-4EB7-B270-42BFF9F6C410}</author>
    <author>tc={7614C66E-D9B6-4A82-BBDB-E32B42038937}</author>
  </authors>
  <commentList>
    <comment ref="G6" authorId="0" shapeId="0" xr:uid="{0EB720AE-4B54-492E-9BB4-17A823C4C49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ESTE MES INICIO EN POBLADO, EL ASESOR ERA DE OTRA SEDE
</t>
        </r>
      </text>
    </comment>
    <comment ref="L12" authorId="1" shapeId="0" xr:uid="{33D84A9E-EAD1-44F9-BA51-005C13E70DDE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ESTUVO INCAPACITADA</t>
        </r>
      </text>
    </comment>
    <comment ref="F18" authorId="2" shapeId="0" xr:uid="{C76019AD-E2EB-4F66-A947-ADC8315C870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cambia de SEDE para COLORES
</t>
        </r>
      </text>
    </comment>
    <comment ref="H18" authorId="3" shapeId="0" xr:uid="{4C93588E-633F-4286-8592-31D3952C7A6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Cambian sus funciones de asesor de arrendamientos para asesor de Ventas 
</t>
        </r>
      </text>
    </comment>
    <comment ref="D20" authorId="4" shapeId="0" xr:uid="{CF4F491A-F9AB-4A49-95DD-7EADEE3390E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en vacaciones </t>
        </r>
      </text>
    </comment>
    <comment ref="N20" authorId="5" shapeId="0" xr:uid="{6DD59D57-A04B-4BBC-8BA3-9F8C60EF079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realiza cambio para la sede de Envigado.
</t>
        </r>
      </text>
    </comment>
    <comment ref="D21" authorId="6" shapeId="0" xr:uid="{B6A97DE0-3FBF-4555-956E-78E27880FFC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nuevo </t>
        </r>
      </text>
    </comment>
    <comment ref="G22" authorId="7" shapeId="0" xr:uid="{1B20937B-05FC-45C2-B34C-9EDA5C9ECE5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
</t>
        </r>
      </text>
    </comment>
    <comment ref="D23" authorId="8" shapeId="0" xr:uid="{BAF32BD0-2010-41C5-8C14-45B981E611C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de vacaciones el 31 de enero, apenas empezara su ciclo como asesor de arrendamientos. </t>
        </r>
      </text>
    </comment>
    <comment ref="F23" authorId="9" shapeId="0" xr:uid="{E5FF47AC-6FB8-49E6-BB9A-DB83E79DA84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sabaneta al inicio de marzo, deja este negocio en poblado.
</t>
        </r>
      </text>
    </comment>
    <comment ref="K25" authorId="10" shapeId="0" xr:uid="{F20C3959-E566-4D16-8567-67A38161854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traslada como segunda sede de COLORES 
</t>
        </r>
      </text>
    </comment>
    <comment ref="D26" authorId="11" shapeId="0" xr:uid="{9C66033D-A7D1-44D6-A0B0-AB570B66E8E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 ingresa a laborar el 06 de enero </t>
        </r>
      </text>
    </comment>
    <comment ref="E26" authorId="12" shapeId="0" xr:uid="{20EE0D71-D59B-440A-8CB8-D3B0709B5F1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RECIEN CUMPLE PERIODO DE PRUEBA </t>
        </r>
      </text>
    </comment>
    <comment ref="F28" authorId="13" shapeId="0" xr:uid="{CE4179A0-2337-40E6-9EFB-76EC6A617EA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NUEVA. 
</t>
        </r>
      </text>
    </comment>
    <comment ref="K39" authorId="14" shapeId="0" xr:uid="{7A7416AA-5A22-466D-859F-62CB078F043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ESTA META LA REALIZO EN COLORES</t>
        </r>
      </text>
    </comment>
    <comment ref="F44" authorId="15" shapeId="0" xr:uid="{C3E3155D-5607-49A5-9B01-36804CB04D5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INCIA EN ENVIGADO SE PASA POR RENDIMIENTO
</t>
        </r>
      </text>
    </comment>
    <comment ref="J48" authorId="16" shapeId="0" xr:uid="{D539160F-D780-4323-B23A-A73EE5FD590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A LABORAR
</t>
        </r>
      </text>
    </comment>
    <comment ref="L48" authorId="17" shapeId="0" xr:uid="{3A90B083-0CAD-43A5-ADCA-CE5BD5729E5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PASA PERIODO DE PRUEBA 
</t>
        </r>
      </text>
    </comment>
    <comment ref="M52" authorId="18" shapeId="0" xr:uid="{9B37A867-D22C-472C-8680-947137E8C4E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COLORES 
</t>
        </r>
      </text>
    </comment>
    <comment ref="F54" authorId="19" shapeId="0" xr:uid="{842C05CB-1DEC-49B1-B25E-7C37A1C0694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A LABORAR</t>
        </r>
      </text>
    </comment>
    <comment ref="L55" authorId="20" shapeId="0" xr:uid="{3247CFF6-17F5-40C6-BC25-D31D369FEC7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DE SEDE ESTABA EN COLORES 
</t>
        </r>
      </text>
    </comment>
    <comment ref="M56" authorId="21" shapeId="0" xr:uid="{AEB14D19-2ADE-4247-9449-7C6EC756880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TRASLADA DE SABANETA 
</t>
        </r>
      </text>
    </comment>
    <comment ref="A60" authorId="22" shapeId="0" xr:uid="{3F6C6FD3-A50B-4CD0-8AEC-DBA745ABCC76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G60" authorId="23" shapeId="0" xr:uid="{62CA8785-6827-4179-A3D4-D9C56949FE72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catherine como lider</t>
        </r>
      </text>
    </comment>
    <comment ref="E66" authorId="24" shapeId="0" xr:uid="{C8C400DD-BC9D-4497-AECF-38A2739FF8E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nuevo</t>
        </r>
      </text>
    </comment>
    <comment ref="H70" authorId="25" shapeId="0" xr:uid="{D338688F-BE0F-4EB7-B270-42BFF9F6C41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EN ENVIGADO</t>
        </r>
      </text>
    </comment>
    <comment ref="H72" authorId="26" shapeId="0" xr:uid="{7614C66E-D9B6-4A82-BBDB-E32B42038937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NUEVA EN LA EMPRESA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tc={35231E35-A891-4B56-A5D3-108BCF37600F}</author>
    <author>tc={5D35281E-D732-4849-B64D-FED80419136F}</author>
    <author>tc={B4A3DC83-4789-4D1C-A4BA-04DDFEA258EF}</author>
    <author>tc={D22743AE-1E61-4FF3-885D-74E0CC92E9F4}</author>
    <author>tc={CB7BA1CE-C68B-47F3-AA52-7E591EFA8C21}</author>
    <author>tc={C57AD510-7AA7-4E9A-B155-82F6944275B2}</author>
    <author>tc={63411BE3-AB1F-4CE8-BF58-636DF384624E}</author>
    <author>tc={6912641F-C4FE-442E-94B5-B672AD7419F9}</author>
    <author>tc={E0CA6B77-56DF-407A-A38C-71FF65945006}</author>
    <author>tc={FB199AB7-BAF5-45B5-8987-06305C8A7A8B}</author>
    <author>tc={34A58B44-ADF4-47CE-882A-EF82CD555908}</author>
    <author>tc={C624A2E7-CCFE-4E28-801E-165FBC8D2D65}</author>
    <author>tc={3463F3B8-10B0-4E45-98BF-96A6988103C4}</author>
    <author>tc={F7C2FFC0-C5E1-4226-A940-05AE063A821D}</author>
    <author>tc={E981F76A-8FCF-4723-9395-D3A294F701EC}</author>
    <author>tc={F6564C2A-092B-4ABE-A517-0C28A746F09C}</author>
    <author>tc={496C8D14-97CE-419E-9B6A-983E84AC4BE2}</author>
    <author>tc={CB4F237B-8A61-429E-BEE2-AA38DD5C484B}</author>
    <author>tc={2F0F0F16-3B97-403C-BD36-35248024566D}</author>
    <author>tc={2664D6F7-4845-47AA-9E6B-EB440AD4CBAB}</author>
    <author>tc={44583B51-C133-4299-985E-91C6B6AC4D37}</author>
    <author>tc={F8D03260-2945-4CBF-889D-F90887653B97}</author>
    <author>tc={2F2AACEE-C392-4107-B50C-6932CBA9B3E0}</author>
    <author>tc={818BF90A-DDEE-4D44-8B29-08BA04107325}</author>
    <author>tc={C8E2A7F0-A789-4E56-A452-57774F316B7F}</author>
  </authors>
  <commentList>
    <comment ref="J4" authorId="0" shapeId="0" xr:uid="{35231E35-A891-4B56-A5D3-108BCF37600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DE NUEVO A LA EMPRESA</t>
        </r>
      </text>
    </comment>
    <comment ref="F5" authorId="1" shapeId="0" xr:uid="{5D35281E-D732-4849-B64D-FED80419136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EN VACACIONES
</t>
        </r>
      </text>
    </comment>
    <comment ref="D6" authorId="2" shapeId="0" xr:uid="{B4A3DC83-4789-4D1C-A4BA-04DDFEA258E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PASO A SER ASESORA INTERNA</t>
        </r>
      </text>
    </comment>
    <comment ref="J6" authorId="3" shapeId="0" xr:uid="{D22743AE-1E61-4FF3-885D-74E0CC92E9F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</t>
        </r>
      </text>
    </comment>
    <comment ref="F10" authorId="4" shapeId="0" xr:uid="{CB7BA1CE-C68B-47F3-AA52-7E591EFA8C2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aoenas ingresa a laborar</t>
        </r>
      </text>
    </comment>
    <comment ref="A27" authorId="5" shapeId="0" xr:uid="{C57AD510-7AA7-4E9A-B155-82F6944275B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varias situaciones en la sede, asesor no da el mejor rendimiento, se realiza traslado  a la sede de sabaneta.
</t>
        </r>
      </text>
    </comment>
    <comment ref="J31" authorId="6" shapeId="0" xr:uid="{63411BE3-AB1F-4CE8-BF58-636DF384624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EN VACACIONES
</t>
        </r>
      </text>
    </comment>
    <comment ref="F37" authorId="7" shapeId="0" xr:uid="{6912641F-C4FE-442E-94B5-B672AD7419F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el COVID 19 El 20 de marzo
</t>
        </r>
      </text>
    </comment>
    <comment ref="F49" authorId="8" shapeId="0" xr:uid="{E0CA6B77-56DF-407A-A38C-71FF6594500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 DEMAS LO CIERRA VERONICA 
</t>
        </r>
      </text>
    </comment>
    <comment ref="N49" authorId="9" shapeId="0" xr:uid="{FB199AB7-BAF5-45B5-8987-06305C8A7A8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MAS 1700,000 DE BRAYAN </t>
        </r>
      </text>
    </comment>
    <comment ref="F52" authorId="10" shapeId="0" xr:uid="{34A58B44-ADF4-47CE-882A-EF82CD55590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VENTAS </t>
        </r>
      </text>
    </comment>
    <comment ref="I54" authorId="11" shapeId="0" xr:uid="{C624A2E7-CCFE-4E28-801E-165FBC8D2D65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INCIA LABORES EXTERNO</t>
        </r>
      </text>
    </comment>
    <comment ref="M54" authorId="12" shapeId="0" xr:uid="{3463F3B8-10B0-4E45-98BF-96A6988103C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PASA COMO INTERNO POR EL ACCIDENTE LABORAL </t>
        </r>
      </text>
    </comment>
    <comment ref="D55" authorId="13" shapeId="0" xr:uid="{F7C2FFC0-C5E1-4226-A940-05AE063A821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CAMBIO DE SEDE ULTIMA OPCION</t>
        </r>
      </text>
    </comment>
    <comment ref="E58" authorId="14" shapeId="0" xr:uid="{E981F76A-8FCF-4723-9395-D3A294F701E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ADMON DE LAURELES
</t>
        </r>
      </text>
    </comment>
    <comment ref="K58" authorId="15" shapeId="0" xr:uid="{F6564C2A-092B-4ABE-A517-0C28A746F09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SOLICITA SER INTERNA 
</t>
        </r>
      </text>
    </comment>
    <comment ref="M58" authorId="16" shapeId="0" xr:uid="{496C8D14-97CE-419E-9B6A-983E84AC4BE2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SALE DE LA EMPRESA</t>
        </r>
      </text>
    </comment>
    <comment ref="F59" authorId="17" shapeId="0" xr:uid="{CB4F237B-8A61-429E-BEE2-AA38DD5C484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
</t>
        </r>
      </text>
    </comment>
    <comment ref="E60" authorId="18" shapeId="0" xr:uid="{2F0F0F16-3B97-403C-BD36-35248024566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POSTULA COMO INTERNO</t>
        </r>
      </text>
    </comment>
    <comment ref="I60" authorId="19" shapeId="0" xr:uid="{2664D6F7-4845-47AA-9E6B-EB440AD4CBA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VUELVE  A CTOS </t>
        </r>
      </text>
    </comment>
    <comment ref="A67" authorId="20" shapeId="0" xr:uid="{44583B51-C133-4299-985E-91C6B6AC4D37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G69" authorId="21" shapeId="0" xr:uid="{F8D03260-2945-4CBF-889D-F90887653B9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VOLUNTARIA </t>
        </r>
      </text>
    </comment>
    <comment ref="E72" authorId="22" shapeId="0" xr:uid="{2F2AACEE-C392-4107-B50C-6932CBA9B3E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ERA INVENTARISTA </t>
        </r>
      </text>
    </comment>
    <comment ref="H72" authorId="23" shapeId="0" xr:uid="{818BF90A-DDEE-4D44-8B29-08BA0410732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VOLUNTARIA </t>
        </r>
      </text>
    </comment>
    <comment ref="D77" authorId="24" shapeId="0" xr:uid="{C8E2A7F0-A789-4E56-A452-57774F316B7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de Nuevo a la Empresa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tc={BEB3B734-0A0E-4818-8A75-297D5207B8A4}</author>
    <author>tc={ABC5EBDE-39F2-4C34-95A3-06166DC9B48B}</author>
    <author>tc={10FFE1A6-B242-4178-B791-B2A9F563F560}</author>
    <author>tc={BE4B0B33-4406-4AA0-B8E6-A47101B21FD9}</author>
    <author>tc={120D1E55-7290-474D-90E3-B471BD6FE4C6}</author>
    <author>tc={76E0B752-72F6-4CCE-83AD-4F0E19B8F3D1}</author>
    <author>tc={B17AB7BF-03A9-4D2E-8546-3FEEF8CBB77B}</author>
    <author>tc={1533BD32-088C-447B-AD13-9FD542035E5D}</author>
    <author>tc={6FE915E8-979D-49D7-A023-DD30BB6F5098}</author>
    <author>tc={F5FBB20B-B6C8-4216-880C-D21619D5ABCE}</author>
    <author>tc={AD2A939A-0D47-487F-A897-B4911BB03BFC}</author>
    <author>tc={29F20F95-B31D-4E62-A4EA-DCDFE6281655}</author>
    <author>tc={E1E4256C-C0E9-40E9-9B07-76CD5F952DD0}</author>
    <author>tc={1B3E7F4A-1954-4DCE-926B-B7854B689710}</author>
    <author>tc={E04027B0-8D4E-4875-ADCE-41FE664DC2D1}</author>
    <author>tc={1361F225-BF06-4A09-A5B8-0D27592555AD}</author>
    <author>tc={4AF7BF53-50FF-4DDB-9FF3-54ACB3601B0E}</author>
  </authors>
  <commentList>
    <comment ref="H2" authorId="0" shapeId="0" xr:uid="{BEB3B734-0A0E-4818-8A75-297D5207B8A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separan sedes y personal como tal, para trabajar por zonas
</t>
        </r>
      </text>
    </comment>
    <comment ref="D5" authorId="1" shapeId="0" xr:uid="{ABC5EBDE-39F2-4C34-95A3-06166DC9B48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nueva, en el departamento de arriendos, era captadora de Ventas.
</t>
        </r>
      </text>
    </comment>
    <comment ref="J5" authorId="2" shapeId="0" xr:uid="{10FFE1A6-B242-4178-B791-B2A9F563F56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Renuncio por que cumplio su ciclo
</t>
        </r>
      </text>
    </comment>
    <comment ref="D7" authorId="3" shapeId="0" xr:uid="{BE4B0B33-4406-4AA0-B8E6-A47101B21FD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de vacaciones el 31 de enero, apenas empezara su ciclo como asesor de arrendamientos. </t>
        </r>
      </text>
    </comment>
    <comment ref="F7" authorId="4" shapeId="0" xr:uid="{120D1E55-7290-474D-90E3-B471BD6FE4C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sabaneta al inicio de marzo, deja este negocio en poblado.
</t>
        </r>
      </text>
    </comment>
    <comment ref="G8" authorId="5" shapeId="0" xr:uid="{76E0B752-72F6-4CCE-83AD-4F0E19B8F3D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comienza a laborar 
</t>
        </r>
      </text>
    </comment>
    <comment ref="H12" authorId="6" shapeId="0" xr:uid="{B17AB7BF-03A9-4D2E-8546-3FEEF8CBB77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  </r>
      </text>
    </comment>
    <comment ref="G13" authorId="7" shapeId="0" xr:uid="{1533BD32-088C-447B-AD13-9FD542035E5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realiza cambio de Sede para hacer apoyo en Sabaneta 
</t>
        </r>
      </text>
    </comment>
    <comment ref="D19" authorId="8" shapeId="0" xr:uid="{6FE915E8-979D-49D7-A023-DD30BB6F509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envia comunicado por incumplimiento meta 
</t>
        </r>
      </text>
    </comment>
    <comment ref="D20" authorId="9" shapeId="0" xr:uid="{F5FBB20B-B6C8-4216-880C-D21619D5ABC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envia comunicado por incumplimiento de meta 
</t>
        </r>
      </text>
    </comment>
    <comment ref="E27" authorId="10" shapeId="0" xr:uid="{AD2A939A-0D47-487F-A897-B4911BB03BF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trabajo hasta Enero
</t>
        </r>
      </text>
    </comment>
    <comment ref="G33" authorId="11" shapeId="0" xr:uid="{29F20F95-B31D-4E62-A4EA-DCDFE6281655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RENUNCIA VOLUNTARIA</t>
        </r>
      </text>
    </comment>
    <comment ref="D35" authorId="12" shapeId="0" xr:uid="{E1E4256C-C0E9-40E9-9B07-76CD5F952DD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RENUCIA</t>
        </r>
      </text>
    </comment>
    <comment ref="H39" authorId="13" shapeId="0" xr:uid="{1B3E7F4A-1954-4DCE-926B-B7854B68971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NUEVO EN LA EMPRESA</t>
        </r>
      </text>
    </comment>
    <comment ref="E42" authorId="14" shapeId="0" xr:uid="{E04027B0-8D4E-4875-ADCE-41FE664DC2D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NUEVO</t>
        </r>
      </text>
    </comment>
    <comment ref="D44" authorId="15" shapeId="0" xr:uid="{1361F225-BF06-4A09-A5B8-0D27592555A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RENUNCIO
</t>
        </r>
      </text>
    </comment>
    <comment ref="F47" authorId="16" shapeId="0" xr:uid="{4AF7BF53-50FF-4DDB-9FF3-54ACB3601B0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INTERNA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tc={9C165A4E-2CBC-4F13-99E9-1FEC51473052}</author>
    <author>tc={74295900-3BBC-40D2-8C12-48F36D46D03A}</author>
    <author>tc={F3223264-131A-410F-85FE-6BCBEB5D55FA}</author>
    <author>tc={BEF86583-8700-46D5-9628-D35F492DCCAF}</author>
    <author>tc={790F3513-B229-4A82-BBB9-CDE164112FDA}</author>
    <author>tc={1779DFD7-6F4A-4801-887D-FB657A39B336}</author>
    <author>tc={20159F7E-0F7C-4ADC-9F87-0E3F847169DF}</author>
    <author>tc={EA1DB8D3-9FEA-417B-9DA1-CDF9CB2CC153}</author>
    <author>tc={65831863-4A22-47E6-A347-0B17DBBCF50B}</author>
    <author>tc={84E45782-C4A6-470B-BFA1-A279FE31894F}</author>
    <author>tc={C5E2F0C6-92FC-480E-8992-3E621323A770}</author>
    <author>tc={6606EDB5-E7DD-4E9A-B7D7-FD78F790CAAF}</author>
    <author>tc={5B1C3588-5E3E-40CE-8F09-D2BB90B5220D}</author>
    <author>tc={CF830CCC-2A2D-4126-AD3E-4EF283B6684F}</author>
    <author>tc={45077A5E-7BAA-4EE6-8C33-8ED9EACFD25D}</author>
  </authors>
  <commentList>
    <comment ref="E10" authorId="0" shapeId="0" xr:uid="{9C165A4E-2CBC-4F13-99E9-1FEC5147305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LOS DEMAS NEGOCIOS LOS CERRO BIVIANA </t>
        </r>
      </text>
    </comment>
    <comment ref="D16" authorId="1" shapeId="0" xr:uid="{74295900-3BBC-40D2-8C12-48F36D46D03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encontraba en vacaciones 
</t>
        </r>
      </text>
    </comment>
    <comment ref="G18" authorId="2" shapeId="0" xr:uid="{F3223264-131A-410F-85FE-6BCBEB5D55F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Renuncia 
</t>
        </r>
      </text>
    </comment>
    <comment ref="F28" authorId="3" shapeId="0" xr:uid="{BEF86583-8700-46D5-9628-D35F492DCCA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INCIO DEL COVID
</t>
        </r>
      </text>
    </comment>
    <comment ref="D36" authorId="4" shapeId="0" xr:uid="{790F3513-B229-4A82-BBB9-CDE164112FD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EN LA EMPRESA
</t>
        </r>
      </text>
    </comment>
    <comment ref="F40" authorId="5" shapeId="0" xr:uid="{1779DFD7-6F4A-4801-887D-FB657A39B33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 QUE NO SUMA EN LOS INTERNOS LO CIERRA BIVIANA </t>
        </r>
      </text>
    </comment>
    <comment ref="F43" authorId="6" shapeId="0" xr:uid="{20159F7E-0F7C-4ADC-9F87-0E3F847169D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POR INCUMPLIMIENTO DE META
</t>
        </r>
      </text>
    </comment>
    <comment ref="I45" authorId="7" shapeId="0" xr:uid="{EA1DB8D3-9FEA-417B-9DA1-CDF9CB2CC15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RETOMA LABORLES DE NUEVO
</t>
        </r>
      </text>
    </comment>
    <comment ref="K52" authorId="8" shapeId="0" xr:uid="{65831863-4A22-47E6-A347-0B17DBBCF50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INTERNA
</t>
        </r>
      </text>
    </comment>
    <comment ref="M52" authorId="9" shapeId="0" xr:uid="{84E45782-C4A6-470B-BFA1-A279FE31894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ADMON DE SEDE ESTRELLA
</t>
        </r>
      </text>
    </comment>
    <comment ref="M53" authorId="10" shapeId="0" xr:uid="{C5E2F0C6-92FC-480E-8992-3E621323A77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COM O INTERNA ESTABA EN MANTENIMIENTOS.</t>
        </r>
      </text>
    </comment>
    <comment ref="A57" authorId="11" shapeId="0" xr:uid="{6606EDB5-E7DD-4E9A-B7D7-FD78F790CAA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I62" authorId="12" shapeId="0" xr:uid="{5B1C3588-5E3E-40CE-8F09-D2BB90B5220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EN ENVIGAGO</t>
        </r>
      </text>
    </comment>
    <comment ref="H63" authorId="13" shapeId="0" xr:uid="{CF830CCC-2A2D-4126-AD3E-4EF283B6684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pasa hacer coordinador </t>
        </r>
      </text>
    </comment>
    <comment ref="G66" authorId="14" shapeId="0" xr:uid="{45077A5E-7BAA-4EE6-8C33-8ED9EACFD25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sede POBALDO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tc={F633C613-FFCE-47E3-8CFA-06E044FFF133}</author>
    <author>tc={308B7005-6E63-4CE0-B85C-5218E93E1291}</author>
    <author>tc={476C6433-E8BC-4A4B-B141-A7A272300871}</author>
    <author>tc={F9364F72-DF10-4738-934F-296E6B345730}</author>
    <author>tc={A608788D-B43B-45E9-B51D-CF1F4F182F8A}</author>
    <author>tc={599C29D6-F241-4FC4-A38D-8CAB2A649DBE}</author>
    <author>tc={3584ADB4-B59B-4136-A281-E31204553B85}</author>
  </authors>
  <commentList>
    <comment ref="C34" authorId="0" shapeId="0" xr:uid="{F633C613-FFCE-47E3-8CFA-06E044FFF133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Estuvo en vacaciones</t>
        </r>
      </text>
    </comment>
    <comment ref="C35" authorId="1" shapeId="0" xr:uid="{308B7005-6E63-4CE0-B85C-5218E93E129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de vacaciones a mitad de mes </t>
        </r>
      </text>
    </comment>
    <comment ref="C37" authorId="2" shapeId="0" xr:uid="{476C6433-E8BC-4A4B-B141-A7A27230087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asesor con dos meses en la empresa</t>
        </r>
      </text>
    </comment>
    <comment ref="C39" authorId="3" shapeId="0" xr:uid="{F9364F72-DF10-4738-934F-296E6B34573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en vacaciones </t>
        </r>
      </text>
    </comment>
    <comment ref="C40" authorId="4" shapeId="0" xr:uid="{A608788D-B43B-45E9-B51D-CF1F4F182F8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nuevo (1 mes) </t>
        </r>
      </text>
    </comment>
    <comment ref="C41" authorId="5" shapeId="0" xr:uid="{599C29D6-F241-4FC4-A38D-8CAB2A649DB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nueva, en el departamento de arriendos, era captadora de Ventas.
</t>
        </r>
      </text>
    </comment>
    <comment ref="C46" authorId="6" shapeId="0" xr:uid="{3584ADB4-B59B-4136-A281-E31204553B8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encontraba en vacaciones 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tc={EA80F261-552A-4FD4-A7E8-CB3FBEC5C09B}</author>
    <author>tc={9DB7B989-2872-4563-8A16-DE765B5ECCEA}</author>
    <author>tc={047CB457-951C-4A64-93A6-1AA30AACA0E5}</author>
    <author>tc={93242590-2A8D-46CC-85C0-DEE8DE2752E2}</author>
    <author>tc={8149228B-7F1B-42DA-9E86-1F5087A1FDD0}</author>
    <author>tc={87FDEFF4-9A9B-41F5-96EB-F0B605DF15E3}</author>
  </authors>
  <commentList>
    <comment ref="D4" authorId="0" shapeId="0" xr:uid="{EA80F261-552A-4FD4-A7E8-CB3FBEC5C09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no labora
</t>
        </r>
      </text>
    </comment>
    <comment ref="F4" authorId="1" shapeId="0" xr:uid="{9DB7B989-2872-4563-8A16-DE765B5ECCE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labora 
</t>
        </r>
      </text>
    </comment>
    <comment ref="F6" authorId="2" shapeId="0" xr:uid="{047CB457-951C-4A64-93A6-1AA30AACA0E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no labora en el departamento se encuentra en archivo
</t>
        </r>
      </text>
    </comment>
    <comment ref="C18" authorId="3" shapeId="0" xr:uid="{93242590-2A8D-46CC-85C0-DEE8DE2752E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 ESTA EN PERIODO DE PRUEBA </t>
        </r>
      </text>
    </comment>
    <comment ref="C19" authorId="4" shapeId="0" xr:uid="{8149228B-7F1B-42DA-9E86-1F5087A1FDD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estuvo en vacaciones  de igual forma Se le llama la atencion, ya tiene mucha antigueda</t>
        </r>
      </text>
    </comment>
    <comment ref="C20" authorId="5" shapeId="0" xr:uid="{87FDEFF4-9A9B-41F5-96EB-F0B605DF15E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ENCONTRABA EN VACACIONES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tc={B20B1051-6191-499B-A282-FEB4D0C2D4EF}</author>
  </authors>
  <commentList>
    <comment ref="G4" authorId="0" shapeId="0" xr:uid="{B20B1051-6191-499B-A282-FEB4D0C2D4E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RENUNCIA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tc={5CC3BC84-C857-4EB6-B30E-034FA69516BA}</author>
    <author>tc={5952B6EF-4DFB-4021-8873-983944488A03}</author>
  </authors>
  <commentList>
    <comment ref="C41" authorId="0" shapeId="0" xr:uid="{5CC3BC84-C857-4EB6-B30E-034FA69516B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FABER ADMON
</t>
        </r>
      </text>
    </comment>
    <comment ref="B43" authorId="1" shapeId="0" xr:uid="{5952B6EF-4DFB-4021-8873-983944488A0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inicio del COVID
</t>
        </r>
      </text>
    </comment>
  </commentList>
</comments>
</file>

<file path=xl/sharedStrings.xml><?xml version="1.0" encoding="utf-8"?>
<sst xmlns="http://schemas.openxmlformats.org/spreadsheetml/2006/main" count="1427" uniqueCount="404">
  <si>
    <t>COLORES</t>
  </si>
  <si>
    <t>ENERO</t>
  </si>
  <si>
    <t xml:space="preserve">FEBRERO </t>
  </si>
  <si>
    <t xml:space="preserve">MARZO </t>
  </si>
  <si>
    <t xml:space="preserve">ABRIL </t>
  </si>
  <si>
    <t xml:space="preserve">MAYO </t>
  </si>
  <si>
    <t xml:space="preserve">JUNIO </t>
  </si>
  <si>
    <t>JULIO</t>
  </si>
  <si>
    <t xml:space="preserve">AGOSTO </t>
  </si>
  <si>
    <t xml:space="preserve">SEPTIEMBRE </t>
  </si>
  <si>
    <t xml:space="preserve">OCT UBRE </t>
  </si>
  <si>
    <t xml:space="preserve">NOVIEMBRE </t>
  </si>
  <si>
    <t xml:space="preserve">DICIEMBRE </t>
  </si>
  <si>
    <t xml:space="preserve">TOTAL ANUAL </t>
  </si>
  <si>
    <t>ADMINISTRADOR   (FABER)</t>
  </si>
  <si>
    <t xml:space="preserve">LUIS CORREA </t>
  </si>
  <si>
    <t>LEON ALEJANDRO OCAMPO</t>
  </si>
  <si>
    <t>BRAYAN AGUDELO</t>
  </si>
  <si>
    <t xml:space="preserve">VANESSA TUBERQUIA </t>
  </si>
  <si>
    <t xml:space="preserve">ESAU VELASQUEZ </t>
  </si>
  <si>
    <t>INTERNAS</t>
  </si>
  <si>
    <t>ADRIANA ZAPATA</t>
  </si>
  <si>
    <t>23.220.000.</t>
  </si>
  <si>
    <t>CAROLINA PARRA</t>
  </si>
  <si>
    <t xml:space="preserve">JENIFER ARANGO </t>
  </si>
  <si>
    <t>META MENSUAL  2019</t>
  </si>
  <si>
    <t>ADMINISTRADOR   ()</t>
  </si>
  <si>
    <t>50.875.000</t>
  </si>
  <si>
    <t>15.775.000</t>
  </si>
  <si>
    <t>10.550.000</t>
  </si>
  <si>
    <t>$10.333.333</t>
  </si>
  <si>
    <t>8.180.000</t>
  </si>
  <si>
    <t>7.780.000</t>
  </si>
  <si>
    <t>ESAU VELASQUEZ</t>
  </si>
  <si>
    <t>5.900.000</t>
  </si>
  <si>
    <t xml:space="preserve">RAQUEL GONZALEZ </t>
  </si>
  <si>
    <t>X</t>
  </si>
  <si>
    <t>1.110.000</t>
  </si>
  <si>
    <t xml:space="preserve">YEISON SANTAMARIA </t>
  </si>
  <si>
    <t>1.575.000</t>
  </si>
  <si>
    <t>17.170.000</t>
  </si>
  <si>
    <t>19.680.000</t>
  </si>
  <si>
    <t xml:space="preserve">ERIKA </t>
  </si>
  <si>
    <t xml:space="preserve">DANIEL ARROYAVE </t>
  </si>
  <si>
    <t>YULIETH OSSA</t>
  </si>
  <si>
    <t xml:space="preserve">YESICA OCAMPO </t>
  </si>
  <si>
    <t>7.550.000</t>
  </si>
  <si>
    <t xml:space="preserve">CATERINE DIAZ </t>
  </si>
  <si>
    <t>JULIETH OSSA</t>
  </si>
  <si>
    <t xml:space="preserve">META VIAJE </t>
  </si>
  <si>
    <t>META MENSUAL </t>
  </si>
  <si>
    <t xml:space="preserve">OCTUBRE </t>
  </si>
  <si>
    <t>DIFERENCIA META</t>
  </si>
  <si>
    <t xml:space="preserve">CARLOS MONSALVE </t>
  </si>
  <si>
    <t>XIOMARA</t>
  </si>
  <si>
    <t xml:space="preserve">ALEJANDRO OCAMPO </t>
  </si>
  <si>
    <t xml:space="preserve">CARLOS VALLEJO </t>
  </si>
  <si>
    <t xml:space="preserve">JUAN MANRIQUE </t>
  </si>
  <si>
    <t xml:space="preserve">YESCA BUITRAGO </t>
  </si>
  <si>
    <t xml:space="preserve">SANTIAGO SANTA </t>
  </si>
  <si>
    <t xml:space="preserve">IVON LOBO </t>
  </si>
  <si>
    <t xml:space="preserve">SEBASTIAN BUITRAGO </t>
  </si>
  <si>
    <t xml:space="preserve">NATALIA CARMONA </t>
  </si>
  <si>
    <t xml:space="preserve">MARIANA ZAPATA </t>
  </si>
  <si>
    <t xml:space="preserve">ALEJANDRO CARDONA </t>
  </si>
  <si>
    <t>CINDY CALLE</t>
  </si>
  <si>
    <t xml:space="preserve">CAMILA OCHOA </t>
  </si>
  <si>
    <t xml:space="preserve">DANIELA BOTERO </t>
  </si>
  <si>
    <t xml:space="preserve">ERIKA GONZALEZ </t>
  </si>
  <si>
    <t xml:space="preserve">CAROLINA RAMIREZ </t>
  </si>
  <si>
    <t xml:space="preserve">CAMILA VELAZQUEZ </t>
  </si>
  <si>
    <t xml:space="preserve">VERONICA OCHOA </t>
  </si>
  <si>
    <t xml:space="preserve">DANIELA CESPEDES </t>
  </si>
  <si>
    <t xml:space="preserve">TABATHA ROJAS </t>
  </si>
  <si>
    <t xml:space="preserve">YESENIA </t>
  </si>
  <si>
    <t xml:space="preserve">MANUELA MONSALVE </t>
  </si>
  <si>
    <t>ADMINISTRADOR   (ADRIANA)</t>
  </si>
  <si>
    <t xml:space="preserve">SANTIAGO ARIAS </t>
  </si>
  <si>
    <t>GELIX</t>
  </si>
  <si>
    <t xml:space="preserve">CAMILA VELASQUEZ </t>
  </si>
  <si>
    <t xml:space="preserve">KEVIN ARENAS </t>
  </si>
  <si>
    <t xml:space="preserve">PAULA OCHOA </t>
  </si>
  <si>
    <t xml:space="preserve">JULIAN </t>
  </si>
  <si>
    <t xml:space="preserve">CAMILA FONNEGRA </t>
  </si>
  <si>
    <t xml:space="preserve">JESSICA IBARRA </t>
  </si>
  <si>
    <t>CALASANZ 2022</t>
  </si>
  <si>
    <t>ADMINISTRADOR   (ARANGO)</t>
  </si>
  <si>
    <t>CARLOS VALLEJO</t>
  </si>
  <si>
    <t xml:space="preserve">MARIA PAULA </t>
  </si>
  <si>
    <t xml:space="preserve">ELIZABET </t>
  </si>
  <si>
    <t>DANIELA BOTERO</t>
  </si>
  <si>
    <t>MANUELA MONSALVE</t>
  </si>
  <si>
    <t>LAURELES</t>
  </si>
  <si>
    <t>ADMINISTRADOR   (KAREN )</t>
  </si>
  <si>
    <t>VICTOR VALENCIA</t>
  </si>
  <si>
    <t>MARLON RODRIGUEZ</t>
  </si>
  <si>
    <t>ALONSO LOPEZ</t>
  </si>
  <si>
    <t xml:space="preserve">ALEXANDER ARANGO </t>
  </si>
  <si>
    <t>MARIA ANDREA</t>
  </si>
  <si>
    <t>LUISA MARIN</t>
  </si>
  <si>
    <t>JENIFER GOMEZ</t>
  </si>
  <si>
    <t xml:space="preserve">META ANUAL </t>
  </si>
  <si>
    <t>39.840.000</t>
  </si>
  <si>
    <t>10.500.000</t>
  </si>
  <si>
    <t>5.050.000</t>
  </si>
  <si>
    <t>7.570.000</t>
  </si>
  <si>
    <t>14.840.000</t>
  </si>
  <si>
    <t>22.300.000</t>
  </si>
  <si>
    <t>MELVI CASTRILLON</t>
  </si>
  <si>
    <t xml:space="preserve">MELISSA GARCIA </t>
  </si>
  <si>
    <t xml:space="preserve">ESTEFANY </t>
  </si>
  <si>
    <t xml:space="preserve">VIAJE  </t>
  </si>
  <si>
    <t xml:space="preserve">ADMINISTRADOR  </t>
  </si>
  <si>
    <t xml:space="preserve">ALONSO LOPEZ </t>
  </si>
  <si>
    <t>13,875,00</t>
  </si>
  <si>
    <t xml:space="preserve">MARIA ANDREA BOLIVAR </t>
  </si>
  <si>
    <t xml:space="preserve">ESTEFANY AGUDELO </t>
  </si>
  <si>
    <t>ADMINISTRADOR (ADRIANA )</t>
  </si>
  <si>
    <t xml:space="preserve">JUAN DIEGO RESTREPO </t>
  </si>
  <si>
    <t xml:space="preserve">BLEYCK BEDOYA </t>
  </si>
  <si>
    <t xml:space="preserve">ALEJANDRA RESTREPO </t>
  </si>
  <si>
    <t xml:space="preserve">CAMILO ALVAREZ </t>
  </si>
  <si>
    <t xml:space="preserve">DANIEL RESTREPO </t>
  </si>
  <si>
    <t xml:space="preserve">ANDREA ARISTIZABAL  </t>
  </si>
  <si>
    <t xml:space="preserve">DANIELA </t>
  </si>
  <si>
    <t xml:space="preserve">LAURELES </t>
  </si>
  <si>
    <t xml:space="preserve">JOSE DAVID FLOREZ </t>
  </si>
  <si>
    <t xml:space="preserve">JULIAN SOLIS </t>
  </si>
  <si>
    <t>CRISTIAN GALLEGO</t>
  </si>
  <si>
    <t xml:space="preserve">VERONICA ORTIZ ADMON </t>
  </si>
  <si>
    <t xml:space="preserve">SANTIAGO HOYOS </t>
  </si>
  <si>
    <t xml:space="preserve">MAURICIO </t>
  </si>
  <si>
    <t xml:space="preserve">KELLY GARCIA </t>
  </si>
  <si>
    <t xml:space="preserve">DANIELA MONTOYA </t>
  </si>
  <si>
    <t xml:space="preserve">INTERNAS </t>
  </si>
  <si>
    <t xml:space="preserve">JESICA ORTIZ </t>
  </si>
  <si>
    <t xml:space="preserve">JAKSON </t>
  </si>
  <si>
    <t xml:space="preserve">DIANA ESCUDERO </t>
  </si>
  <si>
    <t xml:space="preserve">JOHANA PEÑA </t>
  </si>
  <si>
    <t xml:space="preserve">LUISA GUTIERREZ </t>
  </si>
  <si>
    <t>POBLADO</t>
  </si>
  <si>
    <t>META MENSUAL  2018</t>
  </si>
  <si>
    <t>ADMINISTRADOR (VERONICA)</t>
  </si>
  <si>
    <t xml:space="preserve">CAMILO GALLEGO </t>
  </si>
  <si>
    <t>JUAN MANRIQUE</t>
  </si>
  <si>
    <t>SAMIR PADILLA</t>
  </si>
  <si>
    <t>JULIAN VALENCIA</t>
  </si>
  <si>
    <t>STYVEN GOMEZ</t>
  </si>
  <si>
    <t xml:space="preserve">ISABEL </t>
  </si>
  <si>
    <t xml:space="preserve">VIAJE </t>
  </si>
  <si>
    <t xml:space="preserve">OCTUBRE  </t>
  </si>
  <si>
    <t>32.816.000</t>
  </si>
  <si>
    <t>14.100.000</t>
  </si>
  <si>
    <t>3.650.000</t>
  </si>
  <si>
    <t>10.410.000</t>
  </si>
  <si>
    <t>4.700.000</t>
  </si>
  <si>
    <t>6.550.000</t>
  </si>
  <si>
    <t>FABER MENDEZ</t>
  </si>
  <si>
    <t>$220.000.000</t>
  </si>
  <si>
    <t>ADMINISTRADOR  ?</t>
  </si>
  <si>
    <t xml:space="preserve">JUAN DIEGO HERRERA </t>
  </si>
  <si>
    <t xml:space="preserve">VALENTINA </t>
  </si>
  <si>
    <t>$15.000.000</t>
  </si>
  <si>
    <t xml:space="preserve">ANDREA RODAS </t>
  </si>
  <si>
    <t>ADMINISTRADOR (RONAL  )</t>
  </si>
  <si>
    <t xml:space="preserve">EVELYN RESTREPO </t>
  </si>
  <si>
    <t xml:space="preserve">JHONATHAN GUTIERREZ </t>
  </si>
  <si>
    <t xml:space="preserve">SANTIAGO COLORADO </t>
  </si>
  <si>
    <t xml:space="preserve">SANTIAGO LOPEZ </t>
  </si>
  <si>
    <t xml:space="preserve">ERICA GONZALEZ </t>
  </si>
  <si>
    <t xml:space="preserve">MARIBEL LOAIZA </t>
  </si>
  <si>
    <t xml:space="preserve">CATALINA ATEHORTUA </t>
  </si>
  <si>
    <t xml:space="preserve">RONAL MENDEZ ADMON </t>
  </si>
  <si>
    <t xml:space="preserve">MARIA PAULA LOPEZ </t>
  </si>
  <si>
    <t xml:space="preserve">GABRIEL </t>
  </si>
  <si>
    <t xml:space="preserve">DAVID VASQUEZ </t>
  </si>
  <si>
    <t xml:space="preserve">JUAN CAMILO </t>
  </si>
  <si>
    <t xml:space="preserve">ANDREA ARISTIZABAL </t>
  </si>
  <si>
    <t xml:space="preserve">DARIEN </t>
  </si>
  <si>
    <t xml:space="preserve">ESTEFANIA </t>
  </si>
  <si>
    <t xml:space="preserve">SABANETA </t>
  </si>
  <si>
    <t>ADMINISTRADOR (SHIRLEY)</t>
  </si>
  <si>
    <t>RAUL MARIN</t>
  </si>
  <si>
    <t xml:space="preserve">JUAN CAMILO URREA </t>
  </si>
  <si>
    <t>SHIRLEY MUÑOZ</t>
  </si>
  <si>
    <t xml:space="preserve">KAREN CASTRO </t>
  </si>
  <si>
    <t xml:space="preserve">LESLY TORO </t>
  </si>
  <si>
    <t>MONICA MEDRANO|</t>
  </si>
  <si>
    <t xml:space="preserve">itagui- estrella </t>
  </si>
  <si>
    <t>ADMINISTRADOR</t>
  </si>
  <si>
    <t>29.070.000</t>
  </si>
  <si>
    <t>10.300.000</t>
  </si>
  <si>
    <t>9.230.000</t>
  </si>
  <si>
    <t>7.000.000</t>
  </si>
  <si>
    <t>2.540.000</t>
  </si>
  <si>
    <t>2.200.000</t>
  </si>
  <si>
    <t>1.300.000</t>
  </si>
  <si>
    <t>MONICA MEDRANO</t>
  </si>
  <si>
    <t>22.970.000</t>
  </si>
  <si>
    <t>MANUELA DUQUE</t>
  </si>
  <si>
    <t xml:space="preserve">ANDREA </t>
  </si>
  <si>
    <t xml:space="preserve">ADMINISTRADOR  VERONICA </t>
  </si>
  <si>
    <t>11.030.000</t>
  </si>
  <si>
    <t>36.650.000</t>
  </si>
  <si>
    <t>13.970,000</t>
  </si>
  <si>
    <t xml:space="preserve">SHIRLEY MUÑOZ </t>
  </si>
  <si>
    <t>8.900,000</t>
  </si>
  <si>
    <t xml:space="preserve">ARTURO RUIZ </t>
  </si>
  <si>
    <t xml:space="preserve">INETRNAS </t>
  </si>
  <si>
    <t xml:space="preserve">MONICA MEDRANO </t>
  </si>
  <si>
    <t>TOTAL</t>
  </si>
  <si>
    <t>VERONICA ADMON</t>
  </si>
  <si>
    <t>CAMILO URREA</t>
  </si>
  <si>
    <t xml:space="preserve">ALEJANDRO VILLEGAS </t>
  </si>
  <si>
    <t xml:space="preserve">CAMILO CORREA </t>
  </si>
  <si>
    <t>EIDER LONDOÑO</t>
  </si>
  <si>
    <t xml:space="preserve">MANRIQUE </t>
  </si>
  <si>
    <t xml:space="preserve">SERGIO </t>
  </si>
  <si>
    <t xml:space="preserve">ARBINSON ZAPATA </t>
  </si>
  <si>
    <t xml:space="preserve">KEVIN </t>
  </si>
  <si>
    <t xml:space="preserve">CATHERINE DIAZ ADMON </t>
  </si>
  <si>
    <t>SANTIAGO LOPERA</t>
  </si>
  <si>
    <t xml:space="preserve">MATEO </t>
  </si>
  <si>
    <t xml:space="preserve">SANTIAGO </t>
  </si>
  <si>
    <t>480.000.000</t>
  </si>
  <si>
    <t>19.070.000</t>
  </si>
  <si>
    <t xml:space="preserve">JEFERSON ARANGO </t>
  </si>
  <si>
    <t>3.750.000</t>
  </si>
  <si>
    <t>DIANA RUIZ</t>
  </si>
  <si>
    <t>3.500.000</t>
  </si>
  <si>
    <t>GEIVER OSORIO</t>
  </si>
  <si>
    <t>BLEYCK</t>
  </si>
  <si>
    <t>4.750.000</t>
  </si>
  <si>
    <t xml:space="preserve">FABIAN </t>
  </si>
  <si>
    <t xml:space="preserve">ESTRELLA </t>
  </si>
  <si>
    <t xml:space="preserve">META MENSUAL  </t>
  </si>
  <si>
    <t xml:space="preserve">ADMINISTRADOR  SHIRLEY FLORES </t>
  </si>
  <si>
    <t>17,30,000</t>
  </si>
  <si>
    <t xml:space="preserve">YERMANY CORREA </t>
  </si>
  <si>
    <t xml:space="preserve">JULIANA MONA </t>
  </si>
  <si>
    <t xml:space="preserve">DAVID </t>
  </si>
  <si>
    <t xml:space="preserve">MARIA CAMILA OCHOA </t>
  </si>
  <si>
    <t xml:space="preserve">MARCELA ALVAREZ </t>
  </si>
  <si>
    <t xml:space="preserve">LAURA LONDOÑO </t>
  </si>
  <si>
    <t xml:space="preserve">DERLY AREIZA   ADMON </t>
  </si>
  <si>
    <t xml:space="preserve">EDISSON MONTOYA </t>
  </si>
  <si>
    <t>ANDRES MIRANDA</t>
  </si>
  <si>
    <t xml:space="preserve">SEBASTIAN LOPEZ </t>
  </si>
  <si>
    <t xml:space="preserve">MAXIMILIANO </t>
  </si>
  <si>
    <t xml:space="preserve">STIVEN CANO </t>
  </si>
  <si>
    <t>ANDRES RESTREPO</t>
  </si>
  <si>
    <t xml:space="preserve">JUAN DAVID BUSTAMENTE </t>
  </si>
  <si>
    <t>THOMAS CARDONA</t>
  </si>
  <si>
    <t xml:space="preserve">SARA AGUDELO </t>
  </si>
  <si>
    <t xml:space="preserve">LUISA QUINTERO </t>
  </si>
  <si>
    <t xml:space="preserve">VERONICA MORALES </t>
  </si>
  <si>
    <t>ENVIGADO</t>
  </si>
  <si>
    <t>ADMINISTRADOR (BIVIANA)</t>
  </si>
  <si>
    <t xml:space="preserve">ALEJANDRO BEDOYA </t>
  </si>
  <si>
    <t>JUAN PABLO VILLA</t>
  </si>
  <si>
    <t>7.00.000</t>
  </si>
  <si>
    <t>RONAL MENDEZ</t>
  </si>
  <si>
    <t>8.600.000</t>
  </si>
  <si>
    <t xml:space="preserve">DANIEL GUERRA </t>
  </si>
  <si>
    <t>18.050.000</t>
  </si>
  <si>
    <t>DAHIANA HOYOS</t>
  </si>
  <si>
    <t>16.950.000</t>
  </si>
  <si>
    <t xml:space="preserve">CAMILA </t>
  </si>
  <si>
    <t xml:space="preserve">CAMILO ARAQUE </t>
  </si>
  <si>
    <t xml:space="preserve">META MENSUAL </t>
  </si>
  <si>
    <t xml:space="preserve">ADMINISTRADOR  BIVIANA  </t>
  </si>
  <si>
    <t>$45.000.000</t>
  </si>
  <si>
    <t xml:space="preserve">JUAN ESTEBAN MANRIQUE </t>
  </si>
  <si>
    <t xml:space="preserve">ALEJANDRA VARELA </t>
  </si>
  <si>
    <t>JUAN PABLO BEDOYA</t>
  </si>
  <si>
    <t xml:space="preserve">JUAN PABLO VILLA </t>
  </si>
  <si>
    <t xml:space="preserve">SEBASTIAN MONTOYA </t>
  </si>
  <si>
    <t>15,00,000</t>
  </si>
  <si>
    <t xml:space="preserve">MARLON RODRIGUEZ </t>
  </si>
  <si>
    <t xml:space="preserve">CAROLINA PARRA </t>
  </si>
  <si>
    <t xml:space="preserve">DERLY AREIZA </t>
  </si>
  <si>
    <t xml:space="preserve">ESTEFANIA ROMERO </t>
  </si>
  <si>
    <t xml:space="preserve">BIVIANA SALAZAR  ADMON </t>
  </si>
  <si>
    <t xml:space="preserve">SERGIO CARDONA </t>
  </si>
  <si>
    <t>INFORME ARRENDAMIENTOS-  2019</t>
  </si>
  <si>
    <t>SEDES 2018 ENERO</t>
  </si>
  <si>
    <t>SEDES ENERO 2019</t>
  </si>
  <si>
    <t xml:space="preserve">SEDES 2018 FEBRERO </t>
  </si>
  <si>
    <t xml:space="preserve">SEDES 2019 FEBRERO </t>
  </si>
  <si>
    <t xml:space="preserve">SEDES 2018 MARZO  </t>
  </si>
  <si>
    <t xml:space="preserve">SEDES 2019 MARZO </t>
  </si>
  <si>
    <t>SEDES 2018 ABRIL</t>
  </si>
  <si>
    <t xml:space="preserve">SEDES 2019 ABRIL </t>
  </si>
  <si>
    <t>SEDES 2018 MAYO</t>
  </si>
  <si>
    <t>SEDES 2019 MAYO</t>
  </si>
  <si>
    <t xml:space="preserve">COLORES </t>
  </si>
  <si>
    <t>q|</t>
  </si>
  <si>
    <t xml:space="preserve">ITAGUI </t>
  </si>
  <si>
    <t>ITAGUI- ESTREL</t>
  </si>
  <si>
    <t>OJO REVISAR TOTALES</t>
  </si>
  <si>
    <t xml:space="preserve">ENVIGADO </t>
  </si>
  <si>
    <t>MEJOR ASESOR EXTERNO 2019 ENERO</t>
  </si>
  <si>
    <t>MEJOR ASESOR INTERNA 2019</t>
  </si>
  <si>
    <t xml:space="preserve">MEJOR ASESOR EXTERNO 2019 FEBRERO </t>
  </si>
  <si>
    <t xml:space="preserve">MEJOR ASESOR INTERNA 2019 FEBRERO </t>
  </si>
  <si>
    <t>MEJOR ASESOR EXT 2019 MARZO</t>
  </si>
  <si>
    <t>MEJOR ASESOR INTERNO 2019 MARZO</t>
  </si>
  <si>
    <t>MEJOR ASESOR EXT 2019 ABRIL</t>
  </si>
  <si>
    <t>MEJOR ASESOR INTERNO 2019 ABRIL</t>
  </si>
  <si>
    <t>MEJOR ASESOR EXT 2019 MAYO</t>
  </si>
  <si>
    <t xml:space="preserve">BRYAN AGUDELO </t>
  </si>
  <si>
    <t xml:space="preserve">ADRIANA ZAPATA </t>
  </si>
  <si>
    <t>ALEJANDRO B.</t>
  </si>
  <si>
    <t xml:space="preserve">ENERO </t>
  </si>
  <si>
    <t>MARZO</t>
  </si>
  <si>
    <t>SUBROGACIONES</t>
  </si>
  <si>
    <t>PENALIDAD</t>
  </si>
  <si>
    <t xml:space="preserve">EMPALMES </t>
  </si>
  <si>
    <t>SEDE</t>
  </si>
  <si>
    <t>febrero</t>
  </si>
  <si>
    <t xml:space="preserve">marzo </t>
  </si>
  <si>
    <t xml:space="preserve">POBLADO </t>
  </si>
  <si>
    <t>TOTAL : =</t>
  </si>
  <si>
    <t xml:space="preserve">ASESORES QUE NO CUMPLIERON META EN ENERO </t>
  </si>
  <si>
    <t xml:space="preserve">SEDE </t>
  </si>
  <si>
    <t xml:space="preserve">ASESOR </t>
  </si>
  <si>
    <t>ENRO</t>
  </si>
  <si>
    <t xml:space="preserve">colores </t>
  </si>
  <si>
    <t>alejandro ocampo</t>
  </si>
  <si>
    <t xml:space="preserve">Laureles </t>
  </si>
  <si>
    <t xml:space="preserve">victor valencia </t>
  </si>
  <si>
    <t>marlon Rodriguez</t>
  </si>
  <si>
    <t>alexander arango</t>
  </si>
  <si>
    <t>poblado</t>
  </si>
  <si>
    <t>Esau Velasquez</t>
  </si>
  <si>
    <t xml:space="preserve">juan manrique </t>
  </si>
  <si>
    <t xml:space="preserve">Samir </t>
  </si>
  <si>
    <t>itagui</t>
  </si>
  <si>
    <t>Diana Ruiz</t>
  </si>
  <si>
    <t>geiver osorio</t>
  </si>
  <si>
    <t xml:space="preserve">jeferson arango </t>
  </si>
  <si>
    <t xml:space="preserve">sabaneta </t>
  </si>
  <si>
    <t>Raul marin</t>
  </si>
  <si>
    <t>Shirley Muñoz</t>
  </si>
  <si>
    <t xml:space="preserve">envigado </t>
  </si>
  <si>
    <t xml:space="preserve">juan pablo villa </t>
  </si>
  <si>
    <t xml:space="preserve">juan Diego herrea </t>
  </si>
  <si>
    <t xml:space="preserve">Daniel Guerra </t>
  </si>
  <si>
    <t xml:space="preserve">alejandro bedoya </t>
  </si>
  <si>
    <t>PORTEROS 2019</t>
  </si>
  <si>
    <t>FEBRERO</t>
  </si>
  <si>
    <t>ABRIL</t>
  </si>
  <si>
    <t>MAYO</t>
  </si>
  <si>
    <t>ESTRELLA</t>
  </si>
  <si>
    <t>ASESOR INTERNO MANTENIMIENTOS</t>
  </si>
  <si>
    <t>ASESORA INTERNA</t>
  </si>
  <si>
    <t xml:space="preserve">JULIO </t>
  </si>
  <si>
    <t xml:space="preserve">MARCELA RESTREPO </t>
  </si>
  <si>
    <t>CLAUDIA GALEANO</t>
  </si>
  <si>
    <t xml:space="preserve">MONICA VELEZ </t>
  </si>
  <si>
    <t xml:space="preserve">LAURA </t>
  </si>
  <si>
    <t xml:space="preserve">CINDY MEDINA </t>
  </si>
  <si>
    <t xml:space="preserve">ALEJANDRA JIMENEZ </t>
  </si>
  <si>
    <t>TOTAL:</t>
  </si>
  <si>
    <t>MANTENIMIENTOS</t>
  </si>
  <si>
    <t>LIDER DE EQUPO  (MARCELA)</t>
  </si>
  <si>
    <t xml:space="preserve">YENNY SARABIA </t>
  </si>
  <si>
    <t xml:space="preserve">LAURA CASTAÑEDA </t>
  </si>
  <si>
    <t xml:space="preserve">TOTAL: </t>
  </si>
  <si>
    <t xml:space="preserve">BELLO </t>
  </si>
  <si>
    <t xml:space="preserve">FABER MENDEZ ADMON </t>
  </si>
  <si>
    <t xml:space="preserve">SEBASTIAN ECHAVARRIA </t>
  </si>
  <si>
    <t>MATEO ROMERO</t>
  </si>
  <si>
    <t xml:space="preserve">ALEXIS ECHAVARRIA </t>
  </si>
  <si>
    <t xml:space="preserve">DIANA LOPEZ </t>
  </si>
  <si>
    <t xml:space="preserve">JOHAN </t>
  </si>
  <si>
    <t xml:space="preserve">INFORME 2018 MENSUAL </t>
  </si>
  <si>
    <t xml:space="preserve">MES </t>
  </si>
  <si>
    <t xml:space="preserve">ITAGUI -ESTRELA </t>
  </si>
  <si>
    <t>TOTAL MES</t>
  </si>
  <si>
    <t>JUNIO</t>
  </si>
  <si>
    <t>AGOSTO</t>
  </si>
  <si>
    <t>SEPTIEMBRE</t>
  </si>
  <si>
    <t>OCTUBRE</t>
  </si>
  <si>
    <t>NOVIEMBRE</t>
  </si>
  <si>
    <t>DICIEMBRE</t>
  </si>
  <si>
    <t xml:space="preserve">PROMEDIO </t>
  </si>
  <si>
    <t xml:space="preserve">INFORME 2019 MENSUAL </t>
  </si>
  <si>
    <t>COLORES-47.500.000</t>
  </si>
  <si>
    <t>LAURELES-42.000.000</t>
  </si>
  <si>
    <t>POBLADO-30.000.000</t>
  </si>
  <si>
    <t xml:space="preserve">SABANETA-33.000.000 </t>
  </si>
  <si>
    <t>ITAGUI -ESTRELA 20.000.000</t>
  </si>
  <si>
    <t>ENVIGADO-42.500.000</t>
  </si>
  <si>
    <t xml:space="preserve">INFORME 2020 MENSUAL </t>
  </si>
  <si>
    <t>COLORES-60.000.000</t>
  </si>
  <si>
    <t>ITAGUI -ESTRELA 37.000.000</t>
  </si>
  <si>
    <t>ENVIGADO-45.000.000</t>
  </si>
  <si>
    <t xml:space="preserve">Teniendo encuenta abril </t>
  </si>
  <si>
    <t xml:space="preserve">sin incluir abril </t>
  </si>
  <si>
    <t>PROMEDIO ARRIENDOS 2021</t>
  </si>
  <si>
    <t>PROMEDIO ARRIENDOS 2022</t>
  </si>
  <si>
    <t>CALASANZ</t>
  </si>
  <si>
    <t>BELLO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</si>
</sst>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&quot;$&quot;* #,##0_);_(&quot;$&quot;* \(#,##0\);_(&quot;$&quot;* &quot;-&quot;_);_(@_)"/>
    <numFmt numFmtId="165" formatCode="[$$]#,##0"/>
    <numFmt numFmtId="166" formatCode="[$ $]#,##0"/>
    <numFmt numFmtId="167" formatCode="#,##0;[Red]#,##0"/>
    <numFmt numFmtId="168" formatCode="[$$]#,##0.00"/>
    <numFmt numFmtId="169" formatCode="0.000"/>
    <numFmt numFmtId="170" formatCode="&quot;$&quot;#,##0"/>
    <numFmt numFmtId="171" formatCode="_([$$-409]* #,##0_);_([$$-409]* \(#,##0\);_([$$-409]* &quot;-&quot;??_);_(@_)"/>
  </numFmts>
  <fonts count="42" x14ac:knownFonts="1">
    <font>
      <sz val="10"/>
      <color rgb="FF000000"/>
      <name val="Arial"/>
    </font>
    <font>
      <sz val="39"/>
      <name val="Arial"/>
      <family val="2"/>
    </font>
    <font>
      <b/>
      <sz val="4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36"/>
      <name val="Arial"/>
      <family val="2"/>
    </font>
    <font>
      <b/>
      <sz val="18"/>
      <color rgb="FF00000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14"/>
      <name val="Arial"/>
      <family val="2"/>
    </font>
    <font>
      <b/>
      <sz val="39"/>
      <color rgb="FF000000"/>
      <name val="Arial"/>
      <family val="2"/>
    </font>
    <font>
      <b/>
      <sz val="40"/>
      <color rgb="FFFF0000"/>
      <name val="Arial"/>
      <family val="2"/>
    </font>
    <font>
      <b/>
      <sz val="40"/>
      <color rgb="FF000000"/>
      <name val="Arial"/>
      <family val="2"/>
    </font>
    <font>
      <sz val="14"/>
      <color rgb="FF000000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6"/>
      <color rgb="FF000000"/>
      <name val="Arial"/>
      <family val="2"/>
    </font>
    <font>
      <sz val="10"/>
      <color rgb="FFFF0000"/>
      <name val="Arial"/>
      <family val="2"/>
    </font>
    <font>
      <sz val="10"/>
      <color rgb="FF0D0D0D"/>
      <name val="Arial"/>
      <family val="2"/>
    </font>
    <font>
      <b/>
      <sz val="10"/>
      <color rgb="FF0D0D0D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b/>
      <sz val="12"/>
      <color rgb="FFFF0000"/>
      <name val="Arial"/>
      <family val="2"/>
    </font>
    <font>
      <b/>
      <sz val="10"/>
      <color rgb="FFD9D9D9"/>
      <name val="Arial"/>
      <family val="2"/>
    </font>
    <font>
      <sz val="10"/>
      <color rgb="FFD9D9D9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5B9B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D2E9"/>
        <bgColor rgb="FFD9D9D9"/>
      </patternFill>
    </fill>
    <fill>
      <patternFill patternType="solid">
        <fgColor rgb="FF9BC2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4B084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4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3" fontId="6" fillId="3" borderId="1" xfId="0" applyNumberFormat="1" applyFont="1" applyFill="1" applyBorder="1" applyAlignment="1">
      <alignment horizontal="right"/>
    </xf>
    <xf numFmtId="3" fontId="6" fillId="3" borderId="2" xfId="0" applyNumberFormat="1" applyFont="1" applyFill="1" applyBorder="1" applyAlignment="1">
      <alignment horizontal="right"/>
    </xf>
    <xf numFmtId="3" fontId="6" fillId="3" borderId="3" xfId="0" applyNumberFormat="1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Border="1"/>
    <xf numFmtId="165" fontId="7" fillId="4" borderId="3" xfId="0" applyNumberFormat="1" applyFont="1" applyFill="1" applyBorder="1" applyAlignment="1">
      <alignment horizontal="right"/>
    </xf>
    <xf numFmtId="3" fontId="8" fillId="0" borderId="1" xfId="0" applyNumberFormat="1" applyFont="1" applyBorder="1" applyAlignment="1">
      <alignment horizontal="right"/>
    </xf>
    <xf numFmtId="165" fontId="9" fillId="5" borderId="1" xfId="0" applyNumberFormat="1" applyFont="1" applyFill="1" applyBorder="1"/>
    <xf numFmtId="3" fontId="9" fillId="5" borderId="1" xfId="0" applyNumberFormat="1" applyFont="1" applyFill="1" applyBorder="1"/>
    <xf numFmtId="3" fontId="6" fillId="5" borderId="3" xfId="0" applyNumberFormat="1" applyFont="1" applyFill="1" applyBorder="1"/>
    <xf numFmtId="3" fontId="5" fillId="0" borderId="1" xfId="0" applyNumberFormat="1" applyFont="1" applyBorder="1"/>
    <xf numFmtId="165" fontId="5" fillId="0" borderId="1" xfId="0" applyNumberFormat="1" applyFont="1" applyBorder="1"/>
    <xf numFmtId="3" fontId="10" fillId="0" borderId="2" xfId="0" applyNumberFormat="1" applyFont="1" applyBorder="1" applyAlignment="1">
      <alignment horizontal="right"/>
    </xf>
    <xf numFmtId="165" fontId="6" fillId="6" borderId="3" xfId="0" applyNumberFormat="1" applyFont="1" applyFill="1" applyBorder="1" applyAlignment="1">
      <alignment horizontal="center"/>
    </xf>
    <xf numFmtId="3" fontId="7" fillId="0" borderId="3" xfId="0" applyNumberFormat="1" applyFont="1" applyBorder="1" applyAlignment="1">
      <alignment horizontal="right"/>
    </xf>
    <xf numFmtId="3" fontId="7" fillId="0" borderId="4" xfId="0" applyNumberFormat="1" applyFont="1" applyBorder="1" applyAlignment="1">
      <alignment horizontal="right"/>
    </xf>
    <xf numFmtId="165" fontId="5" fillId="4" borderId="1" xfId="0" applyNumberFormat="1" applyFont="1" applyFill="1" applyBorder="1"/>
    <xf numFmtId="3" fontId="8" fillId="0" borderId="2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165" fontId="11" fillId="0" borderId="1" xfId="0" applyNumberFormat="1" applyFont="1" applyBorder="1"/>
    <xf numFmtId="3" fontId="13" fillId="0" borderId="1" xfId="0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/>
    </xf>
    <xf numFmtId="167" fontId="14" fillId="6" borderId="4" xfId="0" applyNumberFormat="1" applyFont="1" applyFill="1" applyBorder="1" applyAlignment="1">
      <alignment horizontal="right"/>
    </xf>
    <xf numFmtId="0" fontId="5" fillId="0" borderId="4" xfId="0" applyFont="1" applyBorder="1"/>
    <xf numFmtId="0" fontId="7" fillId="0" borderId="3" xfId="0" applyFont="1" applyBorder="1"/>
    <xf numFmtId="0" fontId="2" fillId="2" borderId="0" xfId="0" applyFont="1" applyFill="1"/>
    <xf numFmtId="165" fontId="6" fillId="9" borderId="2" xfId="0" applyNumberFormat="1" applyFont="1" applyFill="1" applyBorder="1" applyAlignment="1">
      <alignment horizontal="center"/>
    </xf>
    <xf numFmtId="0" fontId="5" fillId="2" borderId="1" xfId="0" applyFont="1" applyFill="1" applyBorder="1"/>
    <xf numFmtId="3" fontId="14" fillId="0" borderId="1" xfId="0" applyNumberFormat="1" applyFont="1" applyBorder="1" applyAlignment="1">
      <alignment horizontal="right"/>
    </xf>
    <xf numFmtId="3" fontId="12" fillId="0" borderId="1" xfId="0" applyNumberFormat="1" applyFont="1" applyBorder="1"/>
    <xf numFmtId="3" fontId="11" fillId="0" borderId="1" xfId="0" applyNumberFormat="1" applyFont="1" applyBorder="1"/>
    <xf numFmtId="0" fontId="2" fillId="3" borderId="0" xfId="0" applyFont="1" applyFill="1"/>
    <xf numFmtId="0" fontId="8" fillId="0" borderId="4" xfId="0" applyFont="1" applyBorder="1" applyAlignment="1">
      <alignment horizontal="right"/>
    </xf>
    <xf numFmtId="165" fontId="6" fillId="9" borderId="1" xfId="0" applyNumberFormat="1" applyFont="1" applyFill="1" applyBorder="1" applyAlignment="1">
      <alignment horizontal="center"/>
    </xf>
    <xf numFmtId="3" fontId="8" fillId="0" borderId="4" xfId="0" applyNumberFormat="1" applyFont="1" applyBorder="1" applyAlignment="1">
      <alignment horizontal="right"/>
    </xf>
    <xf numFmtId="3" fontId="8" fillId="0" borderId="4" xfId="0" applyNumberFormat="1" applyFont="1" applyBorder="1"/>
    <xf numFmtId="165" fontId="5" fillId="6" borderId="1" xfId="0" applyNumberFormat="1" applyFont="1" applyFill="1" applyBorder="1"/>
    <xf numFmtId="0" fontId="5" fillId="6" borderId="1" xfId="0" applyFont="1" applyFill="1" applyBorder="1"/>
    <xf numFmtId="3" fontId="6" fillId="0" borderId="0" xfId="0" applyNumberFormat="1" applyFont="1" applyAlignment="1">
      <alignment horizontal="right"/>
    </xf>
    <xf numFmtId="165" fontId="6" fillId="9" borderId="3" xfId="0" applyNumberFormat="1" applyFont="1" applyFill="1" applyBorder="1" applyAlignment="1">
      <alignment horizontal="center"/>
    </xf>
    <xf numFmtId="165" fontId="6" fillId="8" borderId="3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3" fontId="6" fillId="9" borderId="3" xfId="0" applyNumberFormat="1" applyFont="1" applyFill="1" applyBorder="1" applyAlignment="1">
      <alignment horizontal="center"/>
    </xf>
    <xf numFmtId="3" fontId="6" fillId="6" borderId="1" xfId="0" applyNumberFormat="1" applyFont="1" applyFill="1" applyBorder="1" applyAlignment="1">
      <alignment horizontal="center"/>
    </xf>
    <xf numFmtId="0" fontId="5" fillId="6" borderId="0" xfId="0" applyFont="1" applyFill="1"/>
    <xf numFmtId="3" fontId="5" fillId="0" borderId="1" xfId="0" applyNumberFormat="1" applyFont="1" applyBorder="1" applyAlignment="1">
      <alignment horizontal="center"/>
    </xf>
    <xf numFmtId="0" fontId="5" fillId="0" borderId="0" xfId="0" applyFont="1"/>
    <xf numFmtId="0" fontId="5" fillId="6" borderId="1" xfId="0" applyFont="1" applyFill="1" applyBorder="1" applyAlignment="1">
      <alignment horizontal="center"/>
    </xf>
    <xf numFmtId="0" fontId="5" fillId="11" borderId="1" xfId="0" applyFont="1" applyFill="1" applyBorder="1"/>
    <xf numFmtId="0" fontId="5" fillId="13" borderId="1" xfId="0" applyFont="1" applyFill="1" applyBorder="1"/>
    <xf numFmtId="0" fontId="17" fillId="0" borderId="2" xfId="0" applyFont="1" applyBorder="1"/>
    <xf numFmtId="165" fontId="11" fillId="0" borderId="1" xfId="0" applyNumberFormat="1" applyFont="1" applyBorder="1" applyAlignment="1">
      <alignment horizontal="center"/>
    </xf>
    <xf numFmtId="0" fontId="18" fillId="10" borderId="0" xfId="0" applyFont="1" applyFill="1"/>
    <xf numFmtId="3" fontId="11" fillId="0" borderId="1" xfId="0" applyNumberFormat="1" applyFont="1" applyBorder="1" applyAlignment="1">
      <alignment horizontal="center"/>
    </xf>
    <xf numFmtId="0" fontId="6" fillId="2" borderId="3" xfId="0" applyFont="1" applyFill="1" applyBorder="1" applyAlignment="1">
      <alignment horizontal="right"/>
    </xf>
    <xf numFmtId="0" fontId="4" fillId="6" borderId="1" xfId="0" applyFont="1" applyFill="1" applyBorder="1"/>
    <xf numFmtId="0" fontId="6" fillId="5" borderId="3" xfId="0" applyFont="1" applyFill="1" applyBorder="1"/>
    <xf numFmtId="0" fontId="6" fillId="4" borderId="3" xfId="0" applyFont="1" applyFill="1" applyBorder="1"/>
    <xf numFmtId="3" fontId="6" fillId="0" borderId="3" xfId="0" applyNumberFormat="1" applyFont="1" applyBorder="1"/>
    <xf numFmtId="0" fontId="6" fillId="14" borderId="3" xfId="0" applyFont="1" applyFill="1" applyBorder="1"/>
    <xf numFmtId="0" fontId="6" fillId="15" borderId="3" xfId="0" applyFont="1" applyFill="1" applyBorder="1"/>
    <xf numFmtId="0" fontId="6" fillId="3" borderId="3" xfId="0" applyFont="1" applyFill="1" applyBorder="1"/>
    <xf numFmtId="0" fontId="6" fillId="16" borderId="3" xfId="0" applyFont="1" applyFill="1" applyBorder="1"/>
    <xf numFmtId="0" fontId="6" fillId="2" borderId="3" xfId="0" applyFont="1" applyFill="1" applyBorder="1"/>
    <xf numFmtId="0" fontId="2" fillId="15" borderId="0" xfId="0" applyFont="1" applyFill="1"/>
    <xf numFmtId="165" fontId="6" fillId="10" borderId="3" xfId="0" applyNumberFormat="1" applyFont="1" applyFill="1" applyBorder="1" applyAlignment="1">
      <alignment horizontal="right"/>
    </xf>
    <xf numFmtId="0" fontId="5" fillId="17" borderId="1" xfId="0" applyFont="1" applyFill="1" applyBorder="1"/>
    <xf numFmtId="3" fontId="11" fillId="0" borderId="1" xfId="0" applyNumberFormat="1" applyFont="1" applyBorder="1" applyAlignment="1">
      <alignment horizontal="right"/>
    </xf>
    <xf numFmtId="3" fontId="6" fillId="0" borderId="3" xfId="0" applyNumberFormat="1" applyFont="1" applyBorder="1" applyAlignment="1">
      <alignment horizontal="right"/>
    </xf>
    <xf numFmtId="165" fontId="6" fillId="0" borderId="3" xfId="0" applyNumberFormat="1" applyFont="1" applyBorder="1" applyAlignment="1">
      <alignment horizontal="right"/>
    </xf>
    <xf numFmtId="0" fontId="5" fillId="18" borderId="1" xfId="0" applyFont="1" applyFill="1" applyBorder="1"/>
    <xf numFmtId="165" fontId="6" fillId="2" borderId="3" xfId="0" applyNumberFormat="1" applyFont="1" applyFill="1" applyBorder="1" applyAlignment="1">
      <alignment horizontal="right"/>
    </xf>
    <xf numFmtId="0" fontId="19" fillId="0" borderId="1" xfId="0" applyFont="1" applyBorder="1" applyAlignment="1">
      <alignment horizontal="center"/>
    </xf>
    <xf numFmtId="165" fontId="11" fillId="3" borderId="1" xfId="0" applyNumberFormat="1" applyFont="1" applyFill="1" applyBorder="1"/>
    <xf numFmtId="3" fontId="6" fillId="0" borderId="3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5" fontId="11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right"/>
    </xf>
    <xf numFmtId="0" fontId="5" fillId="6" borderId="1" xfId="0" applyFont="1" applyFill="1" applyBorder="1" applyAlignment="1">
      <alignment horizontal="left"/>
    </xf>
    <xf numFmtId="165" fontId="5" fillId="3" borderId="1" xfId="0" applyNumberFormat="1" applyFont="1" applyFill="1" applyBorder="1" applyAlignment="1">
      <alignment horizontal="right"/>
    </xf>
    <xf numFmtId="3" fontId="6" fillId="15" borderId="3" xfId="0" applyNumberFormat="1" applyFont="1" applyFill="1" applyBorder="1" applyAlignment="1">
      <alignment horizontal="right"/>
    </xf>
    <xf numFmtId="3" fontId="6" fillId="6" borderId="0" xfId="0" applyNumberFormat="1" applyFont="1" applyFill="1"/>
    <xf numFmtId="0" fontId="14" fillId="0" borderId="2" xfId="0" applyFont="1" applyBorder="1"/>
    <xf numFmtId="0" fontId="14" fillId="0" borderId="3" xfId="0" applyFont="1" applyBorder="1"/>
    <xf numFmtId="3" fontId="5" fillId="0" borderId="0" xfId="0" applyNumberFormat="1" applyFont="1"/>
    <xf numFmtId="169" fontId="5" fillId="0" borderId="0" xfId="0" applyNumberFormat="1" applyFont="1"/>
    <xf numFmtId="0" fontId="16" fillId="0" borderId="1" xfId="0" applyFont="1" applyBorder="1"/>
    <xf numFmtId="0" fontId="5" fillId="0" borderId="0" xfId="0" applyFont="1" applyAlignment="1">
      <alignment horizontal="center"/>
    </xf>
    <xf numFmtId="0" fontId="8" fillId="0" borderId="2" xfId="0" applyFont="1" applyBorder="1"/>
    <xf numFmtId="165" fontId="8" fillId="0" borderId="3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center"/>
    </xf>
    <xf numFmtId="165" fontId="8" fillId="0" borderId="14" xfId="0" applyNumberFormat="1" applyFont="1" applyBorder="1" applyAlignment="1">
      <alignment horizontal="right"/>
    </xf>
    <xf numFmtId="165" fontId="8" fillId="0" borderId="1" xfId="0" applyNumberFormat="1" applyFont="1" applyBorder="1" applyAlignment="1">
      <alignment horizontal="right"/>
    </xf>
    <xf numFmtId="165" fontId="8" fillId="6" borderId="1" xfId="0" applyNumberFormat="1" applyFont="1" applyFill="1" applyBorder="1"/>
    <xf numFmtId="0" fontId="6" fillId="0" borderId="3" xfId="0" applyFont="1" applyBorder="1" applyAlignment="1">
      <alignment horizontal="center"/>
    </xf>
    <xf numFmtId="165" fontId="7" fillId="0" borderId="3" xfId="0" applyNumberFormat="1" applyFont="1" applyBorder="1"/>
    <xf numFmtId="0" fontId="22" fillId="9" borderId="1" xfId="0" applyFont="1" applyFill="1" applyBorder="1"/>
    <xf numFmtId="165" fontId="22" fillId="9" borderId="1" xfId="0" applyNumberFormat="1" applyFont="1" applyFill="1" applyBorder="1" applyAlignment="1">
      <alignment horizontal="center"/>
    </xf>
    <xf numFmtId="0" fontId="22" fillId="10" borderId="1" xfId="0" applyFont="1" applyFill="1" applyBorder="1" applyAlignment="1">
      <alignment horizontal="center"/>
    </xf>
    <xf numFmtId="0" fontId="16" fillId="0" borderId="2" xfId="0" applyFont="1" applyBorder="1"/>
    <xf numFmtId="165" fontId="16" fillId="6" borderId="3" xfId="0" applyNumberFormat="1" applyFont="1" applyFill="1" applyBorder="1" applyAlignment="1">
      <alignment horizontal="right"/>
    </xf>
    <xf numFmtId="165" fontId="16" fillId="6" borderId="1" xfId="0" applyNumberFormat="1" applyFont="1" applyFill="1" applyBorder="1" applyAlignment="1">
      <alignment horizontal="right"/>
    </xf>
    <xf numFmtId="165" fontId="16" fillId="0" borderId="3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22" fillId="3" borderId="1" xfId="0" applyNumberFormat="1" applyFont="1" applyFill="1" applyBorder="1"/>
    <xf numFmtId="3" fontId="5" fillId="0" borderId="4" xfId="0" applyNumberFormat="1" applyFont="1" applyBorder="1" applyAlignment="1">
      <alignment horizontal="right"/>
    </xf>
    <xf numFmtId="166" fontId="5" fillId="7" borderId="4" xfId="0" applyNumberFormat="1" applyFont="1" applyFill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6" fillId="2" borderId="1" xfId="0" applyNumberFormat="1" applyFont="1" applyFill="1" applyBorder="1"/>
    <xf numFmtId="0" fontId="5" fillId="6" borderId="4" xfId="0" applyFont="1" applyFill="1" applyBorder="1"/>
    <xf numFmtId="0" fontId="5" fillId="6" borderId="4" xfId="0" applyFont="1" applyFill="1" applyBorder="1" applyAlignment="1">
      <alignment horizontal="right"/>
    </xf>
    <xf numFmtId="0" fontId="5" fillId="8" borderId="4" xfId="0" applyFont="1" applyFill="1" applyBorder="1"/>
    <xf numFmtId="0" fontId="5" fillId="8" borderId="4" xfId="0" applyFont="1" applyFill="1" applyBorder="1" applyAlignment="1">
      <alignment horizontal="right"/>
    </xf>
    <xf numFmtId="166" fontId="5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3" fontId="6" fillId="0" borderId="1" xfId="0" applyNumberFormat="1" applyFont="1" applyBorder="1"/>
    <xf numFmtId="3" fontId="6" fillId="9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5" fontId="6" fillId="10" borderId="1" xfId="0" applyNumberFormat="1" applyFont="1" applyFill="1" applyBorder="1" applyAlignment="1">
      <alignment horizontal="center"/>
    </xf>
    <xf numFmtId="3" fontId="5" fillId="0" borderId="3" xfId="0" applyNumberFormat="1" applyFont="1" applyBorder="1"/>
    <xf numFmtId="3" fontId="11" fillId="0" borderId="3" xfId="0" applyNumberFormat="1" applyFont="1" applyBorder="1"/>
    <xf numFmtId="3" fontId="5" fillId="0" borderId="4" xfId="0" applyNumberFormat="1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165" fontId="6" fillId="6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65" fontId="9" fillId="4" borderId="3" xfId="0" applyNumberFormat="1" applyFont="1" applyFill="1" applyBorder="1"/>
    <xf numFmtId="165" fontId="5" fillId="6" borderId="4" xfId="0" applyNumberFormat="1" applyFont="1" applyFill="1" applyBorder="1"/>
    <xf numFmtId="0" fontId="5" fillId="9" borderId="4" xfId="0" applyFont="1" applyFill="1" applyBorder="1"/>
    <xf numFmtId="165" fontId="5" fillId="9" borderId="4" xfId="0" applyNumberFormat="1" applyFont="1" applyFill="1" applyBorder="1"/>
    <xf numFmtId="0" fontId="5" fillId="9" borderId="4" xfId="0" applyFont="1" applyFill="1" applyBorder="1" applyAlignment="1">
      <alignment horizontal="right"/>
    </xf>
    <xf numFmtId="165" fontId="11" fillId="0" borderId="3" xfId="0" applyNumberFormat="1" applyFont="1" applyBorder="1"/>
    <xf numFmtId="165" fontId="5" fillId="0" borderId="3" xfId="0" applyNumberFormat="1" applyFont="1" applyBorder="1" applyAlignment="1">
      <alignment horizontal="right"/>
    </xf>
    <xf numFmtId="165" fontId="5" fillId="0" borderId="3" xfId="0" applyNumberFormat="1" applyFont="1" applyBorder="1"/>
    <xf numFmtId="165" fontId="5" fillId="8" borderId="4" xfId="0" applyNumberFormat="1" applyFont="1" applyFill="1" applyBorder="1"/>
    <xf numFmtId="3" fontId="11" fillId="0" borderId="3" xfId="0" applyNumberFormat="1" applyFont="1" applyBorder="1" applyAlignment="1">
      <alignment horizontal="center"/>
    </xf>
    <xf numFmtId="165" fontId="6" fillId="7" borderId="1" xfId="0" applyNumberFormat="1" applyFont="1" applyFill="1" applyBorder="1" applyAlignment="1">
      <alignment horizontal="center"/>
    </xf>
    <xf numFmtId="165" fontId="6" fillId="8" borderId="1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right"/>
    </xf>
    <xf numFmtId="165" fontId="11" fillId="6" borderId="4" xfId="0" applyNumberFormat="1" applyFont="1" applyFill="1" applyBorder="1"/>
    <xf numFmtId="3" fontId="5" fillId="6" borderId="4" xfId="0" applyNumberFormat="1" applyFont="1" applyFill="1" applyBorder="1"/>
    <xf numFmtId="3" fontId="11" fillId="6" borderId="4" xfId="0" applyNumberFormat="1" applyFont="1" applyFill="1" applyBorder="1"/>
    <xf numFmtId="0" fontId="5" fillId="0" borderId="0" xfId="0" applyFont="1" applyAlignment="1">
      <alignment wrapText="1"/>
    </xf>
    <xf numFmtId="166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center"/>
    </xf>
    <xf numFmtId="165" fontId="7" fillId="12" borderId="1" xfId="0" applyNumberFormat="1" applyFont="1" applyFill="1" applyBorder="1"/>
    <xf numFmtId="3" fontId="9" fillId="12" borderId="3" xfId="0" applyNumberFormat="1" applyFont="1" applyFill="1" applyBorder="1"/>
    <xf numFmtId="0" fontId="5" fillId="15" borderId="1" xfId="0" applyFont="1" applyFill="1" applyBorder="1"/>
    <xf numFmtId="165" fontId="7" fillId="0" borderId="1" xfId="0" applyNumberFormat="1" applyFont="1" applyBorder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3" fontId="5" fillId="0" borderId="10" xfId="0" applyNumberFormat="1" applyFont="1" applyBorder="1"/>
    <xf numFmtId="3" fontId="5" fillId="0" borderId="0" xfId="0" applyNumberFormat="1" applyFont="1" applyAlignment="1">
      <alignment horizontal="right"/>
    </xf>
    <xf numFmtId="0" fontId="4" fillId="0" borderId="2" xfId="0" applyFont="1" applyBorder="1"/>
    <xf numFmtId="0" fontId="15" fillId="3" borderId="3" xfId="0" applyFont="1" applyFill="1" applyBorder="1"/>
    <xf numFmtId="0" fontId="6" fillId="10" borderId="10" xfId="0" applyFont="1" applyFill="1" applyBorder="1"/>
    <xf numFmtId="3" fontId="11" fillId="0" borderId="3" xfId="0" applyNumberFormat="1" applyFont="1" applyBorder="1" applyAlignment="1">
      <alignment horizontal="right"/>
    </xf>
    <xf numFmtId="0" fontId="4" fillId="15" borderId="3" xfId="0" applyFont="1" applyFill="1" applyBorder="1" applyAlignment="1">
      <alignment horizontal="center"/>
    </xf>
    <xf numFmtId="0" fontId="4" fillId="6" borderId="2" xfId="0" applyFont="1" applyFill="1" applyBorder="1"/>
    <xf numFmtId="3" fontId="12" fillId="0" borderId="3" xfId="0" applyNumberFormat="1" applyFont="1" applyBorder="1" applyAlignment="1">
      <alignment horizontal="right"/>
    </xf>
    <xf numFmtId="3" fontId="9" fillId="0" borderId="3" xfId="0" applyNumberFormat="1" applyFont="1" applyBorder="1" applyAlignment="1">
      <alignment horizontal="right"/>
    </xf>
    <xf numFmtId="0" fontId="5" fillId="15" borderId="3" xfId="0" applyFont="1" applyFill="1" applyBorder="1"/>
    <xf numFmtId="0" fontId="8" fillId="0" borderId="0" xfId="0" applyFont="1"/>
    <xf numFmtId="0" fontId="4" fillId="19" borderId="3" xfId="0" applyFont="1" applyFill="1" applyBorder="1" applyAlignment="1">
      <alignment horizontal="center"/>
    </xf>
    <xf numFmtId="166" fontId="5" fillId="7" borderId="0" xfId="0" applyNumberFormat="1" applyFont="1" applyFill="1" applyAlignment="1">
      <alignment horizontal="right"/>
    </xf>
    <xf numFmtId="0" fontId="6" fillId="6" borderId="0" xfId="0" applyFont="1" applyFill="1"/>
    <xf numFmtId="165" fontId="5" fillId="3" borderId="3" xfId="0" applyNumberFormat="1" applyFont="1" applyFill="1" applyBorder="1" applyAlignment="1">
      <alignment horizontal="right"/>
    </xf>
    <xf numFmtId="10" fontId="5" fillId="0" borderId="0" xfId="0" applyNumberFormat="1" applyFont="1"/>
    <xf numFmtId="0" fontId="15" fillId="9" borderId="1" xfId="0" applyFont="1" applyFill="1" applyBorder="1"/>
    <xf numFmtId="0" fontId="15" fillId="9" borderId="1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4" fillId="3" borderId="4" xfId="0" applyFont="1" applyFill="1" applyBorder="1"/>
    <xf numFmtId="3" fontId="6" fillId="3" borderId="1" xfId="0" applyNumberFormat="1" applyFont="1" applyFill="1" applyBorder="1"/>
    <xf numFmtId="0" fontId="4" fillId="3" borderId="1" xfId="0" applyFont="1" applyFill="1" applyBorder="1"/>
    <xf numFmtId="165" fontId="6" fillId="0" borderId="1" xfId="0" applyNumberFormat="1" applyFont="1" applyBorder="1"/>
    <xf numFmtId="165" fontId="11" fillId="0" borderId="3" xfId="0" applyNumberFormat="1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165" fontId="11" fillId="6" borderId="3" xfId="0" applyNumberFormat="1" applyFont="1" applyFill="1" applyBorder="1" applyAlignment="1">
      <alignment horizontal="right"/>
    </xf>
    <xf numFmtId="165" fontId="22" fillId="9" borderId="10" xfId="0" applyNumberFormat="1" applyFont="1" applyFill="1" applyBorder="1" applyAlignment="1">
      <alignment horizontal="center"/>
    </xf>
    <xf numFmtId="0" fontId="0" fillId="0" borderId="1" xfId="0" applyBorder="1"/>
    <xf numFmtId="165" fontId="6" fillId="9" borderId="14" xfId="0" applyNumberFormat="1" applyFont="1" applyFill="1" applyBorder="1" applyAlignment="1">
      <alignment horizontal="center"/>
    </xf>
    <xf numFmtId="165" fontId="5" fillId="0" borderId="14" xfId="0" applyNumberFormat="1" applyFont="1" applyBorder="1"/>
    <xf numFmtId="3" fontId="11" fillId="0" borderId="14" xfId="0" applyNumberFormat="1" applyFont="1" applyBorder="1" applyAlignment="1">
      <alignment horizontal="center"/>
    </xf>
    <xf numFmtId="3" fontId="5" fillId="0" borderId="14" xfId="0" applyNumberFormat="1" applyFont="1" applyBorder="1"/>
    <xf numFmtId="3" fontId="11" fillId="0" borderId="8" xfId="0" applyNumberFormat="1" applyFont="1" applyBorder="1"/>
    <xf numFmtId="165" fontId="5" fillId="0" borderId="14" xfId="0" applyNumberFormat="1" applyFont="1" applyBorder="1" applyAlignment="1">
      <alignment horizontal="right"/>
    </xf>
    <xf numFmtId="3" fontId="0" fillId="0" borderId="0" xfId="0" applyNumberFormat="1"/>
    <xf numFmtId="0" fontId="23" fillId="20" borderId="0" xfId="0" applyFont="1" applyFill="1"/>
    <xf numFmtId="3" fontId="6" fillId="9" borderId="14" xfId="0" applyNumberFormat="1" applyFont="1" applyFill="1" applyBorder="1" applyAlignment="1">
      <alignment horizontal="center"/>
    </xf>
    <xf numFmtId="0" fontId="5" fillId="0" borderId="8" xfId="0" applyFont="1" applyBorder="1"/>
    <xf numFmtId="0" fontId="0" fillId="0" borderId="1" xfId="0" applyBorder="1" applyAlignment="1">
      <alignment horizontal="center"/>
    </xf>
    <xf numFmtId="0" fontId="2" fillId="21" borderId="0" xfId="0" applyFont="1" applyFill="1"/>
    <xf numFmtId="165" fontId="6" fillId="6" borderId="1" xfId="0" applyNumberFormat="1" applyFont="1" applyFill="1" applyBorder="1" applyAlignment="1">
      <alignment horizontal="right"/>
    </xf>
    <xf numFmtId="0" fontId="6" fillId="3" borderId="1" xfId="0" applyFont="1" applyFill="1" applyBorder="1"/>
    <xf numFmtId="0" fontId="5" fillId="0" borderId="3" xfId="0" applyFont="1" applyBorder="1" applyAlignment="1">
      <alignment horizontal="center"/>
    </xf>
    <xf numFmtId="3" fontId="6" fillId="24" borderId="3" xfId="0" applyNumberFormat="1" applyFont="1" applyFill="1" applyBorder="1" applyAlignment="1">
      <alignment horizontal="right"/>
    </xf>
    <xf numFmtId="0" fontId="24" fillId="0" borderId="0" xfId="0" applyFont="1"/>
    <xf numFmtId="0" fontId="25" fillId="23" borderId="0" xfId="0" applyFont="1" applyFill="1"/>
    <xf numFmtId="3" fontId="6" fillId="0" borderId="1" xfId="0" applyNumberFormat="1" applyFont="1" applyBorder="1" applyAlignment="1">
      <alignment horizontal="right"/>
    </xf>
    <xf numFmtId="165" fontId="5" fillId="0" borderId="10" xfId="0" applyNumberFormat="1" applyFont="1" applyBorder="1"/>
    <xf numFmtId="3" fontId="5" fillId="6" borderId="4" xfId="0" applyNumberFormat="1" applyFont="1" applyFill="1" applyBorder="1" applyAlignment="1">
      <alignment horizontal="right"/>
    </xf>
    <xf numFmtId="3" fontId="5" fillId="0" borderId="14" xfId="0" applyNumberFormat="1" applyFont="1" applyBorder="1" applyAlignment="1">
      <alignment horizontal="right"/>
    </xf>
    <xf numFmtId="3" fontId="0" fillId="22" borderId="1" xfId="0" applyNumberForma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/>
    </xf>
    <xf numFmtId="3" fontId="0" fillId="0" borderId="1" xfId="0" applyNumberFormat="1" applyBorder="1"/>
    <xf numFmtId="0" fontId="5" fillId="25" borderId="3" xfId="0" applyFont="1" applyFill="1" applyBorder="1"/>
    <xf numFmtId="0" fontId="25" fillId="26" borderId="0" xfId="0" applyFont="1" applyFill="1"/>
    <xf numFmtId="3" fontId="12" fillId="0" borderId="1" xfId="0" applyNumberFormat="1" applyFont="1" applyBorder="1" applyAlignment="1">
      <alignment horizontal="right"/>
    </xf>
    <xf numFmtId="3" fontId="12" fillId="0" borderId="10" xfId="0" applyNumberFormat="1" applyFont="1" applyBorder="1" applyAlignment="1">
      <alignment horizontal="right"/>
    </xf>
    <xf numFmtId="3" fontId="6" fillId="0" borderId="10" xfId="0" applyNumberFormat="1" applyFont="1" applyBorder="1" applyAlignment="1">
      <alignment horizontal="right"/>
    </xf>
    <xf numFmtId="3" fontId="12" fillId="0" borderId="14" xfId="0" applyNumberFormat="1" applyFont="1" applyBorder="1" applyAlignment="1">
      <alignment horizontal="right"/>
    </xf>
    <xf numFmtId="165" fontId="9" fillId="0" borderId="4" xfId="0" applyNumberFormat="1" applyFont="1" applyBorder="1"/>
    <xf numFmtId="0" fontId="9" fillId="0" borderId="4" xfId="0" applyFont="1" applyBorder="1"/>
    <xf numFmtId="3" fontId="9" fillId="0" borderId="4" xfId="0" applyNumberFormat="1" applyFont="1" applyBorder="1"/>
    <xf numFmtId="3" fontId="9" fillId="0" borderId="4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6" borderId="4" xfId="0" applyFont="1" applyFill="1" applyBorder="1" applyAlignment="1">
      <alignment horizontal="center"/>
    </xf>
    <xf numFmtId="0" fontId="5" fillId="0" borderId="9" xfId="0" applyFont="1" applyBorder="1"/>
    <xf numFmtId="3" fontId="11" fillId="0" borderId="14" xfId="0" applyNumberFormat="1" applyFont="1" applyBorder="1"/>
    <xf numFmtId="0" fontId="0" fillId="0" borderId="8" xfId="0" applyBorder="1" applyAlignment="1">
      <alignment horizontal="center"/>
    </xf>
    <xf numFmtId="165" fontId="6" fillId="9" borderId="10" xfId="0" applyNumberFormat="1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3" fontId="12" fillId="0" borderId="3" xfId="0" applyNumberFormat="1" applyFont="1" applyBorder="1" applyAlignment="1">
      <alignment horizontal="center"/>
    </xf>
    <xf numFmtId="165" fontId="6" fillId="8" borderId="10" xfId="0" applyNumberFormat="1" applyFont="1" applyFill="1" applyBorder="1" applyAlignment="1">
      <alignment horizontal="center"/>
    </xf>
    <xf numFmtId="165" fontId="6" fillId="8" borderId="8" xfId="0" applyNumberFormat="1" applyFont="1" applyFill="1" applyBorder="1" applyAlignment="1">
      <alignment horizontal="center"/>
    </xf>
    <xf numFmtId="165" fontId="5" fillId="8" borderId="6" xfId="0" applyNumberFormat="1" applyFont="1" applyFill="1" applyBorder="1"/>
    <xf numFmtId="0" fontId="5" fillId="8" borderId="6" xfId="0" applyFont="1" applyFill="1" applyBorder="1"/>
    <xf numFmtId="3" fontId="6" fillId="23" borderId="3" xfId="0" applyNumberFormat="1" applyFont="1" applyFill="1" applyBorder="1" applyAlignment="1">
      <alignment horizontal="right"/>
    </xf>
    <xf numFmtId="0" fontId="5" fillId="25" borderId="14" xfId="0" applyFont="1" applyFill="1" applyBorder="1"/>
    <xf numFmtId="165" fontId="5" fillId="25" borderId="14" xfId="0" applyNumberFormat="1" applyFont="1" applyFill="1" applyBorder="1" applyAlignment="1">
      <alignment horizontal="right"/>
    </xf>
    <xf numFmtId="3" fontId="5" fillId="22" borderId="4" xfId="0" applyNumberFormat="1" applyFont="1" applyFill="1" applyBorder="1"/>
    <xf numFmtId="170" fontId="0" fillId="0" borderId="1" xfId="0" applyNumberFormat="1" applyBorder="1"/>
    <xf numFmtId="3" fontId="5" fillId="0" borderId="8" xfId="0" applyNumberFormat="1" applyFont="1" applyBorder="1"/>
    <xf numFmtId="0" fontId="5" fillId="25" borderId="1" xfId="0" applyFont="1" applyFill="1" applyBorder="1"/>
    <xf numFmtId="0" fontId="5" fillId="25" borderId="10" xfId="0" applyFont="1" applyFill="1" applyBorder="1"/>
    <xf numFmtId="0" fontId="0" fillId="0" borderId="11" xfId="0" applyBorder="1"/>
    <xf numFmtId="165" fontId="16" fillId="6" borderId="8" xfId="0" applyNumberFormat="1" applyFont="1" applyFill="1" applyBorder="1" applyAlignment="1">
      <alignment horizontal="right"/>
    </xf>
    <xf numFmtId="170" fontId="26" fillId="0" borderId="1" xfId="0" applyNumberFormat="1" applyFont="1" applyBorder="1"/>
    <xf numFmtId="165" fontId="22" fillId="3" borderId="1" xfId="0" applyNumberFormat="1" applyFont="1" applyFill="1" applyBorder="1" applyAlignment="1">
      <alignment horizontal="right"/>
    </xf>
    <xf numFmtId="0" fontId="16" fillId="0" borderId="9" xfId="0" applyFont="1" applyBorder="1"/>
    <xf numFmtId="165" fontId="16" fillId="0" borderId="14" xfId="0" applyNumberFormat="1" applyFont="1" applyBorder="1" applyAlignment="1">
      <alignment horizontal="right"/>
    </xf>
    <xf numFmtId="165" fontId="16" fillId="0" borderId="8" xfId="0" applyNumberFormat="1" applyFont="1" applyBorder="1" applyAlignment="1">
      <alignment horizontal="right"/>
    </xf>
    <xf numFmtId="0" fontId="22" fillId="3" borderId="1" xfId="0" applyFont="1" applyFill="1" applyBorder="1"/>
    <xf numFmtId="3" fontId="11" fillId="22" borderId="1" xfId="0" applyNumberFormat="1" applyFont="1" applyFill="1" applyBorder="1"/>
    <xf numFmtId="165" fontId="11" fillId="22" borderId="3" xfId="0" applyNumberFormat="1" applyFont="1" applyFill="1" applyBorder="1" applyAlignment="1">
      <alignment horizontal="right"/>
    </xf>
    <xf numFmtId="0" fontId="5" fillId="0" borderId="11" xfId="0" applyFont="1" applyBorder="1"/>
    <xf numFmtId="0" fontId="5" fillId="0" borderId="12" xfId="0" applyFont="1" applyBorder="1"/>
    <xf numFmtId="168" fontId="6" fillId="9" borderId="1" xfId="0" applyNumberFormat="1" applyFont="1" applyFill="1" applyBorder="1" applyAlignment="1">
      <alignment horizontal="center"/>
    </xf>
    <xf numFmtId="0" fontId="5" fillId="0" borderId="6" xfId="0" applyFont="1" applyBorder="1"/>
    <xf numFmtId="165" fontId="11" fillId="0" borderId="14" xfId="0" applyNumberFormat="1" applyFont="1" applyBorder="1"/>
    <xf numFmtId="0" fontId="0" fillId="0" borderId="0" xfId="0" applyAlignment="1">
      <alignment horizontal="center"/>
    </xf>
    <xf numFmtId="0" fontId="5" fillId="0" borderId="11" xfId="0" applyFont="1" applyBorder="1" applyAlignment="1">
      <alignment horizontal="center"/>
    </xf>
    <xf numFmtId="3" fontId="11" fillId="0" borderId="11" xfId="0" applyNumberFormat="1" applyFont="1" applyBorder="1" applyAlignment="1">
      <alignment horizontal="center"/>
    </xf>
    <xf numFmtId="0" fontId="0" fillId="0" borderId="3" xfId="0" applyBorder="1"/>
    <xf numFmtId="3" fontId="0" fillId="0" borderId="8" xfId="0" applyNumberFormat="1" applyBorder="1"/>
    <xf numFmtId="3" fontId="0" fillId="0" borderId="1" xfId="0" applyNumberFormat="1" applyBorder="1" applyAlignment="1">
      <alignment horizontal="center"/>
    </xf>
    <xf numFmtId="0" fontId="5" fillId="22" borderId="1" xfId="0" applyFont="1" applyFill="1" applyBorder="1"/>
    <xf numFmtId="3" fontId="5" fillId="22" borderId="1" xfId="0" applyNumberFormat="1" applyFont="1" applyFill="1" applyBorder="1"/>
    <xf numFmtId="165" fontId="6" fillId="0" borderId="8" xfId="0" applyNumberFormat="1" applyFont="1" applyBorder="1" applyAlignment="1">
      <alignment horizontal="right"/>
    </xf>
    <xf numFmtId="170" fontId="5" fillId="22" borderId="6" xfId="0" applyNumberFormat="1" applyFont="1" applyFill="1" applyBorder="1"/>
    <xf numFmtId="3" fontId="11" fillId="0" borderId="0" xfId="0" applyNumberFormat="1" applyFont="1"/>
    <xf numFmtId="0" fontId="11" fillId="0" borderId="4" xfId="0" applyFont="1" applyBorder="1" applyAlignment="1">
      <alignment horizontal="center"/>
    </xf>
    <xf numFmtId="3" fontId="0" fillId="0" borderId="14" xfId="0" applyNumberFormat="1" applyBorder="1"/>
    <xf numFmtId="3" fontId="11" fillId="6" borderId="4" xfId="0" applyNumberFormat="1" applyFont="1" applyFill="1" applyBorder="1" applyAlignment="1">
      <alignment horizontal="right"/>
    </xf>
    <xf numFmtId="3" fontId="5" fillId="0" borderId="6" xfId="0" applyNumberFormat="1" applyFont="1" applyBorder="1"/>
    <xf numFmtId="0" fontId="12" fillId="0" borderId="1" xfId="0" applyFont="1" applyBorder="1" applyAlignment="1">
      <alignment horizontal="center"/>
    </xf>
    <xf numFmtId="3" fontId="6" fillId="6" borderId="3" xfId="0" applyNumberFormat="1" applyFont="1" applyFill="1" applyBorder="1" applyAlignment="1">
      <alignment horizontal="right"/>
    </xf>
    <xf numFmtId="3" fontId="11" fillId="0" borderId="4" xfId="0" applyNumberFormat="1" applyFont="1" applyBorder="1"/>
    <xf numFmtId="3" fontId="11" fillId="0" borderId="2" xfId="0" applyNumberFormat="1" applyFont="1" applyBorder="1"/>
    <xf numFmtId="3" fontId="0" fillId="0" borderId="2" xfId="0" applyNumberFormat="1" applyBorder="1"/>
    <xf numFmtId="0" fontId="11" fillId="0" borderId="14" xfId="0" applyFont="1" applyBorder="1" applyAlignment="1">
      <alignment horizontal="center"/>
    </xf>
    <xf numFmtId="165" fontId="6" fillId="8" borderId="14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right"/>
    </xf>
    <xf numFmtId="3" fontId="5" fillId="0" borderId="8" xfId="0" applyNumberFormat="1" applyFont="1" applyBorder="1" applyAlignment="1">
      <alignment horizontal="right"/>
    </xf>
    <xf numFmtId="3" fontId="6" fillId="0" borderId="8" xfId="0" applyNumberFormat="1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3" fontId="5" fillId="0" borderId="4" xfId="0" applyNumberFormat="1" applyFont="1" applyBorder="1"/>
    <xf numFmtId="3" fontId="5" fillId="0" borderId="11" xfId="0" applyNumberFormat="1" applyFont="1" applyBorder="1"/>
    <xf numFmtId="0" fontId="5" fillId="6" borderId="6" xfId="0" applyFont="1" applyFill="1" applyBorder="1" applyAlignment="1">
      <alignment horizontal="right"/>
    </xf>
    <xf numFmtId="165" fontId="6" fillId="9" borderId="8" xfId="0" applyNumberFormat="1" applyFont="1" applyFill="1" applyBorder="1" applyAlignment="1">
      <alignment horizontal="center"/>
    </xf>
    <xf numFmtId="165" fontId="5" fillId="6" borderId="6" xfId="0" applyNumberFormat="1" applyFont="1" applyFill="1" applyBorder="1"/>
    <xf numFmtId="0" fontId="5" fillId="6" borderId="6" xfId="0" applyFont="1" applyFill="1" applyBorder="1"/>
    <xf numFmtId="3" fontId="5" fillId="22" borderId="14" xfId="0" applyNumberFormat="1" applyFont="1" applyFill="1" applyBorder="1"/>
    <xf numFmtId="3" fontId="0" fillId="22" borderId="1" xfId="0" applyNumberFormat="1" applyFill="1" applyBorder="1"/>
    <xf numFmtId="0" fontId="11" fillId="22" borderId="1" xfId="0" applyFont="1" applyFill="1" applyBorder="1"/>
    <xf numFmtId="3" fontId="5" fillId="0" borderId="11" xfId="0" applyNumberFormat="1" applyFont="1" applyBorder="1" applyAlignment="1">
      <alignment horizontal="right"/>
    </xf>
    <xf numFmtId="3" fontId="11" fillId="0" borderId="11" xfId="0" applyNumberFormat="1" applyFont="1" applyBorder="1"/>
    <xf numFmtId="3" fontId="11" fillId="0" borderId="13" xfId="0" applyNumberFormat="1" applyFont="1" applyBorder="1"/>
    <xf numFmtId="0" fontId="11" fillId="6" borderId="6" xfId="0" applyFont="1" applyFill="1" applyBorder="1"/>
    <xf numFmtId="3" fontId="5" fillId="6" borderId="6" xfId="0" applyNumberFormat="1" applyFont="1" applyFill="1" applyBorder="1"/>
    <xf numFmtId="3" fontId="11" fillId="6" borderId="6" xfId="0" applyNumberFormat="1" applyFont="1" applyFill="1" applyBorder="1"/>
    <xf numFmtId="0" fontId="5" fillId="6" borderId="13" xfId="0" applyFont="1" applyFill="1" applyBorder="1"/>
    <xf numFmtId="0" fontId="5" fillId="6" borderId="8" xfId="0" applyFont="1" applyFill="1" applyBorder="1"/>
    <xf numFmtId="3" fontId="5" fillId="0" borderId="5" xfId="0" applyNumberFormat="1" applyFont="1" applyBorder="1"/>
    <xf numFmtId="3" fontId="0" fillId="0" borderId="11" xfId="0" applyNumberFormat="1" applyBorder="1"/>
    <xf numFmtId="3" fontId="0" fillId="0" borderId="5" xfId="0" applyNumberFormat="1" applyBorder="1"/>
    <xf numFmtId="3" fontId="9" fillId="0" borderId="0" xfId="0" applyNumberFormat="1" applyFont="1"/>
    <xf numFmtId="3" fontId="9" fillId="0" borderId="1" xfId="0" applyNumberFormat="1" applyFont="1" applyBorder="1"/>
    <xf numFmtId="164" fontId="12" fillId="0" borderId="1" xfId="0" applyNumberFormat="1" applyFont="1" applyBorder="1" applyAlignment="1">
      <alignment horizontal="right"/>
    </xf>
    <xf numFmtId="3" fontId="5" fillId="23" borderId="3" xfId="0" applyNumberFormat="1" applyFont="1" applyFill="1" applyBorder="1"/>
    <xf numFmtId="0" fontId="5" fillId="0" borderId="14" xfId="0" applyFont="1" applyBorder="1"/>
    <xf numFmtId="0" fontId="5" fillId="0" borderId="2" xfId="0" applyFont="1" applyBorder="1"/>
    <xf numFmtId="0" fontId="4" fillId="23" borderId="1" xfId="0" applyFont="1" applyFill="1" applyBorder="1" applyAlignment="1">
      <alignment horizontal="center"/>
    </xf>
    <xf numFmtId="3" fontId="5" fillId="23" borderId="1" xfId="0" applyNumberFormat="1" applyFont="1" applyFill="1" applyBorder="1"/>
    <xf numFmtId="165" fontId="5" fillId="23" borderId="1" xfId="0" applyNumberFormat="1" applyFont="1" applyFill="1" applyBorder="1"/>
    <xf numFmtId="165" fontId="5" fillId="23" borderId="1" xfId="0" applyNumberFormat="1" applyFont="1" applyFill="1" applyBorder="1" applyAlignment="1">
      <alignment horizontal="right"/>
    </xf>
    <xf numFmtId="164" fontId="0" fillId="23" borderId="1" xfId="0" applyNumberFormat="1" applyFill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5" fillId="6" borderId="11" xfId="0" applyFont="1" applyFill="1" applyBorder="1"/>
    <xf numFmtId="0" fontId="5" fillId="6" borderId="12" xfId="0" applyFont="1" applyFill="1" applyBorder="1"/>
    <xf numFmtId="0" fontId="5" fillId="8" borderId="12" xfId="0" applyFont="1" applyFill="1" applyBorder="1"/>
    <xf numFmtId="165" fontId="5" fillId="22" borderId="1" xfId="0" applyNumberFormat="1" applyFont="1" applyFill="1" applyBorder="1"/>
    <xf numFmtId="0" fontId="5" fillId="22" borderId="1" xfId="0" applyFont="1" applyFill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23" borderId="1" xfId="0" applyNumberFormat="1" applyFill="1" applyBorder="1" applyAlignment="1">
      <alignment horizontal="right"/>
    </xf>
    <xf numFmtId="165" fontId="0" fillId="23" borderId="1" xfId="0" applyNumberFormat="1" applyFill="1" applyBorder="1" applyAlignment="1">
      <alignment horizontal="right"/>
    </xf>
    <xf numFmtId="3" fontId="0" fillId="23" borderId="1" xfId="0" applyNumberFormat="1" applyFill="1" applyBorder="1"/>
    <xf numFmtId="3" fontId="5" fillId="23" borderId="3" xfId="0" applyNumberFormat="1" applyFont="1" applyFill="1" applyBorder="1" applyAlignment="1">
      <alignment horizontal="right"/>
    </xf>
    <xf numFmtId="3" fontId="0" fillId="23" borderId="0" xfId="0" applyNumberFormat="1" applyFill="1"/>
    <xf numFmtId="3" fontId="5" fillId="23" borderId="8" xfId="0" applyNumberFormat="1" applyFont="1" applyFill="1" applyBorder="1"/>
    <xf numFmtId="3" fontId="5" fillId="23" borderId="6" xfId="0" applyNumberFormat="1" applyFont="1" applyFill="1" applyBorder="1"/>
    <xf numFmtId="165" fontId="11" fillId="22" borderId="8" xfId="0" applyNumberFormat="1" applyFont="1" applyFill="1" applyBorder="1" applyAlignment="1">
      <alignment horizontal="center"/>
    </xf>
    <xf numFmtId="165" fontId="5" fillId="22" borderId="5" xfId="0" applyNumberFormat="1" applyFont="1" applyFill="1" applyBorder="1" applyAlignment="1">
      <alignment horizontal="right"/>
    </xf>
    <xf numFmtId="165" fontId="5" fillId="23" borderId="6" xfId="0" applyNumberFormat="1" applyFont="1" applyFill="1" applyBorder="1"/>
    <xf numFmtId="0" fontId="0" fillId="0" borderId="1" xfId="0" applyBorder="1" applyAlignment="1">
      <alignment horizontal="left"/>
    </xf>
    <xf numFmtId="3" fontId="0" fillId="0" borderId="11" xfId="0" applyNumberFormat="1" applyBorder="1" applyAlignment="1">
      <alignment horizontal="center"/>
    </xf>
    <xf numFmtId="3" fontId="0" fillId="23" borderId="8" xfId="0" applyNumberFormat="1" applyFill="1" applyBorder="1" applyAlignment="1">
      <alignment horizontal="right"/>
    </xf>
    <xf numFmtId="165" fontId="6" fillId="24" borderId="1" xfId="0" applyNumberFormat="1" applyFont="1" applyFill="1" applyBorder="1" applyAlignment="1">
      <alignment horizontal="center"/>
    </xf>
    <xf numFmtId="165" fontId="5" fillId="24" borderId="4" xfId="0" applyNumberFormat="1" applyFont="1" applyFill="1" applyBorder="1"/>
    <xf numFmtId="0" fontId="5" fillId="24" borderId="4" xfId="0" applyFont="1" applyFill="1" applyBorder="1"/>
    <xf numFmtId="3" fontId="5" fillId="24" borderId="1" xfId="0" applyNumberFormat="1" applyFont="1" applyFill="1" applyBorder="1" applyAlignment="1">
      <alignment horizontal="right"/>
    </xf>
    <xf numFmtId="0" fontId="5" fillId="24" borderId="4" xfId="0" applyFont="1" applyFill="1" applyBorder="1" applyAlignment="1">
      <alignment horizontal="right"/>
    </xf>
    <xf numFmtId="0" fontId="5" fillId="24" borderId="1" xfId="0" applyFont="1" applyFill="1" applyBorder="1"/>
    <xf numFmtId="165" fontId="5" fillId="24" borderId="4" xfId="0" applyNumberFormat="1" applyFont="1" applyFill="1" applyBorder="1" applyAlignment="1">
      <alignment horizontal="right"/>
    </xf>
    <xf numFmtId="165" fontId="6" fillId="9" borderId="0" xfId="0" applyNumberFormat="1" applyFont="1" applyFill="1" applyAlignment="1">
      <alignment horizontal="center"/>
    </xf>
    <xf numFmtId="165" fontId="5" fillId="0" borderId="8" xfId="0" applyNumberFormat="1" applyFont="1" applyBorder="1"/>
    <xf numFmtId="3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5" xfId="0" applyBorder="1"/>
    <xf numFmtId="165" fontId="0" fillId="23" borderId="1" xfId="0" applyNumberFormat="1" applyFill="1" applyBorder="1"/>
    <xf numFmtId="165" fontId="0" fillId="23" borderId="8" xfId="0" applyNumberFormat="1" applyFill="1" applyBorder="1"/>
    <xf numFmtId="0" fontId="20" fillId="0" borderId="2" xfId="0" applyFont="1" applyBorder="1"/>
    <xf numFmtId="0" fontId="4" fillId="23" borderId="3" xfId="0" applyFont="1" applyFill="1" applyBorder="1"/>
    <xf numFmtId="0" fontId="4" fillId="23" borderId="3" xfId="0" applyFont="1" applyFill="1" applyBorder="1" applyAlignment="1">
      <alignment horizontal="center"/>
    </xf>
    <xf numFmtId="0" fontId="6" fillId="23" borderId="2" xfId="0" applyFont="1" applyFill="1" applyBorder="1"/>
    <xf numFmtId="0" fontId="2" fillId="23" borderId="0" xfId="0" applyFont="1" applyFill="1"/>
    <xf numFmtId="0" fontId="23" fillId="28" borderId="0" xfId="0" applyFont="1" applyFill="1"/>
    <xf numFmtId="0" fontId="3" fillId="28" borderId="1" xfId="0" applyFont="1" applyFill="1" applyBorder="1"/>
    <xf numFmtId="0" fontId="4" fillId="28" borderId="1" xfId="0" applyFont="1" applyFill="1" applyBorder="1"/>
    <xf numFmtId="0" fontId="4" fillId="28" borderId="1" xfId="0" applyFont="1" applyFill="1" applyBorder="1" applyAlignment="1">
      <alignment horizontal="center"/>
    </xf>
    <xf numFmtId="0" fontId="4" fillId="28" borderId="8" xfId="0" applyFont="1" applyFill="1" applyBorder="1" applyAlignment="1">
      <alignment horizontal="center"/>
    </xf>
    <xf numFmtId="0" fontId="3" fillId="29" borderId="1" xfId="0" applyFont="1" applyFill="1" applyBorder="1"/>
    <xf numFmtId="0" fontId="4" fillId="29" borderId="1" xfId="0" applyFont="1" applyFill="1" applyBorder="1"/>
    <xf numFmtId="0" fontId="4" fillId="29" borderId="1" xfId="0" applyFont="1" applyFill="1" applyBorder="1" applyAlignment="1">
      <alignment horizontal="center"/>
    </xf>
    <xf numFmtId="0" fontId="4" fillId="29" borderId="8" xfId="0" applyFont="1" applyFill="1" applyBorder="1" applyAlignment="1">
      <alignment horizontal="center"/>
    </xf>
    <xf numFmtId="165" fontId="11" fillId="0" borderId="4" xfId="0" applyNumberFormat="1" applyFont="1" applyBorder="1"/>
    <xf numFmtId="0" fontId="6" fillId="8" borderId="4" xfId="0" applyFont="1" applyFill="1" applyBorder="1"/>
    <xf numFmtId="3" fontId="6" fillId="23" borderId="11" xfId="0" applyNumberFormat="1" applyFont="1" applyFill="1" applyBorder="1"/>
    <xf numFmtId="0" fontId="9" fillId="21" borderId="0" xfId="0" applyFont="1" applyFill="1"/>
    <xf numFmtId="165" fontId="9" fillId="30" borderId="1" xfId="0" applyNumberFormat="1" applyFont="1" applyFill="1" applyBorder="1"/>
    <xf numFmtId="0" fontId="3" fillId="23" borderId="1" xfId="0" applyFont="1" applyFill="1" applyBorder="1"/>
    <xf numFmtId="0" fontId="4" fillId="23" borderId="1" xfId="0" applyFont="1" applyFill="1" applyBorder="1"/>
    <xf numFmtId="0" fontId="3" fillId="21" borderId="1" xfId="0" applyFont="1" applyFill="1" applyBorder="1"/>
    <xf numFmtId="0" fontId="5" fillId="8" borderId="1" xfId="0" applyFont="1" applyFill="1" applyBorder="1"/>
    <xf numFmtId="3" fontId="6" fillId="9" borderId="10" xfId="0" applyNumberFormat="1" applyFont="1" applyFill="1" applyBorder="1" applyAlignment="1">
      <alignment horizontal="center"/>
    </xf>
    <xf numFmtId="0" fontId="11" fillId="22" borderId="1" xfId="0" applyFont="1" applyFill="1" applyBorder="1" applyAlignment="1">
      <alignment horizontal="center"/>
    </xf>
    <xf numFmtId="3" fontId="5" fillId="0" borderId="5" xfId="0" applyNumberFormat="1" applyFont="1" applyBorder="1" applyAlignment="1">
      <alignment horizontal="right"/>
    </xf>
    <xf numFmtId="0" fontId="0" fillId="0" borderId="4" xfId="0" applyBorder="1"/>
    <xf numFmtId="165" fontId="5" fillId="22" borderId="8" xfId="0" applyNumberFormat="1" applyFont="1" applyFill="1" applyBorder="1" applyAlignment="1">
      <alignment horizontal="right"/>
    </xf>
    <xf numFmtId="165" fontId="9" fillId="24" borderId="1" xfId="0" applyNumberFormat="1" applyFont="1" applyFill="1" applyBorder="1"/>
    <xf numFmtId="3" fontId="11" fillId="0" borderId="14" xfId="0" applyNumberFormat="1" applyFont="1" applyBorder="1" applyAlignment="1">
      <alignment horizontal="right"/>
    </xf>
    <xf numFmtId="0" fontId="6" fillId="8" borderId="4" xfId="0" applyFont="1" applyFill="1" applyBorder="1" applyAlignment="1">
      <alignment horizontal="center"/>
    </xf>
    <xf numFmtId="3" fontId="11" fillId="0" borderId="4" xfId="0" applyNumberFormat="1" applyFont="1" applyBorder="1" applyAlignment="1">
      <alignment horizontal="center"/>
    </xf>
    <xf numFmtId="0" fontId="5" fillId="3" borderId="9" xfId="0" applyFont="1" applyFill="1" applyBorder="1"/>
    <xf numFmtId="0" fontId="6" fillId="8" borderId="14" xfId="0" applyFont="1" applyFill="1" applyBorder="1" applyAlignment="1">
      <alignment horizontal="center"/>
    </xf>
    <xf numFmtId="0" fontId="5" fillId="8" borderId="14" xfId="0" applyFont="1" applyFill="1" applyBorder="1"/>
    <xf numFmtId="0" fontId="5" fillId="8" borderId="6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right"/>
    </xf>
    <xf numFmtId="165" fontId="9" fillId="31" borderId="8" xfId="0" applyNumberFormat="1" applyFont="1" applyFill="1" applyBorder="1"/>
    <xf numFmtId="3" fontId="12" fillId="23" borderId="1" xfId="0" applyNumberFormat="1" applyFont="1" applyFill="1" applyBorder="1"/>
    <xf numFmtId="3" fontId="11" fillId="0" borderId="8" xfId="0" applyNumberFormat="1" applyFont="1" applyBorder="1" applyAlignment="1">
      <alignment horizontal="right"/>
    </xf>
    <xf numFmtId="3" fontId="0" fillId="0" borderId="8" xfId="0" applyNumberFormat="1" applyBorder="1" applyAlignment="1">
      <alignment horizontal="right"/>
    </xf>
    <xf numFmtId="165" fontId="9" fillId="30" borderId="8" xfId="0" applyNumberFormat="1" applyFont="1" applyFill="1" applyBorder="1"/>
    <xf numFmtId="165" fontId="9" fillId="31" borderId="9" xfId="0" applyNumberFormat="1" applyFont="1" applyFill="1" applyBorder="1"/>
    <xf numFmtId="3" fontId="5" fillId="0" borderId="12" xfId="0" applyNumberFormat="1" applyFont="1" applyBorder="1"/>
    <xf numFmtId="3" fontId="0" fillId="23" borderId="4" xfId="0" applyNumberFormat="1" applyFill="1" applyBorder="1" applyAlignment="1">
      <alignment horizontal="right"/>
    </xf>
    <xf numFmtId="3" fontId="0" fillId="22" borderId="12" xfId="0" applyNumberFormat="1" applyFill="1" applyBorder="1"/>
    <xf numFmtId="3" fontId="5" fillId="23" borderId="8" xfId="0" applyNumberFormat="1" applyFont="1" applyFill="1" applyBorder="1" applyAlignment="1">
      <alignment horizontal="right"/>
    </xf>
    <xf numFmtId="165" fontId="6" fillId="9" borderId="1" xfId="0" applyNumberFormat="1" applyFont="1" applyFill="1" applyBorder="1" applyAlignment="1">
      <alignment horizontal="left"/>
    </xf>
    <xf numFmtId="3" fontId="11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3" fontId="5" fillId="23" borderId="1" xfId="0" applyNumberFormat="1" applyFont="1" applyFill="1" applyBorder="1" applyAlignment="1">
      <alignment horizontal="left"/>
    </xf>
    <xf numFmtId="165" fontId="9" fillId="30" borderId="1" xfId="0" applyNumberFormat="1" applyFont="1" applyFill="1" applyBorder="1" applyAlignment="1">
      <alignment horizontal="left"/>
    </xf>
    <xf numFmtId="0" fontId="0" fillId="24" borderId="1" xfId="0" applyFill="1" applyBorder="1" applyAlignment="1">
      <alignment horizontal="left"/>
    </xf>
    <xf numFmtId="3" fontId="12" fillId="23" borderId="1" xfId="0" applyNumberFormat="1" applyFont="1" applyFill="1" applyBorder="1" applyAlignment="1">
      <alignment horizontal="right"/>
    </xf>
    <xf numFmtId="0" fontId="28" fillId="0" borderId="2" xfId="0" applyFont="1" applyBorder="1"/>
    <xf numFmtId="0" fontId="4" fillId="34" borderId="3" xfId="0" applyFont="1" applyFill="1" applyBorder="1" applyAlignment="1">
      <alignment horizontal="center"/>
    </xf>
    <xf numFmtId="3" fontId="6" fillId="34" borderId="3" xfId="0" applyNumberFormat="1" applyFont="1" applyFill="1" applyBorder="1" applyAlignment="1">
      <alignment horizontal="right"/>
    </xf>
    <xf numFmtId="3" fontId="6" fillId="0" borderId="14" xfId="0" applyNumberFormat="1" applyFont="1" applyBorder="1" applyAlignment="1">
      <alignment horizontal="right"/>
    </xf>
    <xf numFmtId="165" fontId="11" fillId="0" borderId="6" xfId="0" applyNumberFormat="1" applyFont="1" applyBorder="1"/>
    <xf numFmtId="3" fontId="11" fillId="0" borderId="6" xfId="0" applyNumberFormat="1" applyFont="1" applyBorder="1"/>
    <xf numFmtId="0" fontId="5" fillId="8" borderId="3" xfId="0" applyFont="1" applyFill="1" applyBorder="1"/>
    <xf numFmtId="0" fontId="6" fillId="8" borderId="1" xfId="0" applyFont="1" applyFill="1" applyBorder="1"/>
    <xf numFmtId="0" fontId="0" fillId="0" borderId="11" xfId="0" applyBorder="1" applyAlignment="1">
      <alignment horizontal="left"/>
    </xf>
    <xf numFmtId="165" fontId="11" fillId="0" borderId="8" xfId="0" applyNumberFormat="1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1" fillId="0" borderId="4" xfId="0" applyFont="1" applyBorder="1" applyAlignment="1">
      <alignment horizontal="right"/>
    </xf>
    <xf numFmtId="0" fontId="11" fillId="0" borderId="4" xfId="0" applyFont="1" applyBorder="1"/>
    <xf numFmtId="0" fontId="13" fillId="0" borderId="0" xfId="0" applyFont="1"/>
    <xf numFmtId="0" fontId="15" fillId="28" borderId="1" xfId="0" applyFont="1" applyFill="1" applyBorder="1"/>
    <xf numFmtId="0" fontId="15" fillId="28" borderId="1" xfId="0" applyFont="1" applyFill="1" applyBorder="1" applyAlignment="1">
      <alignment horizontal="center"/>
    </xf>
    <xf numFmtId="0" fontId="8" fillId="3" borderId="1" xfId="0" applyFont="1" applyFill="1" applyBorder="1"/>
    <xf numFmtId="165" fontId="15" fillId="9" borderId="1" xfId="0" applyNumberFormat="1" applyFont="1" applyFill="1" applyBorder="1" applyAlignment="1">
      <alignment horizontal="center"/>
    </xf>
    <xf numFmtId="171" fontId="29" fillId="6" borderId="1" xfId="0" applyNumberFormat="1" applyFont="1" applyFill="1" applyBorder="1" applyAlignment="1">
      <alignment horizontal="right"/>
    </xf>
    <xf numFmtId="0" fontId="8" fillId="0" borderId="1" xfId="0" applyFont="1" applyBorder="1"/>
    <xf numFmtId="3" fontId="8" fillId="0" borderId="1" xfId="0" applyNumberFormat="1" applyFont="1" applyBorder="1"/>
    <xf numFmtId="3" fontId="10" fillId="0" borderId="1" xfId="0" applyNumberFormat="1" applyFont="1" applyBorder="1"/>
    <xf numFmtId="0" fontId="15" fillId="8" borderId="4" xfId="0" applyFont="1" applyFill="1" applyBorder="1" applyAlignment="1">
      <alignment horizontal="center"/>
    </xf>
    <xf numFmtId="0" fontId="15" fillId="8" borderId="12" xfId="0" applyFont="1" applyFill="1" applyBorder="1"/>
    <xf numFmtId="0" fontId="8" fillId="8" borderId="1" xfId="0" applyFont="1" applyFill="1" applyBorder="1"/>
    <xf numFmtId="165" fontId="15" fillId="9" borderId="3" xfId="0" applyNumberFormat="1" applyFont="1" applyFill="1" applyBorder="1" applyAlignment="1">
      <alignment horizontal="center"/>
    </xf>
    <xf numFmtId="3" fontId="15" fillId="9" borderId="10" xfId="0" applyNumberFormat="1" applyFont="1" applyFill="1" applyBorder="1" applyAlignment="1">
      <alignment horizontal="center"/>
    </xf>
    <xf numFmtId="3" fontId="3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3" fontId="0" fillId="0" borderId="3" xfId="0" applyNumberFormat="1" applyBorder="1"/>
    <xf numFmtId="3" fontId="0" fillId="0" borderId="4" xfId="0" applyNumberFormat="1" applyBorder="1" applyAlignment="1">
      <alignment horizontal="right"/>
    </xf>
    <xf numFmtId="3" fontId="0" fillId="0" borderId="4" xfId="0" applyNumberFormat="1" applyBorder="1"/>
    <xf numFmtId="3" fontId="11" fillId="0" borderId="4" xfId="0" applyNumberFormat="1" applyFont="1" applyBorder="1" applyAlignment="1">
      <alignment horizontal="right"/>
    </xf>
    <xf numFmtId="3" fontId="12" fillId="0" borderId="1" xfId="0" applyNumberFormat="1" applyFont="1" applyBorder="1" applyAlignment="1">
      <alignment horizontal="center"/>
    </xf>
    <xf numFmtId="3" fontId="6" fillId="31" borderId="11" xfId="0" applyNumberFormat="1" applyFont="1" applyFill="1" applyBorder="1"/>
    <xf numFmtId="3" fontId="6" fillId="23" borderId="3" xfId="0" applyNumberFormat="1" applyFont="1" applyFill="1" applyBorder="1"/>
    <xf numFmtId="0" fontId="0" fillId="0" borderId="9" xfId="0" applyBorder="1"/>
    <xf numFmtId="0" fontId="11" fillId="0" borderId="6" xfId="0" applyFont="1" applyBorder="1"/>
    <xf numFmtId="3" fontId="5" fillId="0" borderId="13" xfId="0" applyNumberFormat="1" applyFont="1" applyBorder="1"/>
    <xf numFmtId="3" fontId="0" fillId="22" borderId="13" xfId="0" applyNumberFormat="1" applyFill="1" applyBorder="1"/>
    <xf numFmtId="3" fontId="11" fillId="0" borderId="6" xfId="0" applyNumberFormat="1" applyFont="1" applyBorder="1" applyAlignment="1">
      <alignment horizontal="right"/>
    </xf>
    <xf numFmtId="0" fontId="11" fillId="8" borderId="6" xfId="0" applyFont="1" applyFill="1" applyBorder="1" applyAlignment="1">
      <alignment horizontal="right"/>
    </xf>
    <xf numFmtId="0" fontId="11" fillId="0" borderId="8" xfId="0" applyFont="1" applyBorder="1" applyAlignment="1">
      <alignment horizontal="right"/>
    </xf>
    <xf numFmtId="3" fontId="11" fillId="24" borderId="1" xfId="0" applyNumberFormat="1" applyFont="1" applyFill="1" applyBorder="1" applyAlignment="1">
      <alignment horizontal="right"/>
    </xf>
    <xf numFmtId="0" fontId="5" fillId="8" borderId="13" xfId="0" applyFont="1" applyFill="1" applyBorder="1"/>
    <xf numFmtId="3" fontId="6" fillId="23" borderId="12" xfId="0" applyNumberFormat="1" applyFont="1" applyFill="1" applyBorder="1"/>
    <xf numFmtId="3" fontId="5" fillId="31" borderId="13" xfId="0" applyNumberFormat="1" applyFont="1" applyFill="1" applyBorder="1"/>
    <xf numFmtId="0" fontId="0" fillId="0" borderId="2" xfId="0" applyBorder="1"/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0" fontId="11" fillId="8" borderId="4" xfId="0" applyFont="1" applyFill="1" applyBorder="1" applyAlignment="1">
      <alignment horizontal="right"/>
    </xf>
    <xf numFmtId="0" fontId="11" fillId="0" borderId="14" xfId="0" applyFont="1" applyBorder="1" applyAlignment="1">
      <alignment horizontal="right"/>
    </xf>
    <xf numFmtId="3" fontId="12" fillId="0" borderId="4" xfId="0" applyNumberFormat="1" applyFont="1" applyBorder="1" applyAlignment="1">
      <alignment horizontal="right"/>
    </xf>
    <xf numFmtId="0" fontId="12" fillId="8" borderId="4" xfId="0" applyFont="1" applyFill="1" applyBorder="1" applyAlignment="1">
      <alignment horizontal="right"/>
    </xf>
    <xf numFmtId="0" fontId="5" fillId="8" borderId="1" xfId="0" applyFont="1" applyFill="1" applyBorder="1" applyAlignment="1">
      <alignment horizontal="right"/>
    </xf>
    <xf numFmtId="165" fontId="6" fillId="9" borderId="11" xfId="0" applyNumberFormat="1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3" fontId="6" fillId="9" borderId="5" xfId="0" applyNumberFormat="1" applyFont="1" applyFill="1" applyBorder="1" applyAlignment="1">
      <alignment horizontal="center"/>
    </xf>
    <xf numFmtId="3" fontId="0" fillId="0" borderId="2" xfId="0" applyNumberFormat="1" applyBorder="1" applyAlignment="1">
      <alignment horizontal="right"/>
    </xf>
    <xf numFmtId="3" fontId="6" fillId="0" borderId="11" xfId="0" applyNumberFormat="1" applyFont="1" applyBorder="1" applyAlignment="1">
      <alignment horizontal="right"/>
    </xf>
    <xf numFmtId="0" fontId="4" fillId="0" borderId="7" xfId="0" applyFont="1" applyBorder="1"/>
    <xf numFmtId="3" fontId="12" fillId="0" borderId="0" xfId="0" applyNumberFormat="1" applyFont="1" applyAlignment="1">
      <alignment horizontal="right"/>
    </xf>
    <xf numFmtId="0" fontId="9" fillId="28" borderId="0" xfId="0" applyFont="1" applyFill="1"/>
    <xf numFmtId="3" fontId="12" fillId="0" borderId="6" xfId="0" applyNumberFormat="1" applyFont="1" applyBorder="1" applyAlignment="1">
      <alignment horizontal="right"/>
    </xf>
    <xf numFmtId="3" fontId="12" fillId="0" borderId="4" xfId="0" applyNumberFormat="1" applyFont="1" applyBorder="1"/>
    <xf numFmtId="3" fontId="9" fillId="28" borderId="0" xfId="0" applyNumberFormat="1" applyFont="1" applyFill="1"/>
    <xf numFmtId="0" fontId="6" fillId="28" borderId="2" xfId="0" applyFont="1" applyFill="1" applyBorder="1"/>
    <xf numFmtId="3" fontId="6" fillId="28" borderId="3" xfId="0" applyNumberFormat="1" applyFont="1" applyFill="1" applyBorder="1"/>
    <xf numFmtId="3" fontId="11" fillId="23" borderId="3" xfId="0" applyNumberFormat="1" applyFont="1" applyFill="1" applyBorder="1"/>
    <xf numFmtId="0" fontId="31" fillId="23" borderId="7" xfId="0" applyFont="1" applyFill="1" applyBorder="1" applyAlignment="1">
      <alignment horizontal="left"/>
    </xf>
    <xf numFmtId="3" fontId="9" fillId="0" borderId="11" xfId="0" applyNumberFormat="1" applyFont="1" applyBorder="1"/>
    <xf numFmtId="0" fontId="31" fillId="23" borderId="12" xfId="0" applyFont="1" applyFill="1" applyBorder="1" applyAlignment="1">
      <alignment horizontal="center"/>
    </xf>
    <xf numFmtId="0" fontId="31" fillId="23" borderId="4" xfId="0" applyFont="1" applyFill="1" applyBorder="1" applyAlignment="1">
      <alignment horizontal="center"/>
    </xf>
    <xf numFmtId="3" fontId="6" fillId="24" borderId="12" xfId="0" applyNumberFormat="1" applyFont="1" applyFill="1" applyBorder="1"/>
    <xf numFmtId="3" fontId="0" fillId="0" borderId="11" xfId="0" applyNumberFormat="1" applyBorder="1" applyAlignment="1">
      <alignment horizontal="right"/>
    </xf>
    <xf numFmtId="3" fontId="6" fillId="23" borderId="1" xfId="0" applyNumberFormat="1" applyFont="1" applyFill="1" applyBorder="1"/>
    <xf numFmtId="0" fontId="6" fillId="3" borderId="7" xfId="0" applyFont="1" applyFill="1" applyBorder="1"/>
    <xf numFmtId="3" fontId="0" fillId="21" borderId="1" xfId="0" applyNumberFormat="1" applyFill="1" applyBorder="1" applyAlignment="1">
      <alignment horizontal="right"/>
    </xf>
    <xf numFmtId="0" fontId="23" fillId="27" borderId="0" xfId="0" applyFont="1" applyFill="1"/>
    <xf numFmtId="0" fontId="3" fillId="35" borderId="1" xfId="0" applyFont="1" applyFill="1" applyBorder="1"/>
    <xf numFmtId="0" fontId="4" fillId="35" borderId="1" xfId="0" applyFont="1" applyFill="1" applyBorder="1"/>
    <xf numFmtId="0" fontId="4" fillId="35" borderId="1" xfId="0" applyFont="1" applyFill="1" applyBorder="1" applyAlignment="1">
      <alignment horizontal="center"/>
    </xf>
    <xf numFmtId="0" fontId="6" fillId="3" borderId="15" xfId="0" applyFont="1" applyFill="1" applyBorder="1"/>
    <xf numFmtId="0" fontId="15" fillId="8" borderId="8" xfId="0" applyFont="1" applyFill="1" applyBorder="1"/>
    <xf numFmtId="3" fontId="6" fillId="31" borderId="12" xfId="0" applyNumberFormat="1" applyFont="1" applyFill="1" applyBorder="1"/>
    <xf numFmtId="165" fontId="9" fillId="31" borderId="1" xfId="0" applyNumberFormat="1" applyFont="1" applyFill="1" applyBorder="1"/>
    <xf numFmtId="0" fontId="4" fillId="35" borderId="8" xfId="0" applyFont="1" applyFill="1" applyBorder="1" applyAlignment="1">
      <alignment horizontal="center"/>
    </xf>
    <xf numFmtId="3" fontId="6" fillId="24" borderId="11" xfId="0" applyNumberFormat="1" applyFont="1" applyFill="1" applyBorder="1"/>
    <xf numFmtId="3" fontId="0" fillId="0" borderId="1" xfId="0" applyNumberFormat="1" applyBorder="1" applyAlignment="1">
      <alignment horizontal="right" wrapText="1"/>
    </xf>
    <xf numFmtId="3" fontId="6" fillId="9" borderId="8" xfId="0" applyNumberFormat="1" applyFont="1" applyFill="1" applyBorder="1" applyAlignment="1">
      <alignment horizontal="center"/>
    </xf>
    <xf numFmtId="3" fontId="9" fillId="23" borderId="1" xfId="0" applyNumberFormat="1" applyFont="1" applyFill="1" applyBorder="1" applyAlignment="1">
      <alignment horizontal="right"/>
    </xf>
    <xf numFmtId="165" fontId="6" fillId="9" borderId="8" xfId="0" applyNumberFormat="1" applyFont="1" applyFill="1" applyBorder="1" applyAlignment="1">
      <alignment horizontal="left"/>
    </xf>
    <xf numFmtId="0" fontId="5" fillId="0" borderId="3" xfId="0" applyFont="1" applyBorder="1"/>
    <xf numFmtId="0" fontId="5" fillId="0" borderId="10" xfId="0" applyFont="1" applyBorder="1"/>
    <xf numFmtId="0" fontId="5" fillId="0" borderId="7" xfId="0" applyFont="1" applyBorder="1"/>
    <xf numFmtId="3" fontId="6" fillId="22" borderId="1" xfId="0" applyNumberFormat="1" applyFont="1" applyFill="1" applyBorder="1" applyAlignment="1">
      <alignment horizontal="right"/>
    </xf>
    <xf numFmtId="0" fontId="0" fillId="0" borderId="3" xfId="0" applyBorder="1" applyAlignment="1">
      <alignment horizontal="right"/>
    </xf>
    <xf numFmtId="3" fontId="11" fillId="0" borderId="12" xfId="0" applyNumberFormat="1" applyFont="1" applyBorder="1"/>
    <xf numFmtId="3" fontId="11" fillId="22" borderId="4" xfId="0" applyNumberFormat="1" applyFont="1" applyFill="1" applyBorder="1"/>
    <xf numFmtId="166" fontId="32" fillId="22" borderId="0" xfId="0" applyNumberFormat="1" applyFont="1" applyFill="1"/>
    <xf numFmtId="0" fontId="5" fillId="0" borderId="5" xfId="0" applyFont="1" applyBorder="1" applyAlignment="1">
      <alignment horizontal="left"/>
    </xf>
    <xf numFmtId="165" fontId="5" fillId="6" borderId="3" xfId="0" applyNumberFormat="1" applyFont="1" applyFill="1" applyBorder="1" applyAlignment="1">
      <alignment horizontal="right"/>
    </xf>
    <xf numFmtId="165" fontId="0" fillId="0" borderId="0" xfId="0" applyNumberFormat="1"/>
    <xf numFmtId="0" fontId="0" fillId="0" borderId="8" xfId="0" applyBorder="1" applyAlignment="1">
      <alignment horizontal="left"/>
    </xf>
    <xf numFmtId="3" fontId="0" fillId="0" borderId="6" xfId="0" applyNumberFormat="1" applyBorder="1" applyAlignment="1">
      <alignment horizontal="right"/>
    </xf>
    <xf numFmtId="0" fontId="11" fillId="0" borderId="8" xfId="0" applyFont="1" applyBorder="1" applyAlignment="1">
      <alignment horizontal="center"/>
    </xf>
    <xf numFmtId="3" fontId="0" fillId="0" borderId="5" xfId="0" applyNumberFormat="1" applyBorder="1" applyAlignment="1">
      <alignment horizontal="right"/>
    </xf>
    <xf numFmtId="3" fontId="6" fillId="23" borderId="13" xfId="0" applyNumberFormat="1" applyFont="1" applyFill="1" applyBorder="1"/>
    <xf numFmtId="3" fontId="0" fillId="0" borderId="3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0" fillId="0" borderId="11" xfId="0" applyBorder="1" applyAlignment="1">
      <alignment horizontal="right"/>
    </xf>
    <xf numFmtId="3" fontId="11" fillId="0" borderId="10" xfId="0" applyNumberFormat="1" applyFont="1" applyBorder="1"/>
    <xf numFmtId="165" fontId="6" fillId="31" borderId="1" xfId="0" applyNumberFormat="1" applyFont="1" applyFill="1" applyBorder="1" applyAlignment="1">
      <alignment horizontal="center"/>
    </xf>
    <xf numFmtId="165" fontId="6" fillId="31" borderId="8" xfId="0" applyNumberFormat="1" applyFont="1" applyFill="1" applyBorder="1" applyAlignment="1">
      <alignment horizontal="center"/>
    </xf>
    <xf numFmtId="165" fontId="6" fillId="31" borderId="6" xfId="0" applyNumberFormat="1" applyFont="1" applyFill="1" applyBorder="1" applyAlignment="1">
      <alignment horizontal="center"/>
    </xf>
    <xf numFmtId="165" fontId="6" fillId="31" borderId="4" xfId="0" applyNumberFormat="1" applyFont="1" applyFill="1" applyBorder="1" applyAlignment="1">
      <alignment horizontal="center"/>
    </xf>
    <xf numFmtId="0" fontId="15" fillId="31" borderId="8" xfId="0" applyFont="1" applyFill="1" applyBorder="1"/>
    <xf numFmtId="3" fontId="6" fillId="31" borderId="1" xfId="0" applyNumberFormat="1" applyFont="1" applyFill="1" applyBorder="1" applyAlignment="1">
      <alignment horizontal="center"/>
    </xf>
    <xf numFmtId="3" fontId="6" fillId="31" borderId="8" xfId="0" applyNumberFormat="1" applyFont="1" applyFill="1" applyBorder="1" applyAlignment="1">
      <alignment horizontal="center"/>
    </xf>
    <xf numFmtId="3" fontId="9" fillId="31" borderId="8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0" borderId="3" xfId="0" applyNumberFormat="1" applyBorder="1" applyAlignment="1">
      <alignment horizontal="right"/>
    </xf>
    <xf numFmtId="3" fontId="0" fillId="0" borderId="12" xfId="0" applyNumberFormat="1" applyBorder="1"/>
    <xf numFmtId="3" fontId="9" fillId="23" borderId="1" xfId="0" applyNumberFormat="1" applyFont="1" applyFill="1" applyBorder="1"/>
    <xf numFmtId="3" fontId="9" fillId="23" borderId="0" xfId="0" applyNumberFormat="1" applyFont="1" applyFill="1"/>
    <xf numFmtId="0" fontId="5" fillId="0" borderId="11" xfId="0" applyFont="1" applyBorder="1" applyAlignment="1">
      <alignment horizontal="left"/>
    </xf>
    <xf numFmtId="3" fontId="33" fillId="0" borderId="1" xfId="0" applyNumberFormat="1" applyFont="1" applyBorder="1" applyAlignment="1">
      <alignment horizontal="right"/>
    </xf>
    <xf numFmtId="3" fontId="33" fillId="0" borderId="4" xfId="0" applyNumberFormat="1" applyFont="1" applyBorder="1"/>
    <xf numFmtId="3" fontId="34" fillId="23" borderId="1" xfId="0" applyNumberFormat="1" applyFont="1" applyFill="1" applyBorder="1" applyAlignment="1">
      <alignment horizontal="right"/>
    </xf>
    <xf numFmtId="3" fontId="33" fillId="0" borderId="1" xfId="0" applyNumberFormat="1" applyFont="1" applyBorder="1"/>
    <xf numFmtId="3" fontId="6" fillId="23" borderId="4" xfId="0" applyNumberFormat="1" applyFont="1" applyFill="1" applyBorder="1"/>
    <xf numFmtId="0" fontId="4" fillId="6" borderId="7" xfId="0" applyFont="1" applyFill="1" applyBorder="1"/>
    <xf numFmtId="0" fontId="31" fillId="23" borderId="13" xfId="0" applyFont="1" applyFill="1" applyBorder="1" applyAlignment="1">
      <alignment horizontal="center"/>
    </xf>
    <xf numFmtId="0" fontId="31" fillId="23" borderId="0" xfId="0" applyFont="1" applyFill="1" applyAlignment="1">
      <alignment horizontal="center"/>
    </xf>
    <xf numFmtId="0" fontId="4" fillId="0" borderId="15" xfId="0" applyFont="1" applyBorder="1"/>
    <xf numFmtId="0" fontId="35" fillId="0" borderId="1" xfId="0" applyFont="1" applyBorder="1"/>
    <xf numFmtId="3" fontId="35" fillId="0" borderId="1" xfId="0" applyNumberFormat="1" applyFont="1" applyBorder="1"/>
    <xf numFmtId="0" fontId="0" fillId="32" borderId="1" xfId="0" applyFill="1" applyBorder="1"/>
    <xf numFmtId="3" fontId="36" fillId="0" borderId="1" xfId="0" applyNumberFormat="1" applyFont="1" applyBorder="1"/>
    <xf numFmtId="0" fontId="9" fillId="0" borderId="1" xfId="0" applyFont="1" applyBorder="1"/>
    <xf numFmtId="0" fontId="31" fillId="23" borderId="15" xfId="0" applyFont="1" applyFill="1" applyBorder="1" applyAlignment="1">
      <alignment horizontal="center"/>
    </xf>
    <xf numFmtId="3" fontId="35" fillId="0" borderId="11" xfId="0" applyNumberFormat="1" applyFont="1" applyBorder="1"/>
    <xf numFmtId="0" fontId="0" fillId="0" borderId="8" xfId="0" applyBorder="1" applyAlignment="1">
      <alignment horizontal="right"/>
    </xf>
    <xf numFmtId="0" fontId="3" fillId="35" borderId="8" xfId="0" applyFont="1" applyFill="1" applyBorder="1"/>
    <xf numFmtId="0" fontId="4" fillId="35" borderId="8" xfId="0" applyFont="1" applyFill="1" applyBorder="1"/>
    <xf numFmtId="3" fontId="9" fillId="23" borderId="8" xfId="0" applyNumberFormat="1" applyFont="1" applyFill="1" applyBorder="1"/>
    <xf numFmtId="0" fontId="5" fillId="0" borderId="15" xfId="0" applyFont="1" applyBorder="1" applyAlignment="1">
      <alignment horizontal="left"/>
    </xf>
    <xf numFmtId="3" fontId="0" fillId="0" borderId="14" xfId="0" applyNumberFormat="1" applyBorder="1" applyAlignment="1">
      <alignment horizontal="right"/>
    </xf>
    <xf numFmtId="3" fontId="11" fillId="0" borderId="11" xfId="0" applyNumberFormat="1" applyFont="1" applyBorder="1" applyAlignment="1">
      <alignment horizontal="right"/>
    </xf>
    <xf numFmtId="3" fontId="11" fillId="0" borderId="0" xfId="0" applyNumberFormat="1" applyFont="1" applyAlignment="1">
      <alignment horizontal="right"/>
    </xf>
    <xf numFmtId="3" fontId="11" fillId="0" borderId="2" xfId="0" applyNumberFormat="1" applyFont="1" applyBorder="1" applyAlignment="1">
      <alignment horizontal="right"/>
    </xf>
    <xf numFmtId="3" fontId="5" fillId="0" borderId="15" xfId="0" applyNumberFormat="1" applyFont="1" applyBorder="1" applyAlignment="1">
      <alignment horizontal="right"/>
    </xf>
    <xf numFmtId="3" fontId="5" fillId="0" borderId="12" xfId="0" applyNumberFormat="1" applyFont="1" applyBorder="1" applyAlignment="1">
      <alignment horizontal="right"/>
    </xf>
    <xf numFmtId="0" fontId="5" fillId="8" borderId="12" xfId="0" applyFont="1" applyFill="1" applyBorder="1" applyAlignment="1">
      <alignment horizontal="right"/>
    </xf>
    <xf numFmtId="3" fontId="5" fillId="0" borderId="6" xfId="0" applyNumberFormat="1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3" fontId="5" fillId="0" borderId="2" xfId="0" applyNumberFormat="1" applyFont="1" applyBorder="1"/>
    <xf numFmtId="3" fontId="5" fillId="0" borderId="9" xfId="0" applyNumberFormat="1" applyFont="1" applyBorder="1"/>
    <xf numFmtId="0" fontId="5" fillId="8" borderId="2" xfId="0" applyFont="1" applyFill="1" applyBorder="1"/>
    <xf numFmtId="0" fontId="9" fillId="23" borderId="1" xfId="0" applyFont="1" applyFill="1" applyBorder="1"/>
    <xf numFmtId="0" fontId="9" fillId="23" borderId="1" xfId="0" applyFont="1" applyFill="1" applyBorder="1" applyAlignment="1">
      <alignment horizontal="left"/>
    </xf>
    <xf numFmtId="3" fontId="37" fillId="36" borderId="1" xfId="0" applyNumberFormat="1" applyFont="1" applyFill="1" applyBorder="1" applyAlignment="1">
      <alignment horizontal="right"/>
    </xf>
    <xf numFmtId="0" fontId="0" fillId="25" borderId="1" xfId="0" applyFill="1" applyBorder="1" applyAlignment="1">
      <alignment horizontal="right"/>
    </xf>
    <xf numFmtId="0" fontId="3" fillId="29" borderId="8" xfId="0" applyFont="1" applyFill="1" applyBorder="1"/>
    <xf numFmtId="0" fontId="4" fillId="29" borderId="8" xfId="0" applyFont="1" applyFill="1" applyBorder="1"/>
    <xf numFmtId="0" fontId="0" fillId="21" borderId="0" xfId="0" applyFill="1"/>
    <xf numFmtId="0" fontId="0" fillId="25" borderId="11" xfId="0" applyFill="1" applyBorder="1" applyAlignment="1">
      <alignment horizontal="right"/>
    </xf>
    <xf numFmtId="0" fontId="0" fillId="0" borderId="5" xfId="0" applyBorder="1" applyAlignment="1">
      <alignment horizontal="right"/>
    </xf>
    <xf numFmtId="3" fontId="9" fillId="0" borderId="11" xfId="0" applyNumberFormat="1" applyFont="1" applyBorder="1" applyAlignment="1">
      <alignment horizontal="right"/>
    </xf>
    <xf numFmtId="0" fontId="4" fillId="29" borderId="5" xfId="0" applyFont="1" applyFill="1" applyBorder="1" applyAlignment="1">
      <alignment horizontal="center"/>
    </xf>
    <xf numFmtId="0" fontId="23" fillId="29" borderId="0" xfId="0" applyFont="1" applyFill="1"/>
    <xf numFmtId="3" fontId="9" fillId="0" borderId="1" xfId="0" applyNumberFormat="1" applyFont="1" applyBorder="1" applyAlignment="1">
      <alignment horizontal="center"/>
    </xf>
    <xf numFmtId="0" fontId="3" fillId="29" borderId="1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3" fontId="0" fillId="25" borderId="1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35" fillId="21" borderId="0" xfId="0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23" fillId="37" borderId="0" xfId="0" applyFont="1" applyFill="1"/>
    <xf numFmtId="0" fontId="3" fillId="28" borderId="8" xfId="0" applyFont="1" applyFill="1" applyBorder="1"/>
    <xf numFmtId="0" fontId="4" fillId="28" borderId="8" xfId="0" applyFont="1" applyFill="1" applyBorder="1"/>
    <xf numFmtId="0" fontId="0" fillId="23" borderId="0" xfId="0" applyFill="1"/>
    <xf numFmtId="0" fontId="9" fillId="23" borderId="8" xfId="0" applyFont="1" applyFill="1" applyBorder="1" applyAlignment="1">
      <alignment horizontal="left"/>
    </xf>
    <xf numFmtId="3" fontId="9" fillId="25" borderId="8" xfId="0" applyNumberFormat="1" applyFont="1" applyFill="1" applyBorder="1" applyAlignment="1">
      <alignment horizontal="center"/>
    </xf>
    <xf numFmtId="0" fontId="0" fillId="25" borderId="8" xfId="0" applyFill="1" applyBorder="1" applyAlignment="1">
      <alignment horizontal="center"/>
    </xf>
    <xf numFmtId="0" fontId="0" fillId="0" borderId="11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5" borderId="1" xfId="0" applyFill="1" applyBorder="1"/>
    <xf numFmtId="0" fontId="0" fillId="25" borderId="4" xfId="0" applyFill="1" applyBorder="1" applyAlignment="1">
      <alignment horizontal="center"/>
    </xf>
    <xf numFmtId="3" fontId="9" fillId="25" borderId="1" xfId="0" applyNumberFormat="1" applyFont="1" applyFill="1" applyBorder="1" applyAlignment="1">
      <alignment horizontal="center"/>
    </xf>
    <xf numFmtId="3" fontId="0" fillId="25" borderId="1" xfId="0" applyNumberFormat="1" applyFill="1" applyBorder="1"/>
    <xf numFmtId="0" fontId="0" fillId="25" borderId="11" xfId="0" applyFill="1" applyBorder="1"/>
    <xf numFmtId="0" fontId="23" fillId="38" borderId="0" xfId="0" applyFont="1" applyFill="1"/>
    <xf numFmtId="0" fontId="3" fillId="32" borderId="1" xfId="0" applyFont="1" applyFill="1" applyBorder="1"/>
    <xf numFmtId="0" fontId="4" fillId="32" borderId="8" xfId="0" applyFont="1" applyFill="1" applyBorder="1" applyAlignment="1">
      <alignment horizontal="center"/>
    </xf>
    <xf numFmtId="0" fontId="9" fillId="0" borderId="11" xfId="0" applyFont="1" applyBorder="1"/>
    <xf numFmtId="0" fontId="9" fillId="23" borderId="11" xfId="0" applyFont="1" applyFill="1" applyBorder="1"/>
    <xf numFmtId="0" fontId="35" fillId="21" borderId="8" xfId="0" applyFont="1" applyFill="1" applyBorder="1" applyAlignment="1">
      <alignment horizontal="center"/>
    </xf>
    <xf numFmtId="3" fontId="12" fillId="22" borderId="1" xfId="0" applyNumberFormat="1" applyFont="1" applyFill="1" applyBorder="1" applyAlignment="1">
      <alignment horizontal="center"/>
    </xf>
    <xf numFmtId="3" fontId="9" fillId="23" borderId="1" xfId="0" applyNumberFormat="1" applyFont="1" applyFill="1" applyBorder="1" applyAlignment="1">
      <alignment horizontal="center"/>
    </xf>
    <xf numFmtId="3" fontId="12" fillId="0" borderId="4" xfId="0" applyNumberFormat="1" applyFont="1" applyBorder="1" applyAlignment="1">
      <alignment horizontal="center"/>
    </xf>
    <xf numFmtId="0" fontId="3" fillId="27" borderId="8" xfId="0" applyFont="1" applyFill="1" applyBorder="1"/>
    <xf numFmtId="0" fontId="4" fillId="27" borderId="8" xfId="0" applyFont="1" applyFill="1" applyBorder="1"/>
    <xf numFmtId="0" fontId="4" fillId="27" borderId="8" xfId="0" applyFont="1" applyFill="1" applyBorder="1" applyAlignment="1">
      <alignment horizontal="center"/>
    </xf>
    <xf numFmtId="0" fontId="9" fillId="23" borderId="5" xfId="0" applyFont="1" applyFill="1" applyBorder="1"/>
    <xf numFmtId="0" fontId="9" fillId="0" borderId="7" xfId="0" applyFont="1" applyBorder="1"/>
    <xf numFmtId="0" fontId="4" fillId="32" borderId="8" xfId="0" applyFont="1" applyFill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/>
    </xf>
    <xf numFmtId="0" fontId="3" fillId="39" borderId="1" xfId="0" applyFont="1" applyFill="1" applyBorder="1"/>
    <xf numFmtId="0" fontId="4" fillId="39" borderId="8" xfId="0" applyFont="1" applyFill="1" applyBorder="1" applyAlignment="1">
      <alignment horizontal="center"/>
    </xf>
    <xf numFmtId="0" fontId="23" fillId="39" borderId="0" xfId="0" applyFont="1" applyFill="1"/>
    <xf numFmtId="0" fontId="9" fillId="25" borderId="1" xfId="0" applyFont="1" applyFill="1" applyBorder="1" applyAlignment="1">
      <alignment horizontal="center"/>
    </xf>
    <xf numFmtId="3" fontId="35" fillId="22" borderId="1" xfId="0" applyNumberFormat="1" applyFont="1" applyFill="1" applyBorder="1"/>
    <xf numFmtId="3" fontId="0" fillId="0" borderId="1" xfId="0" applyNumberFormat="1" applyBorder="1" applyAlignment="1">
      <alignment horizontal="center" vertical="center"/>
    </xf>
    <xf numFmtId="3" fontId="35" fillId="29" borderId="1" xfId="0" applyNumberFormat="1" applyFont="1" applyFill="1" applyBorder="1" applyAlignment="1">
      <alignment horizontal="center"/>
    </xf>
    <xf numFmtId="0" fontId="38" fillId="23" borderId="5" xfId="0" applyFont="1" applyFill="1" applyBorder="1"/>
    <xf numFmtId="3" fontId="38" fillId="0" borderId="1" xfId="0" applyNumberFormat="1" applyFont="1" applyBorder="1" applyAlignment="1">
      <alignment horizontal="center"/>
    </xf>
    <xf numFmtId="3" fontId="38" fillId="23" borderId="1" xfId="0" applyNumberFormat="1" applyFont="1" applyFill="1" applyBorder="1" applyAlignment="1">
      <alignment horizontal="center"/>
    </xf>
    <xf numFmtId="0" fontId="10" fillId="0" borderId="1" xfId="0" applyFont="1" applyBorder="1"/>
    <xf numFmtId="0" fontId="38" fillId="0" borderId="11" xfId="0" applyFont="1" applyBorder="1"/>
    <xf numFmtId="3" fontId="10" fillId="0" borderId="1" xfId="0" applyNumberFormat="1" applyFont="1" applyBorder="1" applyAlignment="1">
      <alignment horizontal="center"/>
    </xf>
    <xf numFmtId="3" fontId="30" fillId="0" borderId="1" xfId="0" applyNumberFormat="1" applyFont="1" applyBorder="1" applyAlignment="1">
      <alignment horizontal="center"/>
    </xf>
    <xf numFmtId="0" fontId="38" fillId="0" borderId="7" xfId="0" applyFont="1" applyBorder="1"/>
    <xf numFmtId="0" fontId="38" fillId="23" borderId="11" xfId="0" applyFont="1" applyFill="1" applyBorder="1"/>
    <xf numFmtId="0" fontId="10" fillId="0" borderId="1" xfId="0" applyFont="1" applyBorder="1" applyAlignment="1">
      <alignment horizontal="center"/>
    </xf>
    <xf numFmtId="3" fontId="38" fillId="0" borderId="8" xfId="0" applyNumberFormat="1" applyFont="1" applyBorder="1" applyAlignment="1">
      <alignment horizontal="center"/>
    </xf>
    <xf numFmtId="3" fontId="10" fillId="0" borderId="8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8" xfId="0" applyFont="1" applyBorder="1"/>
    <xf numFmtId="0" fontId="35" fillId="0" borderId="11" xfId="0" applyFont="1" applyBorder="1"/>
    <xf numFmtId="0" fontId="35" fillId="0" borderId="8" xfId="0" applyFont="1" applyBorder="1"/>
    <xf numFmtId="0" fontId="35" fillId="0" borderId="5" xfId="0" applyFont="1" applyBorder="1"/>
    <xf numFmtId="3" fontId="35" fillId="22" borderId="1" xfId="0" applyNumberFormat="1" applyFont="1" applyFill="1" applyBorder="1" applyAlignment="1">
      <alignment horizontal="right"/>
    </xf>
    <xf numFmtId="0" fontId="0" fillId="23" borderId="1" xfId="0" applyFill="1" applyBorder="1"/>
    <xf numFmtId="0" fontId="9" fillId="0" borderId="8" xfId="0" applyFont="1" applyBorder="1"/>
    <xf numFmtId="0" fontId="0" fillId="0" borderId="6" xfId="0" applyBorder="1" applyAlignment="1">
      <alignment horizontal="center"/>
    </xf>
    <xf numFmtId="3" fontId="35" fillId="0" borderId="5" xfId="0" applyNumberFormat="1" applyFont="1" applyBorder="1"/>
    <xf numFmtId="0" fontId="35" fillId="21" borderId="8" xfId="0" applyFont="1" applyFill="1" applyBorder="1"/>
    <xf numFmtId="3" fontId="35" fillId="0" borderId="0" xfId="0" applyNumberFormat="1" applyFont="1"/>
    <xf numFmtId="0" fontId="36" fillId="0" borderId="1" xfId="0" applyFont="1" applyBorder="1"/>
    <xf numFmtId="3" fontId="36" fillId="37" borderId="1" xfId="0" applyNumberFormat="1" applyFont="1" applyFill="1" applyBorder="1"/>
    <xf numFmtId="3" fontId="36" fillId="37" borderId="11" xfId="0" applyNumberFormat="1" applyFont="1" applyFill="1" applyBorder="1"/>
    <xf numFmtId="0" fontId="36" fillId="0" borderId="8" xfId="0" applyFont="1" applyBorder="1"/>
    <xf numFmtId="3" fontId="38" fillId="21" borderId="1" xfId="0" applyNumberFormat="1" applyFont="1" applyFill="1" applyBorder="1"/>
    <xf numFmtId="3" fontId="9" fillId="21" borderId="1" xfId="0" applyNumberFormat="1" applyFont="1" applyFill="1" applyBorder="1"/>
    <xf numFmtId="0" fontId="38" fillId="0" borderId="5" xfId="0" applyFont="1" applyBorder="1"/>
    <xf numFmtId="0" fontId="9" fillId="0" borderId="11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9" fillId="0" borderId="1" xfId="0" applyFont="1" applyBorder="1" applyAlignment="1">
      <alignment horizontal="left"/>
    </xf>
    <xf numFmtId="0" fontId="6" fillId="0" borderId="1" xfId="0" applyFont="1" applyBorder="1"/>
    <xf numFmtId="0" fontId="4" fillId="3" borderId="11" xfId="0" applyFont="1" applyFill="1" applyBorder="1"/>
    <xf numFmtId="3" fontId="35" fillId="23" borderId="1" xfId="0" applyNumberFormat="1" applyFont="1" applyFill="1" applyBorder="1" applyAlignment="1">
      <alignment horizontal="center"/>
    </xf>
    <xf numFmtId="3" fontId="39" fillId="0" borderId="1" xfId="0" applyNumberFormat="1" applyFont="1" applyBorder="1" applyAlignment="1">
      <alignment horizontal="center"/>
    </xf>
    <xf numFmtId="3" fontId="39" fillId="22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3" fontId="35" fillId="0" borderId="1" xfId="0" applyNumberFormat="1" applyFont="1" applyBorder="1" applyAlignment="1">
      <alignment horizontal="center"/>
    </xf>
    <xf numFmtId="3" fontId="13" fillId="0" borderId="1" xfId="0" applyNumberFormat="1" applyFont="1" applyBorder="1" applyAlignment="1">
      <alignment horizontal="center"/>
    </xf>
    <xf numFmtId="0" fontId="35" fillId="23" borderId="11" xfId="0" applyFont="1" applyFill="1" applyBorder="1"/>
    <xf numFmtId="0" fontId="35" fillId="24" borderId="1" xfId="0" applyFont="1" applyFill="1" applyBorder="1" applyAlignment="1">
      <alignment horizontal="center"/>
    </xf>
    <xf numFmtId="0" fontId="13" fillId="24" borderId="1" xfId="0" applyFont="1" applyFill="1" applyBorder="1" applyAlignment="1">
      <alignment horizontal="center"/>
    </xf>
    <xf numFmtId="0" fontId="9" fillId="0" borderId="5" xfId="0" applyFont="1" applyBorder="1"/>
    <xf numFmtId="0" fontId="9" fillId="24" borderId="1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11" xfId="0" applyFill="1" applyBorder="1" applyAlignment="1">
      <alignment horizontal="center"/>
    </xf>
    <xf numFmtId="0" fontId="0" fillId="24" borderId="1" xfId="0" applyFill="1" applyBorder="1"/>
    <xf numFmtId="0" fontId="0" fillId="24" borderId="3" xfId="0" applyFill="1" applyBorder="1" applyAlignment="1">
      <alignment horizontal="center"/>
    </xf>
    <xf numFmtId="0" fontId="12" fillId="24" borderId="1" xfId="0" applyFont="1" applyFill="1" applyBorder="1" applyAlignment="1">
      <alignment horizontal="center"/>
    </xf>
    <xf numFmtId="0" fontId="11" fillId="24" borderId="1" xfId="0" applyFont="1" applyFill="1" applyBorder="1" applyAlignment="1">
      <alignment horizontal="center"/>
    </xf>
    <xf numFmtId="0" fontId="11" fillId="24" borderId="1" xfId="0" applyFont="1" applyFill="1" applyBorder="1"/>
    <xf numFmtId="3" fontId="0" fillId="24" borderId="1" xfId="0" applyNumberFormat="1" applyFill="1" applyBorder="1"/>
    <xf numFmtId="3" fontId="11" fillId="0" borderId="8" xfId="0" applyNumberFormat="1" applyFont="1" applyBorder="1" applyAlignment="1">
      <alignment horizontal="center"/>
    </xf>
    <xf numFmtId="3" fontId="12" fillId="23" borderId="1" xfId="0" applyNumberFormat="1" applyFont="1" applyFill="1" applyBorder="1" applyAlignment="1">
      <alignment horizontal="center"/>
    </xf>
    <xf numFmtId="0" fontId="38" fillId="24" borderId="1" xfId="0" applyFont="1" applyFill="1" applyBorder="1" applyAlignment="1">
      <alignment horizontal="center"/>
    </xf>
    <xf numFmtId="0" fontId="10" fillId="24" borderId="1" xfId="0" applyFont="1" applyFill="1" applyBorder="1" applyAlignment="1">
      <alignment horizontal="center"/>
    </xf>
    <xf numFmtId="0" fontId="10" fillId="24" borderId="1" xfId="0" applyFont="1" applyFill="1" applyBorder="1"/>
    <xf numFmtId="0" fontId="0" fillId="24" borderId="11" xfId="0" applyFill="1" applyBorder="1"/>
    <xf numFmtId="0" fontId="0" fillId="24" borderId="4" xfId="0" applyFill="1" applyBorder="1"/>
    <xf numFmtId="3" fontId="0" fillId="0" borderId="9" xfId="0" applyNumberFormat="1" applyBorder="1"/>
    <xf numFmtId="0" fontId="36" fillId="21" borderId="0" xfId="0" applyFont="1" applyFill="1"/>
    <xf numFmtId="3" fontId="0" fillId="0" borderId="5" xfId="0" applyNumberFormat="1" applyBorder="1" applyAlignment="1">
      <alignment horizontal="center"/>
    </xf>
    <xf numFmtId="0" fontId="0" fillId="0" borderId="6" xfId="0" applyBorder="1"/>
    <xf numFmtId="3" fontId="9" fillId="0" borderId="6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7" xfId="0" applyBorder="1"/>
    <xf numFmtId="3" fontId="9" fillId="23" borderId="8" xfId="0" applyNumberFormat="1" applyFont="1" applyFill="1" applyBorder="1" applyAlignment="1">
      <alignment horizontal="center"/>
    </xf>
    <xf numFmtId="3" fontId="0" fillId="22" borderId="1" xfId="0" applyNumberFormat="1" applyFill="1" applyBorder="1" applyAlignment="1">
      <alignment horizontal="center"/>
    </xf>
    <xf numFmtId="0" fontId="40" fillId="24" borderId="8" xfId="0" applyFont="1" applyFill="1" applyBorder="1" applyAlignment="1">
      <alignment horizontal="center"/>
    </xf>
    <xf numFmtId="0" fontId="41" fillId="24" borderId="8" xfId="0" applyFont="1" applyFill="1" applyBorder="1" applyAlignment="1">
      <alignment horizontal="center"/>
    </xf>
    <xf numFmtId="0" fontId="41" fillId="24" borderId="8" xfId="0" applyFont="1" applyFill="1" applyBorder="1"/>
    <xf numFmtId="0" fontId="4" fillId="21" borderId="8" xfId="0" applyFont="1" applyFill="1" applyBorder="1" applyAlignment="1">
      <alignment horizontal="center"/>
    </xf>
    <xf numFmtId="3" fontId="12" fillId="22" borderId="1" xfId="0" applyNumberFormat="1" applyFont="1" applyFill="1" applyBorder="1"/>
    <xf numFmtId="3" fontId="0" fillId="0" borderId="6" xfId="0" applyNumberFormat="1" applyBorder="1" applyAlignment="1">
      <alignment horizontal="center"/>
    </xf>
    <xf numFmtId="0" fontId="6" fillId="0" borderId="11" xfId="0" applyFont="1" applyBorder="1" applyAlignment="1"/>
    <xf numFmtId="0" fontId="5" fillId="0" borderId="4" xfId="0" applyFont="1" applyBorder="1" applyAlignment="1"/>
    <xf numFmtId="0" fontId="19" fillId="0" borderId="0" xfId="0" applyFont="1" applyAlignment="1">
      <alignment horizontal="center"/>
    </xf>
    <xf numFmtId="0" fontId="0" fillId="0" borderId="0" xfId="0" applyAlignment="1"/>
    <xf numFmtId="0" fontId="20" fillId="0" borderId="10" xfId="0" applyFont="1" applyBorder="1" applyAlignment="1"/>
    <xf numFmtId="0" fontId="5" fillId="0" borderId="3" xfId="0" applyFont="1" applyBorder="1" applyAlignment="1"/>
    <xf numFmtId="0" fontId="20" fillId="0" borderId="7" xfId="0" applyFont="1" applyBorder="1" applyAlignment="1"/>
    <xf numFmtId="0" fontId="5" fillId="0" borderId="10" xfId="0" applyFont="1" applyBorder="1" applyAlignment="1"/>
    <xf numFmtId="0" fontId="20" fillId="0" borderId="11" xfId="0" applyFont="1" applyBorder="1" applyAlignment="1"/>
    <xf numFmtId="0" fontId="5" fillId="0" borderId="12" xfId="0" applyFont="1" applyBorder="1" applyAlignment="1"/>
    <xf numFmtId="0" fontId="21" fillId="0" borderId="5" xfId="0" applyFont="1" applyBorder="1" applyAlignment="1">
      <alignment horizontal="center"/>
    </xf>
    <xf numFmtId="0" fontId="5" fillId="0" borderId="13" xfId="0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27" fillId="21" borderId="11" xfId="0" applyFont="1" applyFill="1" applyBorder="1" applyAlignment="1"/>
    <xf numFmtId="0" fontId="21" fillId="21" borderId="4" xfId="0" applyFont="1" applyFill="1" applyBorder="1" applyAlignment="1"/>
    <xf numFmtId="0" fontId="6" fillId="0" borderId="12" xfId="0" applyFont="1" applyBorder="1" applyAlignment="1"/>
    <xf numFmtId="0" fontId="6" fillId="0" borderId="7" xfId="0" applyFont="1" applyBorder="1" applyAlignment="1"/>
    <xf numFmtId="0" fontId="16" fillId="0" borderId="11" xfId="0" applyFont="1" applyBorder="1" applyAlignment="1"/>
    <xf numFmtId="0" fontId="19" fillId="0" borderId="0" xfId="0" applyFont="1" applyAlignment="1"/>
    <xf numFmtId="0" fontId="18" fillId="10" borderId="10" xfId="0" applyFont="1" applyFill="1" applyBorder="1" applyAlignment="1"/>
    <xf numFmtId="0" fontId="3" fillId="33" borderId="11" xfId="0" applyFont="1" applyFill="1" applyBorder="1" applyAlignment="1">
      <alignment horizontal="center"/>
    </xf>
    <xf numFmtId="0" fontId="3" fillId="33" borderId="12" xfId="0" applyFont="1" applyFill="1" applyBorder="1" applyAlignment="1">
      <alignment horizontal="center"/>
    </xf>
    <xf numFmtId="0" fontId="3" fillId="33" borderId="4" xfId="0" applyFont="1" applyFill="1" applyBorder="1" applyAlignment="1">
      <alignment horizontal="center"/>
    </xf>
    <xf numFmtId="0" fontId="3" fillId="32" borderId="10" xfId="0" applyFont="1" applyFill="1" applyBorder="1" applyAlignment="1">
      <alignment horizontal="center"/>
    </xf>
    <xf numFmtId="0" fontId="27" fillId="27" borderId="11" xfId="0" applyFont="1" applyFill="1" applyBorder="1" applyAlignment="1">
      <alignment horizontal="center"/>
    </xf>
    <xf numFmtId="0" fontId="27" fillId="27" borderId="4" xfId="0" applyFont="1" applyFill="1" applyBorder="1" applyAlignment="1">
      <alignment horizontal="center"/>
    </xf>
    <xf numFmtId="0" fontId="31" fillId="27" borderId="11" xfId="0" applyFont="1" applyFill="1" applyBorder="1" applyAlignment="1">
      <alignment horizontal="left"/>
    </xf>
    <xf numFmtId="0" fontId="31" fillId="27" borderId="12" xfId="0" applyFont="1" applyFill="1" applyBorder="1" applyAlignment="1">
      <alignment horizontal="left"/>
    </xf>
    <xf numFmtId="0" fontId="31" fillId="27" borderId="4" xfId="0" applyFont="1" applyFill="1" applyBorder="1" applyAlignment="1">
      <alignment horizontal="left"/>
    </xf>
    <xf numFmtId="0" fontId="31" fillId="32" borderId="11" xfId="0" applyFont="1" applyFill="1" applyBorder="1" applyAlignment="1">
      <alignment horizontal="left"/>
    </xf>
    <xf numFmtId="0" fontId="31" fillId="32" borderId="12" xfId="0" applyFont="1" applyFill="1" applyBorder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OBLADO 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520EFA2F-D719-42E7-AB2D-BD7938520C8D}" userId="S::directoraarriendos@portadainmobiliaria.com::d25df4f4-b7a4-46be-966d-3ee9c0c18e5c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7" personId="{00000000-0000-0000-0000-000000000000}" id="{8C207CC7-D1D5-4D4B-B04D-D9033837F474}">
    <text xml:space="preserve">INGRESO A LABORAR </text>
  </threadedComment>
  <threadedComment ref="J14" personId="{00000000-0000-0000-0000-000000000000}" id="{5784819C-81C6-486F-BE6F-E46AB621E0BF}">
    <text xml:space="preserve">Apenas ingresa a laboral </text>
  </threadedComment>
  <threadedComment ref="F18" dT="2019-05-13T22:56:15.45" personId="{520EFA2F-D719-42E7-AB2D-BD7938520C8D}" id="{D2DADF0C-A0FD-4DD8-BD7E-97409A27B087}">
    <text xml:space="preserve">ESTUVO ADRIANA COMO ADMON 
</text>
  </threadedComment>
  <threadedComment ref="C20" personId="{00000000-0000-0000-0000-000000000000}" id="{01DED00E-DFE3-420D-BF4D-7C1C9539FE07}">
    <text xml:space="preserve">ingreso de vacaciones a mitad de mes! </text>
  </threadedComment>
  <threadedComment ref="E23" personId="{00000000-0000-0000-0000-000000000000}" id="{CA8C2798-5380-4D5E-82CF-7B09D4EE96DB}">
    <text xml:space="preserve">INICIA EN ESTE MES , EN COLORES
</text>
  </threadedComment>
  <threadedComment ref="F23" dT="2019-05-13T22:57:25.27" personId="{520EFA2F-D719-42E7-AB2D-BD7938520C8D}" id="{B054454B-07C0-4159-B89C-C19D21DBA6BC}">
    <text xml:space="preserve">INGRESA DE VACACIONES 
</text>
  </threadedComment>
  <threadedComment ref="G23" dT="2019-06-10T19:59:41.04" personId="{520EFA2F-D719-42E7-AB2D-BD7938520C8D}" id="{3911380A-0139-4636-A1D1-A63358C61AF0}">
    <text xml:space="preserve">a Mitad de mes, inicia labores en el departamento de ventas.
</text>
  </threadedComment>
  <threadedComment ref="G24" dT="2019-06-10T20:02:39.54" personId="{520EFA2F-D719-42E7-AB2D-BD7938520C8D}" id="{30000ACB-84F6-4D22-9A22-D6DC2915AAEF}">
    <text xml:space="preserve">PASA DE INENTARIOS, ASESORA EXTERNA
</text>
  </threadedComment>
  <threadedComment ref="G25" dT="2019-06-10T20:03:16.58" personId="{520EFA2F-D719-42E7-AB2D-BD7938520C8D}" id="{E427800A-5519-4C43-8592-8BE9C66269AD}">
    <text xml:space="preserve">INGRESA DE NUEVO A LA EMPRESA COMO ASESOR EXTERNOS DE COLORES ANTES ERA INVENTARISTA
</text>
  </threadedComment>
  <threadedComment ref="F28" dT="2019-05-13T22:57:49.58" personId="{520EFA2F-D719-42E7-AB2D-BD7938520C8D}" id="{6D7BF572-80A2-4EBA-9A02-EB6F3D6EDFCF}">
    <text xml:space="preserve">HIZO APOYO TODO EL MES COMO ADMON
</text>
  </threadedComment>
  <threadedComment ref="E31" personId="{00000000-0000-0000-0000-000000000000}" id="{3F1251AB-41DB-4539-AB1D-5762E01DDA8B}">
    <text xml:space="preserve">ASESORA NUEVA. 
</text>
  </threadedComment>
  <threadedComment ref="M31" dT="2019-12-09T16:19:46.37" personId="{520EFA2F-D719-42E7-AB2D-BD7938520C8D}" id="{E81FB33F-ED9A-4FC8-BCA4-5272077FA5AC}">
    <text xml:space="preserve">poblado
</text>
  </threadedComment>
  <threadedComment ref="J34" dT="2019-09-11T19:48:15.41" personId="{520EFA2F-D719-42E7-AB2D-BD7938520C8D}" id="{49A5B2E4-845B-4F5E-9C66-4A70EE82146C}">
    <text xml:space="preserve">ESTUVO EN VACACIONES 
</text>
  </threadedComment>
  <threadedComment ref="E40" dT="2020-06-08T20:58:21.76" personId="{520EFA2F-D719-42E7-AB2D-BD7938520C8D}" id="{BA3F4F89-F41A-41A4-8566-3D9613662AC4}">
    <text xml:space="preserve">hasta este mes estuvo adriana como admon 
</text>
  </threadedComment>
  <threadedComment ref="G40" dT="2020-06-08T21:17:44.34" personId="{520EFA2F-D719-42E7-AB2D-BD7938520C8D}" id="{BF5EE6D6-F817-46C0-BC41-D075FEBDFAF4}">
    <text xml:space="preserve">COVID 19 
</text>
  </threadedComment>
  <threadedComment ref="H40" dT="2020-06-08T21:19:58.68" personId="{520EFA2F-D719-42E7-AB2D-BD7938520C8D}" id="{32F7917F-8EAF-4118-B781-DD17CFE76AEC}">
    <text xml:space="preserve">SE PAGA 105,000 A CADA UNA DE LAS INTERNAR. 
</text>
  </threadedComment>
  <threadedComment ref="F44" dT="2020-06-08T21:12:47.92" personId="{520EFA2F-D719-42E7-AB2D-BD7938520C8D}" id="{183395EE-40D2-498E-8268-1EB5CC880F1B}">
    <text xml:space="preserve">LICENCIA DE MATERNIDAD
</text>
  </threadedComment>
  <threadedComment ref="D45" dT="2020-02-05T16:11:54.90" personId="{520EFA2F-D719-42E7-AB2D-BD7938520C8D}" id="{4F45C618-AB0B-4E69-88BB-C95944D4274E}">
    <text xml:space="preserve">No cumple meta se le envia primer Comunicado.
</text>
  </threadedComment>
  <threadedComment ref="D45" dT="2020-02-05T16:13:39.03" personId="{520EFA2F-D719-42E7-AB2D-BD7938520C8D}" id="{0F531165-9AE9-4C9C-94ED-E5829F81A2A2}" parentId="{4F45C618-AB0B-4E69-88BB-C95944D4274E}">
    <text xml:space="preserve">Se traslada para la sede de Laureles
</text>
  </threadedComment>
  <threadedComment ref="I46" dT="2020-08-11T21:01:19.52" personId="{520EFA2F-D719-42E7-AB2D-BD7938520C8D}" id="{AE2578A9-4CD6-4A82-A6D5-B887997D6CE6}">
    <text>se realiza cambio para la sede de ENVIGADO</text>
  </threadedComment>
  <threadedComment ref="D49" dT="2020-02-05T16:11:24.65" personId="{520EFA2F-D719-42E7-AB2D-BD7938520C8D}" id="{E892C6AE-7F6B-4FC5-BC32-7AD68606B40A}">
    <text xml:space="preserve">No cumple meta, se le envia primer comunicado.
</text>
  </threadedComment>
  <threadedComment ref="B57" dT="2021-07-21T21:29:14.14" personId="{520EFA2F-D719-42E7-AB2D-BD7938520C8D}" id="{5130B8BE-48CD-45F1-8FA1-E20464CC992C}">
    <text xml:space="preserve">LA META DE LA SEDE CAMBIA A 90,000,000 SUMANDO CALASANZ Y COLORES
</text>
  </threadedComment>
  <threadedComment ref="E57" dT="2021-07-21T21:16:12.37" personId="{520EFA2F-D719-42E7-AB2D-BD7938520C8D}" id="{73749507-3C5C-46A9-9159-264B7D001404}">
    <text xml:space="preserve">suma de calasanz y colores. </text>
  </threadedComment>
  <threadedComment ref="M57" dT="2022-01-29T22:54:47.43" personId="{520EFA2F-D719-42E7-AB2D-BD7938520C8D}" id="{73FF3C71-A386-444E-AF0C-C45059661AF7}">
    <text xml:space="preserve">ADRIANA COMO ADMON </text>
  </threadedComment>
  <threadedComment ref="D59" dT="2021-07-21T21:12:41.19" personId="{520EFA2F-D719-42E7-AB2D-BD7938520C8D}" id="{FDB290A8-778C-4712-8276-1612B138FE7F}">
    <text xml:space="preserve">le suma colores y calasanz </text>
  </threadedComment>
  <threadedComment ref="H59" dT="2021-07-21T21:39:15.07" personId="{520EFA2F-D719-42E7-AB2D-BD7938520C8D}" id="{6438B635-A846-480D-9BEE-27A797A8207C}">
    <text>INICIADO FUNCION DE FORMADO DE ASESORES EXTERNOS.</text>
  </threadedComment>
  <threadedComment ref="E61" dT="2021-07-21T21:11:59.17" personId="{520EFA2F-D719-42E7-AB2D-BD7938520C8D}" id="{BE1A1802-D5F9-4DAD-9375-39A194DD784F}">
    <text xml:space="preserve">Retiro de la empresa con justa causa.
incumplimiento de meta
</text>
  </threadedComment>
  <threadedComment ref="K63" dT="2021-11-15T22:31:43.24" personId="{520EFA2F-D719-42E7-AB2D-BD7938520C8D}" id="{7C674AD0-DDCB-4347-82B5-9B37B7FFC176}">
    <text xml:space="preserve">INCPACITADO
</text>
  </threadedComment>
  <threadedComment ref="D64" dT="2021-07-21T21:06:31.46" personId="{520EFA2F-D719-42E7-AB2D-BD7938520C8D}" id="{5A6241B9-85E6-4B6A-8B70-37701D3D1772}">
    <text xml:space="preserve">SE PASA PARA OTRA SEDE </text>
  </threadedComment>
  <threadedComment ref="G66" dT="2021-07-21T21:35:40.55" personId="{520EFA2F-D719-42E7-AB2D-BD7938520C8D}" id="{3DF31C22-C1D2-48E9-931B-4DF5DDD403A5}">
    <text xml:space="preserve">INGRESA A LA EMPRESA
</text>
  </threadedComment>
  <threadedComment ref="G67" dT="2021-07-21T21:25:32.03" personId="{520EFA2F-D719-42E7-AB2D-BD7938520C8D}" id="{97439F43-156B-4094-B736-001CDA4E4C37}">
    <text xml:space="preserve">INICIA COMO EXTERNA ERA INVENTARISTA </text>
  </threadedComment>
  <threadedComment ref="G68" dT="2021-07-21T21:23:53.97" personId="{520EFA2F-D719-42E7-AB2D-BD7938520C8D}" id="{B7262B6A-8D28-4397-9F00-0E682E8B4634}">
    <text xml:space="preserve">INICIA APOYO EN COLORES
</text>
  </threadedComment>
  <threadedComment ref="H68" dT="2021-07-21T21:38:30.16" personId="{520EFA2F-D719-42E7-AB2D-BD7938520C8D}" id="{CB9DF89D-2482-47CD-95F0-56B49FDB5399}">
    <text xml:space="preserve">SE PASA PARA LA SEDE DE BELLO NUEVAMENTE. 
</text>
  </threadedComment>
  <threadedComment ref="K71" dT="2021-11-15T22:31:08.49" personId="{520EFA2F-D719-42E7-AB2D-BD7938520C8D}" id="{9E4A7811-00FF-43D7-8241-DECB346DDCEE}">
    <text xml:space="preserve">INGRESO A LABORAR 
</text>
  </threadedComment>
  <threadedComment ref="E72" dT="2021-07-21T21:08:36.99" personId="{520EFA2F-D719-42E7-AB2D-BD7938520C8D}" id="{BB46EE30-2DB4-432D-ACFC-F94C8B166FAC}">
    <text xml:space="preserve">INGRESO A LA SEDE
</text>
  </threadedComment>
  <threadedComment ref="G72" dT="2021-07-21T21:29:40.98" personId="{520EFA2F-D719-42E7-AB2D-BD7938520C8D}" id="{28AB82E4-0A60-49E1-85D4-18248598CCD6}">
    <text xml:space="preserve">SALE DE PORTADA </text>
  </threadedComment>
  <threadedComment ref="B73" dT="2021-11-12T15:27:21.37" personId="{520EFA2F-D719-42E7-AB2D-BD7938520C8D}" id="{D00CAE14-E9D4-470F-ADE4-187906F1CB26}">
    <text xml:space="preserve">En el mes de mayo Se modifica a 15.000.000
</text>
  </threadedComment>
  <threadedComment ref="K74" dT="2021-11-12T17:00:09.09" personId="{520EFA2F-D719-42E7-AB2D-BD7938520C8D}" id="{4E24A460-25D6-4172-A8ED-1CBBB5EF255F}">
    <text>pasa como segunda de colores</text>
  </threadedComment>
  <threadedComment ref="I75" dT="2021-11-12T16:32:16.82" personId="{520EFA2F-D719-42E7-AB2D-BD7938520C8D}" id="{8D2385B9-7600-4585-9CC3-7B4D08EB1DD3}">
    <text xml:space="preserve">INCIA PROCESO COMO APOYO A LAS INTERNAS 
</text>
  </threadedComment>
  <threadedComment ref="E76" dT="2021-11-12T16:11:34.25" personId="{520EFA2F-D719-42E7-AB2D-BD7938520C8D}" id="{F5F986A0-6A71-4646-8105-86055CBBAEB9}">
    <text>SALE DE LA EMPRESA</text>
  </threadedComment>
  <threadedComment ref="C78" dT="2021-11-12T15:52:05.16" personId="{520EFA2F-D719-42E7-AB2D-BD7938520C8D}" id="{27835BF2-D3B0-4B31-8734-77D22A0805FA}">
    <text xml:space="preserve">EN OTRA SEDE </text>
  </threadedComment>
  <threadedComment ref="F78" dT="2021-11-12T16:07:19.01" personId="{520EFA2F-D719-42E7-AB2D-BD7938520C8D}" id="{93C779CC-078B-4F9A-9539-C0DDB835104F}">
    <text xml:space="preserve">Se envía para la sede poblado </text>
  </threadedComment>
  <threadedComment ref="L78" dT="2021-11-12T16:59:35.67" personId="{520EFA2F-D719-42E7-AB2D-BD7938520C8D}" id="{534F2675-A7C5-4782-8546-EDD1D9FD1B75}">
    <text xml:space="preserve">con negocios del poblado NO incluidos 16.750.000
</text>
  </threadedComment>
  <threadedComment ref="E79" dT="2021-11-12T15:54:42.65" personId="{520EFA2F-D719-42E7-AB2D-BD7938520C8D}" id="{FFA6A4C6-E5FB-44B0-A4EA-03293633B5BC}">
    <text xml:space="preserve">NUEVA </text>
  </threadedComment>
  <threadedComment ref="J83" dT="2021-11-12T16:33:22.54" personId="{520EFA2F-D719-42E7-AB2D-BD7938520C8D}" id="{5D07A4FE-B991-4B7E-8868-76695BCE4C0D}">
    <text xml:space="preserve">INICIA LABORES
COMO INTERNA
</text>
  </threadedComment>
  <threadedComment ref="L84" dT="2022-01-29T22:55:02.01" personId="{520EFA2F-D719-42E7-AB2D-BD7938520C8D}" id="{E8A52DBF-0F41-4F3F-8E44-5C90F46840AB}">
    <text xml:space="preserve">RENUNCIA 
</text>
  </threadedComment>
  <threadedComment ref="H92" dT="2022-08-11T02:03:22.51" personId="{520EFA2F-D719-42E7-AB2D-BD7938520C8D}" id="{01C2CE16-B8F1-43E3-924C-8D38E78D33CE}">
    <text xml:space="preserve">sale de la empresa
</text>
  </threadedComment>
  <threadedComment ref="H94" dT="2022-08-11T02:02:53.60" personId="{520EFA2F-D719-42E7-AB2D-BD7938520C8D}" id="{5D0C66E0-691A-4564-A0C7-BC4CC8087876}">
    <text xml:space="preserve">No cumple periodo de prueba </text>
  </threadedComment>
  <threadedComment ref="J95" dT="2022-09-12T14:37:10.38" personId="{520EFA2F-D719-42E7-AB2D-BD7938520C8D}" id="{83C58D21-9613-4FF7-BB59-B73F5182E3C8}">
    <text>INGRESA Y SALE EN PERIODO DE PRUEBA</text>
  </threadedComment>
  <threadedComment ref="C99" dT="2022-04-20T18:57:52.01" personId="{520EFA2F-D719-42E7-AB2D-BD7938520C8D}" id="{BFF992B8-A699-47A4-B75C-01471F31233C}">
    <text>INCAPACITADO PERO ESTUVO EN POBLADO</text>
  </threadedComment>
  <threadedComment ref="D99" dT="2022-04-20T18:57:38.26" personId="{520EFA2F-D719-42E7-AB2D-BD7938520C8D}" id="{FA4142B3-44D6-41C4-8A19-6E4110C65F39}">
    <text xml:space="preserve">INCAPACITADO </text>
  </threadedComment>
  <threadedComment ref="E99" dT="2022-04-20T18:58:13.68" personId="{520EFA2F-D719-42E7-AB2D-BD7938520C8D}" id="{3E6C5A7A-7432-4838-AD15-B8317FD4B4BB}">
    <text xml:space="preserve">INCAPACITADO </text>
  </threadedComment>
  <threadedComment ref="G100" dT="2022-06-10T21:19:22.38" personId="{520EFA2F-D719-42E7-AB2D-BD7938520C8D}" id="{F989D50A-8385-48D2-A9E2-F666BF149B3A}">
    <text>INCIA COMO INTERNA</text>
  </threadedComment>
  <threadedComment ref="I103" dT="2022-08-11T02:10:43.09" personId="{520EFA2F-D719-42E7-AB2D-BD7938520C8D}" id="{E113442A-A72D-4A43-86A5-9C065474952C}">
    <text>PASA PARA SERVICIOS P</text>
  </threadedComment>
  <threadedComment ref="J104" dT="2022-09-12T14:41:46.93" personId="{520EFA2F-D719-42E7-AB2D-BD7938520C8D}" id="{DCE9E2B7-6D2A-45FC-950B-263A699FCB43}">
    <text xml:space="preserve">INGRESA NUEVA </text>
  </threadedComment>
  <threadedComment ref="J105" dT="2022-09-12T14:42:14.64" personId="{520EFA2F-D719-42E7-AB2D-BD7938520C8D}" id="{9D2E75C8-2B3C-4CBB-8536-47E01DA8547E}">
    <text>NUEVA EN LA SEDE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5" dT="2022-06-10T21:25:19.45" personId="{520EFA2F-D719-42E7-AB2D-BD7938520C8D}" id="{F2D0B5C3-4BF1-4FB6-9E49-2D68BD2F0F75}">
    <text>INICIA EN ESTA SEDE Y TERMINA PROCESO YA QUE SE VA A REALIZAR PRACTICAS</text>
  </threadedComment>
  <threadedComment ref="H6" dT="2022-08-11T02:21:22.25" personId="{520EFA2F-D719-42E7-AB2D-BD7938520C8D}" id="{2836A9DE-416C-450A-83F4-9251BBAAF67D}">
    <text xml:space="preserve">INICIA PROCESO DE APRENDIZAJE </text>
  </threadedComment>
  <threadedComment ref="I8" dT="2022-08-11T02:19:43.88" personId="{520EFA2F-D719-42E7-AB2D-BD7938520C8D}" id="{C0AA2ED8-DD74-45A4-822B-759AE294FED3}">
    <text>9,800,000 se cambia de sede y en total realiza 20,610,000</text>
  </threadedComment>
  <threadedComment ref="J8" dT="2022-09-12T15:04:55.21" personId="{520EFA2F-D719-42E7-AB2D-BD7938520C8D}" id="{F8190EAD-BFC2-4287-A273-6643FE8ADE46}">
    <text xml:space="preserve">inicia en BELLO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7" personId="{00000000-0000-0000-0000-000000000000}" id="{A4E5DF4C-D814-46A6-9EFE-0545594DA574}">
    <text xml:space="preserve">la admon estaba en vacaciones, ademas hace falta el apoyo de otra asesora interna! </text>
  </threadedComment>
  <threadedComment ref="D18" personId="{00000000-0000-0000-0000-000000000000}" id="{848A8ACA-8EE9-4DAD-A4C6-72C9DC94E0EF}">
    <text xml:space="preserve">Ingreso de vacaciones </text>
  </threadedComment>
  <threadedComment ref="J19" dT="2019-08-02T23:18:53.91" personId="{520EFA2F-D719-42E7-AB2D-BD7938520C8D}" id="{9374B537-CEF1-4731-8569-0DB10E6D9A8B}">
    <text xml:space="preserve">TRABAJA 8 DIAS POR QUE INGRESA DE VACACIONES
</text>
  </threadedComment>
  <threadedComment ref="G25" dT="2019-05-13T22:59:38.64" personId="{520EFA2F-D719-42E7-AB2D-BD7938520C8D}" id="{F00ED406-A8EE-4301-BB64-424630C343C6}">
    <text xml:space="preserve">REALIZA APOYO EN LA SEDE DE COLORES EN LABORES DE INTERNA Y EVACUANDO TRABAJO CON ADRIANA
</text>
  </threadedComment>
  <threadedComment ref="J25" dT="2019-08-02T23:21:31.05" personId="{520EFA2F-D719-42E7-AB2D-BD7938520C8D}" id="{80283841-31D1-4DCC-BD9E-4E18038F771F}">
    <text xml:space="preserve">CERRO 4,700,00 EN LAURELES Y HACIENDO APOYO EN POBLADO CERRO 9,100,000
</text>
  </threadedComment>
  <threadedComment ref="F27" personId="{00000000-0000-0000-0000-000000000000}" id="{8EC0182A-BE2A-4DC1-A851-E4F524CFE05C}">
    <text xml:space="preserve">inicia mes en LAURELES, estaba en ENVIGADO
</text>
  </threadedComment>
  <threadedComment ref="H27" dT="2019-05-21T15:53:06.40" personId="{520EFA2F-D719-42E7-AB2D-BD7938520C8D}" id="{83F50C0B-952D-47A9-AEC7-5B6FFFA32587}">
    <text xml:space="preserve">Renuncia 
</text>
  </threadedComment>
  <threadedComment ref="I29" dT="2019-07-09T19:20:11.55" personId="{520EFA2F-D719-42E7-AB2D-BD7938520C8D}" id="{304FC5CA-11E3-479D-AFAE-5E9BD7529551}">
    <text xml:space="preserve">INICIA EL MES DE JUNIO COMO ASESORA INTERNA DE ARRENDAMIENTOS 
</text>
  </threadedComment>
  <threadedComment ref="J29" dT="2019-08-02T23:22:46.30" personId="{520EFA2F-D719-42E7-AB2D-BD7938520C8D}" id="{F40771E4-EEF6-4466-BDF6-1CCD7BD2C5D1}">
    <text xml:space="preserve">INICIA MES COMO ASESORA INTERNA, ESTABA EN CONTRATOS
</text>
  </threadedComment>
  <threadedComment ref="D33" personId="{00000000-0000-0000-0000-000000000000}" id="{29AF7FBD-55EF-4EB5-BFEB-4A9777B5AE83}">
    <text xml:space="preserve">la admon estaba en vacaciones, ademas hace falta el apoyo de otra asesora interna! </text>
  </threadedComment>
  <threadedComment ref="D34" personId="{00000000-0000-0000-0000-000000000000}" id="{AF6BCD02-CFEF-44E2-8501-A25F93BDB91A}">
    <text xml:space="preserve">Ingreso de vacaciones </text>
  </threadedComment>
  <threadedComment ref="J35" dT="2019-08-02T23:18:53.91" personId="{520EFA2F-D719-42E7-AB2D-BD7938520C8D}" id="{94D06FC1-8809-48BE-BFC6-7E8A5A3D9D5A}">
    <text xml:space="preserve">TRABAJA 8 DIAS POR QUE INGRESA DE VACACIONES
</text>
  </threadedComment>
  <threadedComment ref="G41" dT="2019-05-13T22:59:38.64" personId="{520EFA2F-D719-42E7-AB2D-BD7938520C8D}" id="{0C56AC24-093A-4265-8414-C702BED25B0E}">
    <text xml:space="preserve">REALIZA APOYO EN LA SEDE DE COLORES EN LABORES DE INTERNA Y EVACUANDO TRABAJO CON ADRIANA
</text>
  </threadedComment>
  <threadedComment ref="J41" dT="2019-08-02T23:21:31.05" personId="{520EFA2F-D719-42E7-AB2D-BD7938520C8D}" id="{C069785B-1F74-4995-BADD-2239675E15C0}">
    <text xml:space="preserve">CERRO 4,700,00 EN LAURELES Y HACIENDO APOYO EN POBLADO CERRO 9,100,000
</text>
  </threadedComment>
  <threadedComment ref="F43" personId="{00000000-0000-0000-0000-000000000000}" id="{50DB0A1F-ED2D-4ECB-A03B-847427BC3592}">
    <text xml:space="preserve">inicia mes en LAURELES, estaba en ENVIGADO
</text>
  </threadedComment>
  <threadedComment ref="H43" dT="2019-05-21T15:53:06.40" personId="{520EFA2F-D719-42E7-AB2D-BD7938520C8D}" id="{1903E2F0-C8A1-4F79-8198-335777251002}">
    <text xml:space="preserve">Renuncia 
</text>
  </threadedComment>
  <threadedComment ref="I45" dT="2019-07-09T19:20:11.55" personId="{520EFA2F-D719-42E7-AB2D-BD7938520C8D}" id="{8380E1F1-6A07-48C1-9E00-D6C04871597B}">
    <text xml:space="preserve">INICIA EL MES DE JUNIO COMO ASESORA INTERNA DE ARRENDAMIENTOS 
</text>
  </threadedComment>
  <threadedComment ref="J45" dT="2019-08-02T23:22:46.30" personId="{520EFA2F-D719-42E7-AB2D-BD7938520C8D}" id="{87EB8794-972A-4507-8DED-63CC809375C9}">
    <text xml:space="preserve">INICIA MES COMO ASESORA INTERNA, ESTABA EN CONTRATOS
</text>
  </threadedComment>
  <threadedComment ref="F49" dT="2020-06-08T21:42:30.75" personId="{520EFA2F-D719-42E7-AB2D-BD7938520C8D}" id="{3818C3B4-93F3-4C4C-AAA2-FD02475455FB}">
    <text xml:space="preserve">COVID 19  EL 20 MARZO
</text>
  </threadedComment>
  <threadedComment ref="H49" dT="2020-08-11T23:32:57.67" personId="{520EFA2F-D719-42E7-AB2D-BD7938520C8D}" id="{EB45ECC7-FC1C-429C-85E2-3BA4A3F33B33}">
    <text xml:space="preserve">LA SEDE NO REALIZO NINGUN NEGOCIO
</text>
  </threadedComment>
  <threadedComment ref="D54" dT="2020-02-05T21:07:55.96" personId="{520EFA2F-D719-42E7-AB2D-BD7938520C8D}" id="{7165F430-3A23-4884-8960-8103E470FE2D}">
    <text xml:space="preserve">NO CUMPLE SE LE ENVIA COMUNICADO POR INCUMPLIMIENTO META.
</text>
  </threadedComment>
  <threadedComment ref="L54" dT="2020-10-15T16:54:57.63" personId="{520EFA2F-D719-42E7-AB2D-BD7938520C8D}" id="{14DDD1C9-673D-42FE-B051-1D8660BF976F}">
    <text xml:space="preserve">SE PASO PARA HACER APOYO EN COLORES, SE LE SUMAN AMBAS METAS </text>
  </threadedComment>
  <threadedComment ref="I55" dT="2020-08-11T23:40:27.95" personId="{520EFA2F-D719-42E7-AB2D-BD7938520C8D}" id="{76030812-A7B6-4E84-A363-0DE57ACEA7FB}">
    <text xml:space="preserve">licencia de maternidad
</text>
  </threadedComment>
  <threadedComment ref="D56" dT="2020-02-05T21:10:44.12" personId="{520EFA2F-D719-42E7-AB2D-BD7938520C8D}" id="{FD1A0E37-ECB3-4F0E-96D6-C90E5E2A6848}">
    <text xml:space="preserve">SE LE ENVIA COMUNICADO POR CAMBIO INCUMPLIMIENTO DE SEDE
</text>
  </threadedComment>
  <threadedComment ref="I61" dT="2021-11-15T23:26:19.98" personId="{520EFA2F-D719-42E7-AB2D-BD7938520C8D}" id="{FDF3804B-D83A-4731-80EF-A16D3F32AD31}">
    <text xml:space="preserve">ADMINISTRADOR KAREN CASTRO </text>
  </threadedComment>
  <threadedComment ref="J61" dT="2021-11-15T23:26:37.14" personId="{520EFA2F-D719-42E7-AB2D-BD7938520C8D}" id="{05368F4C-590C-422E-896C-4153124F66C8}">
    <text>ADMINISTRADOR CATHERINE</text>
  </threadedComment>
  <threadedComment ref="C64" dT="2021-11-15T22:48:59.06" personId="{520EFA2F-D719-42E7-AB2D-BD7938520C8D}" id="{AD24C2F1-50B0-47AA-B0F2-BA598FB7473B}">
    <text xml:space="preserve">NUEVO
</text>
  </threadedComment>
  <threadedComment ref="C65" dT="2021-11-15T22:50:23.05" personId="{520EFA2F-D719-42E7-AB2D-BD7938520C8D}" id="{CE220B8E-0CC0-44C3-9269-A4203E7C1BC3}">
    <text xml:space="preserve">INICIA LABORES EN LAURELES TRASLADO DE SEDE 
</text>
  </threadedComment>
  <threadedComment ref="J65" dT="2021-11-15T23:22:27.12" personId="{520EFA2F-D719-42E7-AB2D-BD7938520C8D}" id="{1CD9CAAF-DC9E-48E8-9617-B728DB5CA2AD}">
    <text>SALE POR JUSTA CAUSA</text>
  </threadedComment>
  <threadedComment ref="J66" dT="2021-11-15T23:21:43.20" personId="{520EFA2F-D719-42E7-AB2D-BD7938520C8D}" id="{265175D1-3C06-4C9F-9AEC-F851D4560726}">
    <text xml:space="preserve">INGRESA COMO NUEVA EXTERNA </text>
  </threadedComment>
  <threadedComment ref="E70" dT="2021-11-15T22:54:41.48" personId="{520EFA2F-D719-42E7-AB2D-BD7938520C8D}" id="{68B69EE6-AF18-41CA-B16C-5D4BB4A72E1A}">
    <text xml:space="preserve">SALE DE LA EMPRESA </text>
  </threadedComment>
  <threadedComment ref="H71" dT="2021-11-15T23:16:09.90" personId="{520EFA2F-D719-42E7-AB2D-BD7938520C8D}" id="{1F6A8E61-3E88-4C23-9D62-D271BB7A7427}">
    <text xml:space="preserve">SE TRASLADA PARA SEDE BELLO. </text>
  </threadedComment>
  <threadedComment ref="G74" dT="2021-11-15T23:05:58.61" personId="{520EFA2F-D719-42E7-AB2D-BD7938520C8D}" id="{79C95ADF-33A4-4AD8-934C-EA4F73D4536F}">
    <text xml:space="preserve">INICIA COMO INTERNO EN LA SEDE </text>
  </threadedComment>
  <threadedComment ref="J74" dT="2021-11-15T23:29:00.59" personId="{520EFA2F-D719-42E7-AB2D-BD7938520C8D}" id="{0948252A-8CA0-4B30-A62A-FDF460F20FC5}">
    <text xml:space="preserve">SE CAMBIA DE SEDE PARA LA ESTRELLA </text>
  </threadedComment>
  <threadedComment ref="J75" dT="2021-11-15T23:33:43.67" personId="{520EFA2F-D719-42E7-AB2D-BD7938520C8D}" id="{E4FE344C-7E15-4EC3-ABAB-F0152848E40B}">
    <text xml:space="preserve">NUEVA </text>
  </threadedComment>
  <threadedComment ref="I76" dT="2021-11-15T23:17:57.81" personId="{520EFA2F-D719-42E7-AB2D-BD7938520C8D}" id="{1BCFE510-70C3-431E-BF32-83FDDF196BE0}">
    <text xml:space="preserve">NUEVA INTERNA </text>
  </threadedComment>
  <threadedComment ref="K76" dT="2021-11-15T23:29:22.25" personId="{520EFA2F-D719-42E7-AB2D-BD7938520C8D}" id="{73BFEA4A-BD8E-425F-B79A-0E1ED886754F}">
    <text>SALE ANTES DEL PERIODO DE PRUEBA</text>
  </threadedComment>
  <threadedComment ref="G80" dT="2022-01-31T14:11:51.20" personId="{520EFA2F-D719-42E7-AB2D-BD7938520C8D}" id="{A44ED935-461B-4DB9-95AE-BDC1013FF15F}">
    <text xml:space="preserve">ADMON KAREN CASTRO </text>
  </threadedComment>
  <threadedComment ref="L80" dT="2022-01-31T14:17:10.03" personId="{520EFA2F-D719-42E7-AB2D-BD7938520C8D}" id="{A15BDE8A-6F93-494D-AD86-F40C4CAC1D42}">
    <text xml:space="preserve">INICIA COMO ADMON DE SESE CATHERINE </text>
  </threadedComment>
  <threadedComment ref="N81" dT="2022-01-31T13:41:24.96" personId="{520EFA2F-D719-42E7-AB2D-BD7938520C8D}" id="{FD90451A-B876-4715-B232-E9E06B47C541}">
    <text>INGRESA DE VACACIONES E INGRESA A VENTAS</text>
  </threadedComment>
  <threadedComment ref="L83" dT="2022-01-31T13:42:43.54" personId="{520EFA2F-D719-42E7-AB2D-BD7938520C8D}" id="{181818E3-39A3-4E2A-ADB2-2A6BF6999097}">
    <text xml:space="preserve">SE PASA PARA ENVIGADO </text>
  </threadedComment>
  <threadedComment ref="J85" dT="2022-01-31T13:36:50.44" personId="{520EFA2F-D719-42E7-AB2D-BD7938520C8D}" id="{67D9E7FF-0193-49A8-82E1-6F1E2AEEFC5E}">
    <text xml:space="preserve">INICIA COMO EXTERNA 
</text>
  </threadedComment>
  <threadedComment ref="N86" dT="2022-01-31T13:42:12.90" personId="{520EFA2F-D719-42E7-AB2D-BD7938520C8D}" id="{E0976B81-0B74-4509-B7A1-42ADE29E5C0E}">
    <text>INGRESA COMO EXTERNO,ANTES DE CUMPLIR DOS MESES SALE</text>
  </threadedComment>
  <threadedComment ref="E90" dT="2022-01-31T14:07:06.83" personId="{520EFA2F-D719-42E7-AB2D-BD7938520C8D}" id="{437D3586-8D20-4B83-BE03-12605064C3F4}">
    <text xml:space="preserve">SALE DE LA EMPRESA
</text>
  </threadedComment>
  <threadedComment ref="H91" dT="2022-01-31T14:14:52.72" personId="{520EFA2F-D719-42E7-AB2D-BD7938520C8D}" id="{EA9AE12E-B068-48BD-8C14-AF498D43DE39}">
    <text>INICIA SEDE BELLO</text>
  </threadedComment>
  <threadedComment ref="G95" dT="2022-01-31T14:11:35.63" personId="{520EFA2F-D719-42E7-AB2D-BD7938520C8D}" id="{FE7FA906-9B3D-4D2B-AC57-C102C32C35F2}">
    <text xml:space="preserve">INICIA COMO INTERNO 
</text>
  </threadedComment>
  <threadedComment ref="A99" dT="2022-02-27T00:38:44.62" personId="{520EFA2F-D719-42E7-AB2D-BD7938520C8D}" id="{45BA9D7E-4FB7-4FC7-A010-2CF61FE0B79B}">
    <text>DESDE EL MES DE FEBRERO</text>
  </threadedComment>
  <threadedComment ref="A99" dT="2022-08-11T02:27:00.95" personId="{520EFA2F-D719-42E7-AB2D-BD7938520C8D}" id="{785E0659-AD86-4E47-BFA9-3006B1A60C49}" parentId="{45BA9D7E-4FB7-4FC7-A010-2CF61FE0B79B}">
    <text>LUEGO CATHERIENE Y EN JUNIO TOMA ESTEFANY EL LIDERAZGO</text>
  </threadedComment>
  <threadedComment ref="I103" dT="2022-08-11T02:32:11.16" personId="{520EFA2F-D719-42E7-AB2D-BD7938520C8D}" id="{83A5034D-ED3A-400D-8089-37AC452D03DE}">
    <text>INGRESA NUEVO A LABORARE</text>
  </threadedComment>
  <threadedComment ref="G104" dT="2022-06-28T15:25:14.70" personId="{520EFA2F-D719-42E7-AB2D-BD7938520C8D}" id="{0579848D-6DA1-40D9-AF85-79A77442F6EE}">
    <text xml:space="preserve">PASO A SER INVENTARISTA </text>
  </threadedComment>
  <threadedComment ref="D105" dT="2022-02-27T00:33:31.91" personId="{520EFA2F-D719-42E7-AB2D-BD7938520C8D}" id="{006F0039-5E7A-40F6-880E-2F51FB5AD7FC}">
    <text xml:space="preserve">INGRESO A LABORAR
</text>
  </threadedComment>
  <threadedComment ref="G106" dT="2022-06-28T15:25:47.14" personId="{520EFA2F-D719-42E7-AB2D-BD7938520C8D}" id="{578F6DB3-90DE-4D6F-8577-2F5B924E5AF0}">
    <text xml:space="preserve">NUEVA EN LA EMPRESA </text>
  </threadedComment>
  <threadedComment ref="D108" dT="2022-02-27T00:38:58.21" personId="{520EFA2F-D719-42E7-AB2D-BD7938520C8D}" id="{3377E2FF-6EF0-4931-BB4A-87EEBB72643C}">
    <text xml:space="preserve">SE PASA PARA LA SEDE D BELLO A MITAD DE MES
</text>
  </threadedComment>
  <threadedComment ref="D108" dT="2022-02-27T03:40:33.68" personId="{520EFA2F-D719-42E7-AB2D-BD7938520C8D}" id="{458E516B-9008-4757-AE77-1D6E91FBCAE0}" parentId="{3377E2FF-6EF0-4931-BB4A-87EEBB72643C}">
    <text xml:space="preserve">Y EN BELLO 12.820.000 TOTAL 26.370,000
</text>
  </threadedComment>
  <threadedComment ref="G108" dT="2022-06-13T16:54:46.02" personId="{520EFA2F-D719-42E7-AB2D-BD7938520C8D}" id="{4CC7DF1D-1A08-4C71-9FB9-A5F3AB9F152C}">
    <text>INICIA COMO ADMON</text>
  </threadedComment>
  <threadedComment ref="D110" dT="2022-02-27T00:36:04.00" personId="{520EFA2F-D719-42E7-AB2D-BD7938520C8D}" id="{17C1C4A7-373E-4D88-A331-866A8336BC4F}">
    <text>PERIODO DE PRUBA (NUEVA)</text>
  </threadedComment>
  <threadedComment ref="J111" dT="2022-09-12T16:01:42.80" personId="{520EFA2F-D719-42E7-AB2D-BD7938520C8D}" id="{905CE888-736F-4915-8AC8-F5C3BDFDAD96}">
    <text xml:space="preserve">INGRESA NUEVO </text>
  </threadedComment>
  <threadedComment ref="I112" dT="2022-08-11T15:31:40.40" personId="{520EFA2F-D719-42E7-AB2D-BD7938520C8D}" id="{B0B6AF79-888C-4EA1-AECF-9306D7863038}">
    <text xml:space="preserve">INGRESA NUEVO </text>
  </threadedComment>
  <threadedComment ref="J112" dT="2022-09-12T16:01:17.65" personId="{520EFA2F-D719-42E7-AB2D-BD7938520C8D}" id="{08431D15-4B46-4497-8029-C020B5BBE87D}">
    <text xml:space="preserve">RENUNCIA </text>
  </threadedComment>
  <threadedComment ref="D113" dT="2022-02-27T00:35:12.69" personId="{520EFA2F-D719-42E7-AB2D-BD7938520C8D}" id="{E7B29B23-9241-4F9B-9BDD-106C913A8144}">
    <text xml:space="preserve">ESTABA EN BELLO INICIA LABORES EN ESTA SEDE
</text>
  </threadedComment>
  <threadedComment ref="E113" dT="2022-04-20T19:46:26.67" personId="{520EFA2F-D719-42E7-AB2D-BD7938520C8D}" id="{B111E431-0AF4-47E2-AB9D-16788F51C1C7}">
    <text>RENUNCIA VOLUNTARIA</text>
  </threadedComment>
  <threadedComment ref="H114" dT="2022-06-28T15:26:10.51" personId="{520EFA2F-D719-42E7-AB2D-BD7938520C8D}" id="{68D97842-1EC3-4BCC-B988-861D969E2193}">
    <text xml:space="preserve">RENUNCIA VOLUNTARIA </text>
  </threadedComment>
  <threadedComment ref="H115" dT="2022-08-11T15:31:03.28" personId="{520EFA2F-D719-42E7-AB2D-BD7938520C8D}" id="{9541351D-DCDD-4544-B81D-15A0753679AB}">
    <text xml:space="preserve">TERMINA PROCESO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6" personId="{00000000-0000-0000-0000-000000000000}" id="{0EB720AE-4B54-492E-9BB4-17A823C4C493}">
    <text xml:space="preserve">EN ESTE MES INICIO EN POBLADO, EL ASESOR ERA DE OTRA SEDE
</text>
  </threadedComment>
  <threadedComment ref="L12" personId="{00000000-0000-0000-0000-000000000000}" id="{33D84A9E-EAD1-44F9-BA51-005C13E70DDE}">
    <text>ESTUVO INCAPACITADA</text>
  </threadedComment>
  <threadedComment ref="F18" personId="{00000000-0000-0000-0000-000000000000}" id="{C76019AD-E2EB-4F66-A947-ADC8315C870A}">
    <text xml:space="preserve">se cambia de SEDE para COLORES
</text>
  </threadedComment>
  <threadedComment ref="H18" dT="2019-05-21T15:56:13.42" personId="{520EFA2F-D719-42E7-AB2D-BD7938520C8D}" id="{4C93588E-633F-4286-8592-31D3952C7A66}">
    <text xml:space="preserve">Cambian sus funciones de asesor de arrendamientos para asesor de Ventas 
</text>
  </threadedComment>
  <threadedComment ref="D20" personId="{00000000-0000-0000-0000-000000000000}" id="{CF4F491A-F9AB-4A49-95DD-7EADEE3390EB}">
    <text xml:space="preserve">asesor en vacaciones </text>
  </threadedComment>
  <threadedComment ref="N20" dT="2019-12-09T17:21:49.64" personId="{520EFA2F-D719-42E7-AB2D-BD7938520C8D}" id="{6DD59D57-A04B-4BBC-8BA3-9F8C60EF0795}">
    <text xml:space="preserve">Se realiza cambio para la sede de Envigado.
</text>
  </threadedComment>
  <threadedComment ref="D21" personId="{00000000-0000-0000-0000-000000000000}" id="{B6A97DE0-3FBF-4555-956E-78E27880FFCB}">
    <text xml:space="preserve">asesor nuevo </text>
  </threadedComment>
  <threadedComment ref="G22" dT="2019-05-21T15:54:52.58" personId="{520EFA2F-D719-42E7-AB2D-BD7938520C8D}" id="{1B20937B-05FC-45C2-B34C-9EDA5C9ECE53}">
    <text xml:space="preserve">Renuncia
</text>
  </threadedComment>
  <threadedComment ref="D23" personId="{00000000-0000-0000-0000-000000000000}" id="{BAF32BD0-2010-41C5-8C14-45B981E611C8}">
    <text xml:space="preserve">ingresa de vacaciones el 31 de enero, apenas empezara su ciclo como asesor de arrendamientos. </text>
  </threadedComment>
  <threadedComment ref="F23" personId="{00000000-0000-0000-0000-000000000000}" id="{E5FF47AC-6FB8-49E6-BB9A-DB83E79DA84B}">
    <text xml:space="preserve">Se pasa para sabaneta al inicio de marzo, deja este negocio en poblado.
</text>
  </threadedComment>
  <threadedComment ref="K25" dT="2019-09-11T20:28:41.99" personId="{520EFA2F-D719-42E7-AB2D-BD7938520C8D}" id="{F20C3959-E566-4D16-8567-67A381618542}">
    <text xml:space="preserve">Se traslada como segunda sede de COLORES 
</text>
  </threadedComment>
  <threadedComment ref="D26" personId="{00000000-0000-0000-0000-000000000000}" id="{9C66033D-A7D1-44D6-A0B0-AB570B66E8EC}">
    <text xml:space="preserve">asesora  ingresa a laborar el 06 de enero </text>
  </threadedComment>
  <threadedComment ref="E26" personId="{00000000-0000-0000-0000-000000000000}" id="{20EE0D71-D59B-440A-8CB8-D3B0709B5F14}">
    <text xml:space="preserve">RECIEN CUMPLE PERIODO DE PRUEBA </text>
  </threadedComment>
  <threadedComment ref="F28" personId="{00000000-0000-0000-0000-000000000000}" id="{CE4179A0-2337-40E6-9EFB-76EC6A617EA4}">
    <text xml:space="preserve">ASESORA NUEVA. 
</text>
  </threadedComment>
  <threadedComment ref="K39" dT="2020-10-15T17:30:28.30" personId="{520EFA2F-D719-42E7-AB2D-BD7938520C8D}" id="{7A7416AA-5A22-466D-859F-62CB078F0430}">
    <text>ESTA META LA REALIZO EN COLORES</text>
  </threadedComment>
  <threadedComment ref="F44" dT="2022-01-29T23:30:20.77" personId="{520EFA2F-D719-42E7-AB2D-BD7938520C8D}" id="{C3E3155D-5607-49A5-9B01-36804CB04D55}">
    <text xml:space="preserve">INCIA EN ENVIGADO SE PASA POR RENDIMIENTO
</text>
  </threadedComment>
  <threadedComment ref="J48" dT="2022-01-29T23:34:32.51" personId="{520EFA2F-D719-42E7-AB2D-BD7938520C8D}" id="{D539160F-D780-4323-B23A-A73EE5FD5903}">
    <text xml:space="preserve">INGRESA A LABORAR
</text>
  </threadedComment>
  <threadedComment ref="L48" dT="2022-01-29T23:47:51.37" personId="{520EFA2F-D719-42E7-AB2D-BD7938520C8D}" id="{3A90B083-0CAD-43A5-ADCA-CE5BD5729E5B}">
    <text xml:space="preserve">NO PASA PERIODO DE PRUEBA 
</text>
  </threadedComment>
  <threadedComment ref="M52" dT="2022-01-29T23:40:17.01" personId="{520EFA2F-D719-42E7-AB2D-BD7938520C8D}" id="{9B37A867-D22C-472C-8680-947137E8C4E9}">
    <text xml:space="preserve">SE PASA PARA COLORES 
</text>
  </threadedComment>
  <threadedComment ref="F54" dT="2022-01-29T23:28:36.47" personId="{520EFA2F-D719-42E7-AB2D-BD7938520C8D}" id="{842C05CB-1DEC-49B1-B25E-7C37A1C06940}">
    <text>INGRESA A LABORAR</text>
  </threadedComment>
  <threadedComment ref="L55" dT="2022-01-29T23:39:04.64" personId="{520EFA2F-D719-42E7-AB2D-BD7938520C8D}" id="{3247CFF6-17F5-40C6-BC25-D31D369FEC7A}">
    <text xml:space="preserve">SE PASA DE SEDE ESTABA EN COLORES 
</text>
  </threadedComment>
  <threadedComment ref="M56" dT="2022-01-29T23:45:08.13" personId="{520EFA2F-D719-42E7-AB2D-BD7938520C8D}" id="{AEB14D19-2ADE-4247-9449-7C6EC7568804}">
    <text xml:space="preserve">SE TRASLADA DE SABANETA 
</text>
  </threadedComment>
  <threadedComment ref="A60" dT="2022-02-27T00:38:44.62" personId="{520EFA2F-D719-42E7-AB2D-BD7938520C8D}" id="{3F6C6FD3-A50B-4CD0-8AEC-DBA745ABCC76}">
    <text>DESDE EL MES DE FEBRERO</text>
  </threadedComment>
  <threadedComment ref="G60" dT="2022-08-11T02:42:30.32" personId="{520EFA2F-D719-42E7-AB2D-BD7938520C8D}" id="{62CA8785-6827-4179-A3D4-D9C56949FE72}">
    <text>catherine como lider</text>
  </threadedComment>
  <threadedComment ref="E66" dT="2022-04-20T20:00:49.18" personId="{520EFA2F-D719-42E7-AB2D-BD7938520C8D}" id="{C8C400DD-BC9D-4497-AECF-38A2739FF8E0}">
    <text>nuevo</text>
  </threadedComment>
  <threadedComment ref="H70" dT="2022-08-11T14:59:56.60" personId="{520EFA2F-D719-42E7-AB2D-BD7938520C8D}" id="{D338688F-BE0F-4EB7-B270-42BFF9F6C410}">
    <text>INICIA EN ENVIGADO</text>
  </threadedComment>
  <threadedComment ref="H72" dT="2022-08-11T14:58:50.46" personId="{520EFA2F-D719-42E7-AB2D-BD7938520C8D}" id="{7614C66E-D9B6-4A82-BBDB-E32B42038937}">
    <text>NUEVA EN LA EMPRESA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4" personId="{00000000-0000-0000-0000-000000000000}" id="{35231E35-A891-4B56-A5D3-108BCF37600F}">
    <text>INGRESA DE NUEVO A LA EMPRESA</text>
  </threadedComment>
  <threadedComment ref="F5" personId="{00000000-0000-0000-0000-000000000000}" id="{5D35281E-D732-4849-B64D-FED80419136F}">
    <text xml:space="preserve">ESTUVO EN VACACIONES
</text>
  </threadedComment>
  <threadedComment ref="D6" personId="{00000000-0000-0000-0000-000000000000}" id="{B4A3DC83-4789-4D1C-A4BA-04DDFEA258EF}">
    <text>PASO A SER ASESORA INTERNA</text>
  </threadedComment>
  <threadedComment ref="J6" personId="{00000000-0000-0000-0000-000000000000}" id="{D22743AE-1E61-4FF3-885D-74E0CC92E9F4}">
    <text xml:space="preserve">INICIA COMO EXTERNA </text>
  </threadedComment>
  <threadedComment ref="F10" personId="{00000000-0000-0000-0000-000000000000}" id="{CB7BA1CE-C68B-47F3-AA52-7E591EFA8C21}">
    <text>aoenas ingresa a laborar</text>
  </threadedComment>
  <threadedComment ref="A27" dT="2019-05-21T15:38:35.81" personId="{520EFA2F-D719-42E7-AB2D-BD7938520C8D}" id="{C57AD510-7AA7-4E9A-B155-82F6944275B2}">
    <text xml:space="preserve">por varias situaciones en la sede, asesor no da el mejor rendimiento, se realiza traslado  a la sede de sabaneta.
</text>
  </threadedComment>
  <threadedComment ref="J31" dT="2019-08-02T23:34:05.12" personId="{520EFA2F-D719-42E7-AB2D-BD7938520C8D}" id="{63411BE3-AB1F-4CE8-BF58-636DF384624E}">
    <text xml:space="preserve">ESTUVO EN VACACIONES
</text>
  </threadedComment>
  <threadedComment ref="F37" dT="2020-06-09T16:38:41.05" personId="{520EFA2F-D719-42E7-AB2D-BD7938520C8D}" id="{6912641F-C4FE-442E-94B5-B672AD7419F9}">
    <text xml:space="preserve">Inicia el COVID 19 El 20 de marzo
</text>
  </threadedComment>
  <threadedComment ref="F49" dT="2022-01-30T00:08:42.06" personId="{520EFA2F-D719-42E7-AB2D-BD7938520C8D}" id="{E0CA6B77-56DF-407A-A38C-71FF65945006}">
    <text xml:space="preserve">LO DEMAS LO CIERRA VERONICA 
</text>
  </threadedComment>
  <threadedComment ref="N49" dT="2022-01-30T00:24:38.50" personId="{520EFA2F-D719-42E7-AB2D-BD7938520C8D}" id="{FB199AB7-BAF5-45B5-8987-06305C8A7A8B}">
    <text xml:space="preserve">MAS 1700,000 DE BRAYAN </text>
  </threadedComment>
  <threadedComment ref="F52" dT="2022-01-30T00:09:30.38" personId="{520EFA2F-D719-42E7-AB2D-BD7938520C8D}" id="{34A58B44-ADF4-47CE-882A-EF82CD555908}">
    <text xml:space="preserve">SE PASA PARA VENTAS </text>
  </threadedComment>
  <threadedComment ref="I54" dT="2022-01-30T00:13:48.10" personId="{520EFA2F-D719-42E7-AB2D-BD7938520C8D}" id="{C624A2E7-CCFE-4E28-801E-165FBC8D2D65}">
    <text>INCIA LABORES EXTERNO</text>
  </threadedComment>
  <threadedComment ref="M54" dT="2022-01-30T00:22:32.69" personId="{520EFA2F-D719-42E7-AB2D-BD7938520C8D}" id="{3463F3B8-10B0-4E45-98BF-96A6988103C4}">
    <text xml:space="preserve">PASA COMO INTERNO POR EL ACCIDENTE LABORAL </text>
  </threadedComment>
  <threadedComment ref="D55" dT="2022-01-30T00:06:22.08" personId="{520EFA2F-D719-42E7-AB2D-BD7938520C8D}" id="{F7C2FFC0-C5E1-4226-A940-05AE063A821D}">
    <text>CAMBIO DE SEDE ULTIMA OPCION</text>
  </threadedComment>
  <threadedComment ref="E58" dT="2022-01-30T00:20:27.62" personId="{520EFA2F-D719-42E7-AB2D-BD7938520C8D}" id="{E981F76A-8FCF-4723-9395-D3A294F701EC}">
    <text xml:space="preserve">INICIA COMO ADMON DE LAURELES
</text>
  </threadedComment>
  <threadedComment ref="K58" dT="2022-01-30T00:20:11.42" personId="{520EFA2F-D719-42E7-AB2D-BD7938520C8D}" id="{F6564C2A-092B-4ABE-A517-0C28A746F09C}">
    <text xml:space="preserve">SOLICITA SER INTERNA 
</text>
  </threadedComment>
  <threadedComment ref="M58" dT="2022-01-30T00:23:18.20" personId="{520EFA2F-D719-42E7-AB2D-BD7938520C8D}" id="{496C8D14-97CE-419E-9B6A-983E84AC4BE2}">
    <text>SALE DE LA EMPRESA</text>
  </threadedComment>
  <threadedComment ref="F59" dT="2022-01-30T00:10:23.55" personId="{520EFA2F-D719-42E7-AB2D-BD7938520C8D}" id="{CB4F237B-8A61-429E-BEE2-AA38DD5C484B}">
    <text xml:space="preserve">RENUNCIA
</text>
  </threadedComment>
  <threadedComment ref="E60" dT="2022-01-30T00:07:47.70" personId="{520EFA2F-D719-42E7-AB2D-BD7938520C8D}" id="{2F0F0F16-3B97-403C-BD36-35248024566D}">
    <text>SE POSTULA COMO INTERNO</text>
  </threadedComment>
  <threadedComment ref="I60" dT="2022-01-30T00:16:45.92" personId="{520EFA2F-D719-42E7-AB2D-BD7938520C8D}" id="{2664D6F7-4845-47AA-9E6B-EB440AD4CBAB}">
    <text xml:space="preserve">VUELVE  A CTOS </text>
  </threadedComment>
  <threadedComment ref="A67" dT="2022-02-27T00:38:44.62" personId="{520EFA2F-D719-42E7-AB2D-BD7938520C8D}" id="{44583B51-C133-4299-985E-91C6B6AC4D37}">
    <text>DESDE EL MES DE FEBRERO</text>
  </threadedComment>
  <threadedComment ref="G69" dT="2022-06-28T15:52:54.00" personId="{520EFA2F-D719-42E7-AB2D-BD7938520C8D}" id="{F8D03260-2945-4CBF-889D-F90887653B97}">
    <text xml:space="preserve">RENUNCIA VOLUNTARIA </text>
  </threadedComment>
  <threadedComment ref="E72" dT="2022-04-20T20:12:16.26" personId="{520EFA2F-D719-42E7-AB2D-BD7938520C8D}" id="{2F2AACEE-C392-4107-B50C-6932CBA9B3E0}">
    <text xml:space="preserve">INICIA COMO EXTERNA ERA INVENTARISTA </text>
  </threadedComment>
  <threadedComment ref="H72" dT="2022-06-28T15:53:26.05" personId="{520EFA2F-D719-42E7-AB2D-BD7938520C8D}" id="{818BF90A-DDEE-4D44-8B29-08BA04107325}">
    <text xml:space="preserve">RENUNCIA VOLUNTARIA </text>
  </threadedComment>
  <threadedComment ref="D77" dT="2022-02-27T02:08:04.70" personId="{520EFA2F-D719-42E7-AB2D-BD7938520C8D}" id="{C8E2A7F0-A789-4E56-A452-57774F316B7F}">
    <text>ingresa de Nuevo a la Empresa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H2" dT="2019-06-25T15:49:54.42" personId="{520EFA2F-D719-42E7-AB2D-BD7938520C8D}" id="{BEB3B734-0A0E-4818-8A75-297D5207B8A4}">
    <text xml:space="preserve">se separan sedes y personal como tal, para trabajar por zonas
</text>
  </threadedComment>
  <threadedComment ref="D5" personId="{00000000-0000-0000-0000-000000000000}" id="{ABC5EBDE-39F2-4C34-95A3-06166DC9B48B}">
    <text xml:space="preserve">asesora nueva, en el departamento de arriendos, era captadora de Ventas.
</text>
  </threadedComment>
  <threadedComment ref="J5" dT="2019-08-02T23:39:14.88" personId="{520EFA2F-D719-42E7-AB2D-BD7938520C8D}" id="{10FFE1A6-B242-4178-B791-B2A9F563F560}">
    <text xml:space="preserve">Renuncio por que cumplio su ciclo
</text>
  </threadedComment>
  <threadedComment ref="D7" personId="{00000000-0000-0000-0000-000000000000}" id="{BE4B0B33-4406-4AA0-B8E6-A47101B21FD9}">
    <text xml:space="preserve">ingresa de vacaciones el 31 de enero, apenas empezara su ciclo como asesor de arrendamientos. </text>
  </threadedComment>
  <threadedComment ref="F7" personId="{00000000-0000-0000-0000-000000000000}" id="{120D1E55-7290-474D-90E3-B471BD6FE4C6}">
    <text xml:space="preserve">Se pasa para sabaneta al inicio de marzo, deja este negocio en poblado.
</text>
  </threadedComment>
  <threadedComment ref="G8" dT="2019-06-25T16:05:04.98" personId="{520EFA2F-D719-42E7-AB2D-BD7938520C8D}" id="{76E0B752-72F6-4CCE-83AD-4F0E19B8F3D1}">
    <text xml:space="preserve">comienza a laborar 
</text>
  </threadedComment>
  <threadedComment ref="H12" dT="2019-06-25T16:08:44.73" personId="{520EFA2F-D719-42E7-AB2D-BD7938520C8D}" id="{B17AB7BF-03A9-4D2E-8546-3FEEF8CBB77B}">
    <text xml:space="preserve">RENUNCIA 
</text>
  </threadedComment>
  <threadedComment ref="G13" dT="2019-05-21T15:42:39.92" personId="{520EFA2F-D719-42E7-AB2D-BD7938520C8D}" id="{1533BD32-088C-447B-AD13-9FD542035E5D}">
    <text xml:space="preserve">se realiza cambio de Sede para hacer apoyo en Sabaneta 
</text>
  </threadedComment>
  <threadedComment ref="D19" dT="2020-02-07T16:01:10.54" personId="{520EFA2F-D719-42E7-AB2D-BD7938520C8D}" id="{6FE915E8-979D-49D7-A023-DD30BB6F5098}">
    <text xml:space="preserve">Se le envia comunicado por incumplimiento meta 
</text>
  </threadedComment>
  <threadedComment ref="D20" dT="2020-02-07T16:01:30.93" personId="{520EFA2F-D719-42E7-AB2D-BD7938520C8D}" id="{F5FBB20B-B6C8-4216-880C-D21619D5ABCE}">
    <text xml:space="preserve">se le envia comunicado por incumplimiento de meta 
</text>
  </threadedComment>
  <threadedComment ref="E27" dT="2020-06-09T19:46:20.38" personId="{520EFA2F-D719-42E7-AB2D-BD7938520C8D}" id="{AD2A939A-0D47-487F-A897-B4911BB03BFC}">
    <text xml:space="preserve">trabajo hasta Enero
</text>
  </threadedComment>
  <threadedComment ref="G33" dT="2022-06-28T16:40:36.71" personId="{520EFA2F-D719-42E7-AB2D-BD7938520C8D}" id="{29F20F95-B31D-4E62-A4EA-DCDFE6281655}">
    <text>RENUNCIA VOLUNTARIA</text>
  </threadedComment>
  <threadedComment ref="D35" dT="2022-02-27T03:27:08.36" personId="{520EFA2F-D719-42E7-AB2D-BD7938520C8D}" id="{E1E4256C-C0E9-40E9-9B07-76CD5F952DD0}">
    <text>RENUCIA</text>
  </threadedComment>
  <threadedComment ref="H39" dT="2022-08-11T03:13:02.51" personId="{520EFA2F-D719-42E7-AB2D-BD7938520C8D}" id="{1B3E7F4A-1954-4DCE-926B-B7854B689710}">
    <text>NUEVO EN LA EMPRESA</text>
  </threadedComment>
  <threadedComment ref="E42" dT="2022-04-20T20:26:54.09" personId="{520EFA2F-D719-42E7-AB2D-BD7938520C8D}" id="{E04027B0-8D4E-4875-ADCE-41FE664DC2D1}">
    <text>NUEVO</text>
  </threadedComment>
  <threadedComment ref="D44" dT="2022-02-27T03:31:17.05" personId="{520EFA2F-D719-42E7-AB2D-BD7938520C8D}" id="{1361F225-BF06-4A09-A5B8-0D27592555AD}">
    <text xml:space="preserve">RENUNCIO
</text>
  </threadedComment>
  <threadedComment ref="F47" dT="2022-06-28T16:40:23.31" personId="{520EFA2F-D719-42E7-AB2D-BD7938520C8D}" id="{4AF7BF53-50FF-4DDB-9FF3-54ACB3601B0E}">
    <text xml:space="preserve">INICIA COMO INTERNA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10" personId="{00000000-0000-0000-0000-000000000000}" id="{9C165A4E-2CBC-4F13-99E9-1FEC51473052}">
    <text xml:space="preserve">LOS DEMAS NEGOCIOS LOS CERRO BIVIANA </text>
  </threadedComment>
  <threadedComment ref="D16" personId="{00000000-0000-0000-0000-000000000000}" id="{74295900-3BBC-40D2-8C12-48F36D46D03A}">
    <text xml:space="preserve">se encontraba en vacaciones 
</text>
  </threadedComment>
  <threadedComment ref="G18" dT="2019-05-21T15:36:18.10" personId="{520EFA2F-D719-42E7-AB2D-BD7938520C8D}" id="{F3223264-131A-410F-85FE-6BCBEB5D55FA}">
    <text xml:space="preserve">asesor Renuncia 
</text>
  </threadedComment>
  <threadedComment ref="F28" dT="2020-06-09T17:49:04.08" personId="{520EFA2F-D719-42E7-AB2D-BD7938520C8D}" id="{BEF86583-8700-46D5-9628-D35F492DCCAF}">
    <text xml:space="preserve">INCIO DEL COVID
</text>
  </threadedComment>
  <threadedComment ref="D36" dT="2020-02-07T14:54:42.49" personId="{520EFA2F-D719-42E7-AB2D-BD7938520C8D}" id="{790F3513-B229-4A82-BBB9-CDE164112FDA}">
    <text xml:space="preserve">NUEVA EN LA EMPRESA
</text>
  </threadedComment>
  <threadedComment ref="F40" dT="2022-01-31T01:43:47.49" personId="{520EFA2F-D719-42E7-AB2D-BD7938520C8D}" id="{1779DFD7-6F4A-4801-887D-FB657A39B336}">
    <text xml:space="preserve">LO QUE NO SUMA EN LOS INTERNOS LO CIERRA BIVIANA </text>
  </threadedComment>
  <threadedComment ref="F43" dT="2022-01-31T01:42:55.17" personId="{520EFA2F-D719-42E7-AB2D-BD7938520C8D}" id="{20159F7E-0F7C-4ADC-9F87-0E3F847169DF}">
    <text xml:space="preserve">SALE POR INCUMPLIMIENTO DE META
</text>
  </threadedComment>
  <threadedComment ref="I45" dT="2022-01-31T01:47:53.89" personId="{520EFA2F-D719-42E7-AB2D-BD7938520C8D}" id="{EA1DB8D3-9FEA-417B-9DA1-CDF9CB2CC153}">
    <text xml:space="preserve">RETOMA LABORLES DE NUEVO
</text>
  </threadedComment>
  <threadedComment ref="K52" dT="2022-01-31T01:54:04.88" personId="{520EFA2F-D719-42E7-AB2D-BD7938520C8D}" id="{65831863-4A22-47E6-A347-0B17DBBCF50B}">
    <text xml:space="preserve">INICIA COMO INTERNA
</text>
  </threadedComment>
  <threadedComment ref="M52" dT="2022-01-31T01:57:52.12" personId="{520EFA2F-D719-42E7-AB2D-BD7938520C8D}" id="{84E45782-C4A6-470B-BFA1-A279FE31894F}">
    <text xml:space="preserve">INICIA COMO ADMON DE SEDE ESTRELLA
</text>
  </threadedComment>
  <threadedComment ref="M53" dT="2022-01-31T02:00:21.14" personId="{520EFA2F-D719-42E7-AB2D-BD7938520C8D}" id="{C5E2F0C6-92FC-480E-8992-3E621323A770}">
    <text>INICIA COM O INTERNA ESTABA EN MANTENIMIENTOS.</text>
  </threadedComment>
  <threadedComment ref="A57" dT="2022-02-27T00:38:44.62" personId="{520EFA2F-D719-42E7-AB2D-BD7938520C8D}" id="{6606EDB5-E7DD-4E9A-B7D7-FD78F790CAAF}">
    <text>DESDE EL MES DE FEBRERO</text>
  </threadedComment>
  <threadedComment ref="I62" dT="2022-08-11T03:01:37.55" personId="{520EFA2F-D719-42E7-AB2D-BD7938520C8D}" id="{5B1C3588-5E3E-40CE-8F09-D2BB90B5220D}">
    <text>INICIA EN ENVIGAGO</text>
  </threadedComment>
  <threadedComment ref="H63" dT="2022-08-11T02:57:14.26" personId="{520EFA2F-D719-42E7-AB2D-BD7938520C8D}" id="{CF830CCC-2A2D-4126-AD3E-4EF283B6684F}">
    <text xml:space="preserve">pasa hacer coordinador </text>
  </threadedComment>
  <threadedComment ref="G66" dT="2022-06-28T15:55:20.39" personId="{520EFA2F-D719-42E7-AB2D-BD7938520C8D}" id="{45077A5E-7BAA-4EE6-8C33-8ED9EACFD25D}">
    <text xml:space="preserve">sede POBALDO 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34" personId="{00000000-0000-0000-0000-000000000000}" id="{F633C613-FFCE-47E3-8CFA-06E044FFF133}">
    <text>Estuvo en vacaciones</text>
  </threadedComment>
  <threadedComment ref="C35" personId="{00000000-0000-0000-0000-000000000000}" id="{308B7005-6E63-4CE0-B85C-5218E93E1291}">
    <text xml:space="preserve">Ingreso de vacaciones a mitad de mes </text>
  </threadedComment>
  <threadedComment ref="C37" personId="{00000000-0000-0000-0000-000000000000}" id="{476C6433-E8BC-4A4B-B141-A7A272300871}">
    <text>asesor con dos meses en la empresa</text>
  </threadedComment>
  <threadedComment ref="C39" personId="{00000000-0000-0000-0000-000000000000}" id="{F9364F72-DF10-4738-934F-296E6B345730}">
    <text xml:space="preserve">asesor en vacaciones </text>
  </threadedComment>
  <threadedComment ref="C40" personId="{00000000-0000-0000-0000-000000000000}" id="{A608788D-B43B-45E9-B51D-CF1F4F182F8A}">
    <text xml:space="preserve">asesor nuevo (1 mes) </text>
  </threadedComment>
  <threadedComment ref="C41" personId="{00000000-0000-0000-0000-000000000000}" id="{599C29D6-F241-4FC4-A38D-8CAB2A649DBE}">
    <text xml:space="preserve">asesora nueva, en el departamento de arriendos, era captadora de Ventas.
</text>
  </threadedComment>
  <threadedComment ref="C46" personId="{00000000-0000-0000-0000-000000000000}" id="{3584ADB4-B59B-4136-A281-E31204553B85}">
    <text xml:space="preserve">se encontraba en vacaciones 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4" personId="{00000000-0000-0000-0000-000000000000}" id="{EA80F261-552A-4FD4-A7E8-CB3FBEC5C09B}">
    <text xml:space="preserve">ya no labora
</text>
  </threadedComment>
  <threadedComment ref="F4" personId="{00000000-0000-0000-0000-000000000000}" id="{9DB7B989-2872-4563-8A16-DE765B5ECCEA}">
    <text xml:space="preserve">no labora 
</text>
  </threadedComment>
  <threadedComment ref="F6" personId="{00000000-0000-0000-0000-000000000000}" id="{047CB457-951C-4A64-93A6-1AA30AACA0E5}">
    <text xml:space="preserve">ya no labora en el departamento se encuentra en archivo
</text>
  </threadedComment>
  <threadedComment ref="C18" personId="{00000000-0000-0000-0000-000000000000}" id="{93242590-2A8D-46CC-85C0-DEE8DE2752E2}">
    <text xml:space="preserve">ASESORA NUEVA ESTA EN PERIODO DE PRUEBA </text>
  </threadedComment>
  <threadedComment ref="C19" personId="{00000000-0000-0000-0000-000000000000}" id="{8149228B-7F1B-42DA-9E86-1F5087A1FDD0}">
    <text>estuvo en vacaciones  de igual forma Se le llama la atencion, ya tiene mucha antigueda</text>
  </threadedComment>
  <threadedComment ref="C20" personId="{00000000-0000-0000-0000-000000000000}" id="{87FDEFF4-9A9B-41F5-96EB-F0B605DF15E3}">
    <text xml:space="preserve">SE ENCONTRABA EN VACACIONES 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G4" dT="2022-08-11T16:33:34.75" personId="{520EFA2F-D719-42E7-AB2D-BD7938520C8D}" id="{B20B1051-6191-499B-A282-FEB4D0C2D4EF}">
    <text>RENUNCIA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C41" dT="2020-06-09T18:13:23.63" personId="{520EFA2F-D719-42E7-AB2D-BD7938520C8D}" id="{5CC3BC84-C857-4EB6-B30E-034FA69516BA}">
    <text xml:space="preserve">FABER ADMON
</text>
  </threadedComment>
  <threadedComment ref="B43" dT="2020-06-09T17:55:38.99" personId="{520EFA2F-D719-42E7-AB2D-BD7938520C8D}" id="{5952B6EF-4DFB-4021-8873-983944488A03}">
    <text xml:space="preserve">inicio del COVID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5"/>
  <sheetViews>
    <sheetView tabSelected="1" topLeftCell="A13" workbookViewId="0">
      <selection activeCell="K71" sqref="K71"/>
    </sheetView>
  </sheetViews>
  <sheetFormatPr baseColWidth="10" defaultColWidth="14.44140625" defaultRowHeight="15.75" customHeight="1" x14ac:dyDescent="0.25"/>
  <cols>
    <col min="1" max="1" width="28.44140625" customWidth="1"/>
    <col min="2" max="2" width="18.44140625" customWidth="1"/>
    <col min="3" max="3" width="14.109375" customWidth="1"/>
    <col min="4" max="4" width="11.33203125" customWidth="1"/>
    <col min="5" max="5" width="11.5546875" customWidth="1"/>
    <col min="6" max="6" width="13.109375" customWidth="1"/>
    <col min="7" max="7" width="13" customWidth="1"/>
    <col min="8" max="8" width="11.88671875" bestFit="1" customWidth="1"/>
    <col min="9" max="9" width="12" bestFit="1" customWidth="1"/>
    <col min="10" max="11" width="16" customWidth="1"/>
    <col min="12" max="12" width="14.88671875" customWidth="1"/>
    <col min="13" max="13" width="15.109375" customWidth="1"/>
    <col min="14" max="14" width="14.88671875" customWidth="1"/>
    <col min="15" max="15" width="18.33203125" bestFit="1" customWidth="1"/>
    <col min="16" max="16" width="19" customWidth="1"/>
    <col min="17" max="17" width="19.33203125" customWidth="1"/>
  </cols>
  <sheetData>
    <row r="1" spans="1:14" ht="36.75" customHeight="1" x14ac:dyDescent="0.75">
      <c r="A1" s="1">
        <v>2018</v>
      </c>
    </row>
    <row r="2" spans="1:14" ht="24" customHeight="1" x14ac:dyDescent="0.5">
      <c r="A2" s="3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</row>
    <row r="3" spans="1:14" ht="13.2" x14ac:dyDescent="0.25">
      <c r="A3" s="8" t="s">
        <v>14</v>
      </c>
      <c r="B3" s="9">
        <v>47160000</v>
      </c>
      <c r="C3" s="10">
        <v>30270000</v>
      </c>
      <c r="D3" s="10">
        <v>37350000</v>
      </c>
      <c r="E3" s="11">
        <v>41115000</v>
      </c>
      <c r="F3" s="11">
        <v>31990000</v>
      </c>
      <c r="G3" s="11">
        <v>31370000</v>
      </c>
      <c r="H3" s="11">
        <v>42050000</v>
      </c>
      <c r="I3" s="11">
        <v>41580000</v>
      </c>
      <c r="J3" s="11">
        <v>28950000</v>
      </c>
      <c r="K3" s="11">
        <v>45972040</v>
      </c>
      <c r="L3" s="11">
        <v>53860000</v>
      </c>
      <c r="M3" s="11">
        <v>24250000</v>
      </c>
      <c r="N3" s="14">
        <f t="shared" ref="N3:N7" si="0">SUM(B3:M3)</f>
        <v>455917040</v>
      </c>
    </row>
    <row r="4" spans="1:14" ht="13.8" x14ac:dyDescent="0.25">
      <c r="A4" s="15" t="s">
        <v>15</v>
      </c>
      <c r="B4" s="17">
        <v>14010000</v>
      </c>
      <c r="C4" s="117">
        <v>12090000</v>
      </c>
      <c r="D4" s="117">
        <v>12600000</v>
      </c>
      <c r="E4" s="117">
        <v>18495000</v>
      </c>
      <c r="F4" s="117">
        <v>11070000</v>
      </c>
      <c r="G4" s="117">
        <v>9590000</v>
      </c>
      <c r="H4" s="117">
        <v>14300000</v>
      </c>
      <c r="I4" s="117">
        <v>14610000</v>
      </c>
      <c r="J4" s="117">
        <v>6400000</v>
      </c>
      <c r="K4" s="118">
        <v>9270000</v>
      </c>
      <c r="L4" s="117">
        <v>11050000</v>
      </c>
      <c r="M4" s="117">
        <v>9920000</v>
      </c>
      <c r="N4" s="21">
        <f t="shared" si="0"/>
        <v>143405000</v>
      </c>
    </row>
    <row r="5" spans="1:14" ht="13.8" x14ac:dyDescent="0.25">
      <c r="A5" s="15" t="s">
        <v>16</v>
      </c>
      <c r="B5" s="23">
        <v>9120000</v>
      </c>
      <c r="C5" s="25">
        <v>5400000</v>
      </c>
      <c r="D5" s="119">
        <v>13650000</v>
      </c>
      <c r="E5" s="119">
        <v>10110000</v>
      </c>
      <c r="F5" s="119">
        <v>9270000</v>
      </c>
      <c r="G5" s="119">
        <v>12700000</v>
      </c>
      <c r="H5" s="119">
        <v>16150000</v>
      </c>
      <c r="I5" s="119">
        <v>15150000</v>
      </c>
      <c r="J5" s="119">
        <v>5590000</v>
      </c>
      <c r="K5" s="119">
        <v>11730000</v>
      </c>
      <c r="L5" s="119">
        <v>18730000</v>
      </c>
      <c r="M5" s="119">
        <v>5850000</v>
      </c>
      <c r="N5" s="21">
        <f t="shared" si="0"/>
        <v>133450000</v>
      </c>
    </row>
    <row r="6" spans="1:14" ht="13.8" x14ac:dyDescent="0.25">
      <c r="A6" s="15" t="s">
        <v>17</v>
      </c>
      <c r="B6" s="28">
        <v>14030000</v>
      </c>
      <c r="C6" s="119">
        <v>7210000</v>
      </c>
      <c r="D6" s="119">
        <v>8600000</v>
      </c>
      <c r="E6" s="119">
        <v>10500000</v>
      </c>
      <c r="F6" s="119">
        <v>11650000</v>
      </c>
      <c r="G6" s="119">
        <v>7480000</v>
      </c>
      <c r="H6" s="119">
        <v>10800000</v>
      </c>
      <c r="I6" s="119">
        <v>10870000</v>
      </c>
      <c r="J6" s="119">
        <v>986143</v>
      </c>
      <c r="K6" s="119">
        <v>15322040</v>
      </c>
      <c r="L6" s="119">
        <v>9330000</v>
      </c>
      <c r="M6" s="119">
        <v>4750000</v>
      </c>
      <c r="N6" s="21">
        <f t="shared" si="0"/>
        <v>111528183</v>
      </c>
    </row>
    <row r="7" spans="1:14" ht="13.2" x14ac:dyDescent="0.25">
      <c r="A7" s="15" t="s">
        <v>18</v>
      </c>
      <c r="B7" s="21">
        <v>0</v>
      </c>
      <c r="C7" s="15">
        <v>0</v>
      </c>
      <c r="D7" s="15">
        <v>0</v>
      </c>
      <c r="E7" s="15">
        <v>0</v>
      </c>
      <c r="F7" s="15"/>
      <c r="G7" s="15">
        <v>0</v>
      </c>
      <c r="H7" s="15"/>
      <c r="I7" s="120">
        <v>950000</v>
      </c>
      <c r="J7" s="117">
        <v>7100000</v>
      </c>
      <c r="K7" s="117">
        <v>9650000</v>
      </c>
      <c r="L7" s="117">
        <v>14750000</v>
      </c>
      <c r="M7" s="117">
        <v>3750000</v>
      </c>
      <c r="N7" s="21">
        <f t="shared" si="0"/>
        <v>36200000</v>
      </c>
    </row>
    <row r="8" spans="1:14" ht="13.2" x14ac:dyDescent="0.25">
      <c r="A8" s="15" t="s">
        <v>19</v>
      </c>
      <c r="B8" s="30">
        <v>5350000</v>
      </c>
      <c r="C8" s="15"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21">
        <f>N4+N5+N6+N7</f>
        <v>424583183</v>
      </c>
    </row>
    <row r="9" spans="1:14" ht="13.2" x14ac:dyDescent="0.25">
      <c r="A9" s="15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121"/>
    </row>
    <row r="10" spans="1:14" ht="13.2" x14ac:dyDescent="0.25">
      <c r="A10" s="48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3"/>
    </row>
    <row r="11" spans="1:14" ht="13.2" x14ac:dyDescent="0.25">
      <c r="A11" s="8" t="s">
        <v>20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5"/>
    </row>
    <row r="12" spans="1:14" ht="15" x14ac:dyDescent="0.25">
      <c r="A12" s="318" t="s">
        <v>21</v>
      </c>
      <c r="B12" s="39">
        <v>33360000</v>
      </c>
      <c r="C12" s="43" t="s">
        <v>22</v>
      </c>
      <c r="D12" s="45">
        <v>15650000</v>
      </c>
      <c r="E12" s="45">
        <v>15660000</v>
      </c>
      <c r="F12" s="45">
        <v>18620000</v>
      </c>
      <c r="G12" s="45">
        <v>13590000</v>
      </c>
      <c r="H12" s="45">
        <v>14700000</v>
      </c>
      <c r="I12" s="45">
        <v>8150000</v>
      </c>
      <c r="J12" s="45">
        <v>10850000</v>
      </c>
      <c r="K12" s="126">
        <v>15780000</v>
      </c>
      <c r="L12" s="45">
        <v>16630000</v>
      </c>
      <c r="M12" s="45">
        <v>8800000</v>
      </c>
      <c r="N12" s="119">
        <f t="shared" ref="N12:N14" si="1">SUM(B12:M12)</f>
        <v>171790000</v>
      </c>
    </row>
    <row r="13" spans="1:14" ht="15" x14ac:dyDescent="0.25">
      <c r="A13" s="318" t="s">
        <v>23</v>
      </c>
      <c r="B13" s="39">
        <v>13270000</v>
      </c>
      <c r="C13" s="45">
        <v>19805000</v>
      </c>
      <c r="D13" s="45">
        <v>4950000</v>
      </c>
      <c r="E13" s="45">
        <v>14115000</v>
      </c>
      <c r="F13" s="45">
        <v>5820000</v>
      </c>
      <c r="G13" s="45">
        <v>3350000</v>
      </c>
      <c r="H13" s="45">
        <v>16550000</v>
      </c>
      <c r="I13" s="45">
        <v>13280000</v>
      </c>
      <c r="J13" s="45">
        <v>13750000</v>
      </c>
      <c r="K13" s="45">
        <v>15292000</v>
      </c>
      <c r="L13" s="45">
        <v>22180000</v>
      </c>
      <c r="M13" s="45">
        <v>7080000</v>
      </c>
      <c r="N13" s="119">
        <f t="shared" si="1"/>
        <v>149442000</v>
      </c>
    </row>
    <row r="14" spans="1:14" ht="13.8" x14ac:dyDescent="0.25">
      <c r="A14" s="318" t="s">
        <v>24</v>
      </c>
      <c r="B14" s="120">
        <v>0</v>
      </c>
      <c r="C14" s="43">
        <v>0</v>
      </c>
      <c r="D14" s="127">
        <v>0</v>
      </c>
      <c r="E14" s="45">
        <v>0</v>
      </c>
      <c r="F14" s="45">
        <v>0</v>
      </c>
      <c r="G14" s="46">
        <v>0</v>
      </c>
      <c r="H14" s="46">
        <v>0</v>
      </c>
      <c r="I14" s="46">
        <v>0</v>
      </c>
      <c r="J14" s="45">
        <v>4350000</v>
      </c>
      <c r="K14" s="45">
        <v>14900000</v>
      </c>
      <c r="L14" s="45">
        <v>15050000</v>
      </c>
      <c r="M14" s="45">
        <v>8370000</v>
      </c>
      <c r="N14" s="119">
        <f t="shared" si="1"/>
        <v>42670000</v>
      </c>
    </row>
    <row r="15" spans="1:14" ht="13.2" x14ac:dyDescent="0.25">
      <c r="B15" s="49"/>
    </row>
    <row r="16" spans="1:14" ht="36" customHeight="1" x14ac:dyDescent="0.85">
      <c r="A16" s="202">
        <v>2019</v>
      </c>
    </row>
    <row r="17" spans="1:16" ht="24" customHeight="1" x14ac:dyDescent="0.5">
      <c r="A17" s="368" t="s">
        <v>0</v>
      </c>
      <c r="B17" s="369" t="s">
        <v>25</v>
      </c>
      <c r="C17" s="370" t="s">
        <v>1</v>
      </c>
      <c r="D17" s="370" t="s">
        <v>2</v>
      </c>
      <c r="E17" s="370" t="s">
        <v>3</v>
      </c>
      <c r="F17" s="370" t="s">
        <v>4</v>
      </c>
      <c r="G17" s="370" t="s">
        <v>5</v>
      </c>
      <c r="H17" s="370" t="s">
        <v>6</v>
      </c>
      <c r="I17" s="370" t="s">
        <v>7</v>
      </c>
      <c r="J17" s="370" t="s">
        <v>8</v>
      </c>
      <c r="K17" s="370" t="s">
        <v>9</v>
      </c>
      <c r="L17" s="370" t="s">
        <v>10</v>
      </c>
      <c r="M17" s="370" t="s">
        <v>11</v>
      </c>
      <c r="N17" s="370" t="s">
        <v>12</v>
      </c>
      <c r="O17" s="371" t="s">
        <v>13</v>
      </c>
    </row>
    <row r="18" spans="1:16" ht="13.2" x14ac:dyDescent="0.25">
      <c r="A18" s="8" t="s">
        <v>26</v>
      </c>
      <c r="B18" s="44">
        <v>47500000</v>
      </c>
      <c r="C18" s="128">
        <v>64310000</v>
      </c>
      <c r="D18" s="128">
        <v>49440000</v>
      </c>
      <c r="E18" s="41">
        <v>45770000</v>
      </c>
      <c r="F18" s="64">
        <v>40950000</v>
      </c>
      <c r="G18" s="137" t="s">
        <v>27</v>
      </c>
      <c r="H18" s="41">
        <v>35610000</v>
      </c>
      <c r="I18" s="128">
        <v>69320000</v>
      </c>
      <c r="J18" s="41">
        <v>36694680</v>
      </c>
      <c r="K18" s="21">
        <v>49830000</v>
      </c>
      <c r="L18" s="201">
        <v>51500000</v>
      </c>
      <c r="M18" s="21">
        <v>33750000</v>
      </c>
      <c r="N18" s="294">
        <v>35310000</v>
      </c>
      <c r="O18" s="489">
        <f t="shared" ref="O18:O23" si="2">SUM(C18:N18)</f>
        <v>512484680</v>
      </c>
    </row>
    <row r="19" spans="1:16" ht="13.2" x14ac:dyDescent="0.25">
      <c r="A19" s="15" t="s">
        <v>15</v>
      </c>
      <c r="B19" s="44">
        <v>13333333</v>
      </c>
      <c r="C19" s="21">
        <v>17140000</v>
      </c>
      <c r="D19" s="41">
        <v>12650000</v>
      </c>
      <c r="E19" s="41">
        <v>8130000</v>
      </c>
      <c r="F19" s="64">
        <v>9500000</v>
      </c>
      <c r="G19" s="88" t="s">
        <v>28</v>
      </c>
      <c r="H19" s="277">
        <v>7120000</v>
      </c>
      <c r="I19" s="21">
        <v>21130000</v>
      </c>
      <c r="J19" s="41">
        <v>5200000</v>
      </c>
      <c r="K19" s="21">
        <v>11600000</v>
      </c>
      <c r="L19" s="21">
        <v>11350000</v>
      </c>
      <c r="M19" s="21">
        <v>10300000</v>
      </c>
      <c r="N19" s="294">
        <v>5200000</v>
      </c>
      <c r="O19" s="331">
        <f t="shared" si="2"/>
        <v>119320000</v>
      </c>
    </row>
    <row r="20" spans="1:16" ht="13.2" x14ac:dyDescent="0.25">
      <c r="A20" s="15" t="s">
        <v>16</v>
      </c>
      <c r="B20" s="44">
        <v>12500000</v>
      </c>
      <c r="C20" s="41">
        <v>6830000</v>
      </c>
      <c r="D20" s="41">
        <v>8500000</v>
      </c>
      <c r="E20" s="41">
        <v>6370000</v>
      </c>
      <c r="F20" s="64">
        <v>12480000</v>
      </c>
      <c r="G20" s="231" t="s">
        <v>29</v>
      </c>
      <c r="H20" s="41">
        <v>9470000</v>
      </c>
      <c r="I20" s="21">
        <v>16290000</v>
      </c>
      <c r="J20" s="21">
        <v>15999680</v>
      </c>
      <c r="K20" s="21">
        <v>9850000</v>
      </c>
      <c r="L20" s="21">
        <v>11000000</v>
      </c>
      <c r="M20" s="21">
        <v>5950000</v>
      </c>
      <c r="N20" s="294">
        <v>4930000</v>
      </c>
      <c r="O20" s="331">
        <f t="shared" si="2"/>
        <v>107669680</v>
      </c>
    </row>
    <row r="21" spans="1:16" ht="13.2" x14ac:dyDescent="0.25">
      <c r="A21" s="15" t="s">
        <v>17</v>
      </c>
      <c r="B21" s="129" t="s">
        <v>30</v>
      </c>
      <c r="C21" s="21">
        <v>20500000</v>
      </c>
      <c r="D21" s="41">
        <v>8940000</v>
      </c>
      <c r="E21" s="21">
        <v>16060000</v>
      </c>
      <c r="F21" s="64">
        <v>6350000</v>
      </c>
      <c r="G21" s="88" t="s">
        <v>31</v>
      </c>
      <c r="H21" s="41">
        <v>10000000</v>
      </c>
      <c r="I21" s="21">
        <v>11050000</v>
      </c>
      <c r="J21" s="41">
        <v>8645000</v>
      </c>
      <c r="K21" s="21">
        <v>11200000</v>
      </c>
      <c r="L21" s="21">
        <v>11080000</v>
      </c>
      <c r="M21" s="21">
        <v>3350000</v>
      </c>
      <c r="N21" s="294">
        <v>4680000</v>
      </c>
      <c r="O21" s="331">
        <f t="shared" si="2"/>
        <v>111855000</v>
      </c>
    </row>
    <row r="22" spans="1:16" ht="13.2" x14ac:dyDescent="0.25">
      <c r="A22" s="15" t="s">
        <v>18</v>
      </c>
      <c r="B22" s="130" t="s">
        <v>30</v>
      </c>
      <c r="C22" s="21">
        <v>19840000</v>
      </c>
      <c r="D22" s="21">
        <v>19350000</v>
      </c>
      <c r="E22" s="41">
        <v>8950000</v>
      </c>
      <c r="F22" s="64">
        <v>8020000</v>
      </c>
      <c r="G22" s="231" t="s">
        <v>32</v>
      </c>
      <c r="H22" s="41">
        <v>4045000</v>
      </c>
      <c r="I22" s="21">
        <v>15550000</v>
      </c>
      <c r="J22" s="41">
        <v>900000</v>
      </c>
      <c r="K22" s="21">
        <v>7900000</v>
      </c>
      <c r="L22" s="21">
        <v>12390000</v>
      </c>
      <c r="M22" s="21">
        <v>4370000</v>
      </c>
      <c r="N22" s="294">
        <v>12300000</v>
      </c>
      <c r="O22" s="331">
        <f t="shared" si="2"/>
        <v>113615000</v>
      </c>
    </row>
    <row r="23" spans="1:16" ht="13.2" x14ac:dyDescent="0.25">
      <c r="A23" s="15" t="s">
        <v>33</v>
      </c>
      <c r="B23" s="129">
        <v>8333333</v>
      </c>
      <c r="C23" s="30">
        <v>5350000</v>
      </c>
      <c r="D23" s="15">
        <v>0</v>
      </c>
      <c r="E23" s="41">
        <v>5460000</v>
      </c>
      <c r="F23" s="64">
        <v>1600000</v>
      </c>
      <c r="G23" s="231" t="s">
        <v>34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262">
        <v>0</v>
      </c>
      <c r="O23" s="332">
        <f t="shared" si="2"/>
        <v>12410000</v>
      </c>
    </row>
    <row r="24" spans="1:16" ht="13.2" x14ac:dyDescent="0.25">
      <c r="A24" s="15" t="s">
        <v>35</v>
      </c>
      <c r="B24" s="129" t="s">
        <v>30</v>
      </c>
      <c r="C24" s="227" t="s">
        <v>36</v>
      </c>
      <c r="D24" s="228" t="s">
        <v>36</v>
      </c>
      <c r="E24" s="229" t="s">
        <v>36</v>
      </c>
      <c r="F24" s="230" t="s">
        <v>36</v>
      </c>
      <c r="G24" s="278" t="s">
        <v>37</v>
      </c>
      <c r="H24" s="34">
        <v>0</v>
      </c>
      <c r="I24" s="34">
        <v>0</v>
      </c>
      <c r="J24" s="34"/>
      <c r="K24" s="34">
        <v>0</v>
      </c>
      <c r="L24">
        <v>0</v>
      </c>
      <c r="M24" s="34">
        <v>0</v>
      </c>
      <c r="N24" s="263">
        <v>0</v>
      </c>
      <c r="O24" s="332">
        <v>1110000</v>
      </c>
    </row>
    <row r="25" spans="1:16" ht="13.2" x14ac:dyDescent="0.25">
      <c r="A25" s="15" t="s">
        <v>38</v>
      </c>
      <c r="B25" s="129">
        <v>13333000</v>
      </c>
      <c r="C25" s="227" t="s">
        <v>36</v>
      </c>
      <c r="D25" s="228" t="s">
        <v>36</v>
      </c>
      <c r="E25" s="229"/>
      <c r="F25" s="230" t="s">
        <v>36</v>
      </c>
      <c r="G25" s="134">
        <v>1620000</v>
      </c>
      <c r="H25" s="284">
        <v>2970000</v>
      </c>
      <c r="I25" s="284">
        <v>5300000</v>
      </c>
      <c r="J25" s="284">
        <v>5950000</v>
      </c>
      <c r="K25" s="293">
        <v>9330000</v>
      </c>
      <c r="L25" s="293">
        <v>7030000</v>
      </c>
      <c r="M25" s="293">
        <v>9600000</v>
      </c>
      <c r="N25" s="201">
        <v>7100000</v>
      </c>
      <c r="O25" s="333">
        <f>SUM(G25:M25)</f>
        <v>41800000</v>
      </c>
      <c r="P25" s="201"/>
    </row>
    <row r="26" spans="1:16" ht="13.2" x14ac:dyDescent="0.25">
      <c r="A26" s="48"/>
      <c r="B26" s="122"/>
      <c r="C26" s="122"/>
      <c r="D26" s="122"/>
      <c r="E26" s="122"/>
      <c r="F26" s="163"/>
      <c r="G26" s="163"/>
      <c r="H26" s="122"/>
      <c r="I26" s="122"/>
      <c r="J26" s="122"/>
      <c r="K26" s="122"/>
      <c r="L26" s="122"/>
      <c r="M26" s="122"/>
      <c r="N26" s="122"/>
      <c r="O26" s="513"/>
    </row>
    <row r="27" spans="1:16" ht="13.2" x14ac:dyDescent="0.25">
      <c r="A27" s="8" t="s">
        <v>20</v>
      </c>
      <c r="B27" s="124"/>
      <c r="C27" s="124"/>
      <c r="D27" s="124"/>
      <c r="E27" s="124"/>
      <c r="F27" s="164"/>
      <c r="G27" s="164"/>
      <c r="H27" s="124"/>
      <c r="I27" s="124"/>
      <c r="J27" s="124"/>
      <c r="K27" s="124"/>
      <c r="L27" s="124"/>
      <c r="M27" s="124"/>
      <c r="N27" s="124"/>
      <c r="O27" s="125">
        <f t="shared" ref="O27:O30" si="3">SUM(C27:N27)</f>
        <v>0</v>
      </c>
    </row>
    <row r="28" spans="1:16" ht="13.2" x14ac:dyDescent="0.25">
      <c r="A28" s="318" t="s">
        <v>21</v>
      </c>
      <c r="B28" s="53">
        <v>15833000</v>
      </c>
      <c r="C28" s="132">
        <v>28410000</v>
      </c>
      <c r="D28" s="132">
        <v>21050000</v>
      </c>
      <c r="E28" s="133">
        <v>13200000</v>
      </c>
      <c r="F28" s="148">
        <v>0</v>
      </c>
      <c r="G28" s="209" t="s">
        <v>39</v>
      </c>
      <c r="H28" s="504">
        <v>0</v>
      </c>
      <c r="I28" s="504">
        <v>0</v>
      </c>
      <c r="J28" s="504">
        <v>0</v>
      </c>
      <c r="K28" s="504">
        <v>0</v>
      </c>
      <c r="L28" s="504">
        <v>0</v>
      </c>
      <c r="M28" s="504">
        <v>0</v>
      </c>
      <c r="N28" s="504">
        <v>0</v>
      </c>
      <c r="O28" s="334">
        <f t="shared" si="3"/>
        <v>62660000</v>
      </c>
    </row>
    <row r="29" spans="1:16" ht="13.2" x14ac:dyDescent="0.25">
      <c r="A29" s="318" t="s">
        <v>23</v>
      </c>
      <c r="B29" s="53">
        <v>15833000</v>
      </c>
      <c r="C29" s="132">
        <v>16000000</v>
      </c>
      <c r="D29" s="133">
        <v>14250000</v>
      </c>
      <c r="E29" s="133">
        <v>11570000</v>
      </c>
      <c r="F29" s="148">
        <v>13190000</v>
      </c>
      <c r="G29" s="209" t="s">
        <v>40</v>
      </c>
      <c r="H29" s="132">
        <v>3620000</v>
      </c>
      <c r="I29" s="132">
        <v>21620000</v>
      </c>
      <c r="J29" s="133">
        <v>9525000</v>
      </c>
      <c r="K29" s="132">
        <v>20230000</v>
      </c>
      <c r="L29" s="132">
        <v>18910000</v>
      </c>
      <c r="M29" s="132">
        <v>4750000</v>
      </c>
      <c r="N29" s="132">
        <v>4870000</v>
      </c>
      <c r="O29" s="334">
        <f t="shared" si="3"/>
        <v>138535000</v>
      </c>
    </row>
    <row r="30" spans="1:16" ht="13.2" x14ac:dyDescent="0.25">
      <c r="A30" s="318" t="s">
        <v>24</v>
      </c>
      <c r="B30" s="203">
        <v>15833000</v>
      </c>
      <c r="C30" s="198">
        <v>19840000</v>
      </c>
      <c r="D30" s="235">
        <v>14140000</v>
      </c>
      <c r="E30" s="235">
        <v>16430000</v>
      </c>
      <c r="F30" s="197">
        <v>13730000</v>
      </c>
      <c r="G30" s="238" t="s">
        <v>41</v>
      </c>
      <c r="H30" s="198">
        <v>22040000</v>
      </c>
      <c r="I30" s="132">
        <v>18900000</v>
      </c>
      <c r="J30" s="132">
        <v>20269680</v>
      </c>
      <c r="K30" s="132">
        <v>4150000</v>
      </c>
      <c r="L30" s="132">
        <v>12890000</v>
      </c>
      <c r="M30" s="132">
        <v>18750000</v>
      </c>
      <c r="N30" s="132">
        <v>8200000</v>
      </c>
      <c r="O30" s="334">
        <f t="shared" si="3"/>
        <v>169339680</v>
      </c>
    </row>
    <row r="31" spans="1:16" ht="13.2" x14ac:dyDescent="0.25">
      <c r="A31" s="262" t="s">
        <v>42</v>
      </c>
      <c r="B31" s="129">
        <v>15833000</v>
      </c>
      <c r="C31" s="15">
        <v>0</v>
      </c>
      <c r="D31" s="15"/>
      <c r="E31" s="41">
        <v>2400000</v>
      </c>
      <c r="F31" s="64">
        <v>7050000</v>
      </c>
      <c r="G31" s="56">
        <v>9800000</v>
      </c>
      <c r="H31" s="21">
        <v>6400000</v>
      </c>
      <c r="I31" s="265" t="s">
        <v>36</v>
      </c>
      <c r="J31" s="204" t="s">
        <v>36</v>
      </c>
      <c r="K31" s="204">
        <v>0</v>
      </c>
      <c r="L31" s="204">
        <v>0</v>
      </c>
      <c r="M31" s="204">
        <v>0</v>
      </c>
      <c r="N31" s="204">
        <v>0</v>
      </c>
      <c r="O31" s="335">
        <f ca="1">SUM(D31:O31)</f>
        <v>25650000</v>
      </c>
    </row>
    <row r="32" spans="1:16" ht="13.2" x14ac:dyDescent="0.25">
      <c r="A32" s="57" t="s">
        <v>43</v>
      </c>
      <c r="B32" s="129">
        <v>15833000</v>
      </c>
      <c r="C32" s="15">
        <v>0</v>
      </c>
      <c r="D32" s="15">
        <v>0</v>
      </c>
      <c r="E32" s="41">
        <v>0</v>
      </c>
      <c r="F32" s="64">
        <v>0</v>
      </c>
      <c r="G32" s="88">
        <v>0</v>
      </c>
      <c r="H32" s="21">
        <v>5000000</v>
      </c>
      <c r="I32" s="281">
        <v>17180000</v>
      </c>
      <c r="J32" s="204">
        <v>0</v>
      </c>
      <c r="K32" s="204"/>
      <c r="L32" s="204">
        <v>0</v>
      </c>
      <c r="M32" s="204">
        <v>0</v>
      </c>
      <c r="N32" s="204">
        <v>0</v>
      </c>
      <c r="O32" s="336">
        <f>SUM(C32:N32)</f>
        <v>22180000</v>
      </c>
    </row>
    <row r="33" spans="1:18" ht="13.2" x14ac:dyDescent="0.25">
      <c r="A33" s="57" t="s">
        <v>44</v>
      </c>
      <c r="B33" s="53"/>
      <c r="C33" s="504"/>
      <c r="D33" s="504"/>
      <c r="E33" s="133"/>
      <c r="F33" s="64"/>
      <c r="G33" s="88"/>
      <c r="H33" s="21"/>
      <c r="I33" s="281"/>
      <c r="J33" s="201">
        <v>1150000</v>
      </c>
      <c r="K33" s="204">
        <v>0</v>
      </c>
      <c r="L33" s="249">
        <v>11700000</v>
      </c>
      <c r="M33" s="310">
        <v>5650000</v>
      </c>
      <c r="N33" s="21">
        <f>SUM(J33:M33)</f>
        <v>18500000</v>
      </c>
      <c r="O33" s="337">
        <v>0</v>
      </c>
    </row>
    <row r="34" spans="1:18" ht="13.2" x14ac:dyDescent="0.25">
      <c r="A34" s="204" t="s">
        <v>45</v>
      </c>
      <c r="B34" s="195">
        <v>12500000</v>
      </c>
      <c r="C34" s="196">
        <v>17975000</v>
      </c>
      <c r="D34" s="235">
        <v>7970000</v>
      </c>
      <c r="E34" s="198">
        <v>20190000</v>
      </c>
      <c r="F34" s="290">
        <v>19850000</v>
      </c>
      <c r="G34" s="338" t="s">
        <v>46</v>
      </c>
      <c r="H34" s="339">
        <v>19850000</v>
      </c>
      <c r="I34" s="249">
        <v>11620000</v>
      </c>
      <c r="J34" s="249">
        <v>700000</v>
      </c>
      <c r="K34" s="310">
        <v>9950000</v>
      </c>
      <c r="L34" s="249">
        <v>8000000</v>
      </c>
      <c r="M34" s="310">
        <v>6900000</v>
      </c>
      <c r="N34" s="271">
        <v>9810000</v>
      </c>
      <c r="O34" s="340">
        <f>SUM(C34:M34)</f>
        <v>123005000</v>
      </c>
    </row>
    <row r="35" spans="1:18" ht="15.75" customHeight="1" x14ac:dyDescent="0.25">
      <c r="A35" s="341" t="s">
        <v>47</v>
      </c>
      <c r="B35" s="129">
        <v>15833000</v>
      </c>
      <c r="C35" s="205">
        <v>0</v>
      </c>
      <c r="D35" s="205">
        <v>0</v>
      </c>
      <c r="E35" s="205">
        <v>0</v>
      </c>
      <c r="F35" s="205">
        <v>0</v>
      </c>
      <c r="G35" s="205">
        <v>0</v>
      </c>
      <c r="H35" s="205">
        <v>0</v>
      </c>
      <c r="I35" s="205">
        <v>0</v>
      </c>
      <c r="J35" s="205">
        <v>0</v>
      </c>
      <c r="K35" s="205">
        <v>0</v>
      </c>
      <c r="L35" s="205">
        <v>0</v>
      </c>
      <c r="M35" s="205">
        <v>0</v>
      </c>
      <c r="N35" s="272">
        <v>2750000</v>
      </c>
      <c r="O35" s="343">
        <v>2750000</v>
      </c>
    </row>
    <row r="36" spans="1:18" ht="13.2" x14ac:dyDescent="0.25">
      <c r="A36" s="341" t="s">
        <v>48</v>
      </c>
      <c r="B36" s="129">
        <v>15833000</v>
      </c>
      <c r="C36" s="205">
        <v>0</v>
      </c>
      <c r="D36" s="205">
        <v>0</v>
      </c>
      <c r="E36" s="205">
        <v>0</v>
      </c>
      <c r="F36" s="205">
        <v>0</v>
      </c>
      <c r="G36" s="205">
        <v>0</v>
      </c>
      <c r="H36" s="205">
        <v>0</v>
      </c>
      <c r="I36" s="205">
        <v>0</v>
      </c>
      <c r="J36" s="205">
        <v>0</v>
      </c>
      <c r="K36" s="205">
        <v>0</v>
      </c>
      <c r="L36" s="205">
        <v>0</v>
      </c>
      <c r="M36" s="205">
        <v>0</v>
      </c>
      <c r="N36" s="342">
        <v>8200000</v>
      </c>
      <c r="O36" s="333">
        <v>8200000</v>
      </c>
    </row>
    <row r="37" spans="1:18" ht="13.2" x14ac:dyDescent="0.25">
      <c r="A37" s="57"/>
      <c r="B37" s="57"/>
      <c r="C37" s="57"/>
      <c r="D37" s="57"/>
    </row>
    <row r="38" spans="1:18" ht="49.2" x14ac:dyDescent="0.85">
      <c r="A38" s="363">
        <v>2020</v>
      </c>
    </row>
    <row r="39" spans="1:18" ht="30" x14ac:dyDescent="0.5">
      <c r="A39" s="364" t="s">
        <v>0</v>
      </c>
      <c r="B39" s="365" t="s">
        <v>49</v>
      </c>
      <c r="C39" s="365" t="s">
        <v>50</v>
      </c>
      <c r="D39" s="366" t="s">
        <v>1</v>
      </c>
      <c r="E39" s="366" t="s">
        <v>2</v>
      </c>
      <c r="F39" s="366" t="s">
        <v>3</v>
      </c>
      <c r="G39" s="366" t="s">
        <v>4</v>
      </c>
      <c r="H39" s="366" t="s">
        <v>5</v>
      </c>
      <c r="I39" s="366" t="s">
        <v>6</v>
      </c>
      <c r="J39" s="366" t="s">
        <v>7</v>
      </c>
      <c r="K39" s="366" t="s">
        <v>8</v>
      </c>
      <c r="L39" s="366" t="s">
        <v>9</v>
      </c>
      <c r="M39" s="366" t="s">
        <v>51</v>
      </c>
      <c r="N39" s="366" t="s">
        <v>11</v>
      </c>
      <c r="O39" s="366" t="s">
        <v>12</v>
      </c>
      <c r="P39" s="367" t="s">
        <v>13</v>
      </c>
      <c r="Q39" s="375" t="s">
        <v>52</v>
      </c>
    </row>
    <row r="40" spans="1:18" ht="13.2" x14ac:dyDescent="0.25">
      <c r="A40" s="208" t="s">
        <v>14</v>
      </c>
      <c r="B40" s="187">
        <v>720000000</v>
      </c>
      <c r="C40" s="44">
        <v>60000000</v>
      </c>
      <c r="D40" s="320">
        <v>61209750</v>
      </c>
      <c r="E40" s="128">
        <v>81890000</v>
      </c>
      <c r="F40" s="41">
        <v>30020000</v>
      </c>
      <c r="G40" s="64">
        <v>0</v>
      </c>
      <c r="H40" s="78">
        <v>6200000</v>
      </c>
      <c r="I40" s="41">
        <v>18270000</v>
      </c>
      <c r="J40" s="41">
        <v>35933600</v>
      </c>
      <c r="K40" s="41">
        <v>44010000</v>
      </c>
      <c r="L40" s="201">
        <v>60045000</v>
      </c>
      <c r="M40" s="277">
        <v>29320000</v>
      </c>
      <c r="N40" s="249">
        <v>60410000</v>
      </c>
      <c r="O40" s="277">
        <v>39510000</v>
      </c>
      <c r="P40" s="374">
        <f>SUM(D40:O40)</f>
        <v>466818350</v>
      </c>
      <c r="Q40" s="376">
        <f t="shared" ref="Q40:Q52" si="4">B40-P40</f>
        <v>253181650</v>
      </c>
    </row>
    <row r="41" spans="1:18" ht="13.2" x14ac:dyDescent="0.25">
      <c r="A41" s="15" t="s">
        <v>15</v>
      </c>
      <c r="B41" s="21">
        <v>150000000</v>
      </c>
      <c r="C41" s="44">
        <v>13000000</v>
      </c>
      <c r="D41" s="21">
        <v>17950000</v>
      </c>
      <c r="E41" s="220">
        <v>30940000</v>
      </c>
      <c r="F41" s="41">
        <v>6550000</v>
      </c>
      <c r="G41" s="64">
        <v>0</v>
      </c>
      <c r="H41" s="78">
        <v>1400000</v>
      </c>
      <c r="I41" s="277">
        <v>2900000</v>
      </c>
      <c r="J41" s="41">
        <v>12200000</v>
      </c>
      <c r="K41" s="220">
        <v>13890000</v>
      </c>
      <c r="L41" s="21">
        <v>20090000</v>
      </c>
      <c r="M41" s="294">
        <v>13890000</v>
      </c>
      <c r="N41" s="21">
        <v>12610000</v>
      </c>
      <c r="O41" s="21">
        <v>11440000</v>
      </c>
      <c r="P41" s="457">
        <f>SUM(D41:O41)</f>
        <v>143860000</v>
      </c>
      <c r="Q41" s="376">
        <f t="shared" si="4"/>
        <v>6140000</v>
      </c>
    </row>
    <row r="42" spans="1:18" ht="13.2" x14ac:dyDescent="0.25">
      <c r="A42" s="15" t="s">
        <v>16</v>
      </c>
      <c r="B42" s="21">
        <v>150000000</v>
      </c>
      <c r="C42" s="44">
        <v>13000000</v>
      </c>
      <c r="D42" s="220">
        <v>9700000</v>
      </c>
      <c r="E42" s="220">
        <v>27550000</v>
      </c>
      <c r="F42" s="41">
        <v>11310000</v>
      </c>
      <c r="G42" s="64">
        <v>0</v>
      </c>
      <c r="H42" s="78">
        <v>1400000</v>
      </c>
      <c r="I42" s="41">
        <v>2750000</v>
      </c>
      <c r="J42" s="41">
        <v>10873600</v>
      </c>
      <c r="K42" s="41">
        <v>7800000</v>
      </c>
      <c r="L42" s="41">
        <v>11900000</v>
      </c>
      <c r="M42" s="294">
        <v>7800000</v>
      </c>
      <c r="N42" s="21">
        <v>4600000</v>
      </c>
      <c r="O42" s="21">
        <v>0</v>
      </c>
      <c r="P42" s="457">
        <f>SUM(D42:O42)</f>
        <v>95683600</v>
      </c>
      <c r="Q42" s="376">
        <f t="shared" si="4"/>
        <v>54316400</v>
      </c>
    </row>
    <row r="43" spans="1:18" ht="13.2" x14ac:dyDescent="0.25">
      <c r="A43" s="15" t="s">
        <v>17</v>
      </c>
      <c r="B43" s="21">
        <v>150000000</v>
      </c>
      <c r="C43" s="44">
        <v>13000000</v>
      </c>
      <c r="D43" s="220">
        <v>15320000</v>
      </c>
      <c r="E43" s="220">
        <v>18200000</v>
      </c>
      <c r="F43" s="41">
        <v>10450000</v>
      </c>
      <c r="G43" s="64">
        <v>0</v>
      </c>
      <c r="H43" s="78">
        <v>2550000</v>
      </c>
      <c r="I43" s="41">
        <v>6350000</v>
      </c>
      <c r="J43" s="41">
        <v>5400000</v>
      </c>
      <c r="K43" s="220">
        <v>14270000</v>
      </c>
      <c r="L43" s="21">
        <v>14270000</v>
      </c>
      <c r="M43" s="294">
        <v>14270000</v>
      </c>
      <c r="N43" s="21">
        <v>18230000</v>
      </c>
      <c r="O43" s="21">
        <v>5500000</v>
      </c>
      <c r="P43" s="457">
        <f>SUM(D43:O43)</f>
        <v>124810000</v>
      </c>
      <c r="Q43" s="376">
        <f t="shared" si="4"/>
        <v>25190000</v>
      </c>
    </row>
    <row r="44" spans="1:18" ht="13.2" x14ac:dyDescent="0.25">
      <c r="A44" s="15" t="s">
        <v>18</v>
      </c>
      <c r="B44" s="21">
        <v>150000000</v>
      </c>
      <c r="C44" s="44">
        <v>13000000</v>
      </c>
      <c r="D44" s="220">
        <v>12100000</v>
      </c>
      <c r="E44" s="41">
        <v>9050000</v>
      </c>
      <c r="F44" s="41">
        <v>0</v>
      </c>
      <c r="G44" s="64">
        <v>0</v>
      </c>
      <c r="H44" s="232">
        <v>0</v>
      </c>
      <c r="I44" s="41">
        <v>0</v>
      </c>
      <c r="J44" s="41">
        <v>0</v>
      </c>
      <c r="K44" s="41">
        <v>4800000</v>
      </c>
      <c r="L44" s="41">
        <v>7220000</v>
      </c>
      <c r="M44" s="310">
        <v>4800000</v>
      </c>
      <c r="N44" s="21">
        <v>16650000</v>
      </c>
      <c r="O44" s="21">
        <v>13400000</v>
      </c>
      <c r="P44" s="457">
        <f>SUM(D44:O44)</f>
        <v>68020000</v>
      </c>
      <c r="Q44" s="376">
        <f t="shared" si="4"/>
        <v>81980000</v>
      </c>
    </row>
    <row r="45" spans="1:18" ht="13.2" x14ac:dyDescent="0.25">
      <c r="A45" s="204" t="s">
        <v>38</v>
      </c>
      <c r="B45" s="21">
        <v>150000000</v>
      </c>
      <c r="C45" s="296">
        <v>13000000</v>
      </c>
      <c r="D45" s="416">
        <v>4850000</v>
      </c>
      <c r="E45" s="417">
        <v>4300000</v>
      </c>
      <c r="F45" s="417">
        <v>0</v>
      </c>
      <c r="G45" s="389">
        <v>0</v>
      </c>
      <c r="H45" s="424">
        <v>0</v>
      </c>
      <c r="I45" s="284">
        <v>0</v>
      </c>
      <c r="J45" s="284">
        <v>0</v>
      </c>
      <c r="K45" s="284">
        <v>0</v>
      </c>
      <c r="L45" s="401">
        <v>0</v>
      </c>
      <c r="M45" s="21">
        <v>0</v>
      </c>
      <c r="N45" s="293">
        <v>0</v>
      </c>
      <c r="O45" s="21">
        <v>0</v>
      </c>
      <c r="P45" s="457">
        <v>9150000</v>
      </c>
      <c r="Q45" s="376">
        <f t="shared" si="4"/>
        <v>140850000</v>
      </c>
    </row>
    <row r="46" spans="1:18" ht="13.2" x14ac:dyDescent="0.25">
      <c r="A46" s="86" t="s">
        <v>53</v>
      </c>
      <c r="B46" s="21">
        <v>150000000</v>
      </c>
      <c r="C46" s="296">
        <v>13000000</v>
      </c>
      <c r="D46" s="421">
        <v>0</v>
      </c>
      <c r="E46" s="78">
        <v>0</v>
      </c>
      <c r="F46" s="78">
        <v>800000</v>
      </c>
      <c r="G46" s="389">
        <v>0</v>
      </c>
      <c r="H46" s="424">
        <v>0</v>
      </c>
      <c r="I46" s="284">
        <v>2600000</v>
      </c>
      <c r="J46" s="293">
        <v>2600000</v>
      </c>
      <c r="K46" s="284">
        <v>3250000</v>
      </c>
      <c r="L46" s="401">
        <v>7300000</v>
      </c>
      <c r="M46" s="21">
        <v>3250000</v>
      </c>
      <c r="N46" s="293">
        <v>3940000</v>
      </c>
      <c r="O46" s="201">
        <v>4320000</v>
      </c>
      <c r="P46" s="487">
        <f>SUM(F46:O46)</f>
        <v>28060000</v>
      </c>
      <c r="Q46" s="376">
        <f t="shared" si="4"/>
        <v>121940000</v>
      </c>
    </row>
    <row r="47" spans="1:18" ht="13.2" x14ac:dyDescent="0.25">
      <c r="A47" s="420" t="s">
        <v>54</v>
      </c>
      <c r="B47" s="21">
        <v>150000000</v>
      </c>
      <c r="C47" s="44">
        <v>13000000</v>
      </c>
      <c r="D47" s="422">
        <v>0</v>
      </c>
      <c r="E47" s="423">
        <v>0</v>
      </c>
      <c r="F47" s="78">
        <v>910000</v>
      </c>
      <c r="G47" s="389">
        <v>0</v>
      </c>
      <c r="H47" s="293">
        <v>0</v>
      </c>
      <c r="I47" s="284">
        <v>3670000</v>
      </c>
      <c r="J47" s="284">
        <v>0</v>
      </c>
      <c r="K47" s="284">
        <v>0</v>
      </c>
      <c r="L47" s="401">
        <v>0</v>
      </c>
      <c r="M47" s="21">
        <v>0</v>
      </c>
      <c r="N47" s="293">
        <v>0</v>
      </c>
      <c r="O47" s="220">
        <v>0</v>
      </c>
      <c r="P47" s="457">
        <f>SUM(E47:O47)</f>
        <v>4580000</v>
      </c>
      <c r="Q47" s="376">
        <f t="shared" si="4"/>
        <v>145420000</v>
      </c>
    </row>
    <row r="48" spans="1:18" ht="13.2" x14ac:dyDescent="0.25">
      <c r="A48" s="488" t="s">
        <v>20</v>
      </c>
      <c r="B48" s="488"/>
      <c r="C48" s="419" t="s">
        <v>50</v>
      </c>
      <c r="D48" s="380"/>
      <c r="E48" s="418"/>
      <c r="F48" s="418"/>
      <c r="G48" s="164"/>
      <c r="H48" s="164"/>
      <c r="I48" s="124"/>
      <c r="J48" s="124"/>
      <c r="K48" s="124"/>
      <c r="L48" s="327"/>
      <c r="M48" s="380"/>
      <c r="N48" s="124"/>
      <c r="O48" s="380"/>
      <c r="P48" s="485"/>
      <c r="Q48" s="376">
        <f t="shared" si="4"/>
        <v>0</v>
      </c>
      <c r="R48" s="514">
        <f>O5</f>
        <v>0</v>
      </c>
    </row>
    <row r="49" spans="1:17" ht="15.75" customHeight="1" x14ac:dyDescent="0.25">
      <c r="A49" s="318" t="s">
        <v>23</v>
      </c>
      <c r="B49" s="132">
        <v>170000000</v>
      </c>
      <c r="C49" s="53">
        <v>15000000</v>
      </c>
      <c r="D49" s="170">
        <v>8040000</v>
      </c>
      <c r="E49" s="133">
        <v>14670000</v>
      </c>
      <c r="F49" s="133">
        <v>8560000</v>
      </c>
      <c r="G49" s="148">
        <v>0</v>
      </c>
      <c r="H49" s="151">
        <v>0</v>
      </c>
      <c r="I49" s="132">
        <v>0</v>
      </c>
      <c r="J49" s="132">
        <v>0</v>
      </c>
      <c r="K49" s="133">
        <v>0</v>
      </c>
      <c r="L49" s="165">
        <v>0</v>
      </c>
      <c r="M49" s="194">
        <v>0</v>
      </c>
      <c r="N49" s="293">
        <v>0</v>
      </c>
      <c r="O49" s="21">
        <v>0</v>
      </c>
      <c r="P49" s="457">
        <f t="shared" ref="P49:P52" si="5">SUM(D49:N49)</f>
        <v>31270000</v>
      </c>
      <c r="Q49" s="376">
        <f t="shared" si="4"/>
        <v>138730000</v>
      </c>
    </row>
    <row r="50" spans="1:17" ht="15.75" customHeight="1" x14ac:dyDescent="0.25">
      <c r="A50" s="318" t="s">
        <v>24</v>
      </c>
      <c r="B50" s="132">
        <v>170000000</v>
      </c>
      <c r="C50" s="53">
        <v>15000000</v>
      </c>
      <c r="D50" s="216">
        <v>19500000</v>
      </c>
      <c r="E50" s="279">
        <v>23700000</v>
      </c>
      <c r="F50" s="235">
        <v>7910000</v>
      </c>
      <c r="G50" s="197">
        <v>0</v>
      </c>
      <c r="H50" s="292">
        <v>0</v>
      </c>
      <c r="I50" s="198">
        <v>5970000</v>
      </c>
      <c r="J50" s="132">
        <v>15873600</v>
      </c>
      <c r="K50" s="132">
        <v>25360000</v>
      </c>
      <c r="L50" s="165">
        <v>24580000</v>
      </c>
      <c r="M50" s="21">
        <v>16650000</v>
      </c>
      <c r="N50" s="293">
        <v>14825000</v>
      </c>
      <c r="O50" s="21">
        <v>15250000</v>
      </c>
      <c r="P50" s="457">
        <f>SUM(D50:O50)</f>
        <v>169618600</v>
      </c>
      <c r="Q50" s="376">
        <f t="shared" si="4"/>
        <v>381400</v>
      </c>
    </row>
    <row r="51" spans="1:17" ht="15.75" customHeight="1" x14ac:dyDescent="0.25">
      <c r="A51" s="341" t="s">
        <v>47</v>
      </c>
      <c r="B51" s="132">
        <v>170000000</v>
      </c>
      <c r="C51" s="53">
        <v>15000000</v>
      </c>
      <c r="D51" s="330">
        <v>17080000</v>
      </c>
      <c r="E51" s="330">
        <v>19340000</v>
      </c>
      <c r="F51" s="78">
        <v>6800000</v>
      </c>
      <c r="G51" s="231">
        <v>0</v>
      </c>
      <c r="H51" s="218">
        <v>0</v>
      </c>
      <c r="I51" s="330">
        <v>7850000</v>
      </c>
      <c r="J51" s="330">
        <v>7850000</v>
      </c>
      <c r="K51" s="330">
        <v>10500000</v>
      </c>
      <c r="L51" s="486">
        <v>20965000</v>
      </c>
      <c r="M51" s="330">
        <v>7740000</v>
      </c>
      <c r="N51" s="442">
        <v>25860000</v>
      </c>
      <c r="O51" s="330">
        <v>5720000</v>
      </c>
      <c r="P51" s="457">
        <f>SUM(D51:O51)</f>
        <v>129705000</v>
      </c>
      <c r="Q51" s="376">
        <f t="shared" si="4"/>
        <v>40295000</v>
      </c>
    </row>
    <row r="52" spans="1:17" ht="15.75" customHeight="1" x14ac:dyDescent="0.25">
      <c r="A52" s="341" t="s">
        <v>48</v>
      </c>
      <c r="B52" s="132">
        <v>170000000</v>
      </c>
      <c r="C52" s="53">
        <v>15000000</v>
      </c>
      <c r="D52" s="330">
        <v>15750000</v>
      </c>
      <c r="E52" s="330">
        <v>15130000</v>
      </c>
      <c r="F52" s="78">
        <v>6750000</v>
      </c>
      <c r="G52" s="231">
        <v>0</v>
      </c>
      <c r="H52" s="218">
        <v>0</v>
      </c>
      <c r="I52" s="330">
        <v>4450000</v>
      </c>
      <c r="J52" s="330">
        <v>4450000</v>
      </c>
      <c r="K52" s="330">
        <v>7050000</v>
      </c>
      <c r="L52" s="486">
        <v>8850000</v>
      </c>
      <c r="M52" s="330">
        <v>5200000</v>
      </c>
      <c r="N52" s="442">
        <v>4850000</v>
      </c>
      <c r="O52" s="272">
        <v>0</v>
      </c>
      <c r="P52" s="457">
        <f t="shared" si="5"/>
        <v>72480000</v>
      </c>
      <c r="Q52" s="376">
        <f t="shared" si="4"/>
        <v>97520000</v>
      </c>
    </row>
    <row r="55" spans="1:17" ht="42.75" customHeight="1" x14ac:dyDescent="0.85">
      <c r="A55" s="490">
        <v>2021</v>
      </c>
    </row>
    <row r="56" spans="1:17" ht="29.25" customHeight="1" x14ac:dyDescent="0.5">
      <c r="A56" s="491" t="s">
        <v>0</v>
      </c>
      <c r="B56" s="492" t="s">
        <v>50</v>
      </c>
      <c r="C56" s="493" t="s">
        <v>1</v>
      </c>
      <c r="D56" s="493" t="s">
        <v>2</v>
      </c>
      <c r="E56" s="493" t="s">
        <v>3</v>
      </c>
      <c r="F56" s="493" t="s">
        <v>4</v>
      </c>
      <c r="G56" s="493" t="s">
        <v>5</v>
      </c>
      <c r="H56" s="493" t="s">
        <v>6</v>
      </c>
      <c r="I56" s="493" t="s">
        <v>7</v>
      </c>
      <c r="J56" s="493" t="s">
        <v>8</v>
      </c>
      <c r="K56" s="493" t="s">
        <v>9</v>
      </c>
      <c r="L56" s="493" t="s">
        <v>51</v>
      </c>
      <c r="M56" s="493" t="s">
        <v>11</v>
      </c>
      <c r="N56" s="493" t="s">
        <v>12</v>
      </c>
      <c r="O56" s="367" t="s">
        <v>13</v>
      </c>
      <c r="P56" s="375" t="s">
        <v>52</v>
      </c>
    </row>
    <row r="57" spans="1:17" ht="15.75" customHeight="1" x14ac:dyDescent="0.25">
      <c r="A57" s="208" t="s">
        <v>14</v>
      </c>
      <c r="B57" s="524">
        <v>66000000</v>
      </c>
      <c r="C57" s="507">
        <v>53265100</v>
      </c>
      <c r="D57" s="487">
        <v>80810000</v>
      </c>
      <c r="E57" s="333">
        <v>81168000</v>
      </c>
      <c r="F57" s="78">
        <v>59000000</v>
      </c>
      <c r="G57" s="511">
        <v>78659793</v>
      </c>
      <c r="H57" s="535">
        <v>90967000</v>
      </c>
      <c r="I57" s="535">
        <v>93502999</v>
      </c>
      <c r="J57" s="41">
        <v>52570000</v>
      </c>
      <c r="K57" s="536">
        <v>91984830</v>
      </c>
      <c r="L57" s="536">
        <v>80630000</v>
      </c>
      <c r="M57" s="557">
        <v>66550000</v>
      </c>
      <c r="N57" s="536">
        <v>70405000</v>
      </c>
      <c r="O57" s="374">
        <f>SUM(C57:N57)</f>
        <v>899512722</v>
      </c>
      <c r="P57" s="376">
        <f>B57-O57</f>
        <v>-833512722</v>
      </c>
    </row>
    <row r="58" spans="1:17" ht="15.75" customHeight="1" x14ac:dyDescent="0.25">
      <c r="A58" s="15" t="s">
        <v>15</v>
      </c>
      <c r="B58" s="524">
        <v>16000000</v>
      </c>
      <c r="C58" s="78">
        <v>11640000</v>
      </c>
      <c r="D58" s="220">
        <v>19110000</v>
      </c>
      <c r="E58" s="220">
        <v>20360000</v>
      </c>
      <c r="F58" s="78">
        <v>14180000</v>
      </c>
      <c r="G58" s="330">
        <v>15719793</v>
      </c>
      <c r="H58" s="277">
        <v>9300000</v>
      </c>
      <c r="I58" s="41">
        <v>0</v>
      </c>
      <c r="J58" s="220">
        <v>0</v>
      </c>
      <c r="K58" s="21">
        <v>0</v>
      </c>
      <c r="L58" s="294">
        <v>0</v>
      </c>
      <c r="M58" s="294">
        <v>800000</v>
      </c>
      <c r="N58" s="21">
        <v>0</v>
      </c>
      <c r="O58" s="457">
        <f>SUM(C58:N58)</f>
        <v>91109793</v>
      </c>
      <c r="P58" s="376">
        <f t="shared" ref="P58:P85" si="6">B58-O58</f>
        <v>-75109793</v>
      </c>
    </row>
    <row r="59" spans="1:17" ht="15.75" customHeight="1" x14ac:dyDescent="0.25">
      <c r="A59" s="15" t="s">
        <v>17</v>
      </c>
      <c r="B59" s="524">
        <v>16000000</v>
      </c>
      <c r="C59" s="330">
        <v>18405100</v>
      </c>
      <c r="D59" s="41">
        <v>27940000</v>
      </c>
      <c r="E59" s="41">
        <v>13308000</v>
      </c>
      <c r="F59" s="78">
        <v>9720000</v>
      </c>
      <c r="G59" s="78">
        <v>3000000</v>
      </c>
      <c r="H59" s="41">
        <v>0</v>
      </c>
      <c r="I59" s="41">
        <v>0</v>
      </c>
      <c r="J59" s="220">
        <v>0</v>
      </c>
      <c r="K59" s="21">
        <v>0</v>
      </c>
      <c r="L59" s="294">
        <v>0</v>
      </c>
      <c r="M59" s="294">
        <v>0</v>
      </c>
      <c r="N59" s="21">
        <v>0</v>
      </c>
      <c r="O59" s="457">
        <f>SUM(C59:N59)</f>
        <v>72373100</v>
      </c>
      <c r="P59" s="376">
        <f t="shared" si="6"/>
        <v>-56373100</v>
      </c>
    </row>
    <row r="60" spans="1:17" ht="15.75" customHeight="1" x14ac:dyDescent="0.25">
      <c r="A60" s="15" t="s">
        <v>18</v>
      </c>
      <c r="B60" s="524">
        <v>16000000</v>
      </c>
      <c r="C60" s="78">
        <v>12400000</v>
      </c>
      <c r="D60" s="41">
        <v>14780000</v>
      </c>
      <c r="E60" s="220">
        <v>17550000</v>
      </c>
      <c r="F60" s="78">
        <v>10600000</v>
      </c>
      <c r="G60" s="41">
        <v>13480000</v>
      </c>
      <c r="H60" s="220">
        <v>21820000</v>
      </c>
      <c r="I60" s="220">
        <v>19380000</v>
      </c>
      <c r="J60" s="41">
        <v>0</v>
      </c>
      <c r="K60" s="220">
        <v>17400000</v>
      </c>
      <c r="L60" s="310">
        <v>10780000</v>
      </c>
      <c r="M60" s="294">
        <v>20450000</v>
      </c>
      <c r="N60" s="21">
        <v>25020000</v>
      </c>
      <c r="O60" s="457">
        <f>SUM(C60:N60)</f>
        <v>183660000</v>
      </c>
      <c r="P60" s="376">
        <f t="shared" si="6"/>
        <v>-167660000</v>
      </c>
    </row>
    <row r="61" spans="1:17" ht="15.75" customHeight="1" x14ac:dyDescent="0.25">
      <c r="A61" s="86" t="s">
        <v>53</v>
      </c>
      <c r="B61" s="525">
        <v>14000000</v>
      </c>
      <c r="C61" s="421">
        <v>3020000</v>
      </c>
      <c r="D61" s="78">
        <v>880000</v>
      </c>
      <c r="E61" s="78">
        <v>0</v>
      </c>
      <c r="F61" s="444">
        <v>0</v>
      </c>
      <c r="G61" s="424">
        <v>0</v>
      </c>
      <c r="H61" s="284">
        <v>0</v>
      </c>
      <c r="I61" s="284">
        <v>0</v>
      </c>
      <c r="J61" s="284">
        <v>0</v>
      </c>
      <c r="K61" s="509">
        <v>0</v>
      </c>
      <c r="L61" s="41">
        <v>0</v>
      </c>
      <c r="M61" s="509">
        <v>0</v>
      </c>
      <c r="N61" s="220">
        <v>0</v>
      </c>
      <c r="O61" s="457">
        <f t="shared" ref="O61:O72" si="7">SUM(C61:N61)</f>
        <v>3900000</v>
      </c>
      <c r="P61" s="376">
        <f t="shared" si="6"/>
        <v>10100000</v>
      </c>
    </row>
    <row r="62" spans="1:17" ht="15.75" customHeight="1" x14ac:dyDescent="0.25">
      <c r="A62" s="512" t="s">
        <v>55</v>
      </c>
      <c r="B62" s="525">
        <v>16000000</v>
      </c>
      <c r="C62" s="421">
        <v>2600000</v>
      </c>
      <c r="D62" s="444">
        <v>4820000</v>
      </c>
      <c r="E62" s="78">
        <v>12550000</v>
      </c>
      <c r="F62" s="444">
        <v>14900000</v>
      </c>
      <c r="G62" s="284">
        <v>12660000</v>
      </c>
      <c r="H62" s="443">
        <v>21067000</v>
      </c>
      <c r="I62" s="293">
        <v>25100000</v>
      </c>
      <c r="J62" s="443">
        <v>16050000</v>
      </c>
      <c r="K62" s="534">
        <v>14250000</v>
      </c>
      <c r="L62" s="220">
        <v>10300000</v>
      </c>
      <c r="M62" s="509">
        <v>15570000</v>
      </c>
      <c r="N62" s="41">
        <v>13280000</v>
      </c>
      <c r="O62" s="457">
        <f t="shared" si="7"/>
        <v>163147000</v>
      </c>
      <c r="P62" s="376">
        <f t="shared" si="6"/>
        <v>-147147000</v>
      </c>
    </row>
    <row r="63" spans="1:17" ht="15.75" customHeight="1" x14ac:dyDescent="0.25">
      <c r="A63" s="86" t="s">
        <v>56</v>
      </c>
      <c r="B63" s="526">
        <v>14000000</v>
      </c>
      <c r="C63" s="421">
        <v>0</v>
      </c>
      <c r="D63" s="444"/>
      <c r="E63" s="78">
        <v>4250000</v>
      </c>
      <c r="F63" s="444">
        <v>8300000</v>
      </c>
      <c r="G63" s="284">
        <v>11420000</v>
      </c>
      <c r="H63" s="284">
        <v>8700000</v>
      </c>
      <c r="I63" s="284">
        <v>8700000</v>
      </c>
      <c r="J63" s="284">
        <v>980000</v>
      </c>
      <c r="K63" s="509">
        <v>0</v>
      </c>
      <c r="L63" s="220">
        <v>14600000</v>
      </c>
      <c r="M63" s="509">
        <v>3300000</v>
      </c>
      <c r="N63" s="41"/>
      <c r="O63" s="457">
        <f t="shared" si="7"/>
        <v>60250000</v>
      </c>
      <c r="P63" s="376">
        <f t="shared" si="6"/>
        <v>-46250000</v>
      </c>
    </row>
    <row r="64" spans="1:17" ht="15.75" customHeight="1" x14ac:dyDescent="0.25">
      <c r="A64" s="341" t="s">
        <v>57</v>
      </c>
      <c r="B64" s="527">
        <v>16000000</v>
      </c>
      <c r="C64" s="78">
        <v>5200000</v>
      </c>
      <c r="D64" s="423"/>
      <c r="E64" s="78">
        <v>0</v>
      </c>
      <c r="F64" s="444">
        <v>0</v>
      </c>
      <c r="G64" s="293">
        <v>0</v>
      </c>
      <c r="H64" s="284">
        <v>0</v>
      </c>
      <c r="I64" s="284">
        <v>0</v>
      </c>
      <c r="J64" s="284">
        <v>0</v>
      </c>
      <c r="K64" s="509">
        <v>0</v>
      </c>
      <c r="L64" s="41">
        <v>0</v>
      </c>
      <c r="M64" s="509">
        <v>0</v>
      </c>
      <c r="N64" s="41">
        <v>0</v>
      </c>
      <c r="O64" s="457">
        <f t="shared" si="7"/>
        <v>5200000</v>
      </c>
      <c r="P64" s="376">
        <f t="shared" si="6"/>
        <v>10800000</v>
      </c>
    </row>
    <row r="65" spans="1:16" ht="15.75" customHeight="1" x14ac:dyDescent="0.25">
      <c r="A65" s="341" t="s">
        <v>58</v>
      </c>
      <c r="B65" s="527">
        <v>14000000</v>
      </c>
      <c r="C65" s="330">
        <v>0</v>
      </c>
      <c r="D65" s="508"/>
      <c r="E65" s="533"/>
      <c r="F65" s="442"/>
      <c r="G65" s="284">
        <v>7650000</v>
      </c>
      <c r="H65" s="284">
        <v>4600000</v>
      </c>
      <c r="I65" s="284">
        <v>5580000</v>
      </c>
      <c r="J65" s="284">
        <v>2676900</v>
      </c>
      <c r="K65" s="509">
        <v>4780000</v>
      </c>
      <c r="L65" s="41"/>
      <c r="M65" s="509">
        <v>0</v>
      </c>
      <c r="N65" s="41">
        <v>0</v>
      </c>
      <c r="O65" s="457">
        <f t="shared" si="7"/>
        <v>25286900</v>
      </c>
      <c r="P65" s="376">
        <f t="shared" si="6"/>
        <v>-11286900</v>
      </c>
    </row>
    <row r="66" spans="1:16" ht="15.75" customHeight="1" x14ac:dyDescent="0.25">
      <c r="A66" s="341" t="s">
        <v>59</v>
      </c>
      <c r="B66" s="526">
        <v>14000000</v>
      </c>
      <c r="C66" s="330"/>
      <c r="D66" s="508">
        <v>0</v>
      </c>
      <c r="E66" s="533">
        <v>0</v>
      </c>
      <c r="F66" s="442">
        <v>0</v>
      </c>
      <c r="G66" s="284"/>
      <c r="H66" s="284">
        <v>10400000</v>
      </c>
      <c r="I66" s="417">
        <v>12250000</v>
      </c>
      <c r="J66" s="532">
        <v>18290000</v>
      </c>
      <c r="K66" s="534">
        <v>23370000</v>
      </c>
      <c r="L66" s="220">
        <v>11030000</v>
      </c>
      <c r="M66" s="509">
        <v>15250000</v>
      </c>
      <c r="N66" s="41">
        <v>14100000</v>
      </c>
      <c r="O66" s="457">
        <f t="shared" si="7"/>
        <v>104690000</v>
      </c>
      <c r="P66" s="376">
        <f t="shared" si="6"/>
        <v>-90690000</v>
      </c>
    </row>
    <row r="67" spans="1:16" ht="15.75" customHeight="1" x14ac:dyDescent="0.25">
      <c r="A67" s="341" t="s">
        <v>60</v>
      </c>
      <c r="B67" s="527">
        <v>16000000</v>
      </c>
      <c r="C67" s="330">
        <v>0</v>
      </c>
      <c r="D67" s="508">
        <v>0</v>
      </c>
      <c r="E67" s="533">
        <v>0</v>
      </c>
      <c r="F67" s="442">
        <v>0</v>
      </c>
      <c r="G67" s="284">
        <v>2550000</v>
      </c>
      <c r="H67" s="509">
        <v>11430000</v>
      </c>
      <c r="I67" s="220">
        <v>16700000</v>
      </c>
      <c r="J67" s="220">
        <v>11190000</v>
      </c>
      <c r="K67" s="509">
        <v>12930000</v>
      </c>
      <c r="L67" s="41">
        <v>8200000</v>
      </c>
      <c r="M67" s="509">
        <v>4600000</v>
      </c>
      <c r="N67" s="41"/>
      <c r="O67" s="457">
        <f t="shared" si="7"/>
        <v>67600000</v>
      </c>
      <c r="P67" s="376">
        <f t="shared" si="6"/>
        <v>-51600000</v>
      </c>
    </row>
    <row r="68" spans="1:16" ht="15.75" customHeight="1" x14ac:dyDescent="0.25">
      <c r="A68" s="515" t="s">
        <v>61</v>
      </c>
      <c r="B68" s="526">
        <v>14000000</v>
      </c>
      <c r="C68" s="330"/>
      <c r="D68" s="508"/>
      <c r="E68" s="533"/>
      <c r="F68" s="442"/>
      <c r="G68" s="510">
        <v>7240000</v>
      </c>
      <c r="H68" s="509"/>
      <c r="I68" s="194">
        <v>0</v>
      </c>
      <c r="J68" s="220">
        <v>0</v>
      </c>
      <c r="K68" s="509">
        <v>0</v>
      </c>
      <c r="L68" s="41">
        <v>0</v>
      </c>
      <c r="M68" s="509">
        <v>0</v>
      </c>
      <c r="N68" s="41">
        <v>0</v>
      </c>
      <c r="O68" s="457">
        <f t="shared" si="7"/>
        <v>7240000</v>
      </c>
      <c r="P68" s="376">
        <f t="shared" si="6"/>
        <v>6760000</v>
      </c>
    </row>
    <row r="69" spans="1:16" ht="15.75" customHeight="1" x14ac:dyDescent="0.25">
      <c r="A69" s="194" t="s">
        <v>62</v>
      </c>
      <c r="B69" s="526">
        <v>14000000</v>
      </c>
      <c r="C69" s="330">
        <v>0</v>
      </c>
      <c r="D69" s="508">
        <v>0</v>
      </c>
      <c r="E69" s="533">
        <v>0</v>
      </c>
      <c r="F69" s="442">
        <v>0</v>
      </c>
      <c r="G69" s="510">
        <v>0</v>
      </c>
      <c r="H69" s="509">
        <v>0</v>
      </c>
      <c r="I69" s="220">
        <v>0</v>
      </c>
      <c r="J69" s="220">
        <v>0</v>
      </c>
      <c r="K69" s="509">
        <v>780000</v>
      </c>
      <c r="L69" s="41"/>
      <c r="M69" s="509">
        <v>0</v>
      </c>
      <c r="N69" s="285">
        <v>0</v>
      </c>
      <c r="O69" s="457">
        <f t="shared" si="7"/>
        <v>780000</v>
      </c>
      <c r="P69" s="376">
        <f t="shared" si="6"/>
        <v>13220000</v>
      </c>
    </row>
    <row r="70" spans="1:16" ht="15.75" customHeight="1" x14ac:dyDescent="0.25">
      <c r="A70" s="194" t="s">
        <v>63</v>
      </c>
      <c r="B70" s="526">
        <v>14000000</v>
      </c>
      <c r="C70" s="330">
        <v>0</v>
      </c>
      <c r="D70" s="508">
        <v>0</v>
      </c>
      <c r="E70" s="533">
        <v>0</v>
      </c>
      <c r="F70" s="442">
        <v>0</v>
      </c>
      <c r="G70" s="510">
        <v>0</v>
      </c>
      <c r="H70" s="284">
        <v>0</v>
      </c>
      <c r="I70" s="133">
        <v>0</v>
      </c>
      <c r="J70" s="133">
        <v>0</v>
      </c>
      <c r="K70" s="509">
        <v>3980000</v>
      </c>
      <c r="L70" s="41">
        <v>7900000</v>
      </c>
      <c r="M70" s="509">
        <v>0</v>
      </c>
      <c r="N70" s="285">
        <v>0</v>
      </c>
      <c r="O70" s="457">
        <f t="shared" si="7"/>
        <v>11880000</v>
      </c>
      <c r="P70" s="376">
        <f t="shared" si="6"/>
        <v>2120000</v>
      </c>
    </row>
    <row r="71" spans="1:16" ht="15.75" customHeight="1" x14ac:dyDescent="0.25">
      <c r="A71" s="194" t="s">
        <v>64</v>
      </c>
      <c r="B71" s="526">
        <v>14000000</v>
      </c>
      <c r="C71" s="78">
        <v>0</v>
      </c>
      <c r="D71" s="191">
        <v>0</v>
      </c>
      <c r="E71" s="170">
        <v>0</v>
      </c>
      <c r="F71" s="444">
        <v>0</v>
      </c>
      <c r="G71" s="510">
        <v>0</v>
      </c>
      <c r="H71" s="284">
        <v>0</v>
      </c>
      <c r="I71" s="284">
        <v>0</v>
      </c>
      <c r="J71" s="284">
        <v>0</v>
      </c>
      <c r="K71" s="509">
        <v>1850000</v>
      </c>
      <c r="L71" s="41">
        <v>13940000</v>
      </c>
      <c r="M71" s="509">
        <v>12580000</v>
      </c>
      <c r="N71" s="285">
        <v>14480000</v>
      </c>
      <c r="O71" s="457">
        <f t="shared" si="7"/>
        <v>42850000</v>
      </c>
      <c r="P71" s="376">
        <f t="shared" si="6"/>
        <v>-28850000</v>
      </c>
    </row>
    <row r="72" spans="1:16" ht="15.75" customHeight="1" x14ac:dyDescent="0.25">
      <c r="A72" s="194" t="s">
        <v>65</v>
      </c>
      <c r="B72" s="526">
        <v>14000000</v>
      </c>
      <c r="C72" s="330">
        <v>0</v>
      </c>
      <c r="D72" s="508">
        <v>0</v>
      </c>
      <c r="E72" s="170">
        <v>1350000</v>
      </c>
      <c r="F72" s="444">
        <v>1300000</v>
      </c>
      <c r="G72" s="293">
        <v>0</v>
      </c>
      <c r="H72" s="284">
        <v>0</v>
      </c>
      <c r="I72" s="284">
        <v>0</v>
      </c>
      <c r="J72" s="284">
        <v>0</v>
      </c>
      <c r="K72" s="509">
        <v>0</v>
      </c>
      <c r="L72" s="41">
        <v>0</v>
      </c>
      <c r="M72" s="284">
        <v>0</v>
      </c>
      <c r="N72" s="285">
        <v>0</v>
      </c>
      <c r="O72" s="457">
        <f t="shared" si="7"/>
        <v>2650000</v>
      </c>
      <c r="P72" s="376">
        <f t="shared" si="6"/>
        <v>11350000</v>
      </c>
    </row>
    <row r="73" spans="1:16" ht="15.75" customHeight="1" x14ac:dyDescent="0.3">
      <c r="A73" s="494" t="s">
        <v>20</v>
      </c>
      <c r="B73" s="528" t="s">
        <v>50</v>
      </c>
      <c r="C73" s="493" t="s">
        <v>1</v>
      </c>
      <c r="D73" s="493" t="s">
        <v>2</v>
      </c>
      <c r="E73" s="493" t="s">
        <v>3</v>
      </c>
      <c r="F73" s="493" t="s">
        <v>4</v>
      </c>
      <c r="G73" s="493" t="s">
        <v>5</v>
      </c>
      <c r="H73" s="493" t="s">
        <v>6</v>
      </c>
      <c r="I73" s="493" t="s">
        <v>7</v>
      </c>
      <c r="J73" s="493" t="s">
        <v>8</v>
      </c>
      <c r="K73" s="493" t="s">
        <v>9</v>
      </c>
      <c r="L73" s="493" t="s">
        <v>51</v>
      </c>
      <c r="M73" s="493" t="s">
        <v>11</v>
      </c>
      <c r="N73" s="493" t="s">
        <v>12</v>
      </c>
      <c r="O73" s="496"/>
      <c r="P73" s="497"/>
    </row>
    <row r="74" spans="1:16" ht="15.75" customHeight="1" x14ac:dyDescent="0.25">
      <c r="A74" s="15" t="s">
        <v>24</v>
      </c>
      <c r="B74" s="529">
        <v>17000000</v>
      </c>
      <c r="C74" s="170">
        <v>14050000</v>
      </c>
      <c r="D74" s="441">
        <v>24030000</v>
      </c>
      <c r="E74" s="441">
        <v>32420000</v>
      </c>
      <c r="F74" s="520">
        <v>19150000</v>
      </c>
      <c r="G74" s="119">
        <v>21210000</v>
      </c>
      <c r="H74" s="132">
        <v>15350000</v>
      </c>
      <c r="I74" s="132">
        <v>16400000</v>
      </c>
      <c r="J74" s="133">
        <v>10120000</v>
      </c>
      <c r="K74" s="523">
        <v>1880000</v>
      </c>
      <c r="L74" s="194">
        <v>0</v>
      </c>
      <c r="M74" s="293">
        <v>0</v>
      </c>
      <c r="N74" s="120">
        <v>0</v>
      </c>
      <c r="O74" s="457">
        <f t="shared" ref="O74" si="8">SUM(C74:M74)</f>
        <v>154610000</v>
      </c>
      <c r="P74" s="376">
        <f t="shared" si="6"/>
        <v>-137610000</v>
      </c>
    </row>
    <row r="75" spans="1:16" ht="15.75" customHeight="1" x14ac:dyDescent="0.25">
      <c r="A75" t="s">
        <v>47</v>
      </c>
      <c r="B75" s="529">
        <v>17000000</v>
      </c>
      <c r="C75" s="387">
        <v>15175100</v>
      </c>
      <c r="D75" s="235">
        <v>10270000</v>
      </c>
      <c r="E75" s="235">
        <v>0</v>
      </c>
      <c r="F75" s="521">
        <v>20420000</v>
      </c>
      <c r="G75" s="216">
        <v>25340000</v>
      </c>
      <c r="H75" s="279">
        <v>15850000</v>
      </c>
      <c r="I75" s="132">
        <v>0</v>
      </c>
      <c r="J75" s="132">
        <v>0</v>
      </c>
      <c r="K75" s="165">
        <v>0</v>
      </c>
      <c r="L75" s="21">
        <v>0</v>
      </c>
      <c r="M75" s="293">
        <v>0</v>
      </c>
      <c r="N75" s="120">
        <v>0</v>
      </c>
      <c r="O75" s="457">
        <f>SUM(C75:N75)</f>
        <v>87055100</v>
      </c>
      <c r="P75" s="376">
        <f t="shared" si="6"/>
        <v>-70055100</v>
      </c>
    </row>
    <row r="76" spans="1:16" ht="15.75" customHeight="1" x14ac:dyDescent="0.25">
      <c r="A76" s="194" t="s">
        <v>66</v>
      </c>
      <c r="B76" s="529">
        <v>17000000</v>
      </c>
      <c r="C76" s="442">
        <v>17240000</v>
      </c>
      <c r="D76" s="78">
        <v>3350000</v>
      </c>
      <c r="E76" s="78">
        <v>0</v>
      </c>
      <c r="F76" s="422">
        <v>0</v>
      </c>
      <c r="G76" s="218">
        <v>0</v>
      </c>
      <c r="H76" s="330">
        <v>0</v>
      </c>
      <c r="I76" s="330">
        <v>0</v>
      </c>
      <c r="J76">
        <v>0</v>
      </c>
      <c r="K76" s="486">
        <v>0</v>
      </c>
      <c r="L76" s="330">
        <v>0</v>
      </c>
      <c r="M76" s="442">
        <v>0</v>
      </c>
      <c r="N76" s="330">
        <v>0</v>
      </c>
      <c r="O76" s="457">
        <f>SUM(C76:N76)</f>
        <v>20590000</v>
      </c>
      <c r="P76" s="376">
        <f t="shared" si="6"/>
        <v>-3590000</v>
      </c>
    </row>
    <row r="77" spans="1:16" ht="15.75" customHeight="1" x14ac:dyDescent="0.25">
      <c r="A77" s="515" t="s">
        <v>67</v>
      </c>
      <c r="B77" s="530">
        <v>17000000</v>
      </c>
      <c r="C77" s="452">
        <v>6800000</v>
      </c>
      <c r="D77" s="397">
        <v>9770000</v>
      </c>
      <c r="E77" s="397">
        <v>12000000</v>
      </c>
      <c r="F77" s="397">
        <v>8750000</v>
      </c>
      <c r="G77" s="397">
        <v>9430000</v>
      </c>
      <c r="H77" s="398">
        <v>18700000</v>
      </c>
      <c r="I77" s="398">
        <v>18882999</v>
      </c>
      <c r="J77" s="78">
        <v>8030000</v>
      </c>
      <c r="K77" s="518">
        <v>15620000</v>
      </c>
      <c r="L77" s="398">
        <v>15380000</v>
      </c>
      <c r="M77" s="516">
        <v>7300000</v>
      </c>
      <c r="N77" s="398">
        <v>0</v>
      </c>
      <c r="O77" s="519">
        <f t="shared" ref="O77:O85" si="9">SUM(C77:M77)</f>
        <v>130662999</v>
      </c>
      <c r="P77" s="399">
        <f t="shared" si="6"/>
        <v>-113662999</v>
      </c>
    </row>
    <row r="78" spans="1:16" ht="15.75" customHeight="1" x14ac:dyDescent="0.25">
      <c r="A78" s="341" t="s">
        <v>68</v>
      </c>
      <c r="B78" s="530">
        <v>17000000</v>
      </c>
      <c r="C78" s="232">
        <v>0</v>
      </c>
      <c r="D78" s="78">
        <v>1700000</v>
      </c>
      <c r="E78" s="231">
        <v>0</v>
      </c>
      <c r="F78" s="422">
        <v>0</v>
      </c>
      <c r="G78" s="218">
        <v>0</v>
      </c>
      <c r="H78" s="205">
        <v>0</v>
      </c>
      <c r="I78" s="205">
        <v>0</v>
      </c>
      <c r="J78" s="218">
        <v>0</v>
      </c>
      <c r="K78" s="218">
        <v>0</v>
      </c>
      <c r="L78" s="78">
        <v>4850000</v>
      </c>
      <c r="M78" s="330">
        <v>13470000</v>
      </c>
      <c r="N78" s="330">
        <v>10325000</v>
      </c>
      <c r="O78" s="519">
        <f t="shared" si="9"/>
        <v>20020000</v>
      </c>
      <c r="P78" s="399">
        <f t="shared" si="6"/>
        <v>-3020000</v>
      </c>
    </row>
    <row r="79" spans="1:16" ht="15.75" customHeight="1" x14ac:dyDescent="0.25">
      <c r="A79" s="341" t="s">
        <v>69</v>
      </c>
      <c r="B79" s="530">
        <v>17000000</v>
      </c>
      <c r="C79" s="422">
        <v>0</v>
      </c>
      <c r="D79" s="422">
        <v>0</v>
      </c>
      <c r="E79" s="64">
        <v>8320000</v>
      </c>
      <c r="F79" s="78">
        <v>6150000</v>
      </c>
      <c r="G79" s="78">
        <v>10150000</v>
      </c>
      <c r="H79" s="78">
        <v>9850000</v>
      </c>
      <c r="I79" s="78">
        <v>9600000</v>
      </c>
      <c r="J79" s="218">
        <v>0</v>
      </c>
      <c r="K79" s="218">
        <v>0</v>
      </c>
      <c r="L79" s="218">
        <v>0</v>
      </c>
      <c r="M79" s="205">
        <v>0</v>
      </c>
      <c r="N79" s="218">
        <v>0</v>
      </c>
      <c r="O79" s="519">
        <f t="shared" si="9"/>
        <v>44070000</v>
      </c>
      <c r="P79" s="399">
        <f t="shared" si="6"/>
        <v>-27070000</v>
      </c>
    </row>
    <row r="80" spans="1:16" ht="15.75" customHeight="1" x14ac:dyDescent="0.25">
      <c r="A80" s="341" t="s">
        <v>70</v>
      </c>
      <c r="B80" s="530">
        <v>17000000</v>
      </c>
      <c r="C80" s="422">
        <v>0</v>
      </c>
      <c r="D80" s="422">
        <v>0</v>
      </c>
      <c r="E80" s="64">
        <v>5110000</v>
      </c>
      <c r="F80" s="78">
        <v>4530000</v>
      </c>
      <c r="G80" s="78">
        <v>10629793</v>
      </c>
      <c r="H80" s="330">
        <v>25687000</v>
      </c>
      <c r="I80" s="330">
        <v>28830000</v>
      </c>
      <c r="J80" s="330">
        <v>15190000</v>
      </c>
      <c r="K80" s="330">
        <v>22100000</v>
      </c>
      <c r="L80" s="330">
        <v>16760000</v>
      </c>
      <c r="M80" s="442">
        <v>20590000</v>
      </c>
      <c r="N80" s="330">
        <v>24210000</v>
      </c>
      <c r="O80" s="519">
        <f t="shared" si="9"/>
        <v>149426793</v>
      </c>
      <c r="P80" s="399">
        <f t="shared" si="6"/>
        <v>-132426793</v>
      </c>
    </row>
    <row r="81" spans="1:16" ht="15.75" customHeight="1" x14ac:dyDescent="0.25">
      <c r="A81" s="515" t="s">
        <v>71</v>
      </c>
      <c r="B81" s="531">
        <v>17000000</v>
      </c>
      <c r="C81" s="454"/>
      <c r="D81" s="454">
        <v>0</v>
      </c>
      <c r="E81" s="517">
        <v>0</v>
      </c>
      <c r="F81" s="517">
        <v>0</v>
      </c>
      <c r="G81" s="397">
        <v>2200000</v>
      </c>
      <c r="H81" s="397">
        <v>5530000</v>
      </c>
      <c r="I81" s="397">
        <v>13990000</v>
      </c>
      <c r="J81" s="397">
        <v>7230000</v>
      </c>
      <c r="K81" s="398">
        <v>15730000</v>
      </c>
      <c r="L81" s="398">
        <v>17873000</v>
      </c>
      <c r="M81" s="398">
        <v>12350000</v>
      </c>
      <c r="N81" s="398">
        <v>15250000</v>
      </c>
      <c r="O81" s="519">
        <f t="shared" si="9"/>
        <v>74903000</v>
      </c>
      <c r="P81" s="399">
        <f t="shared" si="6"/>
        <v>-57903000</v>
      </c>
    </row>
    <row r="82" spans="1:16" ht="15.75" customHeight="1" x14ac:dyDescent="0.25">
      <c r="A82" s="341" t="s">
        <v>72</v>
      </c>
      <c r="B82" s="531">
        <v>17000000</v>
      </c>
      <c r="C82" s="218">
        <v>0</v>
      </c>
      <c r="D82" s="218">
        <v>0</v>
      </c>
      <c r="E82" s="218">
        <v>0</v>
      </c>
      <c r="F82" s="218">
        <v>0</v>
      </c>
      <c r="G82" s="218">
        <v>0</v>
      </c>
      <c r="H82" s="218"/>
      <c r="I82" s="330">
        <v>7300000</v>
      </c>
      <c r="J82" s="218">
        <v>0</v>
      </c>
      <c r="K82" s="218">
        <v>0</v>
      </c>
      <c r="L82" s="218">
        <v>0</v>
      </c>
      <c r="M82" s="218">
        <v>0</v>
      </c>
      <c r="N82" s="218">
        <v>0</v>
      </c>
      <c r="O82" s="519">
        <f t="shared" si="9"/>
        <v>7300000</v>
      </c>
      <c r="P82" s="399">
        <f t="shared" si="6"/>
        <v>9700000</v>
      </c>
    </row>
    <row r="83" spans="1:16" ht="15.75" customHeight="1" x14ac:dyDescent="0.25">
      <c r="A83" s="341" t="s">
        <v>73</v>
      </c>
      <c r="B83" s="531">
        <v>17000000</v>
      </c>
      <c r="C83" s="218">
        <v>0</v>
      </c>
      <c r="D83" s="218">
        <v>0</v>
      </c>
      <c r="E83" s="218">
        <v>0</v>
      </c>
      <c r="F83" s="218">
        <v>0</v>
      </c>
      <c r="G83" s="218">
        <v>0</v>
      </c>
      <c r="H83" s="218">
        <v>0</v>
      </c>
      <c r="I83" s="218">
        <v>0</v>
      </c>
      <c r="J83" s="78">
        <v>7250000</v>
      </c>
      <c r="K83" s="78">
        <v>10454000</v>
      </c>
      <c r="L83" s="78">
        <v>8050000</v>
      </c>
      <c r="M83" s="330">
        <v>19040000</v>
      </c>
      <c r="N83" s="486">
        <v>20620000</v>
      </c>
      <c r="O83" s="487">
        <f t="shared" si="9"/>
        <v>44794000</v>
      </c>
      <c r="P83" s="376">
        <f t="shared" si="6"/>
        <v>-27794000</v>
      </c>
    </row>
    <row r="84" spans="1:16" ht="15.75" customHeight="1" x14ac:dyDescent="0.25">
      <c r="A84" s="341" t="s">
        <v>74</v>
      </c>
      <c r="B84" s="531">
        <v>17000000</v>
      </c>
      <c r="C84" s="218">
        <v>0</v>
      </c>
      <c r="D84" s="218">
        <v>0</v>
      </c>
      <c r="E84" s="218">
        <v>0</v>
      </c>
      <c r="F84" s="218">
        <v>0</v>
      </c>
      <c r="G84" s="218">
        <v>0</v>
      </c>
      <c r="H84" s="218">
        <v>0</v>
      </c>
      <c r="I84" s="218">
        <v>0</v>
      </c>
      <c r="J84" s="78">
        <v>5400000</v>
      </c>
      <c r="K84" s="78">
        <v>11350000</v>
      </c>
      <c r="L84" s="78">
        <v>2300000</v>
      </c>
      <c r="M84" s="218">
        <v>0</v>
      </c>
      <c r="N84" s="522">
        <v>0</v>
      </c>
      <c r="O84" s="487">
        <f t="shared" si="9"/>
        <v>19050000</v>
      </c>
      <c r="P84" s="376">
        <f t="shared" si="6"/>
        <v>-2050000</v>
      </c>
    </row>
    <row r="85" spans="1:16" ht="15.75" customHeight="1" x14ac:dyDescent="0.25">
      <c r="A85" s="341" t="s">
        <v>75</v>
      </c>
      <c r="B85" s="531">
        <v>17000000</v>
      </c>
      <c r="C85" s="218"/>
      <c r="D85" s="218"/>
      <c r="E85" s="218"/>
      <c r="F85" s="218"/>
      <c r="G85" s="218"/>
      <c r="H85" s="218"/>
      <c r="I85" s="218"/>
      <c r="J85" s="78">
        <v>1800000</v>
      </c>
      <c r="K85" s="78">
        <v>14850000</v>
      </c>
      <c r="L85" s="78">
        <v>13200000</v>
      </c>
      <c r="M85" s="218">
        <v>0</v>
      </c>
      <c r="N85" s="522"/>
      <c r="O85" s="487">
        <f t="shared" si="9"/>
        <v>29850000</v>
      </c>
      <c r="P85" s="376">
        <f t="shared" si="6"/>
        <v>-12850000</v>
      </c>
    </row>
    <row r="87" spans="1:16" ht="46.5" customHeight="1" x14ac:dyDescent="0.85">
      <c r="A87" s="607">
        <v>2022</v>
      </c>
    </row>
    <row r="88" spans="1:16" ht="37.5" customHeight="1" x14ac:dyDescent="0.5">
      <c r="A88" s="575" t="s">
        <v>0</v>
      </c>
      <c r="B88" s="576" t="s">
        <v>50</v>
      </c>
      <c r="C88" s="371" t="s">
        <v>1</v>
      </c>
      <c r="D88" s="371" t="s">
        <v>2</v>
      </c>
      <c r="E88" s="371" t="s">
        <v>3</v>
      </c>
      <c r="F88" s="371" t="s">
        <v>4</v>
      </c>
      <c r="G88" s="371" t="s">
        <v>5</v>
      </c>
      <c r="H88" s="371" t="s">
        <v>6</v>
      </c>
      <c r="I88" s="371" t="s">
        <v>7</v>
      </c>
      <c r="J88" s="371" t="s">
        <v>8</v>
      </c>
      <c r="K88" s="371" t="s">
        <v>9</v>
      </c>
      <c r="L88" s="371" t="s">
        <v>51</v>
      </c>
      <c r="M88" s="371" t="s">
        <v>11</v>
      </c>
      <c r="N88" s="581" t="s">
        <v>12</v>
      </c>
      <c r="O88" s="612" t="s">
        <v>13</v>
      </c>
    </row>
    <row r="89" spans="1:16" ht="15.75" customHeight="1" x14ac:dyDescent="0.25">
      <c r="A89" s="208" t="s">
        <v>76</v>
      </c>
      <c r="B89" s="583">
        <v>65000000</v>
      </c>
      <c r="C89" s="535">
        <v>69380000</v>
      </c>
      <c r="D89" s="535">
        <v>75170000</v>
      </c>
      <c r="E89" s="396">
        <v>58160000</v>
      </c>
      <c r="F89" s="396">
        <v>40900000</v>
      </c>
      <c r="G89" s="396">
        <v>58480000</v>
      </c>
      <c r="H89" s="396">
        <v>50850000</v>
      </c>
      <c r="I89" s="535">
        <v>65142730</v>
      </c>
      <c r="J89" s="535">
        <v>87841000</v>
      </c>
      <c r="K89" s="648"/>
      <c r="L89" s="648"/>
      <c r="M89" s="648"/>
      <c r="N89" s="595"/>
      <c r="O89" s="333">
        <f>SUM(C89:N89)</f>
        <v>505923730</v>
      </c>
    </row>
    <row r="90" spans="1:16" ht="15.75" customHeight="1" x14ac:dyDescent="0.25">
      <c r="A90" s="551" t="s">
        <v>18</v>
      </c>
      <c r="B90" s="583">
        <v>16000000</v>
      </c>
      <c r="C90" s="220">
        <v>17400000</v>
      </c>
      <c r="D90" s="220">
        <v>17450000</v>
      </c>
      <c r="E90" s="220">
        <v>16150000</v>
      </c>
      <c r="F90" s="220">
        <v>11300000</v>
      </c>
      <c r="G90" s="220">
        <v>19330000</v>
      </c>
      <c r="H90" s="220">
        <v>16650000</v>
      </c>
      <c r="I90" s="220">
        <v>21850000</v>
      </c>
      <c r="J90" s="220">
        <v>7100000</v>
      </c>
      <c r="K90" s="220"/>
      <c r="L90" s="194"/>
      <c r="M90" s="194"/>
      <c r="N90" s="252"/>
      <c r="O90" s="220">
        <f t="shared" ref="O90:O99" si="10">SUM(C90:N90)</f>
        <v>127230000</v>
      </c>
    </row>
    <row r="91" spans="1:16" ht="15.75" customHeight="1" x14ac:dyDescent="0.25">
      <c r="A91" s="551" t="s">
        <v>55</v>
      </c>
      <c r="B91" s="583">
        <v>16000000</v>
      </c>
      <c r="C91" s="220">
        <v>20730000</v>
      </c>
      <c r="D91" s="220">
        <v>18750000</v>
      </c>
      <c r="E91" s="220">
        <v>16250000</v>
      </c>
      <c r="F91" s="220">
        <v>11300000</v>
      </c>
      <c r="G91" s="220">
        <v>16300000</v>
      </c>
      <c r="H91" s="220">
        <v>16700000</v>
      </c>
      <c r="I91" s="220">
        <v>21200000</v>
      </c>
      <c r="J91" s="220">
        <v>26582000</v>
      </c>
      <c r="K91" s="220"/>
      <c r="L91" s="194"/>
      <c r="M91" s="194"/>
      <c r="N91" s="252"/>
      <c r="O91" s="220">
        <f t="shared" si="10"/>
        <v>147812000</v>
      </c>
    </row>
    <row r="92" spans="1:16" ht="15.75" customHeight="1" x14ac:dyDescent="0.25">
      <c r="A92" s="551" t="s">
        <v>59</v>
      </c>
      <c r="B92" s="583">
        <v>15000000</v>
      </c>
      <c r="C92" s="220">
        <v>19450000</v>
      </c>
      <c r="D92" s="220">
        <v>16450000</v>
      </c>
      <c r="E92" s="220">
        <v>14850000</v>
      </c>
      <c r="F92" s="220">
        <v>2300000</v>
      </c>
      <c r="G92" s="220">
        <v>3650000</v>
      </c>
      <c r="H92" s="194">
        <v>0</v>
      </c>
      <c r="I92" s="194"/>
      <c r="J92" s="194">
        <v>0</v>
      </c>
      <c r="K92" s="194"/>
      <c r="L92" s="194"/>
      <c r="M92" s="194"/>
      <c r="N92" s="252"/>
      <c r="O92" s="220">
        <f t="shared" si="10"/>
        <v>56700000</v>
      </c>
    </row>
    <row r="93" spans="1:16" ht="16.5" customHeight="1" x14ac:dyDescent="0.25">
      <c r="A93" s="551" t="s">
        <v>64</v>
      </c>
      <c r="B93" s="583">
        <v>15000000</v>
      </c>
      <c r="C93" s="220">
        <v>8850000</v>
      </c>
      <c r="D93" s="220">
        <v>14170000</v>
      </c>
      <c r="E93" s="220">
        <v>9660000</v>
      </c>
      <c r="F93" s="220">
        <v>11250000</v>
      </c>
      <c r="G93" s="220">
        <v>17490000</v>
      </c>
      <c r="H93" s="201">
        <v>9650000</v>
      </c>
      <c r="I93" s="220">
        <v>12200000</v>
      </c>
      <c r="J93" s="220">
        <v>20050000</v>
      </c>
      <c r="K93" s="194"/>
      <c r="L93" s="194"/>
      <c r="M93" s="194"/>
      <c r="N93" s="252"/>
      <c r="O93" s="220">
        <f t="shared" si="10"/>
        <v>103320000</v>
      </c>
    </row>
    <row r="94" spans="1:16" ht="16.5" customHeight="1" x14ac:dyDescent="0.25">
      <c r="A94" s="551" t="s">
        <v>77</v>
      </c>
      <c r="B94" s="583">
        <v>15000000</v>
      </c>
      <c r="C94" s="220"/>
      <c r="D94" s="220"/>
      <c r="E94" s="220"/>
      <c r="F94" s="220"/>
      <c r="G94" s="220"/>
      <c r="H94" s="220">
        <v>6750000</v>
      </c>
      <c r="I94" s="220">
        <v>1900000</v>
      </c>
      <c r="J94" s="220">
        <f>SUM(H94:I94)</f>
        <v>8650000</v>
      </c>
      <c r="K94" s="194"/>
      <c r="L94" s="194"/>
      <c r="M94" s="194"/>
      <c r="N94" s="252"/>
      <c r="O94" s="220">
        <f>I94+H94</f>
        <v>8650000</v>
      </c>
    </row>
    <row r="95" spans="1:16" ht="16.5" customHeight="1" x14ac:dyDescent="0.25">
      <c r="A95" s="551" t="s">
        <v>78</v>
      </c>
      <c r="B95" s="583">
        <v>15000000</v>
      </c>
      <c r="C95" s="220">
        <v>0</v>
      </c>
      <c r="D95" s="220">
        <v>0</v>
      </c>
      <c r="E95" s="220">
        <v>0</v>
      </c>
      <c r="F95" s="220">
        <v>0</v>
      </c>
      <c r="G95" s="220">
        <v>0</v>
      </c>
      <c r="H95" s="220">
        <v>0</v>
      </c>
      <c r="I95" s="220">
        <v>0</v>
      </c>
      <c r="J95" s="220">
        <v>2000000</v>
      </c>
      <c r="K95" s="220"/>
      <c r="L95" s="194"/>
      <c r="M95" s="194"/>
      <c r="N95" s="252"/>
      <c r="O95" s="220"/>
    </row>
    <row r="96" spans="1:16" ht="15.75" customHeight="1" x14ac:dyDescent="0.25">
      <c r="A96" s="571" t="s">
        <v>20</v>
      </c>
      <c r="B96" s="604"/>
      <c r="C96" s="605"/>
      <c r="D96" s="602"/>
      <c r="E96" s="602"/>
      <c r="F96" s="602"/>
      <c r="G96" s="602"/>
      <c r="H96" s="602"/>
      <c r="I96" s="602"/>
      <c r="J96" s="602"/>
      <c r="K96" s="602"/>
      <c r="L96" s="602"/>
      <c r="M96" s="602"/>
      <c r="N96" s="606"/>
      <c r="O96" s="605"/>
    </row>
    <row r="97" spans="1:15" ht="15.75" customHeight="1" x14ac:dyDescent="0.25">
      <c r="A97" s="551" t="s">
        <v>79</v>
      </c>
      <c r="B97" s="583">
        <v>16500000</v>
      </c>
      <c r="C97" s="220">
        <v>17350000</v>
      </c>
      <c r="D97" s="220">
        <v>21700000</v>
      </c>
      <c r="E97" s="220">
        <v>20280000</v>
      </c>
      <c r="F97" s="220">
        <v>7550000</v>
      </c>
      <c r="G97" s="220">
        <v>17040000</v>
      </c>
      <c r="H97" s="220">
        <v>16620000</v>
      </c>
      <c r="I97" s="220">
        <v>27272730</v>
      </c>
      <c r="J97" s="220">
        <v>26374000</v>
      </c>
      <c r="K97" s="194"/>
      <c r="L97" s="194"/>
      <c r="M97" s="194"/>
      <c r="N97" s="252"/>
      <c r="O97" s="271">
        <f t="shared" si="10"/>
        <v>154186730</v>
      </c>
    </row>
    <row r="98" spans="1:15" ht="15.75" customHeight="1" x14ac:dyDescent="0.25">
      <c r="A98" s="551" t="s">
        <v>73</v>
      </c>
      <c r="B98" s="583">
        <v>16500000</v>
      </c>
      <c r="C98" s="220">
        <v>21680000</v>
      </c>
      <c r="D98" s="220">
        <v>25770000</v>
      </c>
      <c r="E98" s="220">
        <v>23580000</v>
      </c>
      <c r="F98" s="220">
        <v>19200000</v>
      </c>
      <c r="G98" s="220">
        <v>25680000</v>
      </c>
      <c r="H98" s="220">
        <v>13550000</v>
      </c>
      <c r="I98" s="220">
        <v>27270000</v>
      </c>
      <c r="J98" s="220">
        <v>24350000</v>
      </c>
      <c r="K98" s="194"/>
      <c r="L98" s="194"/>
      <c r="M98" s="194"/>
      <c r="N98" s="252"/>
      <c r="O98" s="220">
        <f t="shared" si="10"/>
        <v>181080000</v>
      </c>
    </row>
    <row r="99" spans="1:15" ht="15.75" customHeight="1" x14ac:dyDescent="0.25">
      <c r="A99" s="551" t="s">
        <v>80</v>
      </c>
      <c r="B99" s="583">
        <v>16500000</v>
      </c>
      <c r="C99" s="194"/>
      <c r="D99" s="194"/>
      <c r="E99" s="194"/>
      <c r="F99" s="220">
        <v>1650000</v>
      </c>
      <c r="G99" s="220">
        <v>11600000</v>
      </c>
      <c r="H99" s="220">
        <v>11780000</v>
      </c>
      <c r="I99" s="194">
        <v>0</v>
      </c>
      <c r="J99" s="194">
        <v>0</v>
      </c>
      <c r="K99" s="194"/>
      <c r="L99" s="194"/>
      <c r="M99" s="194"/>
      <c r="N99" s="252"/>
      <c r="O99" s="220">
        <f t="shared" si="10"/>
        <v>25030000</v>
      </c>
    </row>
    <row r="100" spans="1:15" ht="15.75" customHeight="1" x14ac:dyDescent="0.25">
      <c r="A100" s="551" t="s">
        <v>81</v>
      </c>
      <c r="B100" s="583">
        <v>16500000</v>
      </c>
      <c r="C100" s="194">
        <v>0</v>
      </c>
      <c r="D100" s="194">
        <v>0</v>
      </c>
      <c r="E100" s="194">
        <v>0</v>
      </c>
      <c r="F100" s="194">
        <v>0</v>
      </c>
      <c r="G100" s="220">
        <v>2150000</v>
      </c>
      <c r="H100" s="220">
        <v>8900000</v>
      </c>
      <c r="I100" s="194">
        <v>0</v>
      </c>
      <c r="J100" s="194">
        <v>0</v>
      </c>
      <c r="K100" s="194"/>
      <c r="L100" s="194"/>
      <c r="M100" s="194"/>
      <c r="O100" s="220">
        <f>G100+H100</f>
        <v>11050000</v>
      </c>
    </row>
    <row r="101" spans="1:15" ht="15.75" customHeight="1" x14ac:dyDescent="0.25">
      <c r="A101" s="551" t="s">
        <v>68</v>
      </c>
      <c r="B101" s="583">
        <v>16500000</v>
      </c>
      <c r="C101" s="220">
        <v>16800000</v>
      </c>
      <c r="D101" s="220">
        <v>21600000</v>
      </c>
      <c r="E101" s="220">
        <v>10650000</v>
      </c>
      <c r="F101" s="220">
        <v>8200000</v>
      </c>
      <c r="G101" s="194">
        <v>0</v>
      </c>
      <c r="H101" s="194">
        <v>0</v>
      </c>
      <c r="I101" s="194">
        <v>0</v>
      </c>
      <c r="J101" s="194">
        <v>0</v>
      </c>
      <c r="K101" s="194"/>
      <c r="L101" s="194"/>
      <c r="M101" s="194"/>
      <c r="N101" s="252"/>
      <c r="O101" s="220">
        <f t="shared" ref="O101:O102" si="11">SUM(C101:N101)</f>
        <v>57250000</v>
      </c>
    </row>
    <row r="102" spans="1:15" ht="15.75" customHeight="1" x14ac:dyDescent="0.25">
      <c r="A102" s="649" t="s">
        <v>71</v>
      </c>
      <c r="B102" s="622">
        <v>16500000</v>
      </c>
      <c r="C102" s="271">
        <v>12850000</v>
      </c>
      <c r="D102" s="271">
        <v>5100000</v>
      </c>
      <c r="E102" s="354">
        <v>0</v>
      </c>
      <c r="F102" s="354">
        <v>0</v>
      </c>
      <c r="G102" s="354">
        <v>0</v>
      </c>
      <c r="H102" s="354">
        <v>0</v>
      </c>
      <c r="I102" s="354">
        <v>0</v>
      </c>
      <c r="J102" s="354">
        <v>0</v>
      </c>
      <c r="K102" s="354"/>
      <c r="L102" s="354"/>
      <c r="M102" s="354"/>
      <c r="N102" s="355"/>
      <c r="O102" s="220">
        <f t="shared" si="11"/>
        <v>17950000</v>
      </c>
    </row>
    <row r="103" spans="1:15" ht="15.75" customHeight="1" x14ac:dyDescent="0.25">
      <c r="A103" s="551" t="s">
        <v>82</v>
      </c>
      <c r="B103" s="622">
        <v>16500000</v>
      </c>
      <c r="C103" s="194">
        <v>0</v>
      </c>
      <c r="D103" s="194">
        <v>0</v>
      </c>
      <c r="E103" s="194">
        <v>0</v>
      </c>
      <c r="F103" s="194">
        <v>0</v>
      </c>
      <c r="G103" s="194">
        <v>0</v>
      </c>
      <c r="H103" s="194">
        <v>0</v>
      </c>
      <c r="I103" s="220">
        <v>4250000</v>
      </c>
      <c r="J103" s="194">
        <f>SUM(C103:I103)</f>
        <v>4250000</v>
      </c>
      <c r="K103" s="194"/>
      <c r="L103" s="194"/>
      <c r="M103" s="194"/>
      <c r="N103" s="194"/>
      <c r="O103" s="286">
        <v>4250000</v>
      </c>
    </row>
    <row r="104" spans="1:15" ht="15.75" customHeight="1" x14ac:dyDescent="0.25">
      <c r="A104" s="551" t="s">
        <v>83</v>
      </c>
      <c r="B104" s="622">
        <v>16500000</v>
      </c>
      <c r="C104" s="194"/>
      <c r="D104" s="194"/>
      <c r="E104" s="194"/>
      <c r="F104" s="194"/>
      <c r="G104" s="194"/>
      <c r="H104" s="194"/>
      <c r="I104" s="194"/>
      <c r="J104" s="220">
        <v>3800000</v>
      </c>
      <c r="K104" s="194"/>
      <c r="L104" s="194"/>
      <c r="M104" s="194"/>
      <c r="N104" s="194"/>
      <c r="O104" s="194"/>
    </row>
    <row r="105" spans="1:15" ht="15.75" customHeight="1" x14ac:dyDescent="0.25">
      <c r="A105" s="551" t="s">
        <v>84</v>
      </c>
      <c r="B105" s="622">
        <v>16500000</v>
      </c>
      <c r="C105" s="194"/>
      <c r="D105" s="194"/>
      <c r="E105" s="194"/>
      <c r="F105" s="194"/>
      <c r="G105" s="194"/>
      <c r="H105" s="194"/>
      <c r="I105" s="194"/>
      <c r="J105" s="220">
        <v>3200000</v>
      </c>
      <c r="K105" s="194"/>
      <c r="L105" s="194"/>
      <c r="M105" s="194"/>
      <c r="N105" s="194"/>
      <c r="O105" s="194"/>
    </row>
  </sheetData>
  <pageMargins left="0" right="0" top="0" bottom="0" header="0" footer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3687-5491-4298-93B1-7869575C32D4}">
  <dimension ref="A1:O10"/>
  <sheetViews>
    <sheetView topLeftCell="B1" workbookViewId="0">
      <selection activeCell="I21" sqref="I21"/>
    </sheetView>
  </sheetViews>
  <sheetFormatPr baseColWidth="10" defaultColWidth="8.88671875" defaultRowHeight="13.2" x14ac:dyDescent="0.25"/>
  <cols>
    <col min="1" max="1" width="46.88671875" customWidth="1"/>
    <col min="2" max="2" width="21.6640625" customWidth="1"/>
    <col min="3" max="3" width="15" customWidth="1"/>
    <col min="4" max="4" width="12.5546875" customWidth="1"/>
    <col min="5" max="5" width="13.44140625" customWidth="1"/>
    <col min="6" max="7" width="12.88671875" bestFit="1" customWidth="1"/>
    <col min="8" max="8" width="13.88671875" customWidth="1"/>
    <col min="9" max="9" width="12.88671875" customWidth="1"/>
    <col min="10" max="11" width="18.6640625" customWidth="1"/>
    <col min="12" max="14" width="18.6640625" hidden="1" customWidth="1"/>
    <col min="15" max="15" width="18.6640625" customWidth="1"/>
  </cols>
  <sheetData>
    <row r="1" spans="1:15" ht="30" x14ac:dyDescent="0.5">
      <c r="A1" s="575" t="s">
        <v>85</v>
      </c>
      <c r="B1" s="576" t="s">
        <v>50</v>
      </c>
      <c r="C1" s="371" t="s">
        <v>1</v>
      </c>
      <c r="D1" s="371" t="s">
        <v>2</v>
      </c>
      <c r="E1" s="371" t="s">
        <v>3</v>
      </c>
      <c r="F1" s="371" t="s">
        <v>4</v>
      </c>
      <c r="G1" s="371" t="s">
        <v>5</v>
      </c>
      <c r="H1" s="371" t="s">
        <v>6</v>
      </c>
      <c r="I1" s="371" t="s">
        <v>7</v>
      </c>
      <c r="J1" s="371" t="s">
        <v>8</v>
      </c>
      <c r="K1" s="371" t="s">
        <v>9</v>
      </c>
      <c r="L1" s="371" t="s">
        <v>51</v>
      </c>
      <c r="M1" s="371" t="s">
        <v>11</v>
      </c>
      <c r="N1" s="581" t="s">
        <v>12</v>
      </c>
      <c r="O1" s="612" t="s">
        <v>13</v>
      </c>
    </row>
    <row r="2" spans="1:15" ht="15.6" x14ac:dyDescent="0.3">
      <c r="A2" s="665" t="s">
        <v>86</v>
      </c>
      <c r="B2" s="666">
        <v>35000000</v>
      </c>
      <c r="C2" s="667">
        <v>33500000</v>
      </c>
      <c r="D2" s="668">
        <v>29920000</v>
      </c>
      <c r="E2" s="667">
        <v>33500000</v>
      </c>
      <c r="F2" s="667">
        <v>28120000</v>
      </c>
      <c r="G2" s="666">
        <v>44430000</v>
      </c>
      <c r="H2" s="668">
        <v>24100000</v>
      </c>
      <c r="I2" s="667">
        <v>26350000</v>
      </c>
      <c r="J2" s="668">
        <v>32585000</v>
      </c>
      <c r="K2" s="669"/>
      <c r="L2" s="669"/>
      <c r="M2" s="669"/>
      <c r="N2" s="669"/>
      <c r="O2" s="671">
        <f>C2+I2+H2+G2+F2+E2+D2</f>
        <v>219920000</v>
      </c>
    </row>
    <row r="3" spans="1:15" ht="15.6" x14ac:dyDescent="0.3">
      <c r="A3" s="644" t="s">
        <v>60</v>
      </c>
      <c r="B3" s="670">
        <v>13000000</v>
      </c>
      <c r="C3" s="671">
        <v>14500000</v>
      </c>
      <c r="D3" s="671">
        <v>14520000</v>
      </c>
      <c r="E3" s="671">
        <v>17600000</v>
      </c>
      <c r="F3" s="671">
        <v>8900000</v>
      </c>
      <c r="G3" s="671">
        <v>22500000</v>
      </c>
      <c r="H3" s="671">
        <v>10600000</v>
      </c>
      <c r="I3" s="671">
        <v>16400000</v>
      </c>
      <c r="J3" s="671">
        <v>17450000</v>
      </c>
      <c r="K3" s="669"/>
      <c r="L3" s="669"/>
      <c r="M3" s="669"/>
      <c r="N3" s="425"/>
      <c r="O3" s="671">
        <v>105020000</v>
      </c>
    </row>
    <row r="4" spans="1:15" ht="15.6" x14ac:dyDescent="0.3">
      <c r="A4" s="644" t="s">
        <v>87</v>
      </c>
      <c r="B4" s="670">
        <v>13000000</v>
      </c>
      <c r="C4" s="671">
        <v>13400000</v>
      </c>
      <c r="D4" s="671">
        <v>15400000</v>
      </c>
      <c r="E4" s="671">
        <v>13750000</v>
      </c>
      <c r="F4" s="671">
        <v>19220000</v>
      </c>
      <c r="G4" s="671">
        <v>12180000</v>
      </c>
      <c r="H4" s="669">
        <v>0</v>
      </c>
      <c r="I4" s="669">
        <v>0</v>
      </c>
      <c r="J4" s="669">
        <v>0</v>
      </c>
      <c r="K4" s="669"/>
      <c r="L4" s="669"/>
      <c r="M4" s="669"/>
      <c r="N4" s="669"/>
      <c r="O4" s="671">
        <v>73950000</v>
      </c>
    </row>
    <row r="5" spans="1:15" ht="15.6" x14ac:dyDescent="0.3">
      <c r="A5" s="644" t="s">
        <v>88</v>
      </c>
      <c r="B5" s="670">
        <v>13000000</v>
      </c>
      <c r="C5" s="671"/>
      <c r="D5" s="671"/>
      <c r="E5" s="671"/>
      <c r="F5" s="671"/>
      <c r="G5" s="671"/>
      <c r="H5" s="671">
        <v>7650000</v>
      </c>
      <c r="I5" s="671">
        <v>0</v>
      </c>
      <c r="J5" s="669">
        <v>0</v>
      </c>
      <c r="K5" s="669"/>
      <c r="L5" s="669"/>
      <c r="M5" s="669"/>
      <c r="N5" s="669"/>
      <c r="O5" s="671">
        <v>7650000</v>
      </c>
    </row>
    <row r="6" spans="1:15" ht="15.6" x14ac:dyDescent="0.3">
      <c r="A6" s="644" t="s">
        <v>89</v>
      </c>
      <c r="B6" s="670">
        <v>13000000</v>
      </c>
      <c r="C6" s="671"/>
      <c r="D6" s="671"/>
      <c r="E6" s="671"/>
      <c r="F6" s="671"/>
      <c r="G6" s="671"/>
      <c r="H6" s="671">
        <v>5850000</v>
      </c>
      <c r="I6" s="671">
        <v>9950000</v>
      </c>
      <c r="J6" s="671">
        <v>13285000</v>
      </c>
      <c r="K6" s="669"/>
      <c r="L6" s="669"/>
      <c r="M6" s="669"/>
      <c r="N6" s="669"/>
      <c r="O6" s="671">
        <f>H6+I6</f>
        <v>15800000</v>
      </c>
    </row>
    <row r="7" spans="1:15" ht="15.6" x14ac:dyDescent="0.3">
      <c r="A7" s="672" t="s">
        <v>20</v>
      </c>
      <c r="B7" s="673"/>
      <c r="C7" s="674"/>
      <c r="D7" s="674"/>
      <c r="E7" s="674"/>
      <c r="F7" s="674"/>
      <c r="G7" s="674"/>
      <c r="H7" s="674"/>
      <c r="I7" s="674"/>
      <c r="J7" s="674"/>
      <c r="K7" s="674"/>
      <c r="L7" s="674"/>
      <c r="M7" s="674"/>
      <c r="N7" s="674"/>
      <c r="O7" s="674"/>
    </row>
    <row r="8" spans="1:15" ht="15.6" x14ac:dyDescent="0.3">
      <c r="A8" s="644" t="s">
        <v>90</v>
      </c>
      <c r="B8" s="670">
        <v>17500000</v>
      </c>
      <c r="C8" s="671">
        <v>18392730</v>
      </c>
      <c r="D8" s="667">
        <v>16320000</v>
      </c>
      <c r="E8" s="671">
        <v>17650000</v>
      </c>
      <c r="F8" s="671">
        <v>15970000</v>
      </c>
      <c r="G8" s="671">
        <v>23400000</v>
      </c>
      <c r="H8" s="671">
        <v>11900000</v>
      </c>
      <c r="I8" s="671">
        <v>20610000</v>
      </c>
      <c r="J8" s="669"/>
      <c r="K8" s="669"/>
      <c r="L8" s="669"/>
      <c r="M8" s="669"/>
      <c r="N8" s="425"/>
      <c r="O8" s="671">
        <f>SUM(C8:M8)</f>
        <v>124242730</v>
      </c>
    </row>
    <row r="9" spans="1:15" ht="15.6" x14ac:dyDescent="0.3">
      <c r="A9" s="644" t="s">
        <v>91</v>
      </c>
      <c r="B9" s="670">
        <v>17500000</v>
      </c>
      <c r="C9" s="671">
        <v>14100000</v>
      </c>
      <c r="D9" s="667">
        <v>16250000</v>
      </c>
      <c r="E9" s="671">
        <v>17650000</v>
      </c>
      <c r="F9" s="671">
        <v>12150000</v>
      </c>
      <c r="G9" s="671">
        <v>15730000</v>
      </c>
      <c r="H9" s="671">
        <v>12200000</v>
      </c>
      <c r="I9" s="671">
        <v>21400000</v>
      </c>
      <c r="J9" s="671">
        <v>17735000</v>
      </c>
      <c r="K9" s="669"/>
      <c r="L9" s="669"/>
      <c r="M9" s="669"/>
      <c r="N9" s="669"/>
      <c r="O9" s="671">
        <f t="shared" ref="O9:O10" si="0">SUM(C9:M9)</f>
        <v>127215000</v>
      </c>
    </row>
    <row r="10" spans="1:15" ht="15.6" x14ac:dyDescent="0.3">
      <c r="A10" s="644"/>
      <c r="B10" s="669"/>
      <c r="C10" s="669"/>
      <c r="D10" s="669"/>
      <c r="E10" s="669"/>
      <c r="F10" s="669"/>
      <c r="G10" s="669"/>
      <c r="H10" s="669"/>
      <c r="I10" s="669"/>
      <c r="J10" s="669"/>
      <c r="K10" s="669"/>
      <c r="L10" s="669"/>
      <c r="M10" s="669"/>
      <c r="N10" s="669"/>
      <c r="O10" s="671">
        <f t="shared" si="0"/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15"/>
  <sheetViews>
    <sheetView topLeftCell="A79" workbookViewId="0">
      <selection activeCell="G80" sqref="G80"/>
    </sheetView>
  </sheetViews>
  <sheetFormatPr baseColWidth="10" defaultColWidth="14.44140625" defaultRowHeight="15.75" customHeight="1" x14ac:dyDescent="0.25"/>
  <cols>
    <col min="1" max="1" width="27.88671875" customWidth="1"/>
    <col min="2" max="2" width="22.109375" customWidth="1"/>
    <col min="3" max="3" width="19" customWidth="1"/>
    <col min="4" max="4" width="15.33203125" bestFit="1" customWidth="1"/>
    <col min="11" max="11" width="18" customWidth="1"/>
    <col min="12" max="14" width="18" hidden="1" customWidth="1"/>
    <col min="15" max="15" width="18" customWidth="1"/>
    <col min="16" max="16" width="18.88671875" customWidth="1"/>
    <col min="17" max="17" width="20.6640625" bestFit="1" customWidth="1"/>
  </cols>
  <sheetData>
    <row r="1" spans="1:16" ht="44.25" customHeight="1" x14ac:dyDescent="0.85">
      <c r="A1" s="362">
        <v>2018</v>
      </c>
      <c r="B1" s="7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31.5" customHeight="1" x14ac:dyDescent="0.5">
      <c r="A2" s="377" t="s">
        <v>92</v>
      </c>
      <c r="B2" s="378" t="s">
        <v>25</v>
      </c>
      <c r="C2" s="319" t="s">
        <v>1</v>
      </c>
      <c r="D2" s="319" t="s">
        <v>2</v>
      </c>
      <c r="E2" s="319" t="s">
        <v>3</v>
      </c>
      <c r="F2" s="319" t="s">
        <v>4</v>
      </c>
      <c r="G2" s="319" t="s">
        <v>5</v>
      </c>
      <c r="H2" s="319" t="s">
        <v>6</v>
      </c>
      <c r="I2" s="319" t="s">
        <v>7</v>
      </c>
      <c r="J2" s="319" t="s">
        <v>8</v>
      </c>
      <c r="K2" s="319" t="s">
        <v>9</v>
      </c>
      <c r="L2" s="319" t="s">
        <v>10</v>
      </c>
      <c r="M2" s="319" t="s">
        <v>11</v>
      </c>
      <c r="N2" s="319" t="s">
        <v>12</v>
      </c>
      <c r="O2" s="319" t="s">
        <v>13</v>
      </c>
    </row>
    <row r="3" spans="1:16" ht="13.2" x14ac:dyDescent="0.25">
      <c r="A3" s="12" t="s">
        <v>93</v>
      </c>
      <c r="B3" s="136">
        <v>42000000</v>
      </c>
      <c r="C3" s="16">
        <v>22970000</v>
      </c>
      <c r="D3" s="139">
        <v>38565000</v>
      </c>
      <c r="E3" s="139">
        <v>25245000</v>
      </c>
      <c r="F3" s="139">
        <v>20430030</v>
      </c>
      <c r="G3" s="139">
        <v>21968300</v>
      </c>
      <c r="H3" s="139">
        <v>32676240</v>
      </c>
      <c r="I3" s="139">
        <v>26780000</v>
      </c>
      <c r="J3" s="139">
        <v>43910000</v>
      </c>
      <c r="K3" s="139">
        <v>33140000</v>
      </c>
      <c r="L3" s="139">
        <v>32632000</v>
      </c>
      <c r="M3" s="139">
        <v>24136000</v>
      </c>
      <c r="N3" s="139">
        <v>22026000</v>
      </c>
      <c r="O3" s="27">
        <f t="shared" ref="O3:O8" si="0">SUM(C3:N3)</f>
        <v>344478570</v>
      </c>
    </row>
    <row r="4" spans="1:16" ht="13.8" x14ac:dyDescent="0.25">
      <c r="A4" s="15" t="s">
        <v>94</v>
      </c>
      <c r="B4" s="136">
        <v>13500000</v>
      </c>
      <c r="C4" s="17">
        <v>9140000</v>
      </c>
      <c r="D4" s="117">
        <v>10515000</v>
      </c>
      <c r="E4" s="26">
        <v>6550000</v>
      </c>
      <c r="F4" s="117">
        <v>11630600</v>
      </c>
      <c r="G4" s="117">
        <v>13050000</v>
      </c>
      <c r="H4" s="117">
        <v>10860000</v>
      </c>
      <c r="I4" s="117">
        <v>15375000</v>
      </c>
      <c r="J4" s="117">
        <v>11360000</v>
      </c>
      <c r="K4" s="117">
        <v>7500000</v>
      </c>
      <c r="L4" s="117">
        <v>12870000</v>
      </c>
      <c r="M4" s="117">
        <v>4765000</v>
      </c>
      <c r="N4" s="117">
        <v>7650000</v>
      </c>
      <c r="O4" s="21">
        <f t="shared" si="0"/>
        <v>121265600</v>
      </c>
    </row>
    <row r="5" spans="1:16" ht="13.8" x14ac:dyDescent="0.25">
      <c r="A5" s="15" t="s">
        <v>95</v>
      </c>
      <c r="B5" s="136">
        <v>13500000</v>
      </c>
      <c r="C5" s="17">
        <v>10430000</v>
      </c>
      <c r="D5" s="117">
        <v>12140000</v>
      </c>
      <c r="E5" s="117">
        <v>6240000</v>
      </c>
      <c r="F5" s="117">
        <v>13770000</v>
      </c>
      <c r="G5" s="26">
        <v>2350000</v>
      </c>
      <c r="H5" s="117">
        <v>9050000</v>
      </c>
      <c r="I5" s="117">
        <v>3140000</v>
      </c>
      <c r="J5" s="117">
        <v>13200000</v>
      </c>
      <c r="K5" s="117">
        <v>11460000</v>
      </c>
      <c r="L5" s="117">
        <v>9050000</v>
      </c>
      <c r="M5" s="117">
        <v>14211000</v>
      </c>
      <c r="N5" s="117">
        <v>3280000</v>
      </c>
      <c r="O5" s="21">
        <f t="shared" si="0"/>
        <v>108321000</v>
      </c>
    </row>
    <row r="6" spans="1:16" ht="13.8" x14ac:dyDescent="0.25">
      <c r="A6" s="15" t="s">
        <v>96</v>
      </c>
      <c r="B6" s="136">
        <v>13500000</v>
      </c>
      <c r="C6" s="29">
        <v>4050000</v>
      </c>
      <c r="D6" s="117">
        <v>13480000</v>
      </c>
      <c r="E6" s="26">
        <v>5650000</v>
      </c>
      <c r="F6" s="26">
        <v>4700000</v>
      </c>
      <c r="G6" s="26">
        <v>6568300</v>
      </c>
      <c r="H6" s="117">
        <v>10050000</v>
      </c>
      <c r="I6" s="117">
        <v>8265000</v>
      </c>
      <c r="J6" s="117">
        <v>19350000</v>
      </c>
      <c r="K6" s="117">
        <v>14180000</v>
      </c>
      <c r="L6" s="117">
        <v>10712000</v>
      </c>
      <c r="M6" s="117">
        <v>1960000</v>
      </c>
      <c r="N6" s="117">
        <v>3400000</v>
      </c>
      <c r="O6" s="21">
        <f t="shared" si="0"/>
        <v>102365300</v>
      </c>
    </row>
    <row r="7" spans="1:16" ht="13.2" x14ac:dyDescent="0.25">
      <c r="A7" s="15" t="s">
        <v>97</v>
      </c>
      <c r="B7" s="136"/>
      <c r="C7" s="30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2">
        <f t="shared" si="0"/>
        <v>0</v>
      </c>
    </row>
    <row r="8" spans="1:16" ht="13.2" x14ac:dyDescent="0.25">
      <c r="A8" s="15"/>
      <c r="B8" s="136"/>
      <c r="C8" s="22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22">
        <f t="shared" si="0"/>
        <v>0</v>
      </c>
    </row>
    <row r="9" spans="1:16" ht="13.2" x14ac:dyDescent="0.25">
      <c r="A9" s="48"/>
      <c r="B9" s="122"/>
      <c r="C9" s="140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3"/>
    </row>
    <row r="10" spans="1:16" ht="13.2" x14ac:dyDescent="0.25">
      <c r="A10" s="12" t="s">
        <v>20</v>
      </c>
      <c r="B10" s="141"/>
      <c r="C10" s="142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3">
        <v>0</v>
      </c>
    </row>
    <row r="11" spans="1:16" ht="13.2" x14ac:dyDescent="0.25">
      <c r="A11" s="318" t="s">
        <v>98</v>
      </c>
      <c r="B11" s="24"/>
      <c r="C11" s="144"/>
      <c r="D11" s="504"/>
      <c r="E11" s="504"/>
      <c r="F11" s="504"/>
      <c r="G11" s="504"/>
      <c r="H11" s="504"/>
      <c r="I11" s="504"/>
      <c r="J11" s="504"/>
      <c r="K11" s="504"/>
      <c r="L11" s="504"/>
      <c r="M11" s="504"/>
      <c r="N11" s="504"/>
      <c r="O11" s="145">
        <f t="shared" ref="O11:O13" si="1">SUM(C11:N11)</f>
        <v>0</v>
      </c>
    </row>
    <row r="12" spans="1:16" ht="13.2" x14ac:dyDescent="0.25">
      <c r="A12" s="318" t="s">
        <v>99</v>
      </c>
      <c r="B12" s="24"/>
      <c r="C12" s="146"/>
      <c r="D12" s="504"/>
      <c r="E12" s="504"/>
      <c r="F12" s="504"/>
      <c r="G12" s="504"/>
      <c r="H12" s="504"/>
      <c r="I12" s="504"/>
      <c r="J12" s="504"/>
      <c r="K12" s="504"/>
      <c r="L12" s="504"/>
      <c r="M12" s="504"/>
      <c r="N12" s="504"/>
      <c r="O12" s="145">
        <f t="shared" si="1"/>
        <v>0</v>
      </c>
    </row>
    <row r="13" spans="1:16" ht="13.2" x14ac:dyDescent="0.25">
      <c r="A13" s="318" t="s">
        <v>100</v>
      </c>
      <c r="B13" s="24"/>
      <c r="C13" s="146"/>
      <c r="D13" s="504"/>
      <c r="E13" s="504"/>
      <c r="F13" s="504"/>
      <c r="G13" s="504"/>
      <c r="H13" s="504"/>
      <c r="I13" s="504"/>
      <c r="J13" s="504"/>
      <c r="K13" s="504"/>
      <c r="L13" s="504"/>
      <c r="M13" s="504"/>
      <c r="N13" s="504"/>
      <c r="O13" s="145">
        <f t="shared" si="1"/>
        <v>0</v>
      </c>
    </row>
    <row r="15" spans="1:16" ht="41.25" customHeight="1" x14ac:dyDescent="0.85">
      <c r="A15" s="36">
        <v>2019</v>
      </c>
      <c r="B15" s="7"/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27.75" customHeight="1" x14ac:dyDescent="0.5">
      <c r="A16" s="3" t="s">
        <v>92</v>
      </c>
      <c r="B16" s="6" t="s">
        <v>101</v>
      </c>
      <c r="C16" s="5" t="s">
        <v>25</v>
      </c>
      <c r="D16" s="6" t="s">
        <v>1</v>
      </c>
      <c r="E16" s="6" t="s">
        <v>2</v>
      </c>
      <c r="F16" s="6" t="s">
        <v>3</v>
      </c>
      <c r="G16" s="6" t="s">
        <v>4</v>
      </c>
      <c r="H16" s="6" t="s">
        <v>5</v>
      </c>
      <c r="I16" s="6" t="s">
        <v>6</v>
      </c>
      <c r="J16" s="6" t="s">
        <v>7</v>
      </c>
      <c r="K16" s="6" t="s">
        <v>8</v>
      </c>
      <c r="L16" s="6" t="s">
        <v>9</v>
      </c>
      <c r="M16" s="6" t="s">
        <v>10</v>
      </c>
      <c r="N16" s="6" t="s">
        <v>11</v>
      </c>
      <c r="O16" s="324" t="s">
        <v>12</v>
      </c>
      <c r="P16" s="319" t="s">
        <v>13</v>
      </c>
    </row>
    <row r="17" spans="1:19" ht="13.2" x14ac:dyDescent="0.25">
      <c r="A17" s="38" t="s">
        <v>93</v>
      </c>
      <c r="B17" s="44">
        <v>640000000</v>
      </c>
      <c r="C17" s="44">
        <v>42000000</v>
      </c>
      <c r="D17" s="40">
        <v>28600000</v>
      </c>
      <c r="E17" s="41">
        <v>39540000</v>
      </c>
      <c r="F17" s="41">
        <v>36751000</v>
      </c>
      <c r="G17" s="41">
        <v>22140000</v>
      </c>
      <c r="H17" s="231" t="s">
        <v>102</v>
      </c>
      <c r="I17" s="41">
        <v>35070000</v>
      </c>
      <c r="J17" s="41">
        <v>37370000</v>
      </c>
      <c r="K17" s="41">
        <v>34340000</v>
      </c>
      <c r="L17" s="21">
        <v>39513000</v>
      </c>
      <c r="M17" s="21">
        <v>35700000</v>
      </c>
      <c r="N17" s="21">
        <v>29761000</v>
      </c>
      <c r="O17" s="294">
        <v>25880000</v>
      </c>
      <c r="P17" s="320">
        <f t="shared" ref="P17:P21" si="2">SUM(D17:O17)</f>
        <v>364665000</v>
      </c>
    </row>
    <row r="18" spans="1:19" ht="13.2" x14ac:dyDescent="0.25">
      <c r="A18" s="15" t="s">
        <v>94</v>
      </c>
      <c r="B18" s="44">
        <v>160000000</v>
      </c>
      <c r="C18" s="44">
        <v>10833333</v>
      </c>
      <c r="D18" s="30">
        <v>5400000</v>
      </c>
      <c r="E18" s="41">
        <v>10550000</v>
      </c>
      <c r="F18" s="21">
        <v>13011000</v>
      </c>
      <c r="G18" s="41">
        <v>6730000</v>
      </c>
      <c r="H18" s="56">
        <v>16720000</v>
      </c>
      <c r="I18" s="21">
        <v>12830000</v>
      </c>
      <c r="J18" s="21">
        <v>13020000</v>
      </c>
      <c r="K18" s="21">
        <v>11440000</v>
      </c>
      <c r="L18" s="21">
        <v>12830000</v>
      </c>
      <c r="M18" s="21">
        <v>9750000</v>
      </c>
      <c r="N18" s="21">
        <v>16050000</v>
      </c>
      <c r="O18" s="294">
        <v>13550000</v>
      </c>
      <c r="P18" s="321">
        <f t="shared" si="2"/>
        <v>141881000</v>
      </c>
    </row>
    <row r="19" spans="1:19" ht="13.2" x14ac:dyDescent="0.25">
      <c r="A19" s="15" t="s">
        <v>95</v>
      </c>
      <c r="B19" s="37">
        <v>160000000</v>
      </c>
      <c r="C19" s="44">
        <v>10833333</v>
      </c>
      <c r="D19" s="30">
        <v>6970000</v>
      </c>
      <c r="E19" s="21">
        <v>12370000</v>
      </c>
      <c r="F19" s="41">
        <v>7220000</v>
      </c>
      <c r="G19" s="41">
        <v>5350000</v>
      </c>
      <c r="H19" s="231" t="s">
        <v>103</v>
      </c>
      <c r="I19" s="21">
        <v>7120000</v>
      </c>
      <c r="J19" s="41">
        <v>4500000</v>
      </c>
      <c r="K19" s="41">
        <v>5850000</v>
      </c>
      <c r="L19" s="21">
        <v>11613000</v>
      </c>
      <c r="M19" s="21">
        <v>11750000</v>
      </c>
      <c r="N19" s="21">
        <v>6580000</v>
      </c>
      <c r="O19" s="294">
        <v>7150000</v>
      </c>
      <c r="P19" s="321">
        <f t="shared" si="2"/>
        <v>86473000</v>
      </c>
    </row>
    <row r="20" spans="1:19" ht="13.2" x14ac:dyDescent="0.25">
      <c r="A20" s="15" t="s">
        <v>96</v>
      </c>
      <c r="B20" s="37">
        <v>160000000</v>
      </c>
      <c r="C20" s="44">
        <v>10000000</v>
      </c>
      <c r="D20" s="22">
        <v>11050000</v>
      </c>
      <c r="E20" s="41">
        <v>4490000</v>
      </c>
      <c r="F20" s="41">
        <v>9700000</v>
      </c>
      <c r="G20" s="41">
        <v>9180000</v>
      </c>
      <c r="H20" s="231" t="s">
        <v>104</v>
      </c>
      <c r="I20" s="41">
        <v>7500000</v>
      </c>
      <c r="J20" s="41">
        <v>5550000</v>
      </c>
      <c r="K20" s="21">
        <v>12530000</v>
      </c>
      <c r="L20" s="21">
        <v>10870000</v>
      </c>
      <c r="M20" s="21">
        <v>9000000</v>
      </c>
      <c r="N20" s="21">
        <v>5731000</v>
      </c>
      <c r="O20" s="294">
        <v>4430000</v>
      </c>
      <c r="P20" s="321">
        <f t="shared" si="2"/>
        <v>90031000</v>
      </c>
    </row>
    <row r="21" spans="1:19" ht="13.2" x14ac:dyDescent="0.25">
      <c r="A21" s="15" t="s">
        <v>97</v>
      </c>
      <c r="B21" s="37">
        <v>160000000</v>
      </c>
      <c r="C21" s="44">
        <v>10000000</v>
      </c>
      <c r="D21" s="30">
        <v>5180000</v>
      </c>
      <c r="E21" s="21">
        <v>11430000</v>
      </c>
      <c r="F21" s="41">
        <v>4120000</v>
      </c>
      <c r="G21" s="41">
        <v>880000</v>
      </c>
      <c r="H21" s="231" t="s">
        <v>105</v>
      </c>
      <c r="I21" s="21">
        <v>7620000</v>
      </c>
      <c r="J21" s="21">
        <v>14300000</v>
      </c>
      <c r="K21" s="21">
        <v>4520000</v>
      </c>
      <c r="L21" s="21">
        <v>4200000</v>
      </c>
      <c r="M21" s="21">
        <v>5200000</v>
      </c>
      <c r="N21" s="21">
        <v>1400000</v>
      </c>
      <c r="O21" s="294">
        <v>2250000</v>
      </c>
      <c r="P21" s="321">
        <f t="shared" si="2"/>
        <v>61100000</v>
      </c>
    </row>
    <row r="22" spans="1:19" ht="13.2" x14ac:dyDescent="0.25">
      <c r="A22" s="15"/>
      <c r="B22" s="44">
        <v>0</v>
      </c>
      <c r="C22" s="44">
        <v>0</v>
      </c>
      <c r="D22" s="47"/>
      <c r="E22" s="48"/>
      <c r="F22" s="48"/>
      <c r="G22" s="48"/>
      <c r="H22" s="58"/>
      <c r="I22" s="48"/>
      <c r="J22" s="48"/>
      <c r="K22" s="48"/>
      <c r="L22" s="48"/>
      <c r="M22" s="48"/>
      <c r="N22" s="48"/>
      <c r="O22" s="325"/>
      <c r="P22" s="328"/>
    </row>
    <row r="23" spans="1:19" ht="13.2" x14ac:dyDescent="0.25">
      <c r="A23" s="48"/>
      <c r="B23" s="122"/>
      <c r="C23" s="122"/>
      <c r="D23" s="140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326"/>
      <c r="P23" s="329"/>
      <c r="S23" s="194"/>
    </row>
    <row r="24" spans="1:19" ht="13.2" x14ac:dyDescent="0.25">
      <c r="A24" s="38" t="s">
        <v>20</v>
      </c>
      <c r="B24" s="141"/>
      <c r="C24" s="141"/>
      <c r="D24" s="147"/>
      <c r="E24" s="124"/>
      <c r="F24" s="124"/>
      <c r="G24" s="124"/>
      <c r="H24" s="124"/>
      <c r="I24" s="243"/>
      <c r="J24" s="124"/>
      <c r="K24" s="124"/>
      <c r="L24" s="124"/>
      <c r="M24" s="124"/>
      <c r="N24" s="124"/>
      <c r="O24" s="327"/>
      <c r="P24" s="329"/>
    </row>
    <row r="25" spans="1:19" ht="13.2" x14ac:dyDescent="0.25">
      <c r="A25" s="318" t="s">
        <v>98</v>
      </c>
      <c r="B25" s="195">
        <v>197000000</v>
      </c>
      <c r="C25" s="195">
        <v>13916667</v>
      </c>
      <c r="D25" s="266">
        <v>12730000</v>
      </c>
      <c r="E25" s="279">
        <v>21970000</v>
      </c>
      <c r="F25" s="279">
        <v>17461000</v>
      </c>
      <c r="G25" s="199">
        <v>5700000</v>
      </c>
      <c r="H25" s="267" t="s">
        <v>106</v>
      </c>
      <c r="I25" s="41">
        <v>12390000</v>
      </c>
      <c r="J25" s="132">
        <v>13800000</v>
      </c>
      <c r="K25" s="132">
        <v>8340000</v>
      </c>
      <c r="L25" s="132">
        <v>16353000</v>
      </c>
      <c r="M25" s="132">
        <v>18150000</v>
      </c>
      <c r="N25" s="132">
        <v>3301000</v>
      </c>
      <c r="O25" s="214">
        <v>2250000</v>
      </c>
      <c r="P25" s="322">
        <f t="shared" ref="P25:P27" si="3">SUM(D25:O25)</f>
        <v>132445000</v>
      </c>
    </row>
    <row r="26" spans="1:19" ht="13.2" x14ac:dyDescent="0.25">
      <c r="A26" s="506" t="s">
        <v>99</v>
      </c>
      <c r="B26" s="44">
        <v>197000000</v>
      </c>
      <c r="C26" s="44">
        <v>13916667</v>
      </c>
      <c r="D26" s="22">
        <v>15870000</v>
      </c>
      <c r="E26" s="21">
        <v>17570000</v>
      </c>
      <c r="F26" s="41">
        <v>6450000</v>
      </c>
      <c r="G26" s="41">
        <v>10880000</v>
      </c>
      <c r="H26" s="268" t="s">
        <v>107</v>
      </c>
      <c r="I26" s="21">
        <v>20130000</v>
      </c>
      <c r="J26" s="198">
        <v>24555000</v>
      </c>
      <c r="K26" s="198">
        <v>13120000</v>
      </c>
      <c r="L26" s="198">
        <v>15800000</v>
      </c>
      <c r="M26" s="132">
        <v>9500000</v>
      </c>
      <c r="N26" s="132">
        <v>10830000</v>
      </c>
      <c r="O26" s="96">
        <v>10700000</v>
      </c>
      <c r="P26" s="322">
        <f t="shared" si="3"/>
        <v>155405000</v>
      </c>
    </row>
    <row r="27" spans="1:19" ht="13.2" x14ac:dyDescent="0.25">
      <c r="A27" s="506" t="s">
        <v>108</v>
      </c>
      <c r="B27" s="150">
        <v>197000000</v>
      </c>
      <c r="C27" s="44">
        <v>13916667</v>
      </c>
      <c r="D27" s="22">
        <v>28220500</v>
      </c>
      <c r="E27" s="64">
        <v>14000000</v>
      </c>
      <c r="F27" s="21">
        <v>13620000</v>
      </c>
      <c r="G27" s="41">
        <v>9960000</v>
      </c>
      <c r="H27" s="269">
        <v>1450000</v>
      </c>
      <c r="I27" s="262">
        <v>0</v>
      </c>
      <c r="J27" s="15">
        <v>0</v>
      </c>
      <c r="K27" s="262">
        <v>0</v>
      </c>
      <c r="L27" s="15">
        <v>0</v>
      </c>
      <c r="M27" s="317">
        <v>0</v>
      </c>
      <c r="N27" s="15">
        <v>0</v>
      </c>
      <c r="O27" s="262">
        <v>0</v>
      </c>
      <c r="P27" s="322">
        <f t="shared" si="3"/>
        <v>67250500</v>
      </c>
    </row>
    <row r="28" spans="1:19" ht="13.2" x14ac:dyDescent="0.25">
      <c r="A28" t="s">
        <v>109</v>
      </c>
      <c r="B28" s="150">
        <v>197000000</v>
      </c>
      <c r="C28" s="44">
        <v>13916667</v>
      </c>
      <c r="D28" s="194" t="s">
        <v>36</v>
      </c>
      <c r="E28" s="194" t="s">
        <v>36</v>
      </c>
      <c r="F28" s="194" t="s">
        <v>36</v>
      </c>
      <c r="G28" s="41">
        <v>1300000</v>
      </c>
      <c r="H28" s="269">
        <v>3900000</v>
      </c>
      <c r="I28" s="262">
        <v>0</v>
      </c>
      <c r="J28" s="15">
        <v>0</v>
      </c>
      <c r="K28" s="262">
        <v>0</v>
      </c>
      <c r="L28" s="15">
        <v>0</v>
      </c>
      <c r="M28" s="317">
        <v>0</v>
      </c>
      <c r="N28" s="15">
        <v>0</v>
      </c>
      <c r="O28" s="262">
        <v>0</v>
      </c>
      <c r="P28" s="322">
        <v>0</v>
      </c>
    </row>
    <row r="29" spans="1:19" ht="15.75" customHeight="1" x14ac:dyDescent="0.25">
      <c r="A29" s="252" t="s">
        <v>110</v>
      </c>
      <c r="B29" s="150">
        <v>197000000</v>
      </c>
      <c r="C29" s="44">
        <v>13916667</v>
      </c>
      <c r="D29" s="194">
        <v>0</v>
      </c>
      <c r="E29" s="194">
        <v>0</v>
      </c>
      <c r="F29" s="194">
        <v>0</v>
      </c>
      <c r="G29" s="194">
        <v>0</v>
      </c>
      <c r="H29" s="194">
        <v>0</v>
      </c>
      <c r="I29" s="270">
        <v>0</v>
      </c>
      <c r="J29" s="285">
        <v>6620000</v>
      </c>
      <c r="K29" s="286">
        <v>12880000</v>
      </c>
      <c r="L29" s="286">
        <v>7630000</v>
      </c>
      <c r="M29" s="220">
        <v>8050000</v>
      </c>
      <c r="N29" s="311">
        <v>13330000</v>
      </c>
      <c r="O29" s="311">
        <v>8060000</v>
      </c>
      <c r="P29" s="323">
        <f>SUM(D29:N29)</f>
        <v>48510000</v>
      </c>
    </row>
    <row r="31" spans="1:19" ht="43.5" customHeight="1" x14ac:dyDescent="0.85">
      <c r="A31" s="36">
        <v>2019</v>
      </c>
      <c r="B31" s="7"/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9" ht="31.5" customHeight="1" x14ac:dyDescent="0.5">
      <c r="A32" s="379" t="s">
        <v>92</v>
      </c>
      <c r="B32" s="6" t="s">
        <v>101</v>
      </c>
      <c r="C32" s="5" t="s">
        <v>25</v>
      </c>
      <c r="D32" s="6" t="s">
        <v>1</v>
      </c>
      <c r="E32" s="6" t="s">
        <v>2</v>
      </c>
      <c r="F32" s="6" t="s">
        <v>3</v>
      </c>
      <c r="G32" s="6" t="s">
        <v>4</v>
      </c>
      <c r="H32" s="6" t="s">
        <v>5</v>
      </c>
      <c r="I32" s="6" t="s">
        <v>6</v>
      </c>
      <c r="J32" s="6" t="s">
        <v>7</v>
      </c>
      <c r="K32" s="6" t="s">
        <v>8</v>
      </c>
      <c r="L32" s="6" t="s">
        <v>9</v>
      </c>
      <c r="M32" s="6" t="s">
        <v>10</v>
      </c>
      <c r="N32" s="6" t="s">
        <v>11</v>
      </c>
      <c r="O32" s="324" t="s">
        <v>12</v>
      </c>
      <c r="P32" s="319" t="s">
        <v>13</v>
      </c>
    </row>
    <row r="33" spans="1:17" ht="15.75" customHeight="1" x14ac:dyDescent="0.25">
      <c r="A33" s="38" t="s">
        <v>93</v>
      </c>
      <c r="B33" s="44">
        <v>640000000</v>
      </c>
      <c r="C33" s="44">
        <v>42000000</v>
      </c>
      <c r="D33" s="40">
        <v>28600000</v>
      </c>
      <c r="E33" s="41">
        <v>39540000</v>
      </c>
      <c r="F33" s="41">
        <v>36751000</v>
      </c>
      <c r="G33" s="41">
        <v>22140000</v>
      </c>
      <c r="H33" s="231" t="s">
        <v>102</v>
      </c>
      <c r="I33" s="41">
        <v>35070000</v>
      </c>
      <c r="J33" s="41">
        <v>37370000</v>
      </c>
      <c r="K33" s="41">
        <v>34340000</v>
      </c>
      <c r="L33" s="21">
        <v>39513000</v>
      </c>
      <c r="M33" s="21">
        <v>35700000</v>
      </c>
      <c r="N33" s="21">
        <v>29761000</v>
      </c>
      <c r="O33" s="294">
        <v>25880000</v>
      </c>
      <c r="P33" s="320">
        <f t="shared" ref="P33:P37" si="4">SUM(D33:O33)</f>
        <v>364665000</v>
      </c>
    </row>
    <row r="34" spans="1:17" ht="15.75" customHeight="1" x14ac:dyDescent="0.25">
      <c r="A34" s="15" t="s">
        <v>94</v>
      </c>
      <c r="B34" s="44">
        <v>160000000</v>
      </c>
      <c r="C34" s="44">
        <v>10833333</v>
      </c>
      <c r="D34" s="30">
        <v>5400000</v>
      </c>
      <c r="E34" s="41">
        <v>10550000</v>
      </c>
      <c r="F34" s="21">
        <v>13011000</v>
      </c>
      <c r="G34" s="41">
        <v>6730000</v>
      </c>
      <c r="H34" s="56">
        <v>16720000</v>
      </c>
      <c r="I34" s="21">
        <v>12830000</v>
      </c>
      <c r="J34" s="21">
        <v>13020000</v>
      </c>
      <c r="K34" s="21">
        <v>11440000</v>
      </c>
      <c r="L34" s="21">
        <v>12830000</v>
      </c>
      <c r="M34" s="21">
        <v>9750000</v>
      </c>
      <c r="N34" s="21">
        <v>16050000</v>
      </c>
      <c r="O34" s="294">
        <v>13550000</v>
      </c>
      <c r="P34" s="321">
        <f t="shared" si="4"/>
        <v>141881000</v>
      </c>
    </row>
    <row r="35" spans="1:17" ht="15.75" customHeight="1" x14ac:dyDescent="0.25">
      <c r="A35" s="15" t="s">
        <v>95</v>
      </c>
      <c r="B35" s="37">
        <v>160000000</v>
      </c>
      <c r="C35" s="44">
        <v>10833333</v>
      </c>
      <c r="D35" s="30">
        <v>6970000</v>
      </c>
      <c r="E35" s="21">
        <v>12370000</v>
      </c>
      <c r="F35" s="41">
        <v>7220000</v>
      </c>
      <c r="G35" s="41">
        <v>5350000</v>
      </c>
      <c r="H35" s="231" t="s">
        <v>103</v>
      </c>
      <c r="I35" s="21">
        <v>7120000</v>
      </c>
      <c r="J35" s="41">
        <v>4500000</v>
      </c>
      <c r="K35" s="41">
        <v>5850000</v>
      </c>
      <c r="L35" s="21">
        <v>11613000</v>
      </c>
      <c r="M35" s="21">
        <v>11750000</v>
      </c>
      <c r="N35" s="21">
        <v>6580000</v>
      </c>
      <c r="O35" s="294">
        <v>7150000</v>
      </c>
      <c r="P35" s="321">
        <f t="shared" si="4"/>
        <v>86473000</v>
      </c>
    </row>
    <row r="36" spans="1:17" ht="15.75" customHeight="1" x14ac:dyDescent="0.25">
      <c r="A36" s="15" t="s">
        <v>96</v>
      </c>
      <c r="B36" s="37">
        <v>160000000</v>
      </c>
      <c r="C36" s="44">
        <v>10000000</v>
      </c>
      <c r="D36" s="22">
        <v>11050000</v>
      </c>
      <c r="E36" s="41">
        <v>4490000</v>
      </c>
      <c r="F36" s="41">
        <v>9700000</v>
      </c>
      <c r="G36" s="41">
        <v>9180000</v>
      </c>
      <c r="H36" s="231" t="s">
        <v>104</v>
      </c>
      <c r="I36" s="41">
        <v>7500000</v>
      </c>
      <c r="J36" s="41">
        <v>5550000</v>
      </c>
      <c r="K36" s="21">
        <v>12530000</v>
      </c>
      <c r="L36" s="21">
        <v>10870000</v>
      </c>
      <c r="M36" s="21">
        <v>9000000</v>
      </c>
      <c r="N36" s="21">
        <v>5731000</v>
      </c>
      <c r="O36" s="294">
        <v>4430000</v>
      </c>
      <c r="P36" s="321">
        <f t="shared" si="4"/>
        <v>90031000</v>
      </c>
    </row>
    <row r="37" spans="1:17" ht="15.75" customHeight="1" x14ac:dyDescent="0.25">
      <c r="A37" s="15" t="s">
        <v>97</v>
      </c>
      <c r="B37" s="37">
        <v>160000000</v>
      </c>
      <c r="C37" s="44">
        <v>10000000</v>
      </c>
      <c r="D37" s="30">
        <v>5180000</v>
      </c>
      <c r="E37" s="21">
        <v>11430000</v>
      </c>
      <c r="F37" s="41">
        <v>4120000</v>
      </c>
      <c r="G37" s="41">
        <v>880000</v>
      </c>
      <c r="H37" s="231" t="s">
        <v>105</v>
      </c>
      <c r="I37" s="21">
        <v>7620000</v>
      </c>
      <c r="J37" s="21">
        <v>14300000</v>
      </c>
      <c r="K37" s="21">
        <v>4520000</v>
      </c>
      <c r="L37" s="21">
        <v>4200000</v>
      </c>
      <c r="M37" s="21">
        <v>5200000</v>
      </c>
      <c r="N37" s="21">
        <v>1400000</v>
      </c>
      <c r="O37" s="294">
        <v>2250000</v>
      </c>
      <c r="P37" s="321">
        <f t="shared" si="4"/>
        <v>61100000</v>
      </c>
    </row>
    <row r="38" spans="1:17" ht="15.75" customHeight="1" x14ac:dyDescent="0.25">
      <c r="A38" s="15"/>
      <c r="B38" s="44">
        <v>0</v>
      </c>
      <c r="C38" s="44">
        <v>0</v>
      </c>
      <c r="D38" s="47"/>
      <c r="E38" s="48"/>
      <c r="F38" s="48"/>
      <c r="G38" s="48"/>
      <c r="H38" s="58"/>
      <c r="I38" s="48"/>
      <c r="J38" s="48"/>
      <c r="K38" s="48"/>
      <c r="L38" s="48"/>
      <c r="M38" s="48"/>
      <c r="N38" s="48"/>
      <c r="O38" s="325"/>
      <c r="P38" s="328"/>
    </row>
    <row r="39" spans="1:17" ht="15.75" customHeight="1" x14ac:dyDescent="0.25">
      <c r="A39" s="48"/>
      <c r="B39" s="122"/>
      <c r="C39" s="122"/>
      <c r="D39" s="140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326"/>
      <c r="P39" s="329"/>
    </row>
    <row r="40" spans="1:17" ht="15.75" customHeight="1" x14ac:dyDescent="0.25">
      <c r="A40" s="38" t="s">
        <v>20</v>
      </c>
      <c r="B40" s="141"/>
      <c r="C40" s="141"/>
      <c r="D40" s="147"/>
      <c r="E40" s="124"/>
      <c r="F40" s="124"/>
      <c r="G40" s="124"/>
      <c r="H40" s="124"/>
      <c r="I40" s="243"/>
      <c r="J40" s="124"/>
      <c r="K40" s="124"/>
      <c r="L40" s="124"/>
      <c r="M40" s="124"/>
      <c r="N40" s="124"/>
      <c r="O40" s="327"/>
      <c r="P40" s="329"/>
    </row>
    <row r="41" spans="1:17" ht="15.75" customHeight="1" x14ac:dyDescent="0.25">
      <c r="A41" s="318" t="s">
        <v>98</v>
      </c>
      <c r="B41" s="195">
        <v>197000000</v>
      </c>
      <c r="C41" s="195">
        <v>13916667</v>
      </c>
      <c r="D41" s="266">
        <v>12730000</v>
      </c>
      <c r="E41" s="279">
        <v>21970000</v>
      </c>
      <c r="F41" s="279">
        <v>17461000</v>
      </c>
      <c r="G41" s="199">
        <v>5700000</v>
      </c>
      <c r="H41" s="267" t="s">
        <v>106</v>
      </c>
      <c r="I41" s="41">
        <v>12390000</v>
      </c>
      <c r="J41" s="132">
        <v>13800000</v>
      </c>
      <c r="K41" s="132">
        <v>8340000</v>
      </c>
      <c r="L41" s="132">
        <v>16353000</v>
      </c>
      <c r="M41" s="132">
        <v>18150000</v>
      </c>
      <c r="N41" s="132">
        <v>3301000</v>
      </c>
      <c r="O41" s="214">
        <v>2250000</v>
      </c>
      <c r="P41" s="322">
        <f t="shared" ref="P41:P43" si="5">SUM(D41:O41)</f>
        <v>132445000</v>
      </c>
    </row>
    <row r="42" spans="1:17" ht="15.75" customHeight="1" x14ac:dyDescent="0.25">
      <c r="A42" s="506" t="s">
        <v>99</v>
      </c>
      <c r="B42" s="44">
        <v>197000000</v>
      </c>
      <c r="C42" s="44">
        <v>13916667</v>
      </c>
      <c r="D42" s="22">
        <v>15870000</v>
      </c>
      <c r="E42" s="21">
        <v>17570000</v>
      </c>
      <c r="F42" s="41">
        <v>6450000</v>
      </c>
      <c r="G42" s="41">
        <v>10880000</v>
      </c>
      <c r="H42" s="268" t="s">
        <v>107</v>
      </c>
      <c r="I42" s="21">
        <v>20130000</v>
      </c>
      <c r="J42" s="198">
        <v>24555000</v>
      </c>
      <c r="K42" s="198">
        <v>13120000</v>
      </c>
      <c r="L42" s="198">
        <v>15800000</v>
      </c>
      <c r="M42" s="132">
        <v>9500000</v>
      </c>
      <c r="N42" s="132">
        <v>10830000</v>
      </c>
      <c r="O42" s="96">
        <v>10700000</v>
      </c>
      <c r="P42" s="322">
        <f t="shared" si="5"/>
        <v>155405000</v>
      </c>
    </row>
    <row r="43" spans="1:17" ht="15.75" customHeight="1" x14ac:dyDescent="0.25">
      <c r="A43" s="506" t="s">
        <v>108</v>
      </c>
      <c r="B43" s="150">
        <v>197000000</v>
      </c>
      <c r="C43" s="44">
        <v>13916667</v>
      </c>
      <c r="D43" s="22">
        <v>28220500</v>
      </c>
      <c r="E43" s="64">
        <v>14000000</v>
      </c>
      <c r="F43" s="21">
        <v>13620000</v>
      </c>
      <c r="G43" s="41">
        <v>9960000</v>
      </c>
      <c r="H43" s="269">
        <v>1450000</v>
      </c>
      <c r="I43" s="262">
        <v>0</v>
      </c>
      <c r="J43" s="15">
        <v>0</v>
      </c>
      <c r="K43" s="262">
        <v>0</v>
      </c>
      <c r="L43" s="15">
        <v>0</v>
      </c>
      <c r="M43" s="317">
        <v>0</v>
      </c>
      <c r="N43" s="15">
        <v>0</v>
      </c>
      <c r="O43" s="262">
        <v>0</v>
      </c>
      <c r="P43" s="322">
        <f t="shared" si="5"/>
        <v>67250500</v>
      </c>
    </row>
    <row r="44" spans="1:17" ht="15.75" customHeight="1" x14ac:dyDescent="0.25">
      <c r="A44" t="s">
        <v>109</v>
      </c>
      <c r="B44" s="150">
        <v>197000000</v>
      </c>
      <c r="C44" s="44">
        <v>13916667</v>
      </c>
      <c r="D44" s="194" t="s">
        <v>36</v>
      </c>
      <c r="E44" s="194" t="s">
        <v>36</v>
      </c>
      <c r="F44" s="194" t="s">
        <v>36</v>
      </c>
      <c r="G44" s="41">
        <v>1300000</v>
      </c>
      <c r="H44" s="269">
        <v>3900000</v>
      </c>
      <c r="I44" s="262">
        <v>0</v>
      </c>
      <c r="J44" s="15">
        <v>0</v>
      </c>
      <c r="K44" s="262">
        <v>0</v>
      </c>
      <c r="L44" s="15">
        <v>0</v>
      </c>
      <c r="M44" s="317">
        <v>0</v>
      </c>
      <c r="N44" s="15">
        <v>0</v>
      </c>
      <c r="O44" s="262">
        <v>0</v>
      </c>
      <c r="P44" s="322">
        <v>0</v>
      </c>
    </row>
    <row r="45" spans="1:17" ht="15.75" customHeight="1" x14ac:dyDescent="0.25">
      <c r="A45" s="252" t="s">
        <v>110</v>
      </c>
      <c r="B45" s="150">
        <v>197000000</v>
      </c>
      <c r="C45" s="44">
        <v>13916667</v>
      </c>
      <c r="D45" s="194">
        <v>0</v>
      </c>
      <c r="E45" s="194">
        <v>0</v>
      </c>
      <c r="F45" s="194">
        <v>0</v>
      </c>
      <c r="G45" s="194">
        <v>0</v>
      </c>
      <c r="H45" s="194">
        <v>0</v>
      </c>
      <c r="I45" s="270">
        <v>0</v>
      </c>
      <c r="J45" s="285">
        <v>6620000</v>
      </c>
      <c r="K45" s="286">
        <v>12880000</v>
      </c>
      <c r="L45" s="286">
        <v>7630000</v>
      </c>
      <c r="M45" s="220">
        <v>8050000</v>
      </c>
      <c r="N45" s="311">
        <v>13330000</v>
      </c>
      <c r="O45" s="311">
        <v>8060000</v>
      </c>
      <c r="P45" s="323">
        <f>SUM(D45:N45)</f>
        <v>48510000</v>
      </c>
    </row>
    <row r="47" spans="1:17" ht="39" customHeight="1" x14ac:dyDescent="0.85">
      <c r="A47" s="363">
        <v>2020</v>
      </c>
    </row>
    <row r="48" spans="1:17" ht="15.6" x14ac:dyDescent="0.3">
      <c r="A48" s="426" t="s">
        <v>92</v>
      </c>
      <c r="B48" s="426" t="s">
        <v>111</v>
      </c>
      <c r="C48" s="426" t="s">
        <v>50</v>
      </c>
      <c r="D48" s="427" t="s">
        <v>1</v>
      </c>
      <c r="E48" s="366" t="s">
        <v>2</v>
      </c>
      <c r="F48" s="366" t="s">
        <v>3</v>
      </c>
      <c r="G48" s="366" t="s">
        <v>4</v>
      </c>
      <c r="H48" s="366" t="s">
        <v>5</v>
      </c>
      <c r="I48" s="366" t="s">
        <v>6</v>
      </c>
      <c r="J48" s="366" t="s">
        <v>7</v>
      </c>
      <c r="K48" s="366" t="s">
        <v>8</v>
      </c>
      <c r="L48" s="366" t="s">
        <v>9</v>
      </c>
      <c r="M48" s="366" t="s">
        <v>10</v>
      </c>
      <c r="N48" s="366" t="s">
        <v>11</v>
      </c>
      <c r="O48" s="366" t="s">
        <v>12</v>
      </c>
      <c r="P48" s="367" t="s">
        <v>13</v>
      </c>
      <c r="Q48" s="375" t="s">
        <v>52</v>
      </c>
    </row>
    <row r="49" spans="1:17" ht="15.75" customHeight="1" x14ac:dyDescent="0.25">
      <c r="A49" s="428" t="s">
        <v>112</v>
      </c>
      <c r="B49" s="429">
        <v>504000000</v>
      </c>
      <c r="C49" s="429">
        <v>42000000</v>
      </c>
      <c r="D49" s="430">
        <v>40375000</v>
      </c>
      <c r="E49" s="128">
        <v>50835000</v>
      </c>
      <c r="F49" s="41">
        <v>22877000</v>
      </c>
      <c r="G49" s="78">
        <v>0</v>
      </c>
      <c r="H49" s="460">
        <v>0</v>
      </c>
      <c r="I49" s="201">
        <v>21650000</v>
      </c>
      <c r="J49" s="128">
        <v>47399760</v>
      </c>
      <c r="K49" s="41">
        <v>17005000</v>
      </c>
      <c r="L49" s="41">
        <v>31960000</v>
      </c>
      <c r="M49" s="277">
        <v>30350980</v>
      </c>
      <c r="N49" s="21">
        <v>37440000</v>
      </c>
      <c r="O49" s="201">
        <v>23875000</v>
      </c>
      <c r="P49" s="374">
        <f>SUM(D49:O49)</f>
        <v>323767740</v>
      </c>
      <c r="Q49" s="376">
        <f>B49-P49</f>
        <v>180232260</v>
      </c>
    </row>
    <row r="50" spans="1:17" ht="15.75" customHeight="1" x14ac:dyDescent="0.25">
      <c r="A50" s="431" t="s">
        <v>113</v>
      </c>
      <c r="B50" s="429">
        <v>150000000</v>
      </c>
      <c r="C50" s="429">
        <v>10500000</v>
      </c>
      <c r="D50" s="432">
        <v>15085000</v>
      </c>
      <c r="E50" s="330" t="s">
        <v>114</v>
      </c>
      <c r="F50" s="41">
        <v>6900000</v>
      </c>
      <c r="G50" s="78">
        <v>0</v>
      </c>
      <c r="H50" s="205">
        <v>0</v>
      </c>
      <c r="I50" s="41">
        <v>8400000</v>
      </c>
      <c r="J50" s="21">
        <v>12000000</v>
      </c>
      <c r="K50" s="41">
        <v>2800000</v>
      </c>
      <c r="L50" s="21">
        <v>15560000</v>
      </c>
      <c r="M50" s="41">
        <v>9600000</v>
      </c>
      <c r="N50" s="21">
        <v>13140000</v>
      </c>
      <c r="O50" s="294">
        <v>9450000</v>
      </c>
      <c r="P50" s="374">
        <f>SUM(D50:O50)</f>
        <v>92935000</v>
      </c>
      <c r="Q50" s="376">
        <f t="shared" ref="Q50:Q56" si="6">B50-P50</f>
        <v>57065000</v>
      </c>
    </row>
    <row r="51" spans="1:17" ht="15.75" customHeight="1" x14ac:dyDescent="0.25">
      <c r="A51" s="431" t="s">
        <v>95</v>
      </c>
      <c r="B51" s="429">
        <v>150000000</v>
      </c>
      <c r="C51" s="429">
        <v>10500000</v>
      </c>
      <c r="D51" s="433">
        <v>16860000</v>
      </c>
      <c r="E51" s="330">
        <v>10660000</v>
      </c>
      <c r="F51" s="41">
        <v>5700000</v>
      </c>
      <c r="G51" s="78">
        <v>0</v>
      </c>
      <c r="H51" s="205">
        <v>0</v>
      </c>
      <c r="I51" s="277">
        <v>5950000</v>
      </c>
      <c r="J51" s="21">
        <v>12100000</v>
      </c>
      <c r="K51" s="41">
        <v>6500000</v>
      </c>
      <c r="L51" s="41">
        <v>4500000</v>
      </c>
      <c r="M51" s="21">
        <v>0</v>
      </c>
      <c r="N51" s="21">
        <v>0</v>
      </c>
      <c r="O51" s="294">
        <v>0</v>
      </c>
      <c r="P51" s="374">
        <f t="shared" ref="P51" si="7">SUM(D51:N51)</f>
        <v>62270000</v>
      </c>
      <c r="Q51" s="376">
        <f t="shared" si="6"/>
        <v>87730000</v>
      </c>
    </row>
    <row r="52" spans="1:17" ht="15.75" customHeight="1" x14ac:dyDescent="0.25">
      <c r="A52" s="431" t="s">
        <v>94</v>
      </c>
      <c r="B52" s="429">
        <v>150000000</v>
      </c>
      <c r="C52" s="429">
        <v>10500000</v>
      </c>
      <c r="D52" s="433">
        <v>9430000</v>
      </c>
      <c r="E52" s="330">
        <v>18500000</v>
      </c>
      <c r="F52" s="41">
        <v>9627000</v>
      </c>
      <c r="G52" s="78">
        <v>0</v>
      </c>
      <c r="H52" s="205">
        <v>0</v>
      </c>
      <c r="I52" s="41">
        <v>6300000</v>
      </c>
      <c r="J52" s="21">
        <v>21960000</v>
      </c>
      <c r="K52" s="41">
        <v>7705000</v>
      </c>
      <c r="L52" s="21">
        <v>11900000</v>
      </c>
      <c r="M52" s="21">
        <v>17455000</v>
      </c>
      <c r="N52" s="21">
        <v>20750000</v>
      </c>
      <c r="O52" s="294">
        <v>14425000</v>
      </c>
      <c r="P52" s="374">
        <f>SUM(D52:O52)</f>
        <v>138052000</v>
      </c>
      <c r="Q52" s="376">
        <f t="shared" si="6"/>
        <v>11948000</v>
      </c>
    </row>
    <row r="53" spans="1:17" ht="15.75" customHeight="1" x14ac:dyDescent="0.25">
      <c r="A53" s="428" t="s">
        <v>20</v>
      </c>
      <c r="B53" s="434" t="s">
        <v>111</v>
      </c>
      <c r="C53" s="435" t="s">
        <v>50</v>
      </c>
      <c r="D53" s="436"/>
      <c r="E53" s="124"/>
      <c r="F53" s="124"/>
      <c r="G53" s="125"/>
      <c r="H53" s="164"/>
      <c r="I53" s="124"/>
      <c r="J53" s="124"/>
      <c r="K53" s="124"/>
      <c r="L53" s="124"/>
      <c r="M53" s="124"/>
      <c r="N53" s="124"/>
      <c r="O53" s="124"/>
      <c r="P53" s="499"/>
      <c r="Q53" s="386"/>
    </row>
    <row r="54" spans="1:17" ht="15.75" customHeight="1" x14ac:dyDescent="0.25">
      <c r="A54" s="100" t="s">
        <v>115</v>
      </c>
      <c r="B54" s="437">
        <v>170000000</v>
      </c>
      <c r="C54" s="438">
        <v>14000000</v>
      </c>
      <c r="D54" s="439">
        <v>11840000</v>
      </c>
      <c r="E54" s="441">
        <v>14475000</v>
      </c>
      <c r="F54" s="133">
        <v>9950000</v>
      </c>
      <c r="G54" s="170">
        <v>0</v>
      </c>
      <c r="H54" s="209">
        <v>0</v>
      </c>
      <c r="I54" s="132">
        <v>10400000</v>
      </c>
      <c r="J54" s="132">
        <v>25498760</v>
      </c>
      <c r="K54" s="133">
        <v>8375000</v>
      </c>
      <c r="L54" s="132">
        <v>12300000</v>
      </c>
      <c r="M54" s="132">
        <v>10630000</v>
      </c>
      <c r="N54" s="132">
        <v>6400000</v>
      </c>
      <c r="O54" s="132">
        <v>5450000</v>
      </c>
      <c r="P54" s="374">
        <f>SUM(D54:O54)</f>
        <v>115318760</v>
      </c>
      <c r="Q54" s="376">
        <f t="shared" si="6"/>
        <v>54681240</v>
      </c>
    </row>
    <row r="55" spans="1:17" ht="15.75" customHeight="1" x14ac:dyDescent="0.25">
      <c r="A55" s="100" t="s">
        <v>99</v>
      </c>
      <c r="B55" s="437">
        <v>170000000</v>
      </c>
      <c r="C55" s="438">
        <v>14000000</v>
      </c>
      <c r="D55" s="17">
        <v>17070000</v>
      </c>
      <c r="E55" s="279">
        <v>16060000</v>
      </c>
      <c r="F55" s="235">
        <v>7277000</v>
      </c>
      <c r="G55" s="387">
        <v>0</v>
      </c>
      <c r="H55" s="238">
        <v>0</v>
      </c>
      <c r="I55" s="198">
        <v>0</v>
      </c>
      <c r="J55" s="132">
        <v>0</v>
      </c>
      <c r="K55" s="132">
        <v>0</v>
      </c>
      <c r="L55" s="132">
        <v>0</v>
      </c>
      <c r="M55" s="132">
        <v>1060000</v>
      </c>
      <c r="N55" s="132">
        <v>16240000</v>
      </c>
      <c r="O55" s="132">
        <v>8775000</v>
      </c>
      <c r="P55" s="374">
        <f>SUM(D55:O55)</f>
        <v>66482000</v>
      </c>
      <c r="Q55" s="376">
        <f t="shared" si="6"/>
        <v>103518000</v>
      </c>
    </row>
    <row r="56" spans="1:17" ht="15.75" customHeight="1" x14ac:dyDescent="0.25">
      <c r="A56" s="440" t="s">
        <v>116</v>
      </c>
      <c r="B56" s="437">
        <v>170000000</v>
      </c>
      <c r="C56" s="438">
        <v>14000000</v>
      </c>
      <c r="D56" s="439">
        <v>9365000</v>
      </c>
      <c r="E56" s="442">
        <v>20300000</v>
      </c>
      <c r="F56" s="78">
        <v>5650000</v>
      </c>
      <c r="G56" s="422">
        <v>0</v>
      </c>
      <c r="H56" s="205">
        <v>0</v>
      </c>
      <c r="I56" s="330">
        <v>11250000</v>
      </c>
      <c r="J56" s="330">
        <v>21900000</v>
      </c>
      <c r="K56" s="78">
        <v>8630000</v>
      </c>
      <c r="L56" s="330">
        <v>24910000</v>
      </c>
      <c r="M56" s="272">
        <v>22840000</v>
      </c>
      <c r="N56" s="500">
        <v>16600000</v>
      </c>
      <c r="O56" s="330">
        <v>7950000</v>
      </c>
      <c r="P56" s="374">
        <f>SUM(D56:O56)</f>
        <v>149395000</v>
      </c>
      <c r="Q56" s="376">
        <f t="shared" si="6"/>
        <v>20605000</v>
      </c>
    </row>
    <row r="58" spans="1:17" ht="5.25" customHeight="1" x14ac:dyDescent="0.25">
      <c r="B58" s="425"/>
    </row>
    <row r="59" spans="1:17" ht="43.5" customHeight="1" x14ac:dyDescent="0.85">
      <c r="A59" s="490">
        <v>2021</v>
      </c>
    </row>
    <row r="60" spans="1:17" ht="26.25" customHeight="1" x14ac:dyDescent="0.5">
      <c r="A60" s="491" t="s">
        <v>92</v>
      </c>
      <c r="B60" s="492" t="s">
        <v>50</v>
      </c>
      <c r="C60" s="493" t="s">
        <v>1</v>
      </c>
      <c r="D60" s="493" t="s">
        <v>2</v>
      </c>
      <c r="E60" s="493" t="s">
        <v>3</v>
      </c>
      <c r="F60" s="493" t="s">
        <v>4</v>
      </c>
      <c r="G60" s="493" t="s">
        <v>5</v>
      </c>
      <c r="H60" s="493" t="s">
        <v>6</v>
      </c>
      <c r="I60" s="493" t="s">
        <v>7</v>
      </c>
      <c r="J60" s="493" t="s">
        <v>8</v>
      </c>
      <c r="K60" s="493" t="s">
        <v>9</v>
      </c>
      <c r="L60" s="493" t="s">
        <v>51</v>
      </c>
      <c r="M60" s="493" t="s">
        <v>11</v>
      </c>
      <c r="N60" s="493" t="s">
        <v>12</v>
      </c>
      <c r="O60" s="498" t="s">
        <v>13</v>
      </c>
      <c r="P60" s="375" t="s">
        <v>52</v>
      </c>
    </row>
    <row r="61" spans="1:17" ht="15.75" customHeight="1" x14ac:dyDescent="0.25">
      <c r="A61" s="208" t="s">
        <v>117</v>
      </c>
      <c r="B61" s="44">
        <v>45000000</v>
      </c>
      <c r="C61" s="260">
        <v>29750000</v>
      </c>
      <c r="D61" s="487">
        <v>52200000</v>
      </c>
      <c r="E61" s="535">
        <v>49208897</v>
      </c>
      <c r="F61" s="78">
        <v>33500000</v>
      </c>
      <c r="G61" s="540">
        <v>61874000</v>
      </c>
      <c r="H61" s="260">
        <v>35820000</v>
      </c>
      <c r="I61" s="41">
        <v>41430000</v>
      </c>
      <c r="J61" s="535">
        <v>48762220</v>
      </c>
      <c r="K61" s="536">
        <v>51106015</v>
      </c>
      <c r="L61" s="536">
        <v>45560000</v>
      </c>
      <c r="M61" s="249"/>
      <c r="N61" s="277"/>
      <c r="O61" s="374">
        <f>SUM(C61:N61)</f>
        <v>449211132</v>
      </c>
      <c r="P61" s="376">
        <f>B61-O61</f>
        <v>-404211132</v>
      </c>
    </row>
    <row r="62" spans="1:17" ht="15.75" customHeight="1" x14ac:dyDescent="0.25">
      <c r="A62" s="15" t="s">
        <v>94</v>
      </c>
      <c r="B62" s="44">
        <v>13000000</v>
      </c>
      <c r="C62" s="41">
        <v>10990000</v>
      </c>
      <c r="D62" s="220">
        <v>16500000</v>
      </c>
      <c r="E62" s="220">
        <v>17580000</v>
      </c>
      <c r="F62" s="330">
        <v>12900000</v>
      </c>
      <c r="G62" s="538">
        <v>23600000</v>
      </c>
      <c r="H62" s="277">
        <v>8520000</v>
      </c>
      <c r="I62" s="220">
        <v>15500000</v>
      </c>
      <c r="J62" s="220">
        <v>15320000</v>
      </c>
      <c r="K62" s="21">
        <v>29170000</v>
      </c>
      <c r="L62" s="294">
        <v>22490000</v>
      </c>
      <c r="M62" s="21"/>
      <c r="N62" s="21"/>
      <c r="O62" s="457">
        <f>SUM(C62:N62)</f>
        <v>172570000</v>
      </c>
      <c r="P62" s="376">
        <f t="shared" ref="P62:P76" si="8">B62-O62</f>
        <v>-159570000</v>
      </c>
    </row>
    <row r="63" spans="1:17" ht="15.75" customHeight="1" x14ac:dyDescent="0.25">
      <c r="A63" s="15" t="s">
        <v>96</v>
      </c>
      <c r="B63" s="44">
        <v>13000000</v>
      </c>
      <c r="C63" s="220">
        <v>13600000</v>
      </c>
      <c r="D63" s="220">
        <v>12700000</v>
      </c>
      <c r="E63" s="220">
        <v>11100000</v>
      </c>
      <c r="F63" s="330">
        <v>10400000</v>
      </c>
      <c r="G63" s="538">
        <v>17400000</v>
      </c>
      <c r="H63" s="541">
        <v>12450000</v>
      </c>
      <c r="I63" s="220">
        <v>11030000</v>
      </c>
      <c r="J63" s="220">
        <v>10350000</v>
      </c>
      <c r="K63" s="41">
        <v>5684000</v>
      </c>
      <c r="L63" s="294">
        <v>17600000</v>
      </c>
      <c r="M63" s="21"/>
      <c r="N63" s="249"/>
      <c r="O63" s="457">
        <f>SUM(C63:N63)</f>
        <v>122314000</v>
      </c>
      <c r="P63" s="376">
        <f t="shared" si="8"/>
        <v>-109314000</v>
      </c>
    </row>
    <row r="64" spans="1:17" ht="15.75" customHeight="1" x14ac:dyDescent="0.25">
      <c r="A64" s="15" t="s">
        <v>118</v>
      </c>
      <c r="B64" s="296">
        <v>11250000</v>
      </c>
      <c r="C64" s="220">
        <v>2100000</v>
      </c>
      <c r="D64" s="41">
        <v>9600000</v>
      </c>
      <c r="E64" s="220">
        <v>13300000</v>
      </c>
      <c r="F64" s="78">
        <v>7850000</v>
      </c>
      <c r="G64" s="41">
        <v>9294000</v>
      </c>
      <c r="H64" s="541">
        <v>13550000</v>
      </c>
      <c r="I64" s="41">
        <v>4550000</v>
      </c>
      <c r="J64" s="220">
        <v>16700000</v>
      </c>
      <c r="K64" s="41">
        <v>9080000</v>
      </c>
      <c r="L64" s="310"/>
      <c r="M64" s="294"/>
      <c r="N64" s="21"/>
      <c r="O64" s="457">
        <f>SUM(C64:N64)</f>
        <v>86024000</v>
      </c>
      <c r="P64" s="376">
        <f t="shared" si="8"/>
        <v>-74774000</v>
      </c>
    </row>
    <row r="65" spans="1:16" ht="15.75" customHeight="1" x14ac:dyDescent="0.25">
      <c r="A65" s="86" t="s">
        <v>119</v>
      </c>
      <c r="B65" s="296">
        <v>11250000</v>
      </c>
      <c r="C65" s="421">
        <v>3060000</v>
      </c>
      <c r="D65" s="538">
        <v>13400000</v>
      </c>
      <c r="E65" s="78">
        <v>0</v>
      </c>
      <c r="F65" s="444">
        <v>2350000</v>
      </c>
      <c r="G65" s="539">
        <v>11580000</v>
      </c>
      <c r="H65" s="284">
        <v>1300000</v>
      </c>
      <c r="I65" s="284">
        <v>10350000</v>
      </c>
      <c r="J65" s="284">
        <v>0</v>
      </c>
      <c r="K65" s="401">
        <v>0</v>
      </c>
      <c r="L65" s="21"/>
      <c r="M65" s="401"/>
      <c r="N65" s="220"/>
      <c r="O65" s="542">
        <f>SUM(E65:N65)</f>
        <v>25580000</v>
      </c>
      <c r="P65" s="376">
        <f t="shared" si="8"/>
        <v>-14330000</v>
      </c>
    </row>
    <row r="66" spans="1:16" ht="15.75" customHeight="1" x14ac:dyDescent="0.25">
      <c r="A66" s="537" t="s">
        <v>120</v>
      </c>
      <c r="B66" s="296">
        <v>11250000</v>
      </c>
      <c r="C66" s="421"/>
      <c r="D66" s="444"/>
      <c r="E66" s="78"/>
      <c r="F66" s="444"/>
      <c r="G66" s="424"/>
      <c r="H66" s="284"/>
      <c r="I66" s="293"/>
      <c r="J66" s="284">
        <v>2800000</v>
      </c>
      <c r="K66" s="509">
        <v>6410000</v>
      </c>
      <c r="L66" s="41">
        <v>5470000</v>
      </c>
      <c r="M66" s="401"/>
      <c r="N66" s="220"/>
      <c r="O66" s="542">
        <f>SUM(E66:N66)</f>
        <v>14680000</v>
      </c>
      <c r="P66" s="376">
        <f t="shared" si="8"/>
        <v>-3430000</v>
      </c>
    </row>
    <row r="67" spans="1:16" ht="15.75" customHeight="1" x14ac:dyDescent="0.25">
      <c r="A67" s="537"/>
      <c r="B67" s="296"/>
      <c r="C67" s="421"/>
      <c r="D67" s="444"/>
      <c r="E67" s="78"/>
      <c r="F67" s="444"/>
      <c r="G67" s="424"/>
      <c r="H67" s="284"/>
      <c r="I67" s="293"/>
      <c r="J67" s="284"/>
      <c r="K67" s="401"/>
      <c r="L67" s="21"/>
      <c r="M67" s="401"/>
      <c r="N67" s="220"/>
      <c r="O67" s="457"/>
      <c r="P67" s="376">
        <f t="shared" si="8"/>
        <v>0</v>
      </c>
    </row>
    <row r="68" spans="1:16" ht="15.75" customHeight="1" x14ac:dyDescent="0.25">
      <c r="A68" s="420"/>
      <c r="B68" s="44"/>
      <c r="C68" s="422"/>
      <c r="D68" s="423"/>
      <c r="E68" s="78"/>
      <c r="F68" s="444"/>
      <c r="G68" s="293"/>
      <c r="H68" s="284"/>
      <c r="I68" s="284"/>
      <c r="J68" s="284"/>
      <c r="K68" s="401"/>
      <c r="L68" s="21"/>
      <c r="M68" s="293"/>
      <c r="N68" s="286"/>
      <c r="O68" s="457">
        <f>SUM(D68:N68)</f>
        <v>0</v>
      </c>
      <c r="P68" s="376">
        <f t="shared" si="8"/>
        <v>0</v>
      </c>
    </row>
    <row r="69" spans="1:16" ht="15.75" customHeight="1" x14ac:dyDescent="0.3">
      <c r="A69" s="494" t="s">
        <v>20</v>
      </c>
      <c r="B69" s="495" t="s">
        <v>50</v>
      </c>
      <c r="C69" s="493" t="s">
        <v>1</v>
      </c>
      <c r="D69" s="493" t="s">
        <v>2</v>
      </c>
      <c r="E69" s="493" t="s">
        <v>3</v>
      </c>
      <c r="F69" s="493" t="s">
        <v>4</v>
      </c>
      <c r="G69" s="493" t="s">
        <v>5</v>
      </c>
      <c r="H69" s="493" t="s">
        <v>6</v>
      </c>
      <c r="I69" s="493" t="s">
        <v>7</v>
      </c>
      <c r="J69" s="493" t="s">
        <v>8</v>
      </c>
      <c r="K69" s="493" t="s">
        <v>9</v>
      </c>
      <c r="L69" s="493" t="s">
        <v>51</v>
      </c>
      <c r="M69" s="493" t="s">
        <v>11</v>
      </c>
      <c r="N69" s="493" t="s">
        <v>12</v>
      </c>
      <c r="O69" s="498" t="s">
        <v>13</v>
      </c>
      <c r="P69" s="375" t="s">
        <v>52</v>
      </c>
    </row>
    <row r="70" spans="1:16" ht="15.75" customHeight="1" x14ac:dyDescent="0.25">
      <c r="A70" s="15" t="s">
        <v>115</v>
      </c>
      <c r="B70" s="129">
        <v>15000000</v>
      </c>
      <c r="C70" s="170"/>
      <c r="D70" s="133">
        <v>2900000</v>
      </c>
      <c r="E70" s="133">
        <v>0</v>
      </c>
      <c r="F70" s="170">
        <v>0</v>
      </c>
      <c r="G70" s="151">
        <v>0</v>
      </c>
      <c r="H70" s="132">
        <v>0</v>
      </c>
      <c r="I70" s="132">
        <v>0</v>
      </c>
      <c r="J70" s="133">
        <v>0</v>
      </c>
      <c r="K70" s="165">
        <v>0</v>
      </c>
      <c r="L70" s="194">
        <v>0</v>
      </c>
      <c r="M70" s="293">
        <v>0</v>
      </c>
      <c r="N70" s="21">
        <v>0</v>
      </c>
      <c r="O70" s="457">
        <f t="shared" ref="O70" si="9">SUM(C70:M70)</f>
        <v>2900000</v>
      </c>
      <c r="P70" s="376">
        <f t="shared" si="8"/>
        <v>12100000</v>
      </c>
    </row>
    <row r="71" spans="1:16" ht="15.75" customHeight="1" x14ac:dyDescent="0.25">
      <c r="A71" t="s">
        <v>99</v>
      </c>
      <c r="B71" s="129">
        <v>15000000</v>
      </c>
      <c r="C71" s="216"/>
      <c r="D71" s="279">
        <v>21950000</v>
      </c>
      <c r="E71" s="279">
        <v>20580000</v>
      </c>
      <c r="F71" s="387">
        <v>6750000</v>
      </c>
      <c r="G71" s="387">
        <v>14480000</v>
      </c>
      <c r="H71" s="198"/>
      <c r="I71" s="132">
        <v>0</v>
      </c>
      <c r="J71" s="132">
        <v>0</v>
      </c>
      <c r="K71" s="165">
        <v>0</v>
      </c>
      <c r="L71" s="21">
        <v>0</v>
      </c>
      <c r="M71" s="293">
        <v>0</v>
      </c>
      <c r="N71" s="21"/>
      <c r="O71" s="457">
        <f>SUM(C71:N71)</f>
        <v>63760000</v>
      </c>
      <c r="P71" s="376">
        <f t="shared" si="8"/>
        <v>-48760000</v>
      </c>
    </row>
    <row r="72" spans="1:16" ht="15.75" customHeight="1" x14ac:dyDescent="0.25">
      <c r="A72" s="354" t="s">
        <v>116</v>
      </c>
      <c r="B72" s="501">
        <v>15000000</v>
      </c>
      <c r="C72" s="516"/>
      <c r="D72" s="398">
        <v>26650000</v>
      </c>
      <c r="E72" s="397">
        <v>11928897</v>
      </c>
      <c r="F72" s="398">
        <v>22500000</v>
      </c>
      <c r="G72" s="398">
        <v>30600000</v>
      </c>
      <c r="H72" s="397">
        <v>10970000</v>
      </c>
      <c r="I72" s="398">
        <v>25280000</v>
      </c>
      <c r="J72" s="398">
        <v>22712220</v>
      </c>
      <c r="K72" s="518">
        <v>29676015</v>
      </c>
      <c r="L72" s="398">
        <v>27260000</v>
      </c>
      <c r="M72" s="516"/>
      <c r="N72" s="398"/>
      <c r="O72" s="519">
        <f>SUM(C72:N72)</f>
        <v>207577132</v>
      </c>
      <c r="P72" s="399">
        <f t="shared" si="8"/>
        <v>-192577132</v>
      </c>
    </row>
    <row r="73" spans="1:16" ht="15.75" customHeight="1" x14ac:dyDescent="0.25">
      <c r="A73" s="194" t="s">
        <v>121</v>
      </c>
      <c r="B73" s="501">
        <v>15000000</v>
      </c>
      <c r="C73" s="330"/>
      <c r="D73" s="78">
        <v>11230000</v>
      </c>
      <c r="E73" s="78">
        <v>12800000</v>
      </c>
      <c r="F73" s="78">
        <v>4250000</v>
      </c>
      <c r="G73" s="78">
        <v>12244000</v>
      </c>
      <c r="H73" s="330">
        <v>7100000</v>
      </c>
      <c r="I73" s="78">
        <v>14500000</v>
      </c>
      <c r="J73" s="330">
        <v>20500000</v>
      </c>
      <c r="K73" s="330">
        <v>8770000</v>
      </c>
      <c r="L73" s="330">
        <v>0</v>
      </c>
      <c r="M73" s="330"/>
      <c r="N73" s="330"/>
      <c r="O73" s="519">
        <f t="shared" ref="O73:O76" si="10">SUM(C73:N73)</f>
        <v>91394000</v>
      </c>
      <c r="P73" s="399">
        <f t="shared" si="8"/>
        <v>-76394000</v>
      </c>
    </row>
    <row r="74" spans="1:16" ht="15.75" customHeight="1" x14ac:dyDescent="0.25">
      <c r="A74" s="354" t="s">
        <v>122</v>
      </c>
      <c r="B74" s="501">
        <v>15000000</v>
      </c>
      <c r="C74" s="398">
        <v>0</v>
      </c>
      <c r="D74" s="398">
        <v>0</v>
      </c>
      <c r="E74" s="397">
        <v>0</v>
      </c>
      <c r="F74" s="454">
        <v>0</v>
      </c>
      <c r="G74" s="397">
        <v>13216000</v>
      </c>
      <c r="H74" s="398">
        <v>19400000</v>
      </c>
      <c r="I74" s="397">
        <v>1650000</v>
      </c>
      <c r="J74" s="398">
        <v>0</v>
      </c>
      <c r="K74" s="398">
        <v>0</v>
      </c>
      <c r="L74" s="398">
        <v>0</v>
      </c>
      <c r="M74" s="398"/>
      <c r="N74" s="398"/>
      <c r="O74" s="519">
        <f t="shared" si="10"/>
        <v>34266000</v>
      </c>
      <c r="P74" s="399">
        <f t="shared" si="8"/>
        <v>-19266000</v>
      </c>
    </row>
    <row r="75" spans="1:16" ht="15.75" customHeight="1" x14ac:dyDescent="0.25">
      <c r="A75" s="354" t="s">
        <v>123</v>
      </c>
      <c r="B75" s="501">
        <v>15000000</v>
      </c>
      <c r="C75" s="398"/>
      <c r="D75" s="398"/>
      <c r="E75" s="397"/>
      <c r="F75" s="454"/>
      <c r="G75" s="397"/>
      <c r="H75" s="398"/>
      <c r="I75" s="397"/>
      <c r="J75" s="398"/>
      <c r="K75" s="397">
        <v>12660000</v>
      </c>
      <c r="L75" s="398">
        <v>17100000</v>
      </c>
      <c r="M75" s="398"/>
      <c r="N75" s="398"/>
      <c r="O75" s="519"/>
      <c r="P75" s="399"/>
    </row>
    <row r="76" spans="1:16" ht="15.75" customHeight="1" x14ac:dyDescent="0.25">
      <c r="A76" s="252" t="s">
        <v>124</v>
      </c>
      <c r="B76" s="129">
        <v>15000000</v>
      </c>
      <c r="C76" s="384"/>
      <c r="D76" s="194"/>
      <c r="E76" s="194"/>
      <c r="F76" s="218"/>
      <c r="G76" s="194"/>
      <c r="H76" s="194"/>
      <c r="I76" s="41">
        <v>1650000</v>
      </c>
      <c r="J76" s="41">
        <v>5550000</v>
      </c>
      <c r="K76" s="194">
        <v>0</v>
      </c>
      <c r="L76" s="194">
        <v>0</v>
      </c>
      <c r="M76" s="194">
        <v>0</v>
      </c>
      <c r="N76" s="194"/>
      <c r="O76" s="519">
        <f t="shared" si="10"/>
        <v>7200000</v>
      </c>
      <c r="P76" s="399">
        <f t="shared" si="8"/>
        <v>7800000</v>
      </c>
    </row>
    <row r="77" spans="1:16" ht="4.5" customHeight="1" x14ac:dyDescent="0.25"/>
    <row r="78" spans="1:16" ht="39.75" customHeight="1" x14ac:dyDescent="0.85">
      <c r="A78" s="592">
        <v>2021</v>
      </c>
    </row>
    <row r="79" spans="1:16" ht="47.25" customHeight="1" x14ac:dyDescent="0.5">
      <c r="A79" s="575" t="s">
        <v>125</v>
      </c>
      <c r="B79" s="576" t="s">
        <v>50</v>
      </c>
      <c r="C79" s="371" t="s">
        <v>1</v>
      </c>
      <c r="D79" s="371" t="s">
        <v>2</v>
      </c>
      <c r="E79" s="371" t="s">
        <v>3</v>
      </c>
      <c r="F79" s="371" t="s">
        <v>4</v>
      </c>
      <c r="G79" s="371" t="s">
        <v>5</v>
      </c>
      <c r="H79" s="371" t="s">
        <v>6</v>
      </c>
      <c r="I79" s="371" t="s">
        <v>7</v>
      </c>
      <c r="J79" s="371" t="s">
        <v>8</v>
      </c>
      <c r="K79" s="371" t="s">
        <v>9</v>
      </c>
      <c r="L79" s="371" t="s">
        <v>51</v>
      </c>
      <c r="M79" s="371" t="s">
        <v>11</v>
      </c>
      <c r="N79" s="371" t="s">
        <v>12</v>
      </c>
      <c r="O79" s="589" t="s">
        <v>13</v>
      </c>
    </row>
    <row r="80" spans="1:16" ht="15.75" customHeight="1" x14ac:dyDescent="0.25">
      <c r="A80" s="595" t="s">
        <v>117</v>
      </c>
      <c r="B80" s="590">
        <v>45000000</v>
      </c>
      <c r="C80" s="591">
        <v>29750000</v>
      </c>
      <c r="D80" s="590">
        <v>52200000</v>
      </c>
      <c r="E80" s="583">
        <v>49208897</v>
      </c>
      <c r="F80" s="583">
        <v>33500000</v>
      </c>
      <c r="G80" s="583">
        <v>61874000</v>
      </c>
      <c r="H80" s="583">
        <v>35820000</v>
      </c>
      <c r="I80" s="583">
        <v>41430000</v>
      </c>
      <c r="J80" s="583">
        <v>48762220</v>
      </c>
      <c r="K80" s="583">
        <v>51106015</v>
      </c>
      <c r="L80" s="583">
        <v>45560000</v>
      </c>
      <c r="M80" s="583">
        <v>48470000</v>
      </c>
      <c r="N80" s="583">
        <v>43810000</v>
      </c>
      <c r="O80" s="272">
        <f>SUM(C80:N80)</f>
        <v>541491132</v>
      </c>
    </row>
    <row r="81" spans="1:15" ht="15.75" customHeight="1" x14ac:dyDescent="0.25">
      <c r="A81" s="341" t="s">
        <v>96</v>
      </c>
      <c r="B81" s="583">
        <v>13000000</v>
      </c>
      <c r="C81" s="272">
        <v>13600000</v>
      </c>
      <c r="D81" s="272">
        <v>12700000</v>
      </c>
      <c r="E81" s="272">
        <v>11100000</v>
      </c>
      <c r="F81" s="272">
        <v>10400000</v>
      </c>
      <c r="G81" s="272">
        <v>17400000</v>
      </c>
      <c r="H81" s="272">
        <v>12450000</v>
      </c>
      <c r="I81" s="272">
        <v>11030000</v>
      </c>
      <c r="J81" s="272">
        <v>10350000</v>
      </c>
      <c r="K81" s="272">
        <v>5684000</v>
      </c>
      <c r="L81" s="272">
        <v>17600000</v>
      </c>
      <c r="M81" s="272">
        <v>11630000</v>
      </c>
      <c r="N81" s="272">
        <v>950000</v>
      </c>
      <c r="O81" s="272">
        <f t="shared" ref="O81:O87" si="11">SUM(C81:N81)</f>
        <v>134894000</v>
      </c>
    </row>
    <row r="82" spans="1:15" ht="15.75" customHeight="1" x14ac:dyDescent="0.25">
      <c r="A82" s="341" t="s">
        <v>94</v>
      </c>
      <c r="B82" s="583">
        <v>13000000</v>
      </c>
      <c r="C82" s="272">
        <v>10990000</v>
      </c>
      <c r="D82" s="272">
        <v>16500000</v>
      </c>
      <c r="E82" s="272">
        <v>17580000</v>
      </c>
      <c r="F82" s="272">
        <v>12900000</v>
      </c>
      <c r="G82" s="272">
        <v>23600000</v>
      </c>
      <c r="H82" s="272">
        <v>8520000</v>
      </c>
      <c r="I82" s="272">
        <v>15500000</v>
      </c>
      <c r="J82" s="272">
        <v>15350000</v>
      </c>
      <c r="K82" s="272">
        <v>29170000</v>
      </c>
      <c r="L82" s="272">
        <v>22490000</v>
      </c>
      <c r="M82" s="272">
        <v>14950000</v>
      </c>
      <c r="N82" s="272">
        <v>12250000</v>
      </c>
      <c r="O82" s="272">
        <f t="shared" si="11"/>
        <v>199800000</v>
      </c>
    </row>
    <row r="83" spans="1:15" ht="15.75" customHeight="1" x14ac:dyDescent="0.25">
      <c r="A83" s="341" t="s">
        <v>118</v>
      </c>
      <c r="B83" s="583">
        <v>11250000</v>
      </c>
      <c r="C83" s="272">
        <v>2100000</v>
      </c>
      <c r="D83" s="272">
        <v>9600000</v>
      </c>
      <c r="E83" s="272">
        <v>13300000</v>
      </c>
      <c r="F83" s="272">
        <v>7580000</v>
      </c>
      <c r="G83" s="272">
        <v>9294000</v>
      </c>
      <c r="H83" s="272">
        <v>13550000</v>
      </c>
      <c r="I83" s="272">
        <v>4550000</v>
      </c>
      <c r="J83" s="272">
        <v>16700000</v>
      </c>
      <c r="K83" s="272">
        <v>9080000</v>
      </c>
      <c r="L83" s="205">
        <v>0</v>
      </c>
      <c r="M83" s="205">
        <v>0</v>
      </c>
      <c r="N83" s="205">
        <v>0</v>
      </c>
      <c r="O83" s="272">
        <f t="shared" si="11"/>
        <v>85754000</v>
      </c>
    </row>
    <row r="84" spans="1:15" ht="15.75" customHeight="1" x14ac:dyDescent="0.25">
      <c r="A84" s="341" t="s">
        <v>119</v>
      </c>
      <c r="B84" s="583">
        <v>11250000</v>
      </c>
      <c r="C84" s="272">
        <v>3060000</v>
      </c>
      <c r="D84" s="272">
        <v>13400000</v>
      </c>
      <c r="E84" s="205">
        <v>0</v>
      </c>
      <c r="F84" s="272">
        <v>2350000</v>
      </c>
      <c r="G84" s="272">
        <v>11580000</v>
      </c>
      <c r="H84" s="272">
        <v>1300000</v>
      </c>
      <c r="I84" s="272">
        <v>10350000</v>
      </c>
      <c r="J84" s="205">
        <v>0</v>
      </c>
      <c r="K84" s="205">
        <v>0</v>
      </c>
      <c r="L84" s="205">
        <v>0</v>
      </c>
      <c r="M84" s="205">
        <v>0</v>
      </c>
      <c r="N84" s="205">
        <v>0</v>
      </c>
      <c r="O84" s="272">
        <f t="shared" si="11"/>
        <v>42040000</v>
      </c>
    </row>
    <row r="85" spans="1:15" ht="15.75" customHeight="1" x14ac:dyDescent="0.25">
      <c r="A85" s="341" t="s">
        <v>120</v>
      </c>
      <c r="B85" s="583">
        <v>11250000</v>
      </c>
      <c r="C85" s="205"/>
      <c r="D85" s="205"/>
      <c r="E85" s="205"/>
      <c r="F85" s="205"/>
      <c r="G85" s="205"/>
      <c r="H85" s="205"/>
      <c r="I85" s="205"/>
      <c r="J85" s="272">
        <v>2800000</v>
      </c>
      <c r="K85" s="272">
        <v>6410000</v>
      </c>
      <c r="L85" s="272">
        <v>5470000</v>
      </c>
      <c r="M85" s="272">
        <v>6550000</v>
      </c>
      <c r="N85" s="272">
        <v>10900000</v>
      </c>
      <c r="O85" s="272">
        <f t="shared" si="11"/>
        <v>32130000</v>
      </c>
    </row>
    <row r="86" spans="1:15" ht="15.75" customHeight="1" x14ac:dyDescent="0.25">
      <c r="A86" s="341" t="s">
        <v>126</v>
      </c>
      <c r="B86" s="583">
        <v>11250000</v>
      </c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72">
        <v>9050000</v>
      </c>
      <c r="N86" s="272">
        <v>6760000</v>
      </c>
      <c r="O86" s="272">
        <f t="shared" si="11"/>
        <v>15810000</v>
      </c>
    </row>
    <row r="87" spans="1:15" ht="15.75" customHeight="1" x14ac:dyDescent="0.25">
      <c r="A87" s="341" t="s">
        <v>127</v>
      </c>
      <c r="B87" s="583">
        <v>11250000</v>
      </c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72">
        <v>6290000</v>
      </c>
      <c r="N87" s="272">
        <v>9950000</v>
      </c>
      <c r="O87" s="272">
        <f t="shared" si="11"/>
        <v>16240000</v>
      </c>
    </row>
    <row r="88" spans="1:15" ht="15.75" customHeight="1" x14ac:dyDescent="0.25">
      <c r="A88" s="596" t="s">
        <v>20</v>
      </c>
      <c r="B88" s="597">
        <v>17000000</v>
      </c>
      <c r="C88" s="598"/>
      <c r="D88" s="598"/>
      <c r="E88" s="598"/>
      <c r="F88" s="598"/>
      <c r="G88" s="598"/>
      <c r="H88" s="598"/>
      <c r="I88" s="598"/>
      <c r="J88" s="598"/>
      <c r="K88" s="598"/>
      <c r="L88" s="598"/>
      <c r="M88" s="598"/>
      <c r="N88" s="598"/>
      <c r="O88" s="598"/>
    </row>
    <row r="89" spans="1:15" ht="15.75" customHeight="1" x14ac:dyDescent="0.25">
      <c r="A89" s="194" t="s">
        <v>116</v>
      </c>
      <c r="B89" s="597">
        <v>17000000</v>
      </c>
      <c r="C89" s="272">
        <v>15070000</v>
      </c>
      <c r="D89" s="220">
        <v>26650000</v>
      </c>
      <c r="E89" s="272">
        <v>11928897</v>
      </c>
      <c r="F89" s="353">
        <v>22500000</v>
      </c>
      <c r="G89" s="272">
        <v>30600000</v>
      </c>
      <c r="H89" s="272">
        <v>10970000</v>
      </c>
      <c r="I89" s="272">
        <v>25280000</v>
      </c>
      <c r="J89" s="272">
        <v>29676015</v>
      </c>
      <c r="K89" s="588">
        <v>27260000</v>
      </c>
      <c r="L89" s="272">
        <v>27260000</v>
      </c>
      <c r="M89" s="272">
        <v>21390000</v>
      </c>
      <c r="N89" s="272">
        <v>1760000</v>
      </c>
      <c r="O89" s="272">
        <f>SUM(C89:N89)</f>
        <v>250344912</v>
      </c>
    </row>
    <row r="90" spans="1:15" ht="16.5" customHeight="1" x14ac:dyDescent="0.25">
      <c r="A90" s="194" t="s">
        <v>115</v>
      </c>
      <c r="B90" s="597">
        <v>17000000</v>
      </c>
      <c r="C90" s="272">
        <v>3490000</v>
      </c>
      <c r="D90" s="272">
        <v>2900000</v>
      </c>
      <c r="E90" s="342">
        <v>0</v>
      </c>
      <c r="F90" s="194">
        <v>0</v>
      </c>
      <c r="G90" s="384">
        <v>0</v>
      </c>
      <c r="H90" s="205">
        <v>0</v>
      </c>
      <c r="I90" s="205">
        <v>0</v>
      </c>
      <c r="J90" s="205">
        <v>0</v>
      </c>
      <c r="K90" s="205">
        <v>0</v>
      </c>
      <c r="L90" s="205">
        <v>0</v>
      </c>
      <c r="M90" s="205">
        <v>0</v>
      </c>
      <c r="N90" s="205">
        <v>0</v>
      </c>
      <c r="O90" s="272">
        <f t="shared" ref="O90:O95" si="12">SUM(C90:N90)</f>
        <v>6390000</v>
      </c>
    </row>
    <row r="91" spans="1:15" ht="15.75" customHeight="1" x14ac:dyDescent="0.25">
      <c r="A91" s="194" t="s">
        <v>99</v>
      </c>
      <c r="B91" s="597">
        <v>17000000</v>
      </c>
      <c r="C91" s="272">
        <v>15380000</v>
      </c>
      <c r="D91" s="272">
        <v>21950000</v>
      </c>
      <c r="E91" s="342">
        <v>20580000</v>
      </c>
      <c r="F91" s="272">
        <v>6750000</v>
      </c>
      <c r="G91" s="600">
        <v>14480000</v>
      </c>
      <c r="H91" s="205">
        <v>0</v>
      </c>
      <c r="I91" s="205">
        <v>0</v>
      </c>
      <c r="J91" s="205">
        <v>0</v>
      </c>
      <c r="K91" s="205">
        <v>0</v>
      </c>
      <c r="L91" s="205">
        <v>0</v>
      </c>
      <c r="M91" s="205">
        <v>0</v>
      </c>
      <c r="N91" s="205">
        <v>0</v>
      </c>
      <c r="O91" s="272">
        <f t="shared" si="12"/>
        <v>79140000</v>
      </c>
    </row>
    <row r="92" spans="1:15" ht="15.75" customHeight="1" x14ac:dyDescent="0.25">
      <c r="A92" s="194" t="s">
        <v>121</v>
      </c>
      <c r="B92" s="597">
        <v>17000000</v>
      </c>
      <c r="C92" s="272"/>
      <c r="D92" s="272">
        <v>11230000</v>
      </c>
      <c r="E92" s="342">
        <v>12800000</v>
      </c>
      <c r="F92" s="272">
        <v>4250000</v>
      </c>
      <c r="G92" s="600">
        <v>12244000</v>
      </c>
      <c r="H92" s="272">
        <v>7100000</v>
      </c>
      <c r="I92" s="272">
        <v>14500000</v>
      </c>
      <c r="J92" s="205">
        <v>0</v>
      </c>
      <c r="K92" s="272">
        <v>8770000</v>
      </c>
      <c r="L92" s="205"/>
      <c r="M92" s="205"/>
      <c r="N92" s="205">
        <v>0</v>
      </c>
      <c r="O92" s="272">
        <f t="shared" si="12"/>
        <v>70894000</v>
      </c>
    </row>
    <row r="93" spans="1:15" ht="15.75" customHeight="1" x14ac:dyDescent="0.25">
      <c r="A93" t="s">
        <v>123</v>
      </c>
      <c r="B93" s="597">
        <v>17000000</v>
      </c>
      <c r="C93" s="272"/>
      <c r="D93" s="272"/>
      <c r="E93" s="342"/>
      <c r="F93" s="272"/>
      <c r="G93" s="600"/>
      <c r="H93" s="272"/>
      <c r="I93" s="272"/>
      <c r="J93" s="205"/>
      <c r="K93" s="272">
        <v>12660000</v>
      </c>
      <c r="L93" s="272">
        <v>15230000</v>
      </c>
      <c r="M93" s="272">
        <v>17100000</v>
      </c>
      <c r="N93" s="272">
        <v>21900000</v>
      </c>
      <c r="O93" s="272">
        <f t="shared" si="12"/>
        <v>66890000</v>
      </c>
    </row>
    <row r="94" spans="1:15" ht="15.75" customHeight="1" x14ac:dyDescent="0.25">
      <c r="A94" t="s">
        <v>128</v>
      </c>
      <c r="B94" s="597">
        <v>17000000</v>
      </c>
      <c r="C94" s="272"/>
      <c r="D94" s="272"/>
      <c r="E94" s="342"/>
      <c r="F94" s="272"/>
      <c r="G94" s="600"/>
      <c r="H94" s="272"/>
      <c r="I94" s="272"/>
      <c r="J94" s="205"/>
      <c r="K94" s="272">
        <v>1200000</v>
      </c>
      <c r="L94" s="272">
        <v>11850000</v>
      </c>
      <c r="M94" s="272">
        <v>1200000</v>
      </c>
      <c r="N94" s="272">
        <v>20150000</v>
      </c>
      <c r="O94" s="272">
        <f t="shared" si="12"/>
        <v>34400000</v>
      </c>
    </row>
    <row r="95" spans="1:15" ht="15.75" customHeight="1" x14ac:dyDescent="0.25">
      <c r="A95" t="s">
        <v>122</v>
      </c>
      <c r="B95" s="194"/>
      <c r="C95" s="194"/>
      <c r="D95" s="194"/>
      <c r="E95" s="599"/>
      <c r="F95" s="194"/>
      <c r="G95" s="600">
        <v>13216000</v>
      </c>
      <c r="H95" s="272">
        <v>19400000</v>
      </c>
      <c r="I95" s="205"/>
      <c r="J95" s="205">
        <v>0</v>
      </c>
      <c r="K95" s="272">
        <v>0</v>
      </c>
      <c r="L95" s="205"/>
      <c r="M95" s="194"/>
      <c r="N95" s="194"/>
      <c r="O95" s="272">
        <f t="shared" si="12"/>
        <v>32616000</v>
      </c>
    </row>
    <row r="96" spans="1:15" ht="1.5" customHeight="1" x14ac:dyDescent="0.25"/>
    <row r="97" spans="1:15" ht="44.25" customHeight="1" x14ac:dyDescent="0.85">
      <c r="A97" s="363">
        <v>2022</v>
      </c>
    </row>
    <row r="98" spans="1:15" ht="30" customHeight="1" x14ac:dyDescent="0.5">
      <c r="A98" s="593" t="s">
        <v>125</v>
      </c>
      <c r="B98" s="594" t="s">
        <v>50</v>
      </c>
      <c r="C98" s="367" t="s">
        <v>1</v>
      </c>
      <c r="D98" s="367" t="s">
        <v>2</v>
      </c>
      <c r="E98" s="367" t="s">
        <v>3</v>
      </c>
      <c r="F98" s="367" t="s">
        <v>4</v>
      </c>
      <c r="G98" s="367" t="s">
        <v>5</v>
      </c>
      <c r="H98" s="367" t="s">
        <v>6</v>
      </c>
      <c r="I98" s="367" t="s">
        <v>7</v>
      </c>
      <c r="J98" s="367" t="s">
        <v>8</v>
      </c>
      <c r="K98" s="367" t="s">
        <v>9</v>
      </c>
      <c r="L98" s="367" t="s">
        <v>51</v>
      </c>
      <c r="M98" s="367" t="s">
        <v>11</v>
      </c>
      <c r="N98" s="367" t="s">
        <v>12</v>
      </c>
      <c r="O98" s="589" t="s">
        <v>13</v>
      </c>
    </row>
    <row r="99" spans="1:15" ht="15.75" customHeight="1" x14ac:dyDescent="0.25">
      <c r="A99" s="571" t="s">
        <v>129</v>
      </c>
      <c r="B99" s="583">
        <v>50000000</v>
      </c>
      <c r="C99" s="615">
        <v>26050000</v>
      </c>
      <c r="D99" s="614">
        <v>73420000</v>
      </c>
      <c r="E99" s="445">
        <v>42380000</v>
      </c>
      <c r="F99" s="567">
        <v>41150000</v>
      </c>
      <c r="G99" s="502">
        <v>50260000</v>
      </c>
      <c r="H99" s="613">
        <v>34050000</v>
      </c>
      <c r="I99" s="445">
        <v>44500000</v>
      </c>
      <c r="J99" s="445">
        <v>48431300</v>
      </c>
      <c r="K99" s="205"/>
      <c r="L99" s="205"/>
      <c r="M99" s="205"/>
      <c r="N99" s="205"/>
      <c r="O99" s="272">
        <f>SUM(C99:N99)</f>
        <v>360241300</v>
      </c>
    </row>
    <row r="100" spans="1:15" ht="15.75" customHeight="1" x14ac:dyDescent="0.25">
      <c r="A100" s="551" t="s">
        <v>94</v>
      </c>
      <c r="B100" s="583">
        <v>15000000</v>
      </c>
      <c r="C100" s="600">
        <v>7150000</v>
      </c>
      <c r="D100" s="272">
        <v>26440000</v>
      </c>
      <c r="E100" s="272">
        <v>22330000</v>
      </c>
      <c r="F100" s="330">
        <v>19650000</v>
      </c>
      <c r="G100" s="330">
        <v>23650000</v>
      </c>
      <c r="H100" s="272">
        <v>11800000</v>
      </c>
      <c r="I100" s="272">
        <v>16550000</v>
      </c>
      <c r="J100" s="272">
        <v>30450000</v>
      </c>
      <c r="K100" s="205"/>
      <c r="L100" s="205"/>
      <c r="M100" s="205"/>
      <c r="N100" s="205"/>
      <c r="O100" s="272">
        <f t="shared" ref="O100:O104" si="13">SUM(C100:N100)</f>
        <v>158020000</v>
      </c>
    </row>
    <row r="101" spans="1:15" ht="15.75" customHeight="1" x14ac:dyDescent="0.25">
      <c r="A101" s="551" t="s">
        <v>120</v>
      </c>
      <c r="B101" s="583">
        <v>13000000</v>
      </c>
      <c r="C101" s="600">
        <v>4900000</v>
      </c>
      <c r="D101" s="272">
        <v>20700000</v>
      </c>
      <c r="E101" s="272">
        <v>7500000</v>
      </c>
      <c r="F101" s="330">
        <v>13200000</v>
      </c>
      <c r="G101" s="330">
        <v>13400000</v>
      </c>
      <c r="H101" s="272">
        <v>5900000</v>
      </c>
      <c r="I101" s="272">
        <v>17450000</v>
      </c>
      <c r="J101" s="272">
        <v>1800000</v>
      </c>
      <c r="K101" s="205"/>
      <c r="L101" s="205"/>
      <c r="M101" s="205"/>
      <c r="N101" s="205"/>
      <c r="O101" s="272">
        <f t="shared" si="13"/>
        <v>84850000</v>
      </c>
    </row>
    <row r="102" spans="1:15" ht="15.75" customHeight="1" x14ac:dyDescent="0.25">
      <c r="A102" s="551" t="s">
        <v>127</v>
      </c>
      <c r="B102" s="583">
        <v>13000000</v>
      </c>
      <c r="C102" s="600">
        <v>13250000</v>
      </c>
      <c r="D102" s="272">
        <v>14970000</v>
      </c>
      <c r="E102" s="272">
        <v>4700000</v>
      </c>
      <c r="F102" s="330">
        <v>8300000</v>
      </c>
      <c r="G102" s="330">
        <v>4600000</v>
      </c>
      <c r="H102" s="272">
        <v>7100000</v>
      </c>
      <c r="I102" s="272">
        <v>6300000</v>
      </c>
      <c r="J102" s="272">
        <v>9450000</v>
      </c>
      <c r="K102" s="205"/>
      <c r="L102" s="205"/>
      <c r="M102" s="205"/>
      <c r="N102" s="205"/>
      <c r="O102" s="272">
        <f t="shared" si="13"/>
        <v>68670000</v>
      </c>
    </row>
    <row r="103" spans="1:15" ht="15.75" customHeight="1" x14ac:dyDescent="0.25">
      <c r="A103" s="551" t="s">
        <v>130</v>
      </c>
      <c r="B103" s="583">
        <v>13000000</v>
      </c>
      <c r="C103" s="600">
        <v>0</v>
      </c>
      <c r="D103" s="272">
        <v>0</v>
      </c>
      <c r="E103" s="272">
        <v>0</v>
      </c>
      <c r="F103" s="218">
        <v>0</v>
      </c>
      <c r="G103" s="330">
        <v>0</v>
      </c>
      <c r="H103" s="272">
        <v>0</v>
      </c>
      <c r="I103" s="205">
        <v>0</v>
      </c>
      <c r="J103" s="272">
        <v>3700000</v>
      </c>
      <c r="K103" s="205"/>
      <c r="L103" s="205"/>
      <c r="M103" s="205"/>
      <c r="N103" s="205"/>
      <c r="O103" s="272"/>
    </row>
    <row r="104" spans="1:15" ht="15.75" customHeight="1" x14ac:dyDescent="0.25">
      <c r="A104" s="551" t="s">
        <v>131</v>
      </c>
      <c r="B104" s="583">
        <v>13000000</v>
      </c>
      <c r="C104" s="600">
        <v>0</v>
      </c>
      <c r="D104" s="272">
        <v>0</v>
      </c>
      <c r="E104" s="272">
        <v>0</v>
      </c>
      <c r="F104" s="218">
        <v>0</v>
      </c>
      <c r="G104" s="330">
        <v>2500000</v>
      </c>
      <c r="H104" s="205">
        <v>0</v>
      </c>
      <c r="I104" s="205">
        <v>0</v>
      </c>
      <c r="J104" s="205">
        <v>0</v>
      </c>
      <c r="K104" s="205"/>
      <c r="L104" s="205"/>
      <c r="M104" s="205"/>
      <c r="N104" s="205"/>
      <c r="O104" s="272">
        <f t="shared" si="13"/>
        <v>2500000</v>
      </c>
    </row>
    <row r="105" spans="1:15" ht="15.75" customHeight="1" x14ac:dyDescent="0.25">
      <c r="A105" s="551" t="s">
        <v>132</v>
      </c>
      <c r="B105" s="583">
        <v>13000000</v>
      </c>
      <c r="C105" s="601">
        <v>0</v>
      </c>
      <c r="D105" s="272">
        <v>5500000</v>
      </c>
      <c r="E105" s="272">
        <v>6750000</v>
      </c>
      <c r="F105" s="218">
        <v>0</v>
      </c>
      <c r="G105" s="205">
        <v>0</v>
      </c>
      <c r="H105" s="205">
        <v>0</v>
      </c>
      <c r="I105" s="205">
        <v>0</v>
      </c>
      <c r="J105" s="205">
        <v>0</v>
      </c>
      <c r="K105" s="205"/>
      <c r="L105" s="205"/>
      <c r="M105" s="205"/>
      <c r="N105" s="205"/>
      <c r="O105" s="272">
        <f t="shared" ref="O105:O106" si="14">SUM(C105:N105)</f>
        <v>12250000</v>
      </c>
    </row>
    <row r="106" spans="1:15" ht="15.75" customHeight="1" x14ac:dyDescent="0.25">
      <c r="A106" s="551" t="s">
        <v>133</v>
      </c>
      <c r="B106" s="583">
        <v>13000000</v>
      </c>
      <c r="C106" s="600">
        <v>0</v>
      </c>
      <c r="D106" s="272">
        <v>0</v>
      </c>
      <c r="E106" s="272">
        <v>0</v>
      </c>
      <c r="F106" s="218">
        <v>0</v>
      </c>
      <c r="G106" s="330">
        <v>2860000</v>
      </c>
      <c r="H106" s="272">
        <v>1550000</v>
      </c>
      <c r="I106" s="205">
        <v>0</v>
      </c>
      <c r="J106" s="205">
        <v>0</v>
      </c>
      <c r="K106" s="205"/>
      <c r="L106" s="205"/>
      <c r="M106" s="205"/>
      <c r="N106" s="205"/>
      <c r="O106" s="272">
        <f t="shared" si="14"/>
        <v>4410000</v>
      </c>
    </row>
    <row r="107" spans="1:15" ht="15.75" customHeight="1" x14ac:dyDescent="0.25">
      <c r="A107" s="571" t="s">
        <v>134</v>
      </c>
      <c r="B107" s="585"/>
      <c r="C107" s="603"/>
      <c r="D107" s="585"/>
      <c r="E107" s="585"/>
      <c r="F107" s="574"/>
      <c r="G107" s="585"/>
      <c r="H107" s="585"/>
      <c r="I107" s="585"/>
      <c r="J107" s="585"/>
      <c r="K107" s="585"/>
      <c r="L107" s="585"/>
      <c r="M107" s="585"/>
      <c r="N107" s="585"/>
      <c r="O107" s="585"/>
    </row>
    <row r="108" spans="1:15" ht="15.75" customHeight="1" x14ac:dyDescent="0.25">
      <c r="A108" s="551" t="s">
        <v>99</v>
      </c>
      <c r="B108" s="583">
        <v>17000000</v>
      </c>
      <c r="C108" s="600">
        <v>13020000</v>
      </c>
      <c r="D108" s="272">
        <v>13550000</v>
      </c>
      <c r="E108" s="272">
        <v>22000000</v>
      </c>
      <c r="F108" s="330">
        <v>27960000</v>
      </c>
      <c r="G108" s="218">
        <v>0</v>
      </c>
      <c r="H108" s="205">
        <v>0</v>
      </c>
      <c r="I108" s="205">
        <v>0</v>
      </c>
      <c r="J108" s="205">
        <v>0</v>
      </c>
      <c r="K108" s="205"/>
      <c r="L108" s="205"/>
      <c r="M108" s="205"/>
      <c r="O108" s="272">
        <f>SUM(C108:M108)</f>
        <v>76530000</v>
      </c>
    </row>
    <row r="109" spans="1:15" ht="15.75" customHeight="1" x14ac:dyDescent="0.25">
      <c r="A109" s="551" t="s">
        <v>116</v>
      </c>
      <c r="B109" s="583">
        <v>17000000</v>
      </c>
      <c r="C109" s="600">
        <v>11650000</v>
      </c>
      <c r="D109" s="272">
        <v>47720000</v>
      </c>
      <c r="E109" s="272">
        <v>18250000</v>
      </c>
      <c r="F109" s="330">
        <v>16700000</v>
      </c>
      <c r="G109" s="330">
        <v>16700000</v>
      </c>
      <c r="H109" s="205">
        <v>0</v>
      </c>
      <c r="I109" s="205">
        <v>0</v>
      </c>
      <c r="J109" s="205">
        <v>0</v>
      </c>
      <c r="K109" s="205"/>
      <c r="L109" s="205"/>
      <c r="M109" s="205"/>
      <c r="N109" s="205"/>
      <c r="O109" s="272">
        <f t="shared" ref="O109:O110" si="15">SUM(C109:M109)</f>
        <v>111020000</v>
      </c>
    </row>
    <row r="110" spans="1:15" ht="15.75" customHeight="1" x14ac:dyDescent="0.25">
      <c r="A110" s="649" t="s">
        <v>135</v>
      </c>
      <c r="B110" s="622">
        <v>17000000</v>
      </c>
      <c r="C110" s="650">
        <v>0</v>
      </c>
      <c r="D110" s="353">
        <v>700000</v>
      </c>
      <c r="E110" s="353">
        <v>14850000</v>
      </c>
      <c r="F110" s="398">
        <v>25260000</v>
      </c>
      <c r="G110" s="398">
        <v>25260000</v>
      </c>
      <c r="H110" s="353">
        <v>24400000</v>
      </c>
      <c r="I110" s="353">
        <v>29250000</v>
      </c>
      <c r="J110" s="353">
        <v>29431300</v>
      </c>
      <c r="K110" s="236"/>
      <c r="L110" s="236"/>
      <c r="M110" s="236"/>
      <c r="N110" s="236"/>
      <c r="O110" s="272">
        <f t="shared" si="15"/>
        <v>149151300</v>
      </c>
    </row>
    <row r="111" spans="1:15" ht="15.75" customHeight="1" x14ac:dyDescent="0.25">
      <c r="A111" s="663" t="s">
        <v>130</v>
      </c>
      <c r="B111" s="622">
        <v>17000000</v>
      </c>
      <c r="C111" s="205">
        <v>0</v>
      </c>
      <c r="D111" s="205">
        <v>0</v>
      </c>
      <c r="E111" s="205">
        <v>0</v>
      </c>
      <c r="F111" s="205">
        <v>0</v>
      </c>
      <c r="G111" s="205">
        <v>0</v>
      </c>
      <c r="H111" s="205">
        <v>0</v>
      </c>
      <c r="I111" s="205">
        <v>0</v>
      </c>
      <c r="J111" s="272">
        <v>5000000</v>
      </c>
      <c r="K111" s="205"/>
      <c r="L111" s="205"/>
      <c r="M111" s="205"/>
      <c r="N111" s="205"/>
      <c r="O111" s="205"/>
    </row>
    <row r="112" spans="1:15" ht="15.75" customHeight="1" x14ac:dyDescent="0.25">
      <c r="A112" s="551" t="s">
        <v>136</v>
      </c>
      <c r="B112" s="622">
        <v>17000000</v>
      </c>
      <c r="C112" s="205">
        <v>0</v>
      </c>
      <c r="D112" s="205">
        <v>0</v>
      </c>
      <c r="E112" s="205">
        <v>0</v>
      </c>
      <c r="F112" s="205">
        <v>0</v>
      </c>
      <c r="G112" s="194"/>
      <c r="H112" s="599">
        <v>0</v>
      </c>
      <c r="I112" s="272">
        <v>10100000</v>
      </c>
      <c r="J112" s="707">
        <v>14050000</v>
      </c>
      <c r="K112" s="194"/>
      <c r="L112" s="194"/>
      <c r="M112" s="194"/>
      <c r="N112" s="194"/>
      <c r="O112" s="194"/>
    </row>
    <row r="113" spans="1:15" ht="15.75" customHeight="1" x14ac:dyDescent="0.25">
      <c r="A113" s="649" t="s">
        <v>137</v>
      </c>
      <c r="B113" s="622">
        <v>17000000</v>
      </c>
      <c r="C113" s="650"/>
      <c r="D113" s="353">
        <v>13300000</v>
      </c>
      <c r="E113" s="353">
        <v>9280000</v>
      </c>
      <c r="F113" s="554">
        <v>0</v>
      </c>
      <c r="G113" s="554">
        <v>0</v>
      </c>
      <c r="H113" s="662">
        <v>0</v>
      </c>
      <c r="I113" s="599">
        <v>0</v>
      </c>
      <c r="J113" s="205">
        <v>0</v>
      </c>
      <c r="K113" s="650"/>
      <c r="L113" s="236"/>
      <c r="M113" s="236"/>
      <c r="N113" s="236"/>
      <c r="O113" s="353">
        <f t="shared" ref="O113:O114" si="16">SUM(C113:M113)</f>
        <v>22580000</v>
      </c>
    </row>
    <row r="114" spans="1:15" ht="15.75" customHeight="1" x14ac:dyDescent="0.25">
      <c r="A114" s="649" t="s">
        <v>138</v>
      </c>
      <c r="B114" s="622">
        <v>17000000</v>
      </c>
      <c r="C114" s="236">
        <v>0</v>
      </c>
      <c r="D114" s="236">
        <v>0</v>
      </c>
      <c r="E114" s="236">
        <v>0</v>
      </c>
      <c r="F114" s="236">
        <v>0</v>
      </c>
      <c r="G114" s="398">
        <v>8300000</v>
      </c>
      <c r="H114" s="694">
        <v>6250000</v>
      </c>
      <c r="I114" s="662">
        <v>0</v>
      </c>
      <c r="J114" s="236">
        <v>0</v>
      </c>
      <c r="K114" s="695"/>
      <c r="L114" s="354"/>
      <c r="M114" s="354"/>
      <c r="N114" s="354"/>
      <c r="O114" s="353">
        <f t="shared" si="16"/>
        <v>14550000</v>
      </c>
    </row>
    <row r="115" spans="1:15" ht="15.75" customHeight="1" x14ac:dyDescent="0.25">
      <c r="A115" s="551" t="s">
        <v>139</v>
      </c>
      <c r="B115" s="583">
        <v>17000000</v>
      </c>
      <c r="C115" s="194"/>
      <c r="D115" s="194"/>
      <c r="E115" s="194"/>
      <c r="F115" s="194"/>
      <c r="G115" s="194"/>
      <c r="H115" s="272">
        <v>1600000</v>
      </c>
      <c r="I115" s="220">
        <v>1400000</v>
      </c>
      <c r="J115" s="205">
        <v>0</v>
      </c>
      <c r="K115" s="194"/>
      <c r="L115" s="194"/>
      <c r="M115" s="194"/>
      <c r="N115" s="194"/>
      <c r="O115" s="194">
        <f>SUM(G115:I115)</f>
        <v>3000000</v>
      </c>
    </row>
  </sheetData>
  <pageMargins left="0" right="0" top="0" bottom="0" header="0" footer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72"/>
  <sheetViews>
    <sheetView topLeftCell="A59" workbookViewId="0">
      <selection activeCell="D60" sqref="D60"/>
    </sheetView>
  </sheetViews>
  <sheetFormatPr baseColWidth="10" defaultColWidth="14.44140625" defaultRowHeight="15.75" customHeight="1" x14ac:dyDescent="0.25"/>
  <cols>
    <col min="1" max="1" width="28.6640625" customWidth="1"/>
    <col min="2" max="2" width="19.44140625" customWidth="1"/>
    <col min="3" max="3" width="17.6640625" customWidth="1"/>
    <col min="4" max="4" width="20.109375" customWidth="1"/>
    <col min="7" max="7" width="12.33203125" customWidth="1"/>
    <col min="10" max="11" width="18" customWidth="1"/>
    <col min="12" max="14" width="18" hidden="1" customWidth="1"/>
    <col min="15" max="15" width="18" customWidth="1"/>
    <col min="16" max="16" width="18.109375" customWidth="1"/>
    <col min="17" max="17" width="17.5546875" customWidth="1"/>
  </cols>
  <sheetData>
    <row r="1" spans="1:16" ht="55.5" customHeight="1" x14ac:dyDescent="0.85">
      <c r="A1" s="206">
        <v>2018</v>
      </c>
      <c r="B1" s="4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33.75" customHeight="1" x14ac:dyDescent="0.5">
      <c r="A2" s="3" t="s">
        <v>140</v>
      </c>
      <c r="B2" s="5" t="s">
        <v>141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</row>
    <row r="3" spans="1:16" ht="13.2" x14ac:dyDescent="0.25">
      <c r="A3" s="13" t="s">
        <v>142</v>
      </c>
      <c r="B3" s="149">
        <v>30000000</v>
      </c>
      <c r="C3" s="18">
        <v>11950000</v>
      </c>
      <c r="D3" s="19">
        <v>16680000</v>
      </c>
      <c r="E3" s="20">
        <v>20430030</v>
      </c>
      <c r="F3" s="20">
        <v>24705000</v>
      </c>
      <c r="G3" s="20">
        <v>21970000</v>
      </c>
      <c r="H3" s="20">
        <v>18070000</v>
      </c>
      <c r="I3" s="20">
        <v>17550000</v>
      </c>
      <c r="J3" s="20">
        <v>23109076</v>
      </c>
      <c r="K3" s="20">
        <v>11100000</v>
      </c>
      <c r="L3" s="20">
        <v>21530000</v>
      </c>
      <c r="M3" s="20">
        <v>22270000</v>
      </c>
      <c r="N3" s="19">
        <v>7800000</v>
      </c>
      <c r="O3" s="22">
        <f t="shared" ref="O3:O9" si="0">SUM(C3:N3)</f>
        <v>217164106</v>
      </c>
    </row>
    <row r="4" spans="1:16" ht="13.8" x14ac:dyDescent="0.25">
      <c r="A4" s="15" t="s">
        <v>19</v>
      </c>
      <c r="B4" s="24">
        <v>10500000</v>
      </c>
      <c r="C4" s="17">
        <v>5550000</v>
      </c>
      <c r="D4" s="117">
        <v>10530000</v>
      </c>
      <c r="E4" s="117">
        <v>9800030</v>
      </c>
      <c r="F4" s="117">
        <v>5905000</v>
      </c>
      <c r="G4" s="117">
        <v>6120000</v>
      </c>
      <c r="H4" s="117">
        <v>6000000</v>
      </c>
      <c r="I4" s="117">
        <v>8100000</v>
      </c>
      <c r="J4" s="26">
        <v>6090000</v>
      </c>
      <c r="K4" s="117">
        <v>4600000</v>
      </c>
      <c r="L4" s="117">
        <v>3600000</v>
      </c>
      <c r="M4" s="117">
        <v>12200000</v>
      </c>
      <c r="N4" s="117">
        <v>2200000</v>
      </c>
      <c r="O4" s="21">
        <f t="shared" si="0"/>
        <v>80695030</v>
      </c>
    </row>
    <row r="5" spans="1:16" ht="13.8" x14ac:dyDescent="0.25">
      <c r="A5" s="15" t="s">
        <v>143</v>
      </c>
      <c r="B5" s="24">
        <v>10500000</v>
      </c>
      <c r="C5" s="17">
        <v>0</v>
      </c>
      <c r="D5" s="117">
        <v>0</v>
      </c>
      <c r="E5" s="117">
        <v>0</v>
      </c>
      <c r="F5" s="117">
        <v>0</v>
      </c>
      <c r="G5" s="117">
        <v>0</v>
      </c>
      <c r="H5" s="117">
        <v>0</v>
      </c>
      <c r="I5" s="117">
        <v>0</v>
      </c>
      <c r="J5" s="26">
        <v>0</v>
      </c>
      <c r="K5" s="117">
        <v>0</v>
      </c>
      <c r="L5" s="117">
        <v>4230000</v>
      </c>
      <c r="M5" s="117">
        <v>6550000</v>
      </c>
      <c r="N5" s="127">
        <v>0</v>
      </c>
      <c r="O5" s="21">
        <f t="shared" si="0"/>
        <v>10780000</v>
      </c>
    </row>
    <row r="6" spans="1:16" ht="13.8" x14ac:dyDescent="0.25">
      <c r="A6" s="15" t="s">
        <v>144</v>
      </c>
      <c r="B6" s="24">
        <v>10500000</v>
      </c>
      <c r="C6" s="29">
        <v>3640000</v>
      </c>
      <c r="D6" s="117">
        <v>6180000</v>
      </c>
      <c r="E6" s="127">
        <v>0</v>
      </c>
      <c r="F6" s="117">
        <v>12350000</v>
      </c>
      <c r="G6" s="117">
        <v>2500000</v>
      </c>
      <c r="H6" s="117">
        <v>9270000</v>
      </c>
      <c r="I6" s="117">
        <v>5700000</v>
      </c>
      <c r="J6" s="117">
        <v>950000</v>
      </c>
      <c r="K6" s="117">
        <v>6500000</v>
      </c>
      <c r="L6" s="117">
        <v>8550000</v>
      </c>
      <c r="M6" s="117">
        <v>3520000</v>
      </c>
      <c r="N6" s="117">
        <v>5600000</v>
      </c>
      <c r="O6" s="21">
        <f t="shared" si="0"/>
        <v>64760000</v>
      </c>
    </row>
    <row r="7" spans="1:16" ht="13.2" x14ac:dyDescent="0.25">
      <c r="A7" s="48" t="s">
        <v>145</v>
      </c>
      <c r="B7" s="149">
        <v>0</v>
      </c>
      <c r="C7" s="122">
        <v>0</v>
      </c>
      <c r="D7" s="122">
        <v>0</v>
      </c>
      <c r="E7" s="122">
        <v>0</v>
      </c>
      <c r="F7" s="122">
        <v>0</v>
      </c>
      <c r="G7" s="122">
        <v>0</v>
      </c>
      <c r="H7" s="122">
        <v>0</v>
      </c>
      <c r="I7" s="122">
        <v>0</v>
      </c>
      <c r="J7" s="122">
        <v>0</v>
      </c>
      <c r="K7" s="122">
        <v>0</v>
      </c>
      <c r="L7" s="122">
        <v>0</v>
      </c>
      <c r="M7" s="122">
        <v>0</v>
      </c>
      <c r="N7" s="122">
        <v>0</v>
      </c>
      <c r="O7" s="15">
        <f t="shared" si="0"/>
        <v>0</v>
      </c>
    </row>
    <row r="8" spans="1:16" ht="13.2" x14ac:dyDescent="0.25">
      <c r="A8" s="48" t="s">
        <v>146</v>
      </c>
      <c r="B8" s="149">
        <v>0</v>
      </c>
      <c r="C8" s="122">
        <v>0</v>
      </c>
      <c r="D8" s="122">
        <v>0</v>
      </c>
      <c r="E8" s="122">
        <v>0</v>
      </c>
      <c r="F8" s="122">
        <v>0</v>
      </c>
      <c r="G8" s="122">
        <v>0</v>
      </c>
      <c r="H8" s="122">
        <v>0</v>
      </c>
      <c r="I8" s="122">
        <v>0</v>
      </c>
      <c r="J8" s="122">
        <v>0</v>
      </c>
      <c r="K8" s="122">
        <v>0</v>
      </c>
      <c r="L8" s="122">
        <v>0</v>
      </c>
      <c r="M8" s="122">
        <v>0</v>
      </c>
      <c r="N8" s="122">
        <v>0</v>
      </c>
      <c r="O8" s="15">
        <f t="shared" si="0"/>
        <v>0</v>
      </c>
    </row>
    <row r="9" spans="1:16" ht="13.2" x14ac:dyDescent="0.25">
      <c r="A9" s="48" t="s">
        <v>147</v>
      </c>
      <c r="B9" s="136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5">
        <f t="shared" si="0"/>
        <v>0</v>
      </c>
    </row>
    <row r="10" spans="1:16" ht="13.2" x14ac:dyDescent="0.25">
      <c r="A10" s="48"/>
      <c r="B10" s="136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5"/>
    </row>
    <row r="11" spans="1:16" ht="13.2" x14ac:dyDescent="0.25">
      <c r="A11" s="13" t="s">
        <v>20</v>
      </c>
      <c r="B11" s="150"/>
      <c r="C11" s="147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5"/>
    </row>
    <row r="12" spans="1:16" ht="15" x14ac:dyDescent="0.25">
      <c r="A12" s="15" t="s">
        <v>45</v>
      </c>
      <c r="B12" s="24">
        <v>13500000</v>
      </c>
      <c r="C12" s="31">
        <v>12250000</v>
      </c>
      <c r="D12" s="32">
        <v>7050000</v>
      </c>
      <c r="E12" s="45">
        <v>12720000</v>
      </c>
      <c r="F12" s="45">
        <v>12600000</v>
      </c>
      <c r="G12" s="45">
        <v>6728300</v>
      </c>
      <c r="H12" s="45">
        <v>6940000</v>
      </c>
      <c r="I12" s="33">
        <v>8135000</v>
      </c>
      <c r="J12" s="45">
        <v>14870000</v>
      </c>
      <c r="K12" s="45">
        <v>2200000</v>
      </c>
      <c r="L12" s="43">
        <v>0</v>
      </c>
      <c r="M12" s="45">
        <v>2900000</v>
      </c>
      <c r="N12" s="45">
        <v>7800000</v>
      </c>
      <c r="O12" s="119">
        <f>SUM(C12:N12)</f>
        <v>94193300</v>
      </c>
    </row>
    <row r="13" spans="1:16" ht="13.2" x14ac:dyDescent="0.25">
      <c r="A13" s="15" t="s">
        <v>148</v>
      </c>
      <c r="B13" s="24">
        <v>0</v>
      </c>
      <c r="C13" s="107">
        <v>0</v>
      </c>
      <c r="D13" s="35">
        <v>0</v>
      </c>
      <c r="E13" s="504">
        <v>0</v>
      </c>
      <c r="F13" s="504">
        <v>0</v>
      </c>
      <c r="G13" s="504">
        <v>0</v>
      </c>
      <c r="H13" s="504">
        <v>0</v>
      </c>
      <c r="I13" s="504">
        <v>0</v>
      </c>
      <c r="J13" s="504">
        <v>0</v>
      </c>
      <c r="K13" s="504">
        <v>0</v>
      </c>
      <c r="L13" s="504">
        <v>0</v>
      </c>
      <c r="M13" s="504">
        <v>0</v>
      </c>
      <c r="N13" s="504">
        <v>0</v>
      </c>
      <c r="O13" s="151">
        <v>0</v>
      </c>
    </row>
    <row r="14" spans="1:16" ht="13.2" x14ac:dyDescent="0.25">
      <c r="A14" s="318"/>
      <c r="B14" s="24"/>
      <c r="C14" s="146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145">
        <f>SUM(C14:N14)</f>
        <v>0</v>
      </c>
    </row>
    <row r="15" spans="1:16" ht="41.25" customHeight="1" x14ac:dyDescent="0.85">
      <c r="A15" s="42">
        <v>2019</v>
      </c>
      <c r="B15" s="4"/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33.75" customHeight="1" x14ac:dyDescent="0.5">
      <c r="A16" s="3" t="s">
        <v>140</v>
      </c>
      <c r="B16" s="6" t="s">
        <v>149</v>
      </c>
      <c r="C16" s="5" t="s">
        <v>25</v>
      </c>
      <c r="D16" s="6" t="s">
        <v>1</v>
      </c>
      <c r="E16" s="6" t="s">
        <v>2</v>
      </c>
      <c r="F16" s="6" t="s">
        <v>3</v>
      </c>
      <c r="G16" s="6" t="s">
        <v>4</v>
      </c>
      <c r="H16" s="6" t="s">
        <v>5</v>
      </c>
      <c r="I16" s="6" t="s">
        <v>6</v>
      </c>
      <c r="J16" s="6" t="s">
        <v>7</v>
      </c>
      <c r="K16" s="6" t="s">
        <v>8</v>
      </c>
      <c r="L16" s="6" t="s">
        <v>9</v>
      </c>
      <c r="M16" s="6" t="s">
        <v>150</v>
      </c>
      <c r="N16" s="6" t="s">
        <v>11</v>
      </c>
      <c r="O16" s="6" t="s">
        <v>12</v>
      </c>
      <c r="P16" s="6" t="s">
        <v>13</v>
      </c>
    </row>
    <row r="17" spans="1:17" ht="13.2" x14ac:dyDescent="0.25">
      <c r="A17" s="8" t="s">
        <v>142</v>
      </c>
      <c r="B17" s="44">
        <v>480000000</v>
      </c>
      <c r="C17" s="44">
        <v>30000000</v>
      </c>
      <c r="D17" s="30">
        <v>21975000</v>
      </c>
      <c r="E17" s="41">
        <v>16670000</v>
      </c>
      <c r="F17" s="40">
        <v>27420000</v>
      </c>
      <c r="G17" s="120" t="s">
        <v>151</v>
      </c>
      <c r="H17" s="282" t="s">
        <v>152</v>
      </c>
      <c r="I17" s="40">
        <v>26900000</v>
      </c>
      <c r="J17" s="40">
        <v>9100000</v>
      </c>
      <c r="K17" s="41">
        <v>18960000</v>
      </c>
      <c r="L17" s="21">
        <v>20235000</v>
      </c>
      <c r="M17" s="21">
        <v>13600000</v>
      </c>
      <c r="N17" s="21">
        <v>13900000</v>
      </c>
      <c r="O17" s="21">
        <v>10118908</v>
      </c>
      <c r="P17" s="22">
        <f t="shared" ref="P17:P26" si="1">SUM(D17:O17)</f>
        <v>178878908</v>
      </c>
    </row>
    <row r="18" spans="1:17" ht="13.2" x14ac:dyDescent="0.25">
      <c r="A18" s="15" t="s">
        <v>19</v>
      </c>
      <c r="B18" s="44">
        <v>120000000</v>
      </c>
      <c r="C18" s="44">
        <v>8333333</v>
      </c>
      <c r="D18" s="30">
        <v>5350000</v>
      </c>
      <c r="E18" s="15">
        <v>0</v>
      </c>
      <c r="F18" s="15"/>
      <c r="G18" s="120">
        <v>0</v>
      </c>
      <c r="H18" s="231" t="s">
        <v>34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22">
        <v>0</v>
      </c>
      <c r="P18" s="22">
        <v>11250000</v>
      </c>
    </row>
    <row r="19" spans="1:17" ht="13.2" x14ac:dyDescent="0.25">
      <c r="A19" s="15" t="s">
        <v>143</v>
      </c>
      <c r="B19" s="44">
        <v>120000000</v>
      </c>
      <c r="C19" s="44">
        <v>5000000</v>
      </c>
      <c r="D19" s="22">
        <v>10645000</v>
      </c>
      <c r="E19" s="21">
        <v>6770000</v>
      </c>
      <c r="F19" s="21">
        <v>9820000</v>
      </c>
      <c r="G19" s="120">
        <v>6350000</v>
      </c>
      <c r="H19" s="231" t="s">
        <v>153</v>
      </c>
      <c r="I19" s="21">
        <v>14550000</v>
      </c>
      <c r="J19" s="21">
        <v>5600000</v>
      </c>
      <c r="K19" s="21">
        <v>8990000</v>
      </c>
      <c r="L19" s="219" t="s">
        <v>154</v>
      </c>
      <c r="M19" s="21">
        <v>7150000</v>
      </c>
      <c r="N19" s="21">
        <v>9200000</v>
      </c>
      <c r="O19" s="21">
        <v>9618908</v>
      </c>
      <c r="P19" s="22">
        <f t="shared" si="1"/>
        <v>88693908</v>
      </c>
    </row>
    <row r="20" spans="1:17" ht="13.2" x14ac:dyDescent="0.25">
      <c r="A20" s="15" t="s">
        <v>144</v>
      </c>
      <c r="B20" s="44">
        <v>120000000</v>
      </c>
      <c r="C20" s="44">
        <v>6666667</v>
      </c>
      <c r="D20" s="30">
        <v>780000</v>
      </c>
      <c r="E20" s="21">
        <v>6770000</v>
      </c>
      <c r="F20" s="41">
        <v>3800000</v>
      </c>
      <c r="G20" s="120">
        <v>6700000</v>
      </c>
      <c r="H20" s="231" t="s">
        <v>34</v>
      </c>
      <c r="I20" s="21">
        <v>10900000</v>
      </c>
      <c r="J20" s="41">
        <v>3500000</v>
      </c>
      <c r="K20" s="21">
        <v>10060000</v>
      </c>
      <c r="L20" s="120">
        <v>8625000</v>
      </c>
      <c r="M20" s="21">
        <v>3650000</v>
      </c>
      <c r="N20" s="21">
        <v>3600000</v>
      </c>
      <c r="O20" s="15">
        <v>0</v>
      </c>
      <c r="P20" s="22">
        <f t="shared" si="1"/>
        <v>58385000</v>
      </c>
    </row>
    <row r="21" spans="1:17" ht="13.2" x14ac:dyDescent="0.25">
      <c r="A21" s="48" t="s">
        <v>145</v>
      </c>
      <c r="B21" s="44">
        <v>120000000</v>
      </c>
      <c r="C21" s="44">
        <v>5000000</v>
      </c>
      <c r="D21" s="152">
        <v>0</v>
      </c>
      <c r="E21" s="153">
        <v>6600000</v>
      </c>
      <c r="F21" s="153">
        <v>7300000</v>
      </c>
      <c r="G21" s="120">
        <v>15900000</v>
      </c>
      <c r="H21" s="233" t="s">
        <v>155</v>
      </c>
      <c r="I21" s="122">
        <v>0</v>
      </c>
      <c r="J21" s="122">
        <v>0</v>
      </c>
      <c r="K21" s="122">
        <v>0</v>
      </c>
      <c r="L21" s="123">
        <v>0</v>
      </c>
      <c r="M21" s="122">
        <v>0</v>
      </c>
      <c r="N21" s="122">
        <v>0</v>
      </c>
      <c r="O21" s="122">
        <v>0</v>
      </c>
      <c r="P21" s="22">
        <f t="shared" si="1"/>
        <v>29800000</v>
      </c>
    </row>
    <row r="22" spans="1:17" ht="13.2" x14ac:dyDescent="0.25">
      <c r="A22" s="48" t="s">
        <v>146</v>
      </c>
      <c r="B22" s="44">
        <v>120000000</v>
      </c>
      <c r="C22" s="44">
        <v>5000000</v>
      </c>
      <c r="D22" s="140">
        <v>5200000</v>
      </c>
      <c r="E22" s="154">
        <v>3300000</v>
      </c>
      <c r="F22" s="153">
        <v>2800000</v>
      </c>
      <c r="G22" s="78">
        <v>3866600</v>
      </c>
      <c r="H22" s="163">
        <v>0</v>
      </c>
      <c r="I22" s="122">
        <v>0</v>
      </c>
      <c r="J22" s="122">
        <v>0</v>
      </c>
      <c r="K22" s="122">
        <v>0</v>
      </c>
      <c r="L22" s="123">
        <v>0</v>
      </c>
      <c r="M22" s="122">
        <v>0</v>
      </c>
      <c r="N22" s="122">
        <v>0</v>
      </c>
      <c r="O22" s="122">
        <v>0</v>
      </c>
      <c r="P22" s="22">
        <f t="shared" si="1"/>
        <v>15166600</v>
      </c>
    </row>
    <row r="23" spans="1:17" ht="13.2" x14ac:dyDescent="0.25">
      <c r="A23" s="48" t="s">
        <v>147</v>
      </c>
      <c r="B23" s="44">
        <v>120000000</v>
      </c>
      <c r="C23" s="44">
        <v>5000000</v>
      </c>
      <c r="D23" s="140">
        <v>0</v>
      </c>
      <c r="E23" s="122">
        <v>0</v>
      </c>
      <c r="F23" s="153">
        <v>3700000</v>
      </c>
      <c r="G23" s="120">
        <v>0</v>
      </c>
      <c r="H23" s="163">
        <v>0</v>
      </c>
      <c r="I23" s="122">
        <v>0</v>
      </c>
      <c r="J23" s="122">
        <v>0</v>
      </c>
      <c r="K23" s="122">
        <v>0</v>
      </c>
      <c r="L23" s="123">
        <v>0</v>
      </c>
      <c r="M23" s="122">
        <v>0</v>
      </c>
      <c r="N23" s="122">
        <v>0</v>
      </c>
      <c r="O23" s="122">
        <v>0</v>
      </c>
      <c r="P23" s="22">
        <f t="shared" si="1"/>
        <v>3700000</v>
      </c>
    </row>
    <row r="24" spans="1:17" ht="13.2" x14ac:dyDescent="0.25">
      <c r="A24" s="208" t="s">
        <v>20</v>
      </c>
      <c r="B24" s="344"/>
      <c r="C24" s="344"/>
      <c r="D24" s="345"/>
      <c r="E24" s="346"/>
      <c r="F24" s="346"/>
      <c r="G24" s="347"/>
      <c r="H24" s="346"/>
      <c r="I24" s="346"/>
      <c r="J24" s="346"/>
      <c r="K24" s="346"/>
      <c r="L24" s="348"/>
      <c r="M24" s="346"/>
      <c r="N24" s="346"/>
      <c r="O24" s="349"/>
      <c r="P24" s="350"/>
    </row>
    <row r="25" spans="1:17" ht="13.2" x14ac:dyDescent="0.25">
      <c r="A25" s="15" t="s">
        <v>45</v>
      </c>
      <c r="B25" s="50">
        <v>180000000</v>
      </c>
      <c r="C25" s="50">
        <v>12500000</v>
      </c>
      <c r="D25" s="146">
        <v>17975000</v>
      </c>
      <c r="E25" s="133">
        <v>7970000</v>
      </c>
      <c r="F25" s="132">
        <v>20190000</v>
      </c>
      <c r="G25" s="120">
        <v>19850000</v>
      </c>
      <c r="H25" s="338" t="s">
        <v>46</v>
      </c>
      <c r="I25" s="385">
        <v>19850000</v>
      </c>
      <c r="J25" s="306">
        <v>11620000</v>
      </c>
      <c r="K25" s="122">
        <v>0</v>
      </c>
      <c r="L25" s="123"/>
      <c r="M25" s="120">
        <v>0</v>
      </c>
      <c r="N25" s="504">
        <v>0</v>
      </c>
      <c r="O25" s="15">
        <v>0</v>
      </c>
      <c r="P25" s="145">
        <f t="shared" si="1"/>
        <v>97455000</v>
      </c>
    </row>
    <row r="26" spans="1:17" ht="13.2" x14ac:dyDescent="0.25">
      <c r="A26" s="15" t="s">
        <v>148</v>
      </c>
      <c r="B26" s="195">
        <v>180000000</v>
      </c>
      <c r="C26" s="195">
        <v>12500000</v>
      </c>
      <c r="D26" s="266">
        <v>4000000</v>
      </c>
      <c r="E26" s="235">
        <v>8700000</v>
      </c>
      <c r="F26" s="198">
        <v>8600000</v>
      </c>
      <c r="G26" s="383">
        <v>12986600</v>
      </c>
      <c r="H26" s="382" t="s">
        <v>156</v>
      </c>
      <c r="I26" s="273">
        <v>0</v>
      </c>
      <c r="J26" s="15">
        <v>0</v>
      </c>
      <c r="K26" s="317">
        <v>0</v>
      </c>
      <c r="L26" s="295"/>
      <c r="M26" s="317">
        <v>0</v>
      </c>
      <c r="N26" s="317">
        <v>0</v>
      </c>
      <c r="O26" s="194">
        <v>0</v>
      </c>
      <c r="P26" s="200">
        <f t="shared" si="1"/>
        <v>34286600</v>
      </c>
    </row>
    <row r="27" spans="1:17" ht="15.75" customHeight="1" x14ac:dyDescent="0.25">
      <c r="A27" t="s">
        <v>157</v>
      </c>
      <c r="B27" s="195">
        <v>180000000</v>
      </c>
      <c r="C27" s="195">
        <v>12500000</v>
      </c>
      <c r="D27" s="194"/>
      <c r="E27" s="194"/>
      <c r="F27" s="194"/>
      <c r="G27" s="252"/>
      <c r="H27" s="194"/>
      <c r="I27" s="194"/>
      <c r="J27" s="194"/>
      <c r="K27" s="384"/>
      <c r="L27" s="48"/>
      <c r="M27" s="220">
        <v>1450000</v>
      </c>
      <c r="N27" s="220">
        <v>9550000</v>
      </c>
      <c r="O27" s="220">
        <v>5918908</v>
      </c>
      <c r="P27" s="220">
        <f>SUM(M27:N27)</f>
        <v>11000000</v>
      </c>
    </row>
    <row r="28" spans="1:17" ht="13.2" x14ac:dyDescent="0.25">
      <c r="A28" s="262" t="s">
        <v>42</v>
      </c>
      <c r="B28" s="264" t="s">
        <v>158</v>
      </c>
      <c r="C28" s="129">
        <v>15833000</v>
      </c>
      <c r="D28" s="15">
        <v>0</v>
      </c>
      <c r="E28" s="15"/>
      <c r="F28" s="41">
        <v>2400000</v>
      </c>
      <c r="G28" s="303">
        <v>7050000</v>
      </c>
      <c r="H28" s="21">
        <v>9800000</v>
      </c>
      <c r="I28" s="21">
        <v>6400000</v>
      </c>
      <c r="J28" s="15" t="s">
        <v>36</v>
      </c>
      <c r="K28" s="34" t="s">
        <v>36</v>
      </c>
      <c r="L28" s="15">
        <v>0</v>
      </c>
      <c r="M28" s="21">
        <v>12150000</v>
      </c>
      <c r="N28" s="21">
        <v>4350000</v>
      </c>
      <c r="O28" s="21">
        <v>4200000</v>
      </c>
      <c r="P28" s="21">
        <f>SUM(F28:N28)</f>
        <v>42150000</v>
      </c>
    </row>
    <row r="29" spans="1:17" ht="13.2" x14ac:dyDescent="0.25">
      <c r="A29" s="155"/>
      <c r="B29" s="157"/>
      <c r="C29" s="156"/>
      <c r="D29" s="156"/>
    </row>
    <row r="30" spans="1:17" ht="49.2" x14ac:dyDescent="0.85">
      <c r="A30" s="363">
        <v>2020</v>
      </c>
    </row>
    <row r="31" spans="1:17" ht="30" x14ac:dyDescent="0.5">
      <c r="A31" s="364" t="s">
        <v>140</v>
      </c>
      <c r="B31" s="366" t="s">
        <v>111</v>
      </c>
      <c r="C31" s="365" t="s">
        <v>50</v>
      </c>
      <c r="D31" s="366" t="s">
        <v>1</v>
      </c>
      <c r="E31" s="366" t="s">
        <v>2</v>
      </c>
      <c r="F31" s="366" t="s">
        <v>3</v>
      </c>
      <c r="G31" s="366" t="s">
        <v>4</v>
      </c>
      <c r="H31" s="366" t="s">
        <v>5</v>
      </c>
      <c r="I31" s="366" t="s">
        <v>6</v>
      </c>
      <c r="J31" s="366" t="s">
        <v>7</v>
      </c>
      <c r="K31" s="366" t="s">
        <v>8</v>
      </c>
      <c r="L31" s="366" t="s">
        <v>9</v>
      </c>
      <c r="M31" s="366" t="s">
        <v>150</v>
      </c>
      <c r="N31" s="366" t="s">
        <v>11</v>
      </c>
      <c r="O31" s="366" t="s">
        <v>12</v>
      </c>
      <c r="P31" s="367" t="s">
        <v>13</v>
      </c>
      <c r="Q31" s="375" t="s">
        <v>52</v>
      </c>
    </row>
    <row r="32" spans="1:17" ht="15.75" customHeight="1" x14ac:dyDescent="0.25">
      <c r="A32" s="8" t="s">
        <v>159</v>
      </c>
      <c r="B32" s="44">
        <v>360000000</v>
      </c>
      <c r="C32" s="44">
        <v>30000000</v>
      </c>
      <c r="D32" s="396">
        <v>15030000</v>
      </c>
      <c r="E32" s="40">
        <v>16350000</v>
      </c>
      <c r="F32" s="41">
        <v>13050000</v>
      </c>
      <c r="G32" s="223">
        <v>0</v>
      </c>
      <c r="H32" s="461">
        <v>0</v>
      </c>
      <c r="I32" s="41">
        <v>15266680</v>
      </c>
      <c r="J32" s="41">
        <v>18200000</v>
      </c>
      <c r="K32" s="41">
        <v>19460000</v>
      </c>
      <c r="L32" s="41">
        <v>18400000</v>
      </c>
      <c r="M32" s="277">
        <v>5200000</v>
      </c>
      <c r="N32" s="21">
        <v>32750000</v>
      </c>
      <c r="O32" s="201">
        <v>6600000</v>
      </c>
      <c r="P32" s="374">
        <f>SUM(D32:N32)</f>
        <v>153706680</v>
      </c>
      <c r="Q32" s="376">
        <f>B32-P32</f>
        <v>206293320</v>
      </c>
    </row>
    <row r="33" spans="1:17" ht="15.75" customHeight="1" x14ac:dyDescent="0.25">
      <c r="A33" s="664" t="s">
        <v>160</v>
      </c>
      <c r="B33" s="44">
        <v>150000000</v>
      </c>
      <c r="C33" s="44">
        <v>10200000</v>
      </c>
      <c r="D33" s="21">
        <v>11250000</v>
      </c>
      <c r="E33" s="41">
        <v>6900000</v>
      </c>
      <c r="F33" s="41">
        <v>5750000</v>
      </c>
      <c r="G33" s="223">
        <v>0</v>
      </c>
      <c r="H33" s="422">
        <v>0</v>
      </c>
      <c r="I33" s="201">
        <v>10890000</v>
      </c>
      <c r="J33" s="21">
        <v>10250000</v>
      </c>
      <c r="K33" s="41">
        <v>3650000</v>
      </c>
      <c r="L33" s="41">
        <v>4800000</v>
      </c>
      <c r="M33" s="21">
        <v>0</v>
      </c>
      <c r="N33" s="21">
        <v>2900000</v>
      </c>
      <c r="O33" s="294">
        <v>1500000</v>
      </c>
      <c r="P33" s="502">
        <f>SUM(D33:O33)</f>
        <v>57890000</v>
      </c>
      <c r="Q33" s="376">
        <f t="shared" ref="Q33:Q39" si="2">B33-P33</f>
        <v>92110000</v>
      </c>
    </row>
    <row r="34" spans="1:17" ht="15.75" customHeight="1" x14ac:dyDescent="0.25">
      <c r="A34" s="15" t="s">
        <v>97</v>
      </c>
      <c r="B34" s="44">
        <v>150000000</v>
      </c>
      <c r="C34" s="44">
        <v>10200000</v>
      </c>
      <c r="D34" s="220">
        <v>0</v>
      </c>
      <c r="E34" s="41">
        <v>2200000</v>
      </c>
      <c r="F34" s="41">
        <v>3000000</v>
      </c>
      <c r="G34" s="223">
        <v>0</v>
      </c>
      <c r="H34" s="422">
        <v>0</v>
      </c>
      <c r="I34" s="41">
        <v>0</v>
      </c>
      <c r="J34" s="41">
        <v>3400000</v>
      </c>
      <c r="K34" s="41">
        <v>6200000</v>
      </c>
      <c r="L34" s="41">
        <v>10000000</v>
      </c>
      <c r="M34" s="21">
        <v>0</v>
      </c>
      <c r="N34" s="21">
        <v>10750000</v>
      </c>
      <c r="O34" s="294">
        <v>2150000</v>
      </c>
      <c r="P34" s="502">
        <f t="shared" ref="P34:P36" si="3">SUM(D34:O34)</f>
        <v>37700000</v>
      </c>
      <c r="Q34" s="376">
        <f t="shared" si="2"/>
        <v>112300000</v>
      </c>
    </row>
    <row r="35" spans="1:17" ht="15.75" customHeight="1" x14ac:dyDescent="0.25">
      <c r="A35" s="15" t="s">
        <v>161</v>
      </c>
      <c r="B35" s="44">
        <v>150000000</v>
      </c>
      <c r="C35" s="44">
        <v>10200000</v>
      </c>
      <c r="D35" s="220">
        <v>3780000</v>
      </c>
      <c r="E35" s="41">
        <v>5500000</v>
      </c>
      <c r="F35" s="41">
        <v>1400000</v>
      </c>
      <c r="G35" s="223">
        <v>0</v>
      </c>
      <c r="H35" s="422">
        <v>0</v>
      </c>
      <c r="I35" s="41">
        <v>0</v>
      </c>
      <c r="J35" s="21">
        <v>0</v>
      </c>
      <c r="K35" s="41">
        <v>0</v>
      </c>
      <c r="L35" s="21">
        <v>0</v>
      </c>
      <c r="M35" s="21">
        <v>0</v>
      </c>
      <c r="N35" s="21">
        <v>0</v>
      </c>
      <c r="O35" s="294">
        <v>0</v>
      </c>
      <c r="P35" s="502">
        <f t="shared" si="3"/>
        <v>10680000</v>
      </c>
      <c r="Q35" s="376">
        <f t="shared" si="2"/>
        <v>139320000</v>
      </c>
    </row>
    <row r="36" spans="1:17" ht="15.75" customHeight="1" x14ac:dyDescent="0.25">
      <c r="A36" s="15" t="s">
        <v>88</v>
      </c>
      <c r="B36" s="44">
        <v>150000000</v>
      </c>
      <c r="C36" s="44">
        <v>10200000</v>
      </c>
      <c r="D36" s="372" t="s">
        <v>36</v>
      </c>
      <c r="E36" s="284">
        <v>1750000</v>
      </c>
      <c r="F36" s="284">
        <v>1200000</v>
      </c>
      <c r="G36" s="464">
        <v>0</v>
      </c>
      <c r="H36" s="444">
        <v>0</v>
      </c>
      <c r="I36" s="284">
        <v>2500000</v>
      </c>
      <c r="J36" s="284">
        <v>4550000</v>
      </c>
      <c r="K36" s="284">
        <v>9610000</v>
      </c>
      <c r="L36" s="284">
        <v>3600000</v>
      </c>
      <c r="M36" s="293">
        <v>2200000</v>
      </c>
      <c r="N36" s="293">
        <v>5750000</v>
      </c>
      <c r="O36" s="201">
        <v>16500000</v>
      </c>
      <c r="P36" s="502">
        <f t="shared" si="3"/>
        <v>47660000</v>
      </c>
      <c r="Q36" s="376">
        <f t="shared" si="2"/>
        <v>102340000</v>
      </c>
    </row>
    <row r="37" spans="1:17" ht="15.75" customHeight="1" x14ac:dyDescent="0.25">
      <c r="A37" s="8" t="s">
        <v>20</v>
      </c>
      <c r="B37" s="388" t="s">
        <v>111</v>
      </c>
      <c r="C37" s="373" t="s">
        <v>50</v>
      </c>
      <c r="D37" s="124"/>
      <c r="E37" s="124"/>
      <c r="F37" s="124"/>
      <c r="G37" s="465"/>
      <c r="H37" s="462"/>
      <c r="I37" s="124"/>
      <c r="J37" s="124"/>
      <c r="K37" s="124"/>
      <c r="L37" s="124"/>
      <c r="M37" s="124"/>
      <c r="N37" s="124"/>
      <c r="O37" s="124"/>
      <c r="P37" s="125"/>
      <c r="Q37" s="386"/>
    </row>
    <row r="38" spans="1:17" ht="15.75" customHeight="1" x14ac:dyDescent="0.25">
      <c r="A38" s="318" t="s">
        <v>68</v>
      </c>
      <c r="B38" s="50">
        <v>170000000</v>
      </c>
      <c r="C38" s="53" t="s">
        <v>162</v>
      </c>
      <c r="D38" s="387">
        <v>9180000</v>
      </c>
      <c r="E38" s="235">
        <v>9200000</v>
      </c>
      <c r="F38" s="235">
        <v>8850000</v>
      </c>
      <c r="G38" s="226">
        <v>0</v>
      </c>
      <c r="H38" s="463">
        <v>0</v>
      </c>
      <c r="I38" s="235">
        <v>6360000</v>
      </c>
      <c r="J38" s="133">
        <v>15600000</v>
      </c>
      <c r="K38" s="133">
        <v>12460000</v>
      </c>
      <c r="L38" s="133">
        <v>4750000</v>
      </c>
      <c r="M38" s="132">
        <v>5200000</v>
      </c>
      <c r="N38" s="132">
        <v>18050000</v>
      </c>
      <c r="O38" s="132">
        <v>5300000</v>
      </c>
      <c r="P38" s="334">
        <f>SUM(D38:O38)</f>
        <v>94950000</v>
      </c>
      <c r="Q38" s="376">
        <f t="shared" si="2"/>
        <v>75050000</v>
      </c>
    </row>
    <row r="39" spans="1:17" ht="15.75" customHeight="1" x14ac:dyDescent="0.25">
      <c r="A39" s="318" t="s">
        <v>163</v>
      </c>
      <c r="B39" s="50">
        <v>170000000</v>
      </c>
      <c r="C39" s="381" t="s">
        <v>162</v>
      </c>
      <c r="D39" s="78">
        <v>9900000</v>
      </c>
      <c r="E39" s="41">
        <v>7150000</v>
      </c>
      <c r="F39" s="41">
        <v>4200000</v>
      </c>
      <c r="G39" s="223">
        <v>0</v>
      </c>
      <c r="H39" s="422">
        <v>0</v>
      </c>
      <c r="I39" s="41">
        <v>7030000</v>
      </c>
      <c r="J39" s="133">
        <v>2600000</v>
      </c>
      <c r="K39" s="133">
        <v>1100000</v>
      </c>
      <c r="L39" s="133">
        <v>0</v>
      </c>
      <c r="M39" s="132">
        <v>0</v>
      </c>
      <c r="N39" s="132">
        <v>0</v>
      </c>
      <c r="O39" s="132">
        <v>0</v>
      </c>
      <c r="P39" s="334">
        <f>SUM(D39:O39)</f>
        <v>31980000</v>
      </c>
      <c r="Q39" s="376">
        <f t="shared" si="2"/>
        <v>138020000</v>
      </c>
    </row>
    <row r="41" spans="1:17" ht="37.5" customHeight="1" x14ac:dyDescent="0.85">
      <c r="A41" s="490">
        <v>2021</v>
      </c>
    </row>
    <row r="42" spans="1:17" ht="34.5" customHeight="1" x14ac:dyDescent="0.5">
      <c r="A42" s="491" t="s">
        <v>140</v>
      </c>
      <c r="B42" s="492" t="s">
        <v>50</v>
      </c>
      <c r="C42" s="493" t="s">
        <v>1</v>
      </c>
      <c r="D42" s="493" t="s">
        <v>2</v>
      </c>
      <c r="E42" s="493" t="s">
        <v>3</v>
      </c>
      <c r="F42" s="493" t="s">
        <v>4</v>
      </c>
      <c r="G42" s="493" t="s">
        <v>5</v>
      </c>
      <c r="H42" s="493" t="s">
        <v>6</v>
      </c>
      <c r="I42" s="498" t="s">
        <v>7</v>
      </c>
      <c r="J42" s="498" t="s">
        <v>8</v>
      </c>
      <c r="K42" s="498" t="s">
        <v>9</v>
      </c>
      <c r="L42" s="498" t="s">
        <v>51</v>
      </c>
      <c r="M42" s="498" t="s">
        <v>11</v>
      </c>
      <c r="N42" s="498" t="s">
        <v>12</v>
      </c>
      <c r="O42" s="498" t="s">
        <v>13</v>
      </c>
      <c r="P42" s="375" t="s">
        <v>52</v>
      </c>
    </row>
    <row r="43" spans="1:17" ht="15.75" customHeight="1" x14ac:dyDescent="0.25">
      <c r="A43" s="208" t="s">
        <v>164</v>
      </c>
      <c r="B43" s="44">
        <v>30000000</v>
      </c>
      <c r="C43" s="260">
        <v>29450000</v>
      </c>
      <c r="D43" s="128">
        <v>38675000</v>
      </c>
      <c r="E43" s="41">
        <v>24850000</v>
      </c>
      <c r="F43" s="78">
        <v>28730000</v>
      </c>
      <c r="G43" s="567">
        <v>33300000</v>
      </c>
      <c r="H43" s="560">
        <v>26050000</v>
      </c>
      <c r="I43" s="567">
        <v>31728970</v>
      </c>
      <c r="J43" s="567">
        <v>34550000</v>
      </c>
      <c r="K43" s="567">
        <v>45300000</v>
      </c>
      <c r="L43" s="567">
        <v>30354000</v>
      </c>
      <c r="M43" s="128">
        <v>33300000</v>
      </c>
      <c r="N43" s="41">
        <v>21405000</v>
      </c>
      <c r="O43" s="457">
        <f>SUM(C43:N43)</f>
        <v>377692970</v>
      </c>
      <c r="P43" s="376">
        <f>B43-O43</f>
        <v>-347692970</v>
      </c>
    </row>
    <row r="44" spans="1:17" ht="15.75" customHeight="1" x14ac:dyDescent="0.25">
      <c r="A44" s="15" t="s">
        <v>160</v>
      </c>
      <c r="B44" s="44">
        <v>10200000</v>
      </c>
      <c r="C44" s="21">
        <v>6600000</v>
      </c>
      <c r="D44" s="220">
        <v>10650000</v>
      </c>
      <c r="E44" s="41">
        <v>1570000</v>
      </c>
      <c r="F44" s="78"/>
      <c r="G44" s="78"/>
      <c r="H44" s="561"/>
      <c r="I44" s="78"/>
      <c r="J44" s="330"/>
      <c r="K44" s="120"/>
      <c r="L44" s="120"/>
      <c r="M44" s="21"/>
      <c r="N44" s="21"/>
      <c r="O44" s="457">
        <f>SUM(C44:N44)</f>
        <v>18820000</v>
      </c>
      <c r="P44" s="376">
        <f t="shared" ref="P44:P53" si="4">B44-O44</f>
        <v>-8620000</v>
      </c>
    </row>
    <row r="45" spans="1:17" ht="15.75" customHeight="1" x14ac:dyDescent="0.25">
      <c r="A45" s="15" t="s">
        <v>97</v>
      </c>
      <c r="B45" s="44">
        <v>7500000</v>
      </c>
      <c r="C45" s="220">
        <v>12600000</v>
      </c>
      <c r="D45" s="220">
        <v>16295000</v>
      </c>
      <c r="E45" s="41">
        <v>5840000</v>
      </c>
      <c r="F45" s="330">
        <v>15530000</v>
      </c>
      <c r="G45" s="330">
        <v>21500000</v>
      </c>
      <c r="H45" s="486">
        <v>10700000</v>
      </c>
      <c r="I45" s="330">
        <v>15488970</v>
      </c>
      <c r="J45" s="330">
        <v>16150000</v>
      </c>
      <c r="K45" s="120">
        <v>17950000</v>
      </c>
      <c r="L45" s="120">
        <v>17954000</v>
      </c>
      <c r="M45" s="21">
        <v>5400000</v>
      </c>
      <c r="N45" s="21">
        <v>15935000</v>
      </c>
      <c r="O45" s="457">
        <f>SUM(C45:N45)</f>
        <v>171342970</v>
      </c>
      <c r="P45" s="376">
        <f t="shared" si="4"/>
        <v>-163842970</v>
      </c>
    </row>
    <row r="46" spans="1:17" ht="15.75" customHeight="1" x14ac:dyDescent="0.25">
      <c r="A46" s="15" t="s">
        <v>88</v>
      </c>
      <c r="B46" s="44">
        <v>7500000</v>
      </c>
      <c r="C46" s="220">
        <v>9050000</v>
      </c>
      <c r="D46" s="41">
        <v>6130000</v>
      </c>
      <c r="E46" s="220">
        <v>12220000</v>
      </c>
      <c r="F46" s="330">
        <v>10200000</v>
      </c>
      <c r="G46" s="330">
        <v>9300000</v>
      </c>
      <c r="H46" s="330">
        <v>10500000</v>
      </c>
      <c r="I46" s="562">
        <v>3850000</v>
      </c>
      <c r="J46" s="470">
        <v>12800000</v>
      </c>
      <c r="K46" s="470">
        <v>21300000</v>
      </c>
      <c r="L46" s="563">
        <v>11050000</v>
      </c>
      <c r="M46" s="568">
        <v>15400000</v>
      </c>
      <c r="N46" s="569">
        <v>5470000</v>
      </c>
      <c r="O46" s="457">
        <f>SUM(C46:N46)</f>
        <v>127270000</v>
      </c>
      <c r="P46" s="376">
        <f t="shared" si="4"/>
        <v>-119770000</v>
      </c>
    </row>
    <row r="47" spans="1:17" ht="15.75" customHeight="1" x14ac:dyDescent="0.25">
      <c r="A47" s="86" t="s">
        <v>165</v>
      </c>
      <c r="B47" s="44">
        <v>7500000</v>
      </c>
      <c r="C47" s="421">
        <v>1200000</v>
      </c>
      <c r="D47" s="78">
        <v>5600000</v>
      </c>
      <c r="E47" s="78">
        <v>5520000</v>
      </c>
      <c r="F47" s="444">
        <v>3000000</v>
      </c>
      <c r="G47" s="444">
        <v>2500000</v>
      </c>
      <c r="H47" s="444">
        <v>4850000</v>
      </c>
      <c r="I47" s="117">
        <v>10410000</v>
      </c>
      <c r="J47" s="444">
        <v>5600000</v>
      </c>
      <c r="K47" s="564">
        <v>6050000</v>
      </c>
      <c r="L47" s="120">
        <v>0</v>
      </c>
      <c r="M47" s="401">
        <v>0</v>
      </c>
      <c r="N47" s="330">
        <v>0</v>
      </c>
      <c r="O47" s="542">
        <f>SUM(E47:N47)</f>
        <v>37930000</v>
      </c>
      <c r="P47" s="376">
        <f t="shared" si="4"/>
        <v>-30430000</v>
      </c>
    </row>
    <row r="48" spans="1:17" ht="15.75" customHeight="1" x14ac:dyDescent="0.25">
      <c r="A48" s="558" t="s">
        <v>166</v>
      </c>
      <c r="B48" s="44">
        <v>7500000</v>
      </c>
      <c r="C48" s="421"/>
      <c r="D48" s="170"/>
      <c r="E48" s="170"/>
      <c r="F48" s="444"/>
      <c r="G48" s="423"/>
      <c r="H48" s="444"/>
      <c r="I48" s="117"/>
      <c r="J48" s="444">
        <v>0</v>
      </c>
      <c r="K48" s="564">
        <v>0</v>
      </c>
      <c r="L48" s="120">
        <v>1350000</v>
      </c>
      <c r="M48" s="401">
        <v>0</v>
      </c>
      <c r="N48" s="330">
        <v>0</v>
      </c>
      <c r="O48" s="542"/>
      <c r="P48" s="376"/>
    </row>
    <row r="49" spans="1:17" ht="15.75" customHeight="1" x14ac:dyDescent="0.25">
      <c r="A49" s="558" t="s">
        <v>167</v>
      </c>
      <c r="B49" s="44">
        <v>7500000</v>
      </c>
      <c r="C49" s="421"/>
      <c r="D49" s="170"/>
      <c r="E49" s="170"/>
      <c r="F49" s="444"/>
      <c r="G49" s="423"/>
      <c r="H49" s="444"/>
      <c r="I49" s="117"/>
      <c r="J49" s="444"/>
      <c r="K49" s="564"/>
      <c r="L49" s="120"/>
      <c r="M49" s="401">
        <v>6800000</v>
      </c>
      <c r="N49" s="330">
        <v>0</v>
      </c>
      <c r="O49" s="542"/>
      <c r="P49" s="376"/>
    </row>
    <row r="50" spans="1:17" ht="15.75" customHeight="1" x14ac:dyDescent="0.25">
      <c r="A50" s="558" t="s">
        <v>168</v>
      </c>
      <c r="B50" s="44">
        <v>7500000</v>
      </c>
      <c r="C50" s="421"/>
      <c r="D50" s="170"/>
      <c r="E50" s="170"/>
      <c r="F50" s="444"/>
      <c r="G50" s="423"/>
      <c r="H50" s="444"/>
      <c r="I50" s="117"/>
      <c r="J50" s="444"/>
      <c r="K50" s="564"/>
      <c r="L50" s="120"/>
      <c r="M50" s="401">
        <v>2400000</v>
      </c>
      <c r="N50" s="330">
        <v>0</v>
      </c>
      <c r="O50" s="542"/>
      <c r="P50" s="376"/>
    </row>
    <row r="51" spans="1:17" ht="15.75" customHeight="1" x14ac:dyDescent="0.25">
      <c r="A51" s="494" t="s">
        <v>20</v>
      </c>
      <c r="B51" s="495" t="s">
        <v>50</v>
      </c>
      <c r="C51" s="380"/>
      <c r="D51" s="418"/>
      <c r="E51" s="418"/>
      <c r="F51" s="125"/>
      <c r="G51" s="125"/>
      <c r="H51" s="125"/>
      <c r="I51" s="125"/>
      <c r="J51" s="125"/>
      <c r="K51" s="565"/>
      <c r="L51" s="466"/>
      <c r="M51" s="124"/>
      <c r="N51" s="570"/>
      <c r="O51" s="496"/>
      <c r="P51" s="497"/>
    </row>
    <row r="52" spans="1:17" ht="15.75" customHeight="1" x14ac:dyDescent="0.25">
      <c r="A52" s="204" t="s">
        <v>169</v>
      </c>
      <c r="B52" s="501">
        <v>15000000</v>
      </c>
      <c r="C52" s="559">
        <v>21350000</v>
      </c>
      <c r="D52" s="279">
        <v>22450000</v>
      </c>
      <c r="E52" s="279">
        <v>16630000</v>
      </c>
      <c r="F52" s="387">
        <v>3050000</v>
      </c>
      <c r="G52" s="216">
        <v>17850000</v>
      </c>
      <c r="H52" s="387">
        <v>7650000</v>
      </c>
      <c r="I52" s="216">
        <v>18598970</v>
      </c>
      <c r="J52" s="559">
        <v>18750000</v>
      </c>
      <c r="K52" s="166">
        <v>15100000</v>
      </c>
      <c r="L52" s="330">
        <v>11900000</v>
      </c>
      <c r="M52" s="293"/>
      <c r="N52" s="21"/>
      <c r="O52" s="457">
        <f t="shared" ref="O52" si="5">SUM(C52:M52)</f>
        <v>153328970</v>
      </c>
      <c r="P52" s="376">
        <f t="shared" si="4"/>
        <v>-138328970</v>
      </c>
    </row>
    <row r="53" spans="1:17" ht="15.75" customHeight="1" x14ac:dyDescent="0.25">
      <c r="A53" s="354" t="s">
        <v>170</v>
      </c>
      <c r="B53" s="501">
        <v>15000000</v>
      </c>
      <c r="C53" s="397">
        <v>4500000</v>
      </c>
      <c r="D53" s="271">
        <v>3375000</v>
      </c>
      <c r="E53" s="199">
        <v>6820000</v>
      </c>
      <c r="F53" s="397">
        <v>0</v>
      </c>
      <c r="G53" s="289">
        <v>0</v>
      </c>
      <c r="H53" s="290">
        <v>0</v>
      </c>
      <c r="I53" s="290">
        <v>0</v>
      </c>
      <c r="J53" s="290">
        <v>0</v>
      </c>
      <c r="K53" s="290">
        <v>0</v>
      </c>
      <c r="L53" s="566">
        <v>0</v>
      </c>
      <c r="M53" s="281">
        <v>0</v>
      </c>
      <c r="N53" s="249">
        <v>0</v>
      </c>
      <c r="O53" s="519">
        <f>SUM(C53:N53)</f>
        <v>14695000</v>
      </c>
      <c r="P53" s="399">
        <f t="shared" si="4"/>
        <v>305000</v>
      </c>
    </row>
    <row r="54" spans="1:17" s="194" customFormat="1" ht="15.75" customHeight="1" x14ac:dyDescent="0.25">
      <c r="A54" s="354" t="s">
        <v>171</v>
      </c>
      <c r="B54" s="501">
        <v>15000000</v>
      </c>
      <c r="C54" s="354"/>
      <c r="D54" s="354"/>
      <c r="E54" s="354"/>
      <c r="F54" s="271">
        <v>15980000</v>
      </c>
      <c r="G54" s="271">
        <v>15450000</v>
      </c>
      <c r="H54" s="271">
        <v>18400000</v>
      </c>
      <c r="I54" s="199">
        <v>13130000</v>
      </c>
      <c r="J54" s="271">
        <v>15800000</v>
      </c>
      <c r="K54" s="271">
        <v>30200000</v>
      </c>
      <c r="L54" s="271">
        <v>17200000</v>
      </c>
      <c r="M54" s="271">
        <v>24600000</v>
      </c>
      <c r="N54" s="271">
        <v>20105000</v>
      </c>
      <c r="O54" s="354"/>
      <c r="P54" s="354"/>
    </row>
    <row r="55" spans="1:17" ht="15.75" customHeight="1" x14ac:dyDescent="0.25">
      <c r="A55" s="354" t="s">
        <v>74</v>
      </c>
      <c r="B55" s="501">
        <v>15000000</v>
      </c>
      <c r="C55" s="354"/>
      <c r="D55" s="354"/>
      <c r="E55" s="354"/>
      <c r="F55" s="354"/>
      <c r="G55" s="354"/>
      <c r="H55" s="354"/>
      <c r="I55" s="271"/>
      <c r="J55" s="354"/>
      <c r="K55" s="354"/>
      <c r="L55" s="271">
        <v>3354000</v>
      </c>
      <c r="M55" s="354"/>
      <c r="N55" s="354"/>
      <c r="O55" s="354"/>
      <c r="P55" s="354"/>
    </row>
    <row r="56" spans="1:17" ht="15.75" customHeight="1" x14ac:dyDescent="0.25">
      <c r="A56" s="341" t="s">
        <v>80</v>
      </c>
      <c r="B56" s="501">
        <v>15000000</v>
      </c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20">
        <v>6800000</v>
      </c>
      <c r="N56" s="220">
        <v>1300000</v>
      </c>
      <c r="O56" s="205"/>
      <c r="P56" s="205"/>
    </row>
    <row r="58" spans="1:17" ht="42" customHeight="1" x14ac:dyDescent="0.85">
      <c r="A58" s="490">
        <v>2022</v>
      </c>
    </row>
    <row r="59" spans="1:17" ht="40.5" customHeight="1" x14ac:dyDescent="0.5">
      <c r="A59" s="616" t="s">
        <v>140</v>
      </c>
      <c r="B59" s="617" t="s">
        <v>50</v>
      </c>
      <c r="C59" s="618" t="s">
        <v>1</v>
      </c>
      <c r="D59" s="618" t="s">
        <v>2</v>
      </c>
      <c r="E59" s="618" t="s">
        <v>3</v>
      </c>
      <c r="F59" s="618" t="s">
        <v>4</v>
      </c>
      <c r="G59" s="618" t="s">
        <v>5</v>
      </c>
      <c r="H59" s="618" t="s">
        <v>6</v>
      </c>
      <c r="I59" s="618" t="s">
        <v>7</v>
      </c>
      <c r="J59" s="618" t="s">
        <v>8</v>
      </c>
      <c r="K59" s="618" t="s">
        <v>9</v>
      </c>
      <c r="L59" s="618" t="s">
        <v>51</v>
      </c>
      <c r="M59" s="618" t="s">
        <v>11</v>
      </c>
      <c r="N59" s="618" t="s">
        <v>12</v>
      </c>
      <c r="O59" s="693" t="s">
        <v>13</v>
      </c>
    </row>
    <row r="60" spans="1:17" ht="15.75" customHeight="1" x14ac:dyDescent="0.25">
      <c r="A60" s="611" t="s">
        <v>172</v>
      </c>
      <c r="B60" s="583">
        <v>40000000</v>
      </c>
      <c r="C60" s="445">
        <v>22030000</v>
      </c>
      <c r="D60" s="614">
        <v>43500000</v>
      </c>
      <c r="E60" s="445">
        <v>21225000</v>
      </c>
      <c r="F60" s="272">
        <v>28798350</v>
      </c>
      <c r="G60" s="220">
        <v>61163000</v>
      </c>
      <c r="H60" s="535">
        <v>51200000</v>
      </c>
      <c r="I60" s="614">
        <v>61400000</v>
      </c>
      <c r="J60" s="220"/>
      <c r="K60" s="194"/>
      <c r="L60" s="194"/>
      <c r="M60" s="194"/>
      <c r="N60" s="194"/>
      <c r="O60" s="220">
        <f>SUM(J60)</f>
        <v>0</v>
      </c>
    </row>
    <row r="61" spans="1:17" ht="15.75" customHeight="1" x14ac:dyDescent="0.25">
      <c r="A61" s="610" t="s">
        <v>97</v>
      </c>
      <c r="B61" s="583">
        <v>13000000</v>
      </c>
      <c r="C61" s="64">
        <v>12630000</v>
      </c>
      <c r="D61" s="583">
        <v>23450000</v>
      </c>
      <c r="E61" s="272">
        <v>12450000</v>
      </c>
      <c r="F61" s="272">
        <v>15100000</v>
      </c>
      <c r="G61" s="220">
        <v>26615000</v>
      </c>
      <c r="H61" s="201">
        <v>25900000</v>
      </c>
      <c r="I61" s="272">
        <v>28800000</v>
      </c>
      <c r="J61" s="194"/>
      <c r="K61" s="194"/>
      <c r="L61" s="194"/>
      <c r="M61" s="194"/>
      <c r="N61" s="194"/>
      <c r="O61" s="220">
        <f>SUM(C61:N61)</f>
        <v>144945000</v>
      </c>
      <c r="P61" s="201"/>
      <c r="Q61" s="201"/>
    </row>
    <row r="62" spans="1:17" ht="15.75" customHeight="1" x14ac:dyDescent="0.25">
      <c r="A62" s="610" t="s">
        <v>173</v>
      </c>
      <c r="B62" s="583">
        <v>10000000</v>
      </c>
      <c r="C62" s="64">
        <v>5050000</v>
      </c>
      <c r="D62" s="64">
        <v>6950000</v>
      </c>
      <c r="E62" s="272">
        <v>8775000</v>
      </c>
      <c r="F62" s="272">
        <v>3100000</v>
      </c>
      <c r="G62" s="311">
        <v>7300000</v>
      </c>
      <c r="H62" s="205">
        <v>0</v>
      </c>
      <c r="I62" s="601">
        <v>0</v>
      </c>
      <c r="J62" s="220">
        <f>SUM(C62:I62)</f>
        <v>31175000</v>
      </c>
      <c r="K62" s="194"/>
      <c r="L62" s="194"/>
      <c r="M62" s="194"/>
      <c r="N62" s="194">
        <v>0</v>
      </c>
      <c r="O62" s="220">
        <f t="shared" ref="O62:O67" si="6">SUM(J62)</f>
        <v>31175000</v>
      </c>
    </row>
    <row r="63" spans="1:17" ht="15.75" customHeight="1" x14ac:dyDescent="0.25">
      <c r="A63" s="610" t="s">
        <v>174</v>
      </c>
      <c r="B63" s="583">
        <v>10000000</v>
      </c>
      <c r="C63" s="272">
        <v>0</v>
      </c>
      <c r="D63" s="272">
        <v>0</v>
      </c>
      <c r="E63" s="272">
        <v>0</v>
      </c>
      <c r="F63" s="272">
        <v>0</v>
      </c>
      <c r="G63" s="311">
        <v>0</v>
      </c>
      <c r="H63" s="220">
        <v>13700000</v>
      </c>
      <c r="I63" s="600">
        <v>17800000</v>
      </c>
      <c r="J63" s="194"/>
      <c r="K63" s="194"/>
      <c r="L63" s="194"/>
      <c r="M63" s="194"/>
      <c r="N63" s="194"/>
      <c r="O63" s="220">
        <f>H63+I63</f>
        <v>31500000</v>
      </c>
    </row>
    <row r="64" spans="1:17" ht="15.75" customHeight="1" x14ac:dyDescent="0.25">
      <c r="A64" s="610" t="s">
        <v>175</v>
      </c>
      <c r="B64" s="583">
        <v>10000000</v>
      </c>
      <c r="C64" s="64">
        <v>0</v>
      </c>
      <c r="D64" s="64">
        <v>0</v>
      </c>
      <c r="E64" s="272">
        <v>0</v>
      </c>
      <c r="F64" s="272">
        <v>0</v>
      </c>
      <c r="G64" s="311">
        <v>0</v>
      </c>
      <c r="H64" s="220">
        <v>9400000</v>
      </c>
      <c r="I64" s="600">
        <v>9450000</v>
      </c>
      <c r="J64" s="194"/>
      <c r="K64" s="194"/>
      <c r="L64" s="194"/>
      <c r="M64" s="194"/>
      <c r="N64" s="194"/>
      <c r="O64" s="220">
        <f>H64+I64</f>
        <v>18850000</v>
      </c>
    </row>
    <row r="65" spans="1:15" ht="15.75" customHeight="1" x14ac:dyDescent="0.25">
      <c r="A65" s="610" t="s">
        <v>176</v>
      </c>
      <c r="B65" s="583">
        <v>10000000</v>
      </c>
      <c r="C65" s="64"/>
      <c r="D65" s="64"/>
      <c r="E65" s="272"/>
      <c r="F65" s="272">
        <v>0</v>
      </c>
      <c r="G65" s="311">
        <v>0</v>
      </c>
      <c r="H65" s="194">
        <v>0</v>
      </c>
      <c r="I65" s="600">
        <v>4100000</v>
      </c>
      <c r="J65" s="194"/>
      <c r="K65" s="194"/>
      <c r="L65" s="194"/>
      <c r="M65" s="194"/>
      <c r="N65" s="194"/>
      <c r="O65" s="220">
        <v>4100000</v>
      </c>
    </row>
    <row r="66" spans="1:15" ht="15.75" customHeight="1" x14ac:dyDescent="0.25">
      <c r="A66" s="610" t="s">
        <v>168</v>
      </c>
      <c r="B66" s="583">
        <v>10000000</v>
      </c>
      <c r="C66" s="64">
        <v>4850000</v>
      </c>
      <c r="D66" s="64">
        <v>4100000</v>
      </c>
      <c r="E66" s="205">
        <v>0</v>
      </c>
      <c r="F66" s="205">
        <v>0</v>
      </c>
      <c r="G66" s="252">
        <v>0</v>
      </c>
      <c r="H66" s="205">
        <v>0</v>
      </c>
      <c r="I66" s="443">
        <f>SUM(C66:H66)</f>
        <v>8950000</v>
      </c>
      <c r="J66" s="194"/>
      <c r="K66" s="194"/>
      <c r="L66" s="194"/>
      <c r="M66" s="194"/>
      <c r="N66" s="194"/>
      <c r="O66" s="220">
        <f t="shared" si="6"/>
        <v>0</v>
      </c>
    </row>
    <row r="67" spans="1:15" ht="15.75" customHeight="1" x14ac:dyDescent="0.25">
      <c r="A67" s="610" t="s">
        <v>167</v>
      </c>
      <c r="B67" s="583">
        <v>10000000</v>
      </c>
      <c r="C67" s="205">
        <v>0</v>
      </c>
      <c r="D67" s="64">
        <v>5400000</v>
      </c>
      <c r="E67" s="205">
        <v>0</v>
      </c>
      <c r="F67" s="205">
        <v>0</v>
      </c>
      <c r="G67" s="355"/>
      <c r="H67" s="205">
        <v>0</v>
      </c>
      <c r="I67" s="384">
        <v>0</v>
      </c>
      <c r="J67" s="194"/>
      <c r="K67" s="194"/>
      <c r="L67" s="194"/>
      <c r="M67" s="194"/>
      <c r="N67" s="194"/>
      <c r="O67" s="220">
        <f t="shared" si="6"/>
        <v>0</v>
      </c>
    </row>
    <row r="68" spans="1:15" ht="15.75" customHeight="1" x14ac:dyDescent="0.25">
      <c r="A68" s="611" t="s">
        <v>134</v>
      </c>
      <c r="B68" s="676"/>
      <c r="C68" s="677"/>
      <c r="D68" s="677"/>
      <c r="E68" s="677"/>
      <c r="F68" s="678"/>
      <c r="G68" s="679"/>
      <c r="H68" s="680"/>
      <c r="I68" s="679"/>
      <c r="J68" s="679"/>
      <c r="K68" s="679"/>
      <c r="L68" s="679"/>
      <c r="M68" s="679"/>
      <c r="N68" s="679"/>
      <c r="O68" s="679"/>
    </row>
    <row r="69" spans="1:15" ht="15.75" customHeight="1" x14ac:dyDescent="0.25">
      <c r="A69" s="610" t="s">
        <v>171</v>
      </c>
      <c r="B69" s="583">
        <v>20000000</v>
      </c>
      <c r="C69" s="64">
        <v>11380000</v>
      </c>
      <c r="D69" s="583">
        <v>22800000</v>
      </c>
      <c r="E69" s="272">
        <v>9675000</v>
      </c>
      <c r="F69" s="311">
        <v>15448350</v>
      </c>
      <c r="G69" s="220">
        <v>28513000</v>
      </c>
      <c r="H69" s="600">
        <v>8600000</v>
      </c>
      <c r="I69" s="220">
        <v>3000000</v>
      </c>
      <c r="J69" s="194"/>
      <c r="K69" s="194"/>
      <c r="L69" s="194"/>
      <c r="M69" s="194"/>
      <c r="N69" s="194"/>
      <c r="O69" s="220">
        <f>SUM(C69:N69)</f>
        <v>99416350</v>
      </c>
    </row>
    <row r="70" spans="1:15" ht="15.75" customHeight="1" x14ac:dyDescent="0.25">
      <c r="A70" s="610" t="s">
        <v>177</v>
      </c>
      <c r="B70" s="583">
        <v>20000000</v>
      </c>
      <c r="C70" s="64">
        <v>12000000</v>
      </c>
      <c r="D70" s="64">
        <v>17100000</v>
      </c>
      <c r="E70" s="272">
        <v>11550000</v>
      </c>
      <c r="F70" s="311">
        <v>13350000</v>
      </c>
      <c r="G70" s="220">
        <v>19044300</v>
      </c>
      <c r="H70" s="600">
        <v>0</v>
      </c>
      <c r="I70" s="194">
        <v>0</v>
      </c>
      <c r="J70" s="194"/>
      <c r="K70" s="194"/>
      <c r="L70" s="194"/>
      <c r="M70" s="194"/>
      <c r="N70" s="194"/>
      <c r="O70" s="220">
        <f t="shared" ref="O70:O72" si="7">SUM(C70:N70)</f>
        <v>73044300</v>
      </c>
    </row>
    <row r="71" spans="1:15" ht="15.75" customHeight="1" x14ac:dyDescent="0.25">
      <c r="A71" s="675" t="s">
        <v>178</v>
      </c>
      <c r="B71" s="622">
        <v>18000000</v>
      </c>
      <c r="C71" s="353">
        <v>31750000</v>
      </c>
      <c r="D71" s="353">
        <v>26750000</v>
      </c>
      <c r="E71" s="353">
        <v>25513175</v>
      </c>
      <c r="F71" s="353">
        <v>16800000</v>
      </c>
      <c r="G71" s="692">
        <v>30700000</v>
      </c>
      <c r="H71" s="353">
        <v>24550000</v>
      </c>
      <c r="I71" s="271">
        <v>37550000</v>
      </c>
      <c r="J71" s="354"/>
      <c r="K71" s="354"/>
      <c r="L71" s="354"/>
      <c r="M71" s="354"/>
      <c r="N71" s="354"/>
      <c r="O71" s="220">
        <f t="shared" si="7"/>
        <v>193613175</v>
      </c>
    </row>
    <row r="72" spans="1:15" ht="15.75" customHeight="1" x14ac:dyDescent="0.25">
      <c r="A72" s="661" t="s">
        <v>179</v>
      </c>
      <c r="B72" s="583">
        <v>18000000</v>
      </c>
      <c r="C72" s="601">
        <v>0</v>
      </c>
      <c r="D72" s="205">
        <v>0</v>
      </c>
      <c r="E72" s="205">
        <v>0</v>
      </c>
      <c r="F72" s="205">
        <v>0</v>
      </c>
      <c r="G72" s="205">
        <v>0</v>
      </c>
      <c r="H72" s="272">
        <v>15850000</v>
      </c>
      <c r="I72" s="272">
        <v>20850000</v>
      </c>
      <c r="J72" s="205"/>
      <c r="K72" s="205"/>
      <c r="L72" s="205"/>
      <c r="M72" s="205"/>
      <c r="N72" s="205"/>
      <c r="O72" s="220">
        <f t="shared" si="7"/>
        <v>36700000</v>
      </c>
    </row>
  </sheetData>
  <pageMargins left="0" right="0" top="0" bottom="0" header="0" footer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90"/>
  <sheetViews>
    <sheetView topLeftCell="A37" workbookViewId="0">
      <selection activeCell="A27" sqref="A27"/>
    </sheetView>
  </sheetViews>
  <sheetFormatPr baseColWidth="10" defaultColWidth="14.44140625" defaultRowHeight="15.75" customHeight="1" x14ac:dyDescent="0.25"/>
  <cols>
    <col min="1" max="1" width="31.5546875" customWidth="1"/>
    <col min="2" max="2" width="20.109375" customWidth="1"/>
    <col min="3" max="3" width="16" customWidth="1"/>
    <col min="5" max="5" width="13.6640625" customWidth="1"/>
    <col min="7" max="7" width="12.6640625" customWidth="1"/>
    <col min="8" max="8" width="12.109375" customWidth="1"/>
    <col min="9" max="9" width="13.109375" customWidth="1"/>
    <col min="10" max="10" width="14" hidden="1" customWidth="1"/>
    <col min="11" max="11" width="15.5546875" hidden="1" customWidth="1"/>
    <col min="12" max="12" width="11.88671875" hidden="1" customWidth="1"/>
    <col min="13" max="13" width="0" hidden="1" customWidth="1"/>
    <col min="14" max="14" width="14.44140625" hidden="1" customWidth="1"/>
    <col min="15" max="15" width="15" customWidth="1"/>
    <col min="16" max="16" width="17.5546875" customWidth="1"/>
    <col min="17" max="17" width="18.109375" bestFit="1" customWidth="1"/>
  </cols>
  <sheetData>
    <row r="1" spans="1:16" ht="50.4" x14ac:dyDescent="0.85">
      <c r="A1" s="2">
        <v>2018</v>
      </c>
      <c r="B1" s="4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3.25" customHeight="1" x14ac:dyDescent="0.5">
      <c r="A2" s="3" t="s">
        <v>180</v>
      </c>
      <c r="B2" s="5" t="s">
        <v>141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</row>
    <row r="3" spans="1:16" ht="13.2" x14ac:dyDescent="0.25">
      <c r="A3" s="59" t="s">
        <v>181</v>
      </c>
      <c r="B3" s="136">
        <v>42000000</v>
      </c>
      <c r="C3" s="158">
        <v>9620000</v>
      </c>
      <c r="D3" s="159">
        <v>18550000</v>
      </c>
      <c r="E3" s="159">
        <v>10980000</v>
      </c>
      <c r="F3" s="159">
        <v>18319736</v>
      </c>
      <c r="G3" s="159">
        <v>6950000</v>
      </c>
      <c r="H3" s="159">
        <v>20609913</v>
      </c>
      <c r="I3" s="159">
        <v>12750000</v>
      </c>
      <c r="J3" s="159">
        <v>16730000</v>
      </c>
      <c r="K3" s="159">
        <v>23450000</v>
      </c>
      <c r="L3" s="159">
        <v>27200000</v>
      </c>
      <c r="M3" s="159">
        <v>25593000</v>
      </c>
      <c r="N3" s="159">
        <v>20400000</v>
      </c>
      <c r="O3" s="22">
        <f t="shared" ref="O3:O7" si="0">SUM(C3:N3)</f>
        <v>211152649</v>
      </c>
    </row>
    <row r="4" spans="1:16" ht="13.8" x14ac:dyDescent="0.25">
      <c r="A4" s="15" t="s">
        <v>182</v>
      </c>
      <c r="B4" s="136">
        <v>8500000</v>
      </c>
      <c r="C4" s="29">
        <v>0</v>
      </c>
      <c r="D4" s="117">
        <v>0</v>
      </c>
      <c r="E4" s="117">
        <v>0</v>
      </c>
      <c r="F4" s="117">
        <v>0</v>
      </c>
      <c r="G4" s="127">
        <v>0</v>
      </c>
      <c r="H4" s="117">
        <v>0</v>
      </c>
      <c r="I4" s="117">
        <v>0</v>
      </c>
      <c r="J4" s="117">
        <v>3350000</v>
      </c>
      <c r="K4" s="117">
        <v>9550000</v>
      </c>
      <c r="L4" s="117">
        <v>10750000</v>
      </c>
      <c r="M4" s="117">
        <v>8583000</v>
      </c>
      <c r="N4" s="117">
        <v>8850000</v>
      </c>
      <c r="O4" s="21">
        <f t="shared" si="0"/>
        <v>41083000</v>
      </c>
    </row>
    <row r="5" spans="1:16" ht="13.8" x14ac:dyDescent="0.25">
      <c r="A5" s="15" t="s">
        <v>183</v>
      </c>
      <c r="B5" s="136">
        <v>8500000</v>
      </c>
      <c r="C5" s="17">
        <v>8750000</v>
      </c>
      <c r="D5" s="117">
        <v>8450000</v>
      </c>
      <c r="E5" s="117">
        <v>6200000</v>
      </c>
      <c r="F5" s="117">
        <v>1200000</v>
      </c>
      <c r="G5" s="117">
        <v>6950000</v>
      </c>
      <c r="H5" s="117">
        <v>12670000</v>
      </c>
      <c r="I5" s="117">
        <v>8850000</v>
      </c>
      <c r="J5" s="117">
        <v>25300000</v>
      </c>
      <c r="K5" s="117">
        <v>7300000</v>
      </c>
      <c r="L5" s="117">
        <v>9700000</v>
      </c>
      <c r="M5" s="117">
        <v>9030000</v>
      </c>
      <c r="N5" s="117">
        <v>6550000</v>
      </c>
      <c r="O5" s="21">
        <f t="shared" si="0"/>
        <v>110950000</v>
      </c>
    </row>
    <row r="6" spans="1:16" ht="13.8" x14ac:dyDescent="0.25">
      <c r="A6" s="15" t="s">
        <v>184</v>
      </c>
      <c r="B6" s="136">
        <v>8500000</v>
      </c>
      <c r="C6" s="17">
        <v>1800000</v>
      </c>
      <c r="D6" s="127">
        <v>0</v>
      </c>
      <c r="E6" s="127">
        <v>0</v>
      </c>
      <c r="F6" s="34"/>
      <c r="G6" s="127">
        <v>0</v>
      </c>
      <c r="H6" s="127">
        <v>0</v>
      </c>
      <c r="I6" s="127">
        <v>0</v>
      </c>
      <c r="J6" s="117">
        <v>7300000</v>
      </c>
      <c r="K6" s="117">
        <v>5600000</v>
      </c>
      <c r="L6" s="117">
        <v>5650000</v>
      </c>
      <c r="M6" s="117">
        <v>8200000</v>
      </c>
      <c r="N6" s="117">
        <v>5000000</v>
      </c>
      <c r="O6" s="21">
        <f t="shared" si="0"/>
        <v>33550000</v>
      </c>
    </row>
    <row r="7" spans="1:16" ht="13.2" x14ac:dyDescent="0.25">
      <c r="A7" s="48"/>
      <c r="B7" s="136"/>
      <c r="C7" s="140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22">
        <f t="shared" si="0"/>
        <v>0</v>
      </c>
    </row>
    <row r="8" spans="1:16" ht="13.2" x14ac:dyDescent="0.25">
      <c r="A8" s="59" t="s">
        <v>20</v>
      </c>
      <c r="B8" s="131"/>
      <c r="C8" s="147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5">
        <v>0</v>
      </c>
    </row>
    <row r="9" spans="1:16" ht="15" x14ac:dyDescent="0.25">
      <c r="A9" s="15" t="s">
        <v>185</v>
      </c>
      <c r="B9" s="24"/>
      <c r="C9" s="39">
        <v>15010000</v>
      </c>
      <c r="D9" s="45">
        <v>22450000</v>
      </c>
      <c r="E9" s="45">
        <v>14423000</v>
      </c>
      <c r="F9" s="45">
        <v>22730000</v>
      </c>
      <c r="G9" s="45">
        <v>10580000</v>
      </c>
      <c r="H9" s="45">
        <v>16509913</v>
      </c>
      <c r="I9" s="45">
        <v>8200000</v>
      </c>
      <c r="J9" s="45">
        <v>12080000</v>
      </c>
      <c r="K9" s="45">
        <v>16600000</v>
      </c>
      <c r="L9" s="45">
        <v>16800000</v>
      </c>
      <c r="M9" s="45">
        <v>7000000</v>
      </c>
      <c r="N9" s="45">
        <v>7000000</v>
      </c>
      <c r="O9" s="119">
        <f t="shared" ref="O9:O11" si="1">SUM(C9:N9)</f>
        <v>169382913</v>
      </c>
    </row>
    <row r="10" spans="1:16" ht="13.8" x14ac:dyDescent="0.25">
      <c r="A10" s="15" t="s">
        <v>186</v>
      </c>
      <c r="B10" s="24"/>
      <c r="C10" s="89">
        <v>0</v>
      </c>
      <c r="D10" s="43">
        <v>0</v>
      </c>
      <c r="E10" s="127">
        <v>0</v>
      </c>
      <c r="F10" s="45">
        <v>0</v>
      </c>
      <c r="G10" s="45">
        <v>3100000</v>
      </c>
      <c r="H10" s="45">
        <v>9850000</v>
      </c>
      <c r="I10" s="45">
        <v>5480000</v>
      </c>
      <c r="J10" s="45">
        <v>4650000</v>
      </c>
      <c r="K10" s="45">
        <v>6850000</v>
      </c>
      <c r="L10" s="45">
        <v>6000000</v>
      </c>
      <c r="M10" s="45">
        <v>5750000</v>
      </c>
      <c r="N10" s="45">
        <v>10730000</v>
      </c>
      <c r="O10" s="145">
        <f t="shared" si="1"/>
        <v>52410000</v>
      </c>
    </row>
    <row r="11" spans="1:16" ht="15" x14ac:dyDescent="0.25">
      <c r="A11" s="318" t="s">
        <v>187</v>
      </c>
      <c r="B11" s="24"/>
      <c r="C11" s="31">
        <v>1050000</v>
      </c>
      <c r="D11" s="32">
        <v>7830000</v>
      </c>
      <c r="E11" s="45">
        <v>11100000</v>
      </c>
      <c r="F11" s="45">
        <v>11340000</v>
      </c>
      <c r="G11" s="45">
        <v>7550000</v>
      </c>
      <c r="H11" s="45">
        <v>5820000</v>
      </c>
      <c r="I11" s="45">
        <v>5280000</v>
      </c>
      <c r="J11" s="45">
        <v>8408000</v>
      </c>
      <c r="K11" s="45">
        <v>3180000</v>
      </c>
      <c r="L11" s="45">
        <v>7450000</v>
      </c>
      <c r="M11" s="45">
        <v>16443000</v>
      </c>
      <c r="N11" s="45">
        <v>7550000</v>
      </c>
      <c r="O11" s="119">
        <f t="shared" si="1"/>
        <v>93001000</v>
      </c>
    </row>
    <row r="12" spans="1:16" ht="38.25" customHeight="1" x14ac:dyDescent="0.5">
      <c r="A12" s="3" t="s">
        <v>188</v>
      </c>
      <c r="B12" s="66"/>
      <c r="C12" s="6" t="s">
        <v>1</v>
      </c>
      <c r="D12" s="6" t="s">
        <v>2</v>
      </c>
      <c r="E12" s="6" t="s">
        <v>3</v>
      </c>
      <c r="F12" s="6" t="s">
        <v>4</v>
      </c>
      <c r="G12" s="6" t="s">
        <v>5</v>
      </c>
      <c r="H12" s="6" t="s">
        <v>6</v>
      </c>
      <c r="I12" s="6" t="s">
        <v>7</v>
      </c>
      <c r="J12" s="6" t="s">
        <v>8</v>
      </c>
      <c r="K12" s="6" t="s">
        <v>9</v>
      </c>
      <c r="L12" s="6" t="s">
        <v>10</v>
      </c>
      <c r="M12" s="6" t="s">
        <v>11</v>
      </c>
      <c r="N12" s="6" t="s">
        <v>12</v>
      </c>
      <c r="O12" s="6" t="s">
        <v>13</v>
      </c>
    </row>
    <row r="13" spans="1:16" ht="13.2" x14ac:dyDescent="0.25">
      <c r="A13" s="59" t="s">
        <v>181</v>
      </c>
      <c r="B13" s="136"/>
      <c r="C13" s="79">
        <v>6640000</v>
      </c>
      <c r="D13" s="69">
        <v>9800000</v>
      </c>
      <c r="E13" s="69">
        <v>5093000</v>
      </c>
      <c r="F13" s="69">
        <v>0</v>
      </c>
      <c r="G13" s="69">
        <v>6730000</v>
      </c>
      <c r="H13" s="69">
        <v>7470000</v>
      </c>
      <c r="I13" s="69">
        <v>6210000</v>
      </c>
      <c r="J13" s="69">
        <v>8408000</v>
      </c>
      <c r="K13" s="69">
        <v>3180000</v>
      </c>
      <c r="L13" s="69">
        <v>3050000</v>
      </c>
      <c r="M13" s="69">
        <v>3600000</v>
      </c>
      <c r="N13" s="15"/>
      <c r="O13" s="21">
        <f t="shared" ref="O13:O19" si="2">SUM(C13:N13)</f>
        <v>60181000</v>
      </c>
    </row>
    <row r="14" spans="1:16" ht="13.2" x14ac:dyDescent="0.25">
      <c r="A14" s="15">
        <v>0</v>
      </c>
      <c r="B14" s="136"/>
      <c r="C14" s="30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22">
        <f t="shared" si="2"/>
        <v>0</v>
      </c>
    </row>
    <row r="15" spans="1:16" ht="13.2" x14ac:dyDescent="0.25">
      <c r="A15" s="15">
        <v>0</v>
      </c>
      <c r="B15" s="136"/>
      <c r="C15" s="30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22">
        <f t="shared" si="2"/>
        <v>0</v>
      </c>
    </row>
    <row r="16" spans="1:16" ht="13.2" x14ac:dyDescent="0.25">
      <c r="A16" s="15">
        <v>0</v>
      </c>
      <c r="B16" s="136"/>
      <c r="C16" s="3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>
        <f t="shared" si="2"/>
        <v>0</v>
      </c>
    </row>
    <row r="17" spans="1:16" ht="13.2" x14ac:dyDescent="0.25">
      <c r="A17" s="48">
        <v>0</v>
      </c>
      <c r="B17" s="136"/>
      <c r="C17" s="140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22">
        <f t="shared" si="2"/>
        <v>0</v>
      </c>
    </row>
    <row r="18" spans="1:16" ht="13.2" hidden="1" x14ac:dyDescent="0.25">
      <c r="A18" s="48">
        <v>0</v>
      </c>
      <c r="B18" s="136"/>
      <c r="C18" s="140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22">
        <f t="shared" si="2"/>
        <v>0</v>
      </c>
    </row>
    <row r="19" spans="1:16" ht="13.2" x14ac:dyDescent="0.25">
      <c r="A19" s="48">
        <v>0</v>
      </c>
      <c r="B19" s="136"/>
      <c r="C19" s="140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22">
        <f t="shared" si="2"/>
        <v>0</v>
      </c>
    </row>
    <row r="21" spans="1:16" ht="39" customHeight="1" x14ac:dyDescent="0.85">
      <c r="A21" s="75">
        <v>2019</v>
      </c>
      <c r="B21" s="4"/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31.5" customHeight="1" x14ac:dyDescent="0.5">
      <c r="A22" s="3" t="s">
        <v>180</v>
      </c>
      <c r="B22" s="6" t="s">
        <v>149</v>
      </c>
      <c r="C22" s="5" t="s">
        <v>25</v>
      </c>
      <c r="D22" s="6" t="s">
        <v>1</v>
      </c>
      <c r="E22" s="6" t="s">
        <v>2</v>
      </c>
      <c r="F22" s="6" t="s">
        <v>3</v>
      </c>
      <c r="G22" s="6" t="s">
        <v>4</v>
      </c>
      <c r="H22" s="6" t="s">
        <v>5</v>
      </c>
      <c r="I22" s="6" t="s">
        <v>6</v>
      </c>
      <c r="J22" s="6" t="s">
        <v>7</v>
      </c>
      <c r="K22" s="6" t="s">
        <v>8</v>
      </c>
      <c r="L22" s="6" t="s">
        <v>9</v>
      </c>
      <c r="M22" s="6" t="s">
        <v>10</v>
      </c>
      <c r="N22" s="6" t="s">
        <v>11</v>
      </c>
      <c r="O22" s="6" t="s">
        <v>12</v>
      </c>
      <c r="P22" s="319" t="s">
        <v>13</v>
      </c>
    </row>
    <row r="23" spans="1:16" ht="13.2" x14ac:dyDescent="0.25">
      <c r="A23" s="77" t="s">
        <v>189</v>
      </c>
      <c r="B23" s="44">
        <v>480000000</v>
      </c>
      <c r="C23" s="44">
        <v>33000000</v>
      </c>
      <c r="D23" s="30">
        <v>29175000</v>
      </c>
      <c r="E23" s="78">
        <v>30246509</v>
      </c>
      <c r="F23" s="41">
        <v>17750000</v>
      </c>
      <c r="G23" s="41">
        <v>21880000</v>
      </c>
      <c r="H23" s="231" t="s">
        <v>190</v>
      </c>
      <c r="I23" s="41">
        <v>13448700</v>
      </c>
      <c r="J23" s="21">
        <v>43240000</v>
      </c>
      <c r="K23" s="201">
        <v>13005000</v>
      </c>
      <c r="L23" s="21">
        <v>23060000</v>
      </c>
      <c r="M23" s="21">
        <v>21350000</v>
      </c>
      <c r="N23" s="21">
        <v>30430000</v>
      </c>
      <c r="O23" s="21">
        <v>14080000</v>
      </c>
      <c r="P23" s="321">
        <f t="shared" ref="P23:P27" si="3">SUM(D23:O23)</f>
        <v>257665209</v>
      </c>
    </row>
    <row r="24" spans="1:16" ht="13.2" x14ac:dyDescent="0.25">
      <c r="A24" s="15" t="s">
        <v>182</v>
      </c>
      <c r="B24" s="44">
        <v>160000000</v>
      </c>
      <c r="C24" s="44">
        <v>11000000</v>
      </c>
      <c r="D24" s="30">
        <v>5175000</v>
      </c>
      <c r="E24" s="21">
        <v>12350000</v>
      </c>
      <c r="F24" s="41">
        <v>4850000</v>
      </c>
      <c r="G24" s="220">
        <v>11580000</v>
      </c>
      <c r="H24" s="231" t="s">
        <v>191</v>
      </c>
      <c r="I24" s="41">
        <v>3170000</v>
      </c>
      <c r="J24" s="21">
        <v>13300000</v>
      </c>
      <c r="K24" s="21">
        <v>1000000</v>
      </c>
      <c r="L24" s="21">
        <v>1000000</v>
      </c>
      <c r="M24" s="21">
        <v>6650000</v>
      </c>
      <c r="N24" s="21">
        <v>9280000</v>
      </c>
      <c r="O24" s="21">
        <v>3850000</v>
      </c>
      <c r="P24" s="321">
        <f t="shared" si="3"/>
        <v>72205000</v>
      </c>
    </row>
    <row r="25" spans="1:16" ht="13.2" x14ac:dyDescent="0.25">
      <c r="A25" s="15" t="s">
        <v>183</v>
      </c>
      <c r="B25" s="44">
        <v>160000000</v>
      </c>
      <c r="C25" s="44">
        <v>11000000</v>
      </c>
      <c r="D25" s="22">
        <v>15800000</v>
      </c>
      <c r="E25" s="41">
        <v>8280000</v>
      </c>
      <c r="F25" s="41">
        <v>8300000</v>
      </c>
      <c r="G25" s="41">
        <v>1100000</v>
      </c>
      <c r="H25" s="231" t="s">
        <v>192</v>
      </c>
      <c r="I25" s="41">
        <v>4900000</v>
      </c>
      <c r="J25" s="21">
        <v>13480000</v>
      </c>
      <c r="K25" s="21">
        <v>3475000</v>
      </c>
      <c r="L25" s="21">
        <v>3475000</v>
      </c>
      <c r="M25" s="21">
        <v>3700000</v>
      </c>
      <c r="N25" s="21">
        <v>9750000</v>
      </c>
      <c r="O25" s="21">
        <v>5580000</v>
      </c>
      <c r="P25" s="321">
        <f t="shared" si="3"/>
        <v>77840000</v>
      </c>
    </row>
    <row r="26" spans="1:16" ht="13.2" x14ac:dyDescent="0.25">
      <c r="A26" s="15" t="s">
        <v>184</v>
      </c>
      <c r="B26" s="44">
        <v>160000000</v>
      </c>
      <c r="C26" s="44">
        <v>11000000</v>
      </c>
      <c r="D26" s="30">
        <v>8200000</v>
      </c>
      <c r="E26" s="41">
        <v>9616506</v>
      </c>
      <c r="F26" s="41">
        <v>4600000</v>
      </c>
      <c r="G26" s="41">
        <v>0</v>
      </c>
      <c r="H26" s="231" t="s">
        <v>193</v>
      </c>
      <c r="I26" s="41">
        <v>4028700</v>
      </c>
      <c r="J26" s="41">
        <v>6580000</v>
      </c>
      <c r="K26" s="21">
        <v>4280000</v>
      </c>
      <c r="L26" s="21">
        <v>4280000</v>
      </c>
      <c r="M26" s="21">
        <v>9550000</v>
      </c>
      <c r="N26" s="21">
        <v>2950000</v>
      </c>
      <c r="O26" s="21">
        <v>4650000</v>
      </c>
      <c r="P26" s="321">
        <f t="shared" si="3"/>
        <v>58735206</v>
      </c>
    </row>
    <row r="27" spans="1:16" ht="13.2" x14ac:dyDescent="0.25">
      <c r="A27" s="15" t="s">
        <v>160</v>
      </c>
      <c r="B27" s="150">
        <v>140000000</v>
      </c>
      <c r="C27" s="150">
        <v>9166667</v>
      </c>
      <c r="D27" s="30">
        <v>6900000</v>
      </c>
      <c r="E27" s="64">
        <v>9600000</v>
      </c>
      <c r="F27" s="64">
        <v>8000000</v>
      </c>
      <c r="G27" s="173">
        <v>2300000</v>
      </c>
      <c r="H27" s="233" t="s">
        <v>194</v>
      </c>
      <c r="I27" s="154">
        <v>1350000</v>
      </c>
      <c r="J27" s="154">
        <v>8220000</v>
      </c>
      <c r="K27" s="153">
        <v>4250000</v>
      </c>
      <c r="L27" s="153">
        <v>4250000</v>
      </c>
      <c r="M27" s="153">
        <v>1450000</v>
      </c>
      <c r="N27" s="153">
        <v>8450000</v>
      </c>
      <c r="O27" s="122">
        <v>0</v>
      </c>
      <c r="P27" s="321">
        <f t="shared" si="3"/>
        <v>54770000</v>
      </c>
    </row>
    <row r="28" spans="1:16" ht="13.2" x14ac:dyDescent="0.25">
      <c r="A28" s="160" t="s">
        <v>20</v>
      </c>
      <c r="B28" s="150"/>
      <c r="C28" s="150"/>
      <c r="D28" s="147"/>
      <c r="E28" s="124"/>
      <c r="F28" s="124"/>
      <c r="G28" s="124"/>
      <c r="H28" s="221"/>
      <c r="I28" s="221"/>
      <c r="J28" s="221"/>
      <c r="K28" s="221"/>
      <c r="L28" s="221"/>
      <c r="M28" s="251"/>
      <c r="N28" s="250"/>
      <c r="O28" s="250"/>
      <c r="P28" s="322"/>
    </row>
    <row r="29" spans="1:16" ht="13.2" x14ac:dyDescent="0.25">
      <c r="A29" s="15" t="s">
        <v>185</v>
      </c>
      <c r="B29" s="50">
        <v>220000000</v>
      </c>
      <c r="C29" s="50">
        <v>8500000</v>
      </c>
      <c r="D29" s="146">
        <v>9100000</v>
      </c>
      <c r="E29" s="132">
        <v>9950000</v>
      </c>
      <c r="F29" s="132">
        <v>11100000</v>
      </c>
      <c r="G29" s="133">
        <v>1500000</v>
      </c>
      <c r="H29" s="209" t="s">
        <v>195</v>
      </c>
      <c r="I29" s="504">
        <v>0</v>
      </c>
      <c r="J29" s="504">
        <v>0</v>
      </c>
      <c r="K29" s="504">
        <v>0</v>
      </c>
      <c r="L29" s="504">
        <v>0</v>
      </c>
      <c r="M29" s="505"/>
      <c r="N29" s="15">
        <v>0</v>
      </c>
      <c r="O29" s="15">
        <v>0</v>
      </c>
      <c r="P29" s="322">
        <f t="shared" ref="P29:P30" si="4">SUM(D29:O29)</f>
        <v>31650000</v>
      </c>
    </row>
    <row r="30" spans="1:16" ht="13.2" x14ac:dyDescent="0.25">
      <c r="A30" s="15" t="s">
        <v>186</v>
      </c>
      <c r="B30" s="50">
        <v>220000000</v>
      </c>
      <c r="C30" s="50">
        <v>8500000</v>
      </c>
      <c r="D30" s="146">
        <v>8575000</v>
      </c>
      <c r="E30" s="132">
        <v>8530000</v>
      </c>
      <c r="F30" s="133">
        <v>4100000</v>
      </c>
      <c r="G30" s="133">
        <v>8430000</v>
      </c>
      <c r="H30" s="287" t="s">
        <v>196</v>
      </c>
      <c r="I30" s="317">
        <v>0</v>
      </c>
      <c r="J30" s="317">
        <v>0</v>
      </c>
      <c r="K30" s="317">
        <v>0</v>
      </c>
      <c r="L30" s="317">
        <v>0</v>
      </c>
      <c r="M30" s="57">
        <v>0</v>
      </c>
      <c r="N30" s="15">
        <v>0</v>
      </c>
      <c r="O30" s="15">
        <v>0</v>
      </c>
      <c r="P30" s="322">
        <f t="shared" si="4"/>
        <v>29635000</v>
      </c>
    </row>
    <row r="31" spans="1:16" ht="15.75" customHeight="1" x14ac:dyDescent="0.25">
      <c r="A31" s="234" t="s">
        <v>197</v>
      </c>
      <c r="B31" s="50">
        <v>220000000</v>
      </c>
      <c r="C31" s="195">
        <v>8500000</v>
      </c>
      <c r="D31" s="196">
        <v>11500000</v>
      </c>
      <c r="E31" s="198">
        <v>11766509</v>
      </c>
      <c r="F31" s="235">
        <v>2550000</v>
      </c>
      <c r="G31" s="198">
        <v>11950000</v>
      </c>
      <c r="H31" s="236" t="s">
        <v>198</v>
      </c>
      <c r="I31" s="271">
        <v>4220000</v>
      </c>
      <c r="J31" s="271">
        <v>4220000</v>
      </c>
      <c r="K31" s="271">
        <v>13005000</v>
      </c>
      <c r="L31" s="271">
        <v>20260000</v>
      </c>
      <c r="M31" s="312">
        <v>21350000</v>
      </c>
      <c r="N31" s="220">
        <v>16900000</v>
      </c>
      <c r="O31" s="220">
        <v>6200000</v>
      </c>
      <c r="P31" s="356">
        <f>SUM(D31:N31)</f>
        <v>117721509</v>
      </c>
    </row>
    <row r="32" spans="1:16" ht="15.75" customHeight="1" x14ac:dyDescent="0.25">
      <c r="A32" s="204" t="s">
        <v>199</v>
      </c>
      <c r="B32" s="351">
        <v>220000000</v>
      </c>
      <c r="C32" s="296">
        <v>8500000</v>
      </c>
      <c r="D32" s="352">
        <v>0</v>
      </c>
      <c r="E32" s="249">
        <v>0</v>
      </c>
      <c r="F32" s="271">
        <v>0</v>
      </c>
      <c r="G32" s="249">
        <v>0</v>
      </c>
      <c r="H32" s="353">
        <v>2600000</v>
      </c>
      <c r="I32" s="271">
        <v>9228700</v>
      </c>
      <c r="J32" s="271">
        <v>33860000</v>
      </c>
      <c r="K32" s="354">
        <v>0</v>
      </c>
      <c r="L32" s="354">
        <v>0</v>
      </c>
      <c r="M32" s="355">
        <v>0</v>
      </c>
      <c r="N32" s="354">
        <v>0</v>
      </c>
      <c r="O32" s="271">
        <v>0</v>
      </c>
      <c r="P32" s="357">
        <v>11828700</v>
      </c>
    </row>
    <row r="33" spans="1:17" ht="15.75" customHeight="1" x14ac:dyDescent="0.25">
      <c r="A33" s="341" t="s">
        <v>200</v>
      </c>
      <c r="B33" s="351">
        <v>220000000</v>
      </c>
      <c r="C33" s="296">
        <v>8500000</v>
      </c>
      <c r="D33" s="341">
        <v>0</v>
      </c>
      <c r="E33" s="341">
        <v>0</v>
      </c>
      <c r="F33" s="341">
        <v>0</v>
      </c>
      <c r="G33" s="341">
        <v>0</v>
      </c>
      <c r="H33" s="341">
        <v>0</v>
      </c>
      <c r="I33" s="341">
        <v>0</v>
      </c>
      <c r="J33" s="341">
        <v>0</v>
      </c>
      <c r="K33" s="341">
        <v>0</v>
      </c>
      <c r="L33" s="341">
        <v>0</v>
      </c>
      <c r="M33" s="341">
        <v>0</v>
      </c>
      <c r="N33" s="341">
        <v>0</v>
      </c>
      <c r="O33" s="330">
        <v>7880000</v>
      </c>
      <c r="P33" s="331">
        <v>7880000</v>
      </c>
    </row>
    <row r="34" spans="1:17" ht="13.2" x14ac:dyDescent="0.25"/>
    <row r="35" spans="1:17" ht="49.2" x14ac:dyDescent="0.85">
      <c r="A35" s="363">
        <v>2020</v>
      </c>
    </row>
    <row r="36" spans="1:17" ht="30" x14ac:dyDescent="0.5">
      <c r="A36" s="364" t="s">
        <v>180</v>
      </c>
      <c r="B36" s="366" t="s">
        <v>111</v>
      </c>
      <c r="C36" s="365" t="s">
        <v>25</v>
      </c>
      <c r="D36" s="366" t="s">
        <v>1</v>
      </c>
      <c r="E36" s="366" t="s">
        <v>2</v>
      </c>
      <c r="F36" s="366" t="s">
        <v>3</v>
      </c>
      <c r="G36" s="366" t="s">
        <v>4</v>
      </c>
      <c r="H36" s="366" t="s">
        <v>5</v>
      </c>
      <c r="I36" s="366" t="s">
        <v>6</v>
      </c>
      <c r="J36" s="366" t="s">
        <v>7</v>
      </c>
      <c r="K36" s="366" t="s">
        <v>8</v>
      </c>
      <c r="L36" s="366" t="s">
        <v>9</v>
      </c>
      <c r="M36" s="366" t="s">
        <v>10</v>
      </c>
      <c r="N36" s="366" t="s">
        <v>11</v>
      </c>
      <c r="O36" s="366" t="s">
        <v>12</v>
      </c>
      <c r="P36" s="367" t="s">
        <v>13</v>
      </c>
      <c r="Q36" s="375" t="s">
        <v>52</v>
      </c>
    </row>
    <row r="37" spans="1:17" ht="15.75" customHeight="1" x14ac:dyDescent="0.25">
      <c r="A37" s="8" t="s">
        <v>201</v>
      </c>
      <c r="B37" s="44">
        <v>396000000</v>
      </c>
      <c r="C37" s="44">
        <v>33000000</v>
      </c>
      <c r="D37" s="396">
        <v>28760000</v>
      </c>
      <c r="E37" s="128">
        <v>37820000</v>
      </c>
      <c r="F37" s="41">
        <v>14120000</v>
      </c>
      <c r="G37" s="78">
        <v>0</v>
      </c>
      <c r="H37" s="445">
        <v>2500000</v>
      </c>
      <c r="I37" s="41">
        <v>22100000</v>
      </c>
      <c r="J37" s="41">
        <v>28291000</v>
      </c>
      <c r="K37" s="41" t="s">
        <v>202</v>
      </c>
      <c r="L37" s="21" t="s">
        <v>203</v>
      </c>
      <c r="M37" s="201">
        <v>13280</v>
      </c>
      <c r="N37" s="21">
        <v>29033040</v>
      </c>
      <c r="O37" s="201">
        <v>10525000</v>
      </c>
      <c r="P37" s="374">
        <f>SUM(D37:N37)</f>
        <v>162637320</v>
      </c>
      <c r="Q37" s="376">
        <f>B37-P37</f>
        <v>233362680</v>
      </c>
    </row>
    <row r="38" spans="1:17" ht="15.75" customHeight="1" x14ac:dyDescent="0.25">
      <c r="A38" s="15" t="s">
        <v>183</v>
      </c>
      <c r="B38" s="44">
        <v>170000000</v>
      </c>
      <c r="C38" s="44">
        <v>10500000</v>
      </c>
      <c r="D38" s="120" t="s">
        <v>204</v>
      </c>
      <c r="E38" s="220">
        <v>11350000</v>
      </c>
      <c r="F38" s="41">
        <v>5420000</v>
      </c>
      <c r="G38" s="78">
        <v>0</v>
      </c>
      <c r="H38" s="88">
        <v>0</v>
      </c>
      <c r="I38" s="277">
        <v>6500000</v>
      </c>
      <c r="J38" s="21">
        <v>12850000</v>
      </c>
      <c r="K38" s="41"/>
      <c r="L38" s="21"/>
      <c r="M38" s="21"/>
      <c r="N38" s="21"/>
      <c r="O38" s="310"/>
      <c r="P38" s="374">
        <f t="shared" ref="P38:P42" si="5">SUM(D38:N38)</f>
        <v>36120000</v>
      </c>
      <c r="Q38" s="376">
        <f t="shared" ref="Q38:Q40" si="6">B38-P38</f>
        <v>133880000</v>
      </c>
    </row>
    <row r="39" spans="1:17" ht="15.75" customHeight="1" x14ac:dyDescent="0.25">
      <c r="A39" s="204" t="s">
        <v>143</v>
      </c>
      <c r="B39" s="44">
        <v>170000000</v>
      </c>
      <c r="C39" s="44">
        <v>10500000</v>
      </c>
      <c r="D39" s="397">
        <v>1350000</v>
      </c>
      <c r="E39" s="220">
        <v>13020000</v>
      </c>
      <c r="F39" s="41">
        <v>3950000</v>
      </c>
      <c r="G39" s="78">
        <v>0</v>
      </c>
      <c r="H39" s="64">
        <v>2500000</v>
      </c>
      <c r="I39" s="220">
        <v>15600000</v>
      </c>
      <c r="J39" s="21">
        <v>2900000</v>
      </c>
      <c r="K39" s="21"/>
      <c r="L39" s="21"/>
      <c r="M39" s="21"/>
      <c r="N39" s="294"/>
      <c r="O39" s="21"/>
      <c r="P39" s="457">
        <f t="shared" si="5"/>
        <v>39320000</v>
      </c>
      <c r="Q39" s="376">
        <f t="shared" si="6"/>
        <v>130680000</v>
      </c>
    </row>
    <row r="40" spans="1:17" ht="15.75" customHeight="1" x14ac:dyDescent="0.25">
      <c r="A40" s="15" t="s">
        <v>205</v>
      </c>
      <c r="B40" s="44">
        <v>170000000</v>
      </c>
      <c r="C40" s="44">
        <v>10500000</v>
      </c>
      <c r="D40" s="78" t="s">
        <v>206</v>
      </c>
      <c r="E40" s="443">
        <v>11050000</v>
      </c>
      <c r="F40" s="41">
        <v>2300000</v>
      </c>
      <c r="G40" s="78">
        <v>0</v>
      </c>
      <c r="H40" s="231">
        <v>0</v>
      </c>
      <c r="I40" s="41">
        <v>0</v>
      </c>
      <c r="J40" s="21">
        <v>6131000</v>
      </c>
      <c r="K40" s="41"/>
      <c r="L40" s="21"/>
      <c r="M40" s="21"/>
      <c r="N40" s="294"/>
      <c r="O40" s="21"/>
      <c r="P40" s="457">
        <f t="shared" si="5"/>
        <v>19481000</v>
      </c>
      <c r="Q40" s="376">
        <f t="shared" si="6"/>
        <v>150519000</v>
      </c>
    </row>
    <row r="41" spans="1:17" ht="15.75" customHeight="1" x14ac:dyDescent="0.25">
      <c r="A41" s="15" t="s">
        <v>207</v>
      </c>
      <c r="B41" s="44">
        <v>170000000</v>
      </c>
      <c r="C41" s="44">
        <v>10500000</v>
      </c>
      <c r="D41" s="30">
        <v>0</v>
      </c>
      <c r="E41" s="284">
        <v>2400000</v>
      </c>
      <c r="F41" s="284">
        <v>0</v>
      </c>
      <c r="G41" s="444">
        <v>0</v>
      </c>
      <c r="H41" s="278">
        <v>0</v>
      </c>
      <c r="I41" s="284">
        <v>0</v>
      </c>
      <c r="J41" s="293">
        <v>9250000</v>
      </c>
      <c r="K41" s="284">
        <v>1500000</v>
      </c>
      <c r="L41" s="284">
        <v>5370000</v>
      </c>
      <c r="M41" s="293">
        <v>0</v>
      </c>
      <c r="N41" s="401">
        <v>0</v>
      </c>
      <c r="O41" s="21">
        <v>0</v>
      </c>
      <c r="P41" s="457">
        <f t="shared" si="5"/>
        <v>18520000</v>
      </c>
      <c r="Q41" s="376"/>
    </row>
    <row r="42" spans="1:17" ht="15.75" customHeight="1" x14ac:dyDescent="0.25">
      <c r="A42" s="194" t="s">
        <v>182</v>
      </c>
      <c r="B42" s="205" t="s">
        <v>36</v>
      </c>
      <c r="C42" s="205" t="s">
        <v>36</v>
      </c>
      <c r="D42" s="220">
        <v>3950000</v>
      </c>
      <c r="E42" s="424">
        <v>0</v>
      </c>
      <c r="F42" s="284">
        <v>0</v>
      </c>
      <c r="G42" s="444">
        <v>0</v>
      </c>
      <c r="H42" s="389">
        <v>0</v>
      </c>
      <c r="I42" s="284">
        <v>0</v>
      </c>
      <c r="J42" s="284">
        <v>0</v>
      </c>
      <c r="K42" s="284"/>
      <c r="L42" s="293"/>
      <c r="M42" s="293"/>
      <c r="N42" s="401"/>
      <c r="O42" s="220"/>
      <c r="P42" s="457">
        <f t="shared" si="5"/>
        <v>3950000</v>
      </c>
      <c r="Q42" s="376">
        <f>B41-P42</f>
        <v>166050000</v>
      </c>
    </row>
    <row r="43" spans="1:17" ht="15.75" customHeight="1" x14ac:dyDescent="0.25">
      <c r="A43" s="390" t="s">
        <v>134</v>
      </c>
      <c r="B43" s="391" t="s">
        <v>111</v>
      </c>
      <c r="C43" s="391" t="s">
        <v>50</v>
      </c>
      <c r="D43" s="392"/>
      <c r="E43" s="243"/>
      <c r="F43" s="243"/>
      <c r="G43" s="394"/>
      <c r="H43" s="393"/>
      <c r="I43" s="243"/>
      <c r="J43" s="243"/>
      <c r="K43" s="243"/>
      <c r="L43" s="243"/>
      <c r="M43" s="243"/>
      <c r="N43" s="456"/>
      <c r="O43" s="380"/>
      <c r="P43" s="458"/>
      <c r="Q43" s="395"/>
    </row>
    <row r="44" spans="1:17" ht="15.75" customHeight="1" x14ac:dyDescent="0.25">
      <c r="A44" s="15" t="s">
        <v>185</v>
      </c>
      <c r="B44" s="44">
        <v>170000000</v>
      </c>
      <c r="C44" s="129">
        <v>15000000</v>
      </c>
      <c r="D44" s="78">
        <v>4850000</v>
      </c>
      <c r="E44" s="41">
        <v>27470000</v>
      </c>
      <c r="F44" s="41">
        <v>5100000</v>
      </c>
      <c r="G44" s="78">
        <v>0</v>
      </c>
      <c r="H44" s="64">
        <v>2500000</v>
      </c>
      <c r="I44" s="41">
        <v>10550000</v>
      </c>
      <c r="J44" s="41">
        <v>11950000</v>
      </c>
      <c r="K44" s="41"/>
      <c r="L44" s="21"/>
      <c r="M44" s="21"/>
      <c r="N44" s="294"/>
      <c r="O44" s="194"/>
      <c r="P44" s="293">
        <f>SUM(D44:O44)</f>
        <v>62420000</v>
      </c>
      <c r="Q44" s="376">
        <f>B44-P44</f>
        <v>107580000</v>
      </c>
    </row>
    <row r="45" spans="1:17" ht="15.75" customHeight="1" x14ac:dyDescent="0.25">
      <c r="A45" s="15" t="s">
        <v>209</v>
      </c>
      <c r="B45" s="44">
        <v>170000000</v>
      </c>
      <c r="C45" s="129">
        <v>15000000</v>
      </c>
      <c r="D45" s="330">
        <v>18120000</v>
      </c>
      <c r="E45" s="41">
        <v>10350000</v>
      </c>
      <c r="F45" s="41">
        <v>10836000</v>
      </c>
      <c r="G45" s="78">
        <v>0</v>
      </c>
      <c r="H45" s="231">
        <v>0</v>
      </c>
      <c r="I45" s="41">
        <v>14050000</v>
      </c>
      <c r="J45" s="21">
        <v>17581000</v>
      </c>
      <c r="K45" s="21"/>
      <c r="L45" s="21"/>
      <c r="M45" s="21"/>
      <c r="N45" s="294"/>
      <c r="O45" s="459"/>
      <c r="P45" s="21">
        <f>SUM(D45:N45)</f>
        <v>70937000</v>
      </c>
      <c r="Q45" s="376">
        <f>B45-P45</f>
        <v>99063000</v>
      </c>
    </row>
    <row r="47" spans="1:17" ht="42.75" customHeight="1" x14ac:dyDescent="0.85">
      <c r="A47" s="490">
        <v>2021</v>
      </c>
    </row>
    <row r="48" spans="1:17" ht="41.25" customHeight="1" x14ac:dyDescent="0.5">
      <c r="A48" s="555" t="s">
        <v>180</v>
      </c>
      <c r="B48" s="556" t="s">
        <v>50</v>
      </c>
      <c r="C48" s="498" t="s">
        <v>1</v>
      </c>
      <c r="D48" s="498" t="s">
        <v>2</v>
      </c>
      <c r="E48" s="498" t="s">
        <v>3</v>
      </c>
      <c r="F48" s="498" t="s">
        <v>4</v>
      </c>
      <c r="G48" s="498" t="s">
        <v>5</v>
      </c>
      <c r="H48" s="498" t="s">
        <v>6</v>
      </c>
      <c r="I48" s="498" t="s">
        <v>7</v>
      </c>
      <c r="J48" s="498" t="s">
        <v>8</v>
      </c>
      <c r="K48" s="498" t="s">
        <v>9</v>
      </c>
      <c r="L48" s="498" t="s">
        <v>51</v>
      </c>
      <c r="M48" s="498" t="s">
        <v>11</v>
      </c>
      <c r="N48" s="498" t="s">
        <v>12</v>
      </c>
      <c r="O48" s="577" t="s">
        <v>210</v>
      </c>
    </row>
    <row r="49" spans="1:15" ht="15.75" customHeight="1" x14ac:dyDescent="0.25">
      <c r="A49" s="572" t="s">
        <v>211</v>
      </c>
      <c r="B49" s="330">
        <v>35000000</v>
      </c>
      <c r="C49" s="567">
        <v>33325000</v>
      </c>
      <c r="D49" s="567">
        <v>41550000</v>
      </c>
      <c r="E49" s="567">
        <v>37630000</v>
      </c>
      <c r="F49" s="567">
        <v>26470000</v>
      </c>
      <c r="G49" s="567">
        <v>31750000</v>
      </c>
      <c r="H49" s="567">
        <v>23880000</v>
      </c>
      <c r="I49" s="567">
        <v>46350000</v>
      </c>
      <c r="J49" s="567">
        <v>23550000</v>
      </c>
      <c r="K49" s="567">
        <v>35150000</v>
      </c>
      <c r="L49" s="567">
        <v>51530000</v>
      </c>
      <c r="M49" s="567">
        <v>36800000</v>
      </c>
      <c r="N49" s="580">
        <v>19350000</v>
      </c>
      <c r="O49" s="314">
        <f>SUM(C49:N49)</f>
        <v>407335000</v>
      </c>
    </row>
    <row r="50" spans="1:15" ht="15.75" customHeight="1" x14ac:dyDescent="0.25">
      <c r="A50" s="341" t="s">
        <v>212</v>
      </c>
      <c r="B50" s="218"/>
      <c r="C50" s="330">
        <v>12325000</v>
      </c>
      <c r="D50" s="573">
        <v>15250000</v>
      </c>
      <c r="E50" s="330">
        <v>14500000</v>
      </c>
      <c r="F50" s="330">
        <v>4400000</v>
      </c>
      <c r="G50" s="330">
        <v>12350000</v>
      </c>
      <c r="H50" s="330">
        <v>4730000</v>
      </c>
      <c r="I50" s="330">
        <v>15950000</v>
      </c>
      <c r="J50" s="330">
        <v>7600000</v>
      </c>
      <c r="K50" s="330">
        <v>13250000</v>
      </c>
      <c r="L50" s="330">
        <v>20800000</v>
      </c>
      <c r="M50" s="330">
        <v>16450000</v>
      </c>
      <c r="N50" s="486">
        <v>10000000</v>
      </c>
      <c r="O50" s="314">
        <f t="shared" ref="O50:O63" si="7">SUM(C50:N50)</f>
        <v>147605000</v>
      </c>
    </row>
    <row r="51" spans="1:15" ht="15.75" customHeight="1" x14ac:dyDescent="0.25">
      <c r="A51" s="341" t="s">
        <v>143</v>
      </c>
      <c r="B51" s="218"/>
      <c r="C51" s="330">
        <v>15300000</v>
      </c>
      <c r="D51" s="330">
        <v>15000000</v>
      </c>
      <c r="E51" s="330">
        <v>12680000</v>
      </c>
      <c r="F51" s="330">
        <v>7900000</v>
      </c>
      <c r="G51" s="330">
        <v>10050000</v>
      </c>
      <c r="H51" s="330">
        <v>13450000</v>
      </c>
      <c r="I51" s="330">
        <v>24700000</v>
      </c>
      <c r="J51" s="218">
        <v>0</v>
      </c>
      <c r="K51" s="330">
        <v>15450000</v>
      </c>
      <c r="L51" s="330">
        <v>20650000</v>
      </c>
      <c r="M51" s="330">
        <v>20350000</v>
      </c>
      <c r="N51" s="486">
        <v>7650000</v>
      </c>
      <c r="O51" s="314">
        <f t="shared" si="7"/>
        <v>163180000</v>
      </c>
    </row>
    <row r="52" spans="1:15" ht="15.75" customHeight="1" x14ac:dyDescent="0.25">
      <c r="A52" s="341" t="s">
        <v>213</v>
      </c>
      <c r="B52" s="218"/>
      <c r="C52" s="330">
        <v>1450000</v>
      </c>
      <c r="D52" s="330">
        <v>950000</v>
      </c>
      <c r="E52" s="330">
        <v>1200000</v>
      </c>
      <c r="F52" s="218">
        <v>0</v>
      </c>
      <c r="G52" s="218">
        <v>0</v>
      </c>
      <c r="H52" s="218">
        <v>0</v>
      </c>
      <c r="I52" s="218">
        <v>0</v>
      </c>
      <c r="J52" s="218">
        <v>0</v>
      </c>
      <c r="K52" s="218">
        <v>0</v>
      </c>
      <c r="L52" s="218">
        <v>0</v>
      </c>
      <c r="M52" s="218">
        <v>0</v>
      </c>
      <c r="N52" s="522">
        <v>0</v>
      </c>
      <c r="O52" s="314">
        <f t="shared" si="7"/>
        <v>3600000</v>
      </c>
    </row>
    <row r="53" spans="1:15" ht="15.75" customHeight="1" x14ac:dyDescent="0.25">
      <c r="A53" s="341" t="s">
        <v>214</v>
      </c>
      <c r="B53" s="218"/>
      <c r="C53" s="330">
        <v>4250000</v>
      </c>
      <c r="D53" s="330">
        <v>6750000</v>
      </c>
      <c r="E53" s="330">
        <v>4500000</v>
      </c>
      <c r="F53" s="330">
        <v>4220000</v>
      </c>
      <c r="G53" s="330">
        <v>4250000</v>
      </c>
      <c r="H53" s="330">
        <v>2600000</v>
      </c>
      <c r="I53" s="218">
        <v>0</v>
      </c>
      <c r="J53" s="218">
        <v>0</v>
      </c>
      <c r="K53" s="218">
        <v>0</v>
      </c>
      <c r="L53" s="218">
        <v>0</v>
      </c>
      <c r="M53" s="218">
        <v>0</v>
      </c>
      <c r="N53" s="522">
        <v>0</v>
      </c>
      <c r="O53" s="314">
        <f t="shared" si="7"/>
        <v>26570000</v>
      </c>
    </row>
    <row r="54" spans="1:15" ht="15.75" customHeight="1" x14ac:dyDescent="0.25">
      <c r="A54" s="341" t="s">
        <v>215</v>
      </c>
      <c r="B54" s="218"/>
      <c r="C54" s="330"/>
      <c r="D54" s="330"/>
      <c r="E54" s="330"/>
      <c r="F54" s="330"/>
      <c r="G54" s="330"/>
      <c r="H54" s="330"/>
      <c r="I54" s="330">
        <v>5700000</v>
      </c>
      <c r="J54" s="330">
        <v>11850000</v>
      </c>
      <c r="K54" s="330">
        <v>6450000</v>
      </c>
      <c r="L54" s="330">
        <v>7980000</v>
      </c>
      <c r="M54" s="218">
        <v>0</v>
      </c>
      <c r="N54" s="522"/>
      <c r="O54" s="314">
        <f t="shared" si="7"/>
        <v>31980000</v>
      </c>
    </row>
    <row r="55" spans="1:15" ht="15.75" customHeight="1" x14ac:dyDescent="0.25">
      <c r="A55" s="341" t="s">
        <v>216</v>
      </c>
      <c r="B55" s="218"/>
      <c r="C55" s="218"/>
      <c r="D55" s="330">
        <v>3600000</v>
      </c>
      <c r="E55" s="330">
        <v>4700000</v>
      </c>
      <c r="F55" s="330">
        <v>9950000</v>
      </c>
      <c r="G55" s="330">
        <v>5100000</v>
      </c>
      <c r="H55" s="330">
        <v>3100000</v>
      </c>
      <c r="I55" s="218">
        <v>0</v>
      </c>
      <c r="J55" s="218">
        <v>0</v>
      </c>
      <c r="K55" s="218">
        <v>0</v>
      </c>
      <c r="L55" s="218">
        <v>0</v>
      </c>
      <c r="M55" s="218">
        <v>0</v>
      </c>
      <c r="N55" s="522">
        <v>0</v>
      </c>
      <c r="O55" s="314">
        <f t="shared" si="7"/>
        <v>26450000</v>
      </c>
    </row>
    <row r="56" spans="1:15" ht="15.75" customHeight="1" x14ac:dyDescent="0.25">
      <c r="A56" s="341" t="s">
        <v>217</v>
      </c>
      <c r="B56" s="218"/>
      <c r="C56" s="218"/>
      <c r="D56" s="330"/>
      <c r="E56" s="330"/>
      <c r="F56" s="330"/>
      <c r="G56" s="330"/>
      <c r="H56" s="330"/>
      <c r="I56" s="218"/>
      <c r="J56" s="330">
        <v>4100000</v>
      </c>
      <c r="K56" s="218">
        <v>0</v>
      </c>
      <c r="L56" s="218">
        <v>0</v>
      </c>
      <c r="M56" s="218">
        <v>0</v>
      </c>
      <c r="N56" s="522"/>
      <c r="O56" s="314">
        <f t="shared" si="7"/>
        <v>4100000</v>
      </c>
    </row>
    <row r="57" spans="1:15" ht="15.75" customHeight="1" x14ac:dyDescent="0.25">
      <c r="A57" s="572" t="s">
        <v>134</v>
      </c>
      <c r="B57" s="574"/>
      <c r="C57" s="574"/>
      <c r="D57" s="574"/>
      <c r="E57" s="574"/>
      <c r="F57" s="574"/>
      <c r="G57" s="574"/>
      <c r="H57" s="574"/>
      <c r="I57" s="574"/>
      <c r="J57" s="574"/>
      <c r="K57" s="574"/>
      <c r="L57" s="574"/>
      <c r="M57" s="574"/>
      <c r="N57" s="578"/>
      <c r="O57" s="314">
        <f t="shared" si="7"/>
        <v>0</v>
      </c>
    </row>
    <row r="58" spans="1:15" ht="15.75" customHeight="1" x14ac:dyDescent="0.25">
      <c r="A58" s="341" t="s">
        <v>185</v>
      </c>
      <c r="B58" s="218"/>
      <c r="C58" s="330">
        <v>20650000</v>
      </c>
      <c r="D58" s="330">
        <v>10650000</v>
      </c>
      <c r="E58" s="218">
        <v>0</v>
      </c>
      <c r="F58" s="218">
        <v>0</v>
      </c>
      <c r="G58" s="218">
        <v>0</v>
      </c>
      <c r="H58" s="218">
        <v>0</v>
      </c>
      <c r="I58" s="218">
        <v>0</v>
      </c>
      <c r="J58" s="218">
        <v>0</v>
      </c>
      <c r="K58" s="330">
        <v>19500000</v>
      </c>
      <c r="L58" s="330">
        <v>1250000</v>
      </c>
      <c r="M58" s="218">
        <v>0</v>
      </c>
      <c r="N58" s="522">
        <v>0</v>
      </c>
      <c r="O58" s="314">
        <f t="shared" si="7"/>
        <v>52050000</v>
      </c>
    </row>
    <row r="59" spans="1:15" ht="15.75" customHeight="1" x14ac:dyDescent="0.25">
      <c r="A59" s="341" t="s">
        <v>209</v>
      </c>
      <c r="B59" s="218"/>
      <c r="C59" s="330">
        <v>11125000</v>
      </c>
      <c r="D59" s="330">
        <v>26750000</v>
      </c>
      <c r="E59" s="330">
        <v>21500000</v>
      </c>
      <c r="F59" s="218">
        <v>0</v>
      </c>
      <c r="G59" s="330">
        <v>19150000</v>
      </c>
      <c r="H59" s="330">
        <v>10930000</v>
      </c>
      <c r="I59" s="330">
        <v>35800000</v>
      </c>
      <c r="J59" s="330">
        <v>22200000</v>
      </c>
      <c r="K59" s="330">
        <v>14050000</v>
      </c>
      <c r="L59" s="330">
        <v>43580000</v>
      </c>
      <c r="M59" s="330">
        <v>17600000</v>
      </c>
      <c r="N59" s="522">
        <v>0</v>
      </c>
      <c r="O59" s="314">
        <f t="shared" si="7"/>
        <v>222685000</v>
      </c>
    </row>
    <row r="60" spans="1:15" ht="15.75" customHeight="1" x14ac:dyDescent="0.25">
      <c r="A60" s="515" t="s">
        <v>218</v>
      </c>
      <c r="B60" s="554"/>
      <c r="C60" s="554"/>
      <c r="D60" s="554"/>
      <c r="E60" s="398">
        <v>9750000</v>
      </c>
      <c r="F60" s="398">
        <v>8300000</v>
      </c>
      <c r="G60" s="398">
        <v>8950000</v>
      </c>
      <c r="H60" s="398">
        <v>4000000</v>
      </c>
      <c r="I60" s="554">
        <v>0</v>
      </c>
      <c r="J60" s="554">
        <v>0</v>
      </c>
      <c r="K60" s="554">
        <v>0</v>
      </c>
      <c r="L60" s="554">
        <v>0</v>
      </c>
      <c r="M60" s="554">
        <v>0</v>
      </c>
      <c r="N60" s="579">
        <v>0</v>
      </c>
      <c r="O60" s="314">
        <f t="shared" si="7"/>
        <v>31000000</v>
      </c>
    </row>
    <row r="61" spans="1:15" ht="15.75" customHeight="1" x14ac:dyDescent="0.25">
      <c r="A61" s="515" t="s">
        <v>74</v>
      </c>
      <c r="B61" s="236"/>
      <c r="C61" s="236"/>
      <c r="D61" s="236"/>
      <c r="E61" s="236"/>
      <c r="F61" s="236"/>
      <c r="G61" s="236"/>
      <c r="H61" s="236"/>
      <c r="I61" s="398">
        <v>10550000</v>
      </c>
      <c r="J61" s="554">
        <v>0</v>
      </c>
      <c r="K61" s="554">
        <v>0</v>
      </c>
      <c r="L61" s="554">
        <v>0</v>
      </c>
      <c r="M61" s="554">
        <v>0</v>
      </c>
      <c r="N61" s="579">
        <v>0</v>
      </c>
      <c r="O61" s="314">
        <f t="shared" si="7"/>
        <v>10550000</v>
      </c>
    </row>
    <row r="62" spans="1:15" ht="15.75" customHeight="1" x14ac:dyDescent="0.25">
      <c r="A62" s="354" t="s">
        <v>219</v>
      </c>
      <c r="B62" s="354"/>
      <c r="C62" s="354"/>
      <c r="D62" s="354"/>
      <c r="E62" s="354"/>
      <c r="F62" s="354"/>
      <c r="G62" s="354"/>
      <c r="H62" s="354"/>
      <c r="I62" s="354"/>
      <c r="J62" s="354"/>
      <c r="K62" s="354"/>
      <c r="L62" s="271">
        <v>4550000</v>
      </c>
      <c r="M62" s="271">
        <v>1400000</v>
      </c>
      <c r="N62" s="355"/>
      <c r="O62" s="314">
        <f t="shared" si="7"/>
        <v>5950000</v>
      </c>
    </row>
    <row r="63" spans="1:15" ht="15.75" customHeight="1" x14ac:dyDescent="0.25">
      <c r="A63" s="194" t="s">
        <v>215</v>
      </c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220">
        <v>17900000</v>
      </c>
      <c r="N63" s="311">
        <v>19350000</v>
      </c>
      <c r="O63" s="314">
        <f t="shared" si="7"/>
        <v>37250000</v>
      </c>
    </row>
    <row r="65" spans="1:15" ht="42" customHeight="1" x14ac:dyDescent="0.85">
      <c r="A65" s="490">
        <v>2022</v>
      </c>
    </row>
    <row r="66" spans="1:15" ht="49.5" customHeight="1" x14ac:dyDescent="0.5">
      <c r="A66" s="575" t="s">
        <v>180</v>
      </c>
      <c r="B66" s="371" t="s">
        <v>50</v>
      </c>
      <c r="C66" s="371" t="s">
        <v>1</v>
      </c>
      <c r="D66" s="371" t="s">
        <v>2</v>
      </c>
      <c r="E66" s="371" t="s">
        <v>3</v>
      </c>
      <c r="F66" s="371" t="s">
        <v>4</v>
      </c>
      <c r="G66" s="371" t="s">
        <v>5</v>
      </c>
      <c r="H66" s="371" t="s">
        <v>6</v>
      </c>
      <c r="I66" s="371" t="s">
        <v>7</v>
      </c>
      <c r="J66" s="371" t="s">
        <v>8</v>
      </c>
      <c r="K66" s="371" t="s">
        <v>9</v>
      </c>
      <c r="L66" s="371" t="s">
        <v>51</v>
      </c>
      <c r="M66" s="371" t="s">
        <v>11</v>
      </c>
      <c r="N66" s="371" t="s">
        <v>12</v>
      </c>
      <c r="O66" s="375" t="s">
        <v>210</v>
      </c>
    </row>
    <row r="67" spans="1:15" ht="15.75" customHeight="1" x14ac:dyDescent="0.25">
      <c r="A67" s="619" t="s">
        <v>220</v>
      </c>
      <c r="B67" s="583">
        <v>40000000</v>
      </c>
      <c r="C67" s="614">
        <v>42000000</v>
      </c>
      <c r="D67" s="614">
        <v>53940000</v>
      </c>
      <c r="E67" s="614">
        <v>72810000</v>
      </c>
      <c r="F67" s="535">
        <v>65380000</v>
      </c>
      <c r="G67" s="535">
        <v>73000000</v>
      </c>
      <c r="H67" s="535">
        <v>66250000</v>
      </c>
      <c r="I67" s="700">
        <v>59850000</v>
      </c>
      <c r="J67" s="353">
        <f>SUM(C67:I67)</f>
        <v>433230000</v>
      </c>
      <c r="K67" s="236"/>
      <c r="L67" s="236"/>
      <c r="M67" s="205"/>
      <c r="N67" s="205"/>
      <c r="O67" s="272">
        <f>SUM(J67)</f>
        <v>433230000</v>
      </c>
    </row>
    <row r="68" spans="1:15" ht="15.75" customHeight="1" x14ac:dyDescent="0.25">
      <c r="A68" s="551" t="s">
        <v>183</v>
      </c>
      <c r="B68" s="230">
        <v>14000000</v>
      </c>
      <c r="C68" s="272">
        <v>22100000</v>
      </c>
      <c r="D68" s="272">
        <v>25770000</v>
      </c>
      <c r="E68" s="628">
        <v>25380000</v>
      </c>
      <c r="F68" s="220">
        <v>25900000</v>
      </c>
      <c r="G68" s="220">
        <v>26200000</v>
      </c>
      <c r="H68" s="311">
        <v>28200000</v>
      </c>
      <c r="I68" s="272">
        <v>12800000</v>
      </c>
      <c r="J68" s="272">
        <f>SUM(C68:I68)</f>
        <v>166350000</v>
      </c>
      <c r="K68" s="205"/>
      <c r="L68" s="205"/>
      <c r="M68" s="601"/>
      <c r="N68" s="205"/>
      <c r="O68" s="272">
        <f t="shared" ref="O68:O71" si="8">SUM(J68)</f>
        <v>166350000</v>
      </c>
    </row>
    <row r="69" spans="1:15" ht="15.75" customHeight="1" x14ac:dyDescent="0.25">
      <c r="A69" s="551" t="s">
        <v>143</v>
      </c>
      <c r="B69" s="230">
        <v>14000000</v>
      </c>
      <c r="C69" s="272">
        <v>19900000</v>
      </c>
      <c r="D69" s="272">
        <v>23370000</v>
      </c>
      <c r="E69" s="272">
        <v>19550000</v>
      </c>
      <c r="F69" s="220">
        <v>16130000</v>
      </c>
      <c r="G69" s="220">
        <v>11550000</v>
      </c>
      <c r="H69" s="252">
        <v>0</v>
      </c>
      <c r="I69" s="205">
        <v>0</v>
      </c>
      <c r="J69" s="272">
        <f>SUM(C69:I69)</f>
        <v>90500000</v>
      </c>
      <c r="K69" s="205"/>
      <c r="L69" s="205"/>
      <c r="M69" s="601"/>
      <c r="N69" s="205"/>
      <c r="O69" s="272">
        <f t="shared" si="8"/>
        <v>90500000</v>
      </c>
    </row>
    <row r="70" spans="1:15" ht="15.75" customHeight="1" x14ac:dyDescent="0.25">
      <c r="A70" s="551" t="s">
        <v>221</v>
      </c>
      <c r="B70" s="696">
        <v>13000000</v>
      </c>
      <c r="C70" s="236">
        <v>0</v>
      </c>
      <c r="D70" s="236">
        <v>0</v>
      </c>
      <c r="E70" s="353">
        <v>17000000</v>
      </c>
      <c r="F70" s="271">
        <v>17800000</v>
      </c>
      <c r="G70" s="271">
        <v>26200000</v>
      </c>
      <c r="H70" s="312">
        <v>17550000</v>
      </c>
      <c r="I70" s="272">
        <v>19650000</v>
      </c>
      <c r="J70" s="272">
        <f>SUM(E70:I70)</f>
        <v>98200000</v>
      </c>
      <c r="K70" s="205"/>
      <c r="L70" s="205"/>
      <c r="M70" s="601"/>
      <c r="N70" s="205"/>
      <c r="O70" s="272">
        <f t="shared" si="8"/>
        <v>98200000</v>
      </c>
    </row>
    <row r="71" spans="1:15" ht="15.75" customHeight="1" x14ac:dyDescent="0.25">
      <c r="A71" s="551" t="s">
        <v>222</v>
      </c>
      <c r="B71" s="696">
        <v>13000000</v>
      </c>
      <c r="C71" s="194"/>
      <c r="D71" s="194"/>
      <c r="E71" s="194"/>
      <c r="F71" s="194"/>
      <c r="G71" s="194"/>
      <c r="H71" s="311">
        <v>18800000</v>
      </c>
      <c r="I71" s="272">
        <v>22500000</v>
      </c>
      <c r="J71" s="220">
        <f>SUM(H71:I71)</f>
        <v>41300000</v>
      </c>
      <c r="K71" s="194"/>
      <c r="L71" s="194"/>
      <c r="O71" s="272">
        <f t="shared" si="8"/>
        <v>41300000</v>
      </c>
    </row>
    <row r="72" spans="1:15" ht="15.75" customHeight="1" x14ac:dyDescent="0.25">
      <c r="A72" s="551" t="s">
        <v>179</v>
      </c>
      <c r="B72" s="696">
        <v>13000000</v>
      </c>
      <c r="C72" s="697"/>
      <c r="D72" s="697">
        <v>0</v>
      </c>
      <c r="E72" s="698">
        <v>7850000</v>
      </c>
      <c r="F72" s="286">
        <v>5500000</v>
      </c>
      <c r="G72" s="286">
        <v>7150000</v>
      </c>
      <c r="H72" s="699">
        <v>0</v>
      </c>
      <c r="I72" s="205">
        <v>0</v>
      </c>
      <c r="J72" s="205">
        <v>0</v>
      </c>
      <c r="K72" s="205">
        <v>0</v>
      </c>
      <c r="L72" s="205"/>
      <c r="M72" s="601"/>
      <c r="N72" s="205"/>
      <c r="O72" s="272">
        <f>SUM(E72:N72)</f>
        <v>20500000</v>
      </c>
    </row>
    <row r="73" spans="1:15" ht="15.75" customHeight="1" x14ac:dyDescent="0.25">
      <c r="A73" s="620" t="s">
        <v>223</v>
      </c>
      <c r="B73" s="583">
        <v>13000000</v>
      </c>
      <c r="C73" s="205">
        <v>0</v>
      </c>
      <c r="D73" s="64">
        <v>3350000</v>
      </c>
      <c r="E73" s="205">
        <v>0</v>
      </c>
      <c r="F73" s="205">
        <v>0</v>
      </c>
      <c r="G73" s="205">
        <v>0</v>
      </c>
      <c r="H73" s="220">
        <v>0</v>
      </c>
      <c r="I73" s="697">
        <v>0</v>
      </c>
      <c r="J73" s="697"/>
      <c r="K73" s="697"/>
      <c r="L73" s="697"/>
      <c r="M73" s="205"/>
      <c r="N73" s="205"/>
      <c r="O73" s="272">
        <v>3500000</v>
      </c>
    </row>
    <row r="74" spans="1:15" ht="15.75" customHeight="1" x14ac:dyDescent="0.25">
      <c r="A74" s="611" t="s">
        <v>134</v>
      </c>
      <c r="B74" s="626"/>
      <c r="C74" s="585"/>
      <c r="D74" s="585"/>
      <c r="E74" s="602"/>
      <c r="F74" s="602"/>
      <c r="G74" s="602"/>
      <c r="H74" s="602"/>
      <c r="I74" s="585"/>
      <c r="J74" s="585"/>
      <c r="K74" s="585"/>
      <c r="L74" s="585"/>
      <c r="M74" s="585"/>
      <c r="N74" s="585"/>
      <c r="O74" s="585"/>
    </row>
    <row r="75" spans="1:15" ht="15.75" customHeight="1" x14ac:dyDescent="0.25">
      <c r="A75" s="610" t="s">
        <v>209</v>
      </c>
      <c r="B75" s="583">
        <v>16000000</v>
      </c>
      <c r="C75" s="272">
        <v>30800000</v>
      </c>
      <c r="D75" s="272">
        <v>27120000</v>
      </c>
      <c r="E75" s="272">
        <v>23130000</v>
      </c>
      <c r="F75" s="220">
        <v>24330000</v>
      </c>
      <c r="G75" s="220">
        <v>31300000</v>
      </c>
      <c r="H75" s="220">
        <v>23600000</v>
      </c>
      <c r="I75" s="272">
        <v>23500000</v>
      </c>
      <c r="J75" s="205"/>
      <c r="K75" s="205"/>
      <c r="L75" s="205"/>
      <c r="M75" s="205"/>
      <c r="N75" s="205"/>
      <c r="O75" s="272">
        <f>SUM(C75:N75)</f>
        <v>183780000</v>
      </c>
    </row>
    <row r="76" spans="1:15" ht="15.75" customHeight="1" x14ac:dyDescent="0.25">
      <c r="A76" s="610" t="s">
        <v>215</v>
      </c>
      <c r="B76" s="583">
        <v>16000000</v>
      </c>
      <c r="C76" s="272">
        <v>11200000</v>
      </c>
      <c r="D76" s="272">
        <v>20370000</v>
      </c>
      <c r="E76" s="272">
        <v>24230000</v>
      </c>
      <c r="F76" s="220">
        <v>25050000</v>
      </c>
      <c r="G76" s="220">
        <v>17600000</v>
      </c>
      <c r="H76" s="220">
        <v>21300000</v>
      </c>
      <c r="I76" s="272">
        <v>11750000</v>
      </c>
      <c r="J76" s="205"/>
      <c r="K76" s="205"/>
      <c r="L76" s="205"/>
      <c r="M76" s="205"/>
      <c r="N76" s="205"/>
      <c r="O76" s="272">
        <f t="shared" ref="O76:O77" si="9">SUM(C76:N76)</f>
        <v>131500000</v>
      </c>
    </row>
    <row r="77" spans="1:15" ht="15.75" customHeight="1" x14ac:dyDescent="0.25">
      <c r="A77" s="610" t="s">
        <v>185</v>
      </c>
      <c r="B77" s="583">
        <v>16000000</v>
      </c>
      <c r="C77" s="272">
        <v>4950000</v>
      </c>
      <c r="D77" s="64">
        <v>4950000</v>
      </c>
      <c r="E77" s="272">
        <v>25450000</v>
      </c>
      <c r="F77" s="220">
        <v>16000000</v>
      </c>
      <c r="G77" s="220">
        <v>22400000</v>
      </c>
      <c r="H77" s="220">
        <v>21350000</v>
      </c>
      <c r="I77" s="272">
        <v>24600000</v>
      </c>
      <c r="J77" s="205"/>
      <c r="K77" s="205"/>
      <c r="L77" s="205"/>
      <c r="M77" s="205"/>
      <c r="N77" s="205"/>
      <c r="O77" s="272">
        <f t="shared" si="9"/>
        <v>119700000</v>
      </c>
    </row>
    <row r="90" spans="1:15" ht="15.75" customHeight="1" x14ac:dyDescent="0.25">
      <c r="A90" s="620"/>
      <c r="B90" s="230"/>
      <c r="C90" s="205"/>
      <c r="D90" s="205"/>
      <c r="E90" s="272"/>
      <c r="F90" s="220"/>
      <c r="G90" s="220"/>
      <c r="H90" s="220"/>
      <c r="I90" s="205"/>
      <c r="J90" s="205"/>
      <c r="K90" s="205"/>
      <c r="L90" s="205"/>
      <c r="M90" s="205"/>
      <c r="N90" s="205"/>
      <c r="O90" s="205"/>
    </row>
  </sheetData>
  <pageMargins left="0" right="0" top="0" bottom="0" header="0" footer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F41F-7469-4B11-9EC1-2F7974EC1E45}">
  <dimension ref="A1:Q47"/>
  <sheetViews>
    <sheetView workbookViewId="0">
      <selection activeCell="G15" sqref="G15"/>
    </sheetView>
  </sheetViews>
  <sheetFormatPr baseColWidth="10" defaultColWidth="8.88671875" defaultRowHeight="13.2" x14ac:dyDescent="0.25"/>
  <cols>
    <col min="1" max="1" width="37.6640625" customWidth="1"/>
    <col min="2" max="2" width="23.33203125" customWidth="1"/>
    <col min="3" max="3" width="17.6640625" customWidth="1"/>
    <col min="4" max="4" width="13.5546875" customWidth="1"/>
    <col min="5" max="5" width="13.44140625" bestFit="1" customWidth="1"/>
    <col min="6" max="6" width="11.88671875" bestFit="1" customWidth="1"/>
    <col min="7" max="7" width="10.44140625" bestFit="1" customWidth="1"/>
    <col min="8" max="8" width="10.5546875" customWidth="1"/>
    <col min="9" max="9" width="10.44140625" bestFit="1" customWidth="1"/>
    <col min="10" max="10" width="10.33203125" hidden="1" customWidth="1"/>
    <col min="11" max="11" width="13.109375" hidden="1" customWidth="1"/>
    <col min="12" max="12" width="17.33203125" hidden="1" customWidth="1"/>
    <col min="13" max="13" width="14.109375" hidden="1" customWidth="1"/>
    <col min="14" max="14" width="16" hidden="1" customWidth="1"/>
    <col min="15" max="15" width="17.6640625" customWidth="1"/>
    <col min="16" max="16" width="18.33203125" bestFit="1" customWidth="1"/>
    <col min="17" max="17" width="14.77734375" customWidth="1"/>
  </cols>
  <sheetData>
    <row r="1" spans="1:17" ht="50.4" x14ac:dyDescent="0.85">
      <c r="A1" s="222">
        <v>2019</v>
      </c>
      <c r="B1" s="4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7" ht="30" x14ac:dyDescent="0.5">
      <c r="A2" s="3" t="s">
        <v>188</v>
      </c>
      <c r="B2" s="6" t="s">
        <v>149</v>
      </c>
      <c r="C2" s="5" t="s">
        <v>25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52" t="s">
        <v>11</v>
      </c>
      <c r="O2" s="52" t="s">
        <v>12</v>
      </c>
      <c r="P2" s="275" t="s">
        <v>13</v>
      </c>
    </row>
    <row r="3" spans="1:17" x14ac:dyDescent="0.25">
      <c r="A3" s="81" t="s">
        <v>181</v>
      </c>
      <c r="B3" s="44" t="s">
        <v>224</v>
      </c>
      <c r="C3" s="44">
        <v>20000000</v>
      </c>
      <c r="D3" s="30">
        <v>6600000</v>
      </c>
      <c r="E3" s="41">
        <v>13200000</v>
      </c>
      <c r="F3" s="41">
        <v>15710000</v>
      </c>
      <c r="G3" s="41">
        <v>15710000</v>
      </c>
      <c r="H3" s="232" t="s">
        <v>225</v>
      </c>
      <c r="I3" s="41">
        <v>16400760</v>
      </c>
      <c r="J3" s="21">
        <v>20642496</v>
      </c>
      <c r="K3" s="201">
        <v>19020000</v>
      </c>
      <c r="L3" s="21">
        <v>21880000</v>
      </c>
      <c r="M3" s="294">
        <v>27070000</v>
      </c>
      <c r="N3" s="21">
        <v>24130000</v>
      </c>
      <c r="O3" s="21">
        <v>26900000</v>
      </c>
      <c r="P3" s="89">
        <f t="shared" ref="P3:P6" si="0">SUM(D3:O3)</f>
        <v>207263256</v>
      </c>
    </row>
    <row r="4" spans="1:17" x14ac:dyDescent="0.25">
      <c r="A4" s="15" t="s">
        <v>226</v>
      </c>
      <c r="B4" s="44">
        <v>90000000</v>
      </c>
      <c r="C4" s="44">
        <v>5000000</v>
      </c>
      <c r="D4" s="30">
        <v>1300000</v>
      </c>
      <c r="E4" s="41">
        <v>4680000</v>
      </c>
      <c r="F4" s="21">
        <v>2400000</v>
      </c>
      <c r="G4" s="41">
        <v>2480000</v>
      </c>
      <c r="H4" s="232" t="s">
        <v>227</v>
      </c>
      <c r="I4" s="21">
        <v>1920000</v>
      </c>
      <c r="J4" s="41">
        <v>6980000</v>
      </c>
      <c r="K4" s="21">
        <v>6850000</v>
      </c>
      <c r="L4" s="21">
        <v>1000000</v>
      </c>
      <c r="M4" s="294">
        <v>7550000</v>
      </c>
      <c r="N4" s="21">
        <v>8330000</v>
      </c>
      <c r="O4" s="21">
        <v>4570000</v>
      </c>
      <c r="P4" s="89">
        <f>SUM(D4:O4)</f>
        <v>48060000</v>
      </c>
    </row>
    <row r="5" spans="1:17" hidden="1" x14ac:dyDescent="0.25">
      <c r="A5" s="15" t="s">
        <v>228</v>
      </c>
      <c r="B5" s="44">
        <v>90000000</v>
      </c>
      <c r="C5" s="44">
        <v>5000000</v>
      </c>
      <c r="D5" s="30">
        <v>850000</v>
      </c>
      <c r="E5" s="41">
        <v>2600000</v>
      </c>
      <c r="F5" s="21">
        <v>4000000</v>
      </c>
      <c r="G5" s="41">
        <v>2560000</v>
      </c>
      <c r="H5" s="232" t="s">
        <v>229</v>
      </c>
      <c r="I5" s="21">
        <v>4030000</v>
      </c>
      <c r="J5" s="41">
        <v>1000000</v>
      </c>
      <c r="K5" s="15">
        <v>0</v>
      </c>
      <c r="L5" s="15">
        <v>0</v>
      </c>
      <c r="M5" s="262"/>
      <c r="N5" s="15"/>
      <c r="O5" s="15"/>
      <c r="P5" s="89">
        <f t="shared" si="0"/>
        <v>15040000</v>
      </c>
    </row>
    <row r="6" spans="1:17" hidden="1" x14ac:dyDescent="0.25">
      <c r="A6" s="15" t="s">
        <v>230</v>
      </c>
      <c r="B6" s="44">
        <v>90000000</v>
      </c>
      <c r="C6" s="44">
        <v>5000000</v>
      </c>
      <c r="D6" s="30">
        <v>3600000</v>
      </c>
      <c r="E6" s="21">
        <v>5920000</v>
      </c>
      <c r="F6" s="41">
        <v>4380000</v>
      </c>
      <c r="G6" s="41">
        <v>620000</v>
      </c>
      <c r="H6" s="305" t="s">
        <v>195</v>
      </c>
      <c r="I6" s="306">
        <v>1900000</v>
      </c>
      <c r="J6" s="307">
        <v>1750000</v>
      </c>
      <c r="K6" s="306">
        <v>4190000</v>
      </c>
      <c r="L6" s="306">
        <v>2680000</v>
      </c>
      <c r="M6" s="308"/>
      <c r="N6" s="309"/>
      <c r="O6" s="309"/>
      <c r="P6" s="89">
        <f t="shared" si="0"/>
        <v>25040000</v>
      </c>
    </row>
    <row r="7" spans="1:17" x14ac:dyDescent="0.25">
      <c r="A7" s="48" t="s">
        <v>147</v>
      </c>
      <c r="B7" s="44">
        <v>120000000</v>
      </c>
      <c r="C7" s="44">
        <v>5000000</v>
      </c>
      <c r="D7" s="140">
        <v>0</v>
      </c>
      <c r="E7" s="122">
        <v>0</v>
      </c>
      <c r="F7" s="153">
        <v>3700000</v>
      </c>
      <c r="G7" s="302">
        <v>6350000</v>
      </c>
      <c r="H7" s="58">
        <v>4870000</v>
      </c>
      <c r="I7" s="274">
        <v>3350760</v>
      </c>
      <c r="J7" s="300">
        <v>8192040</v>
      </c>
      <c r="K7" s="274">
        <v>3100000</v>
      </c>
      <c r="L7" s="274">
        <v>11250000</v>
      </c>
      <c r="M7" s="274">
        <v>8070000</v>
      </c>
      <c r="N7" s="274">
        <v>6650000</v>
      </c>
      <c r="O7" s="220">
        <v>8200000</v>
      </c>
      <c r="P7" s="276">
        <f>SUM(E7:N7)</f>
        <v>55532800</v>
      </c>
    </row>
    <row r="8" spans="1:17" x14ac:dyDescent="0.25">
      <c r="A8" s="48" t="s">
        <v>231</v>
      </c>
      <c r="B8" s="44">
        <v>90000000</v>
      </c>
      <c r="C8" s="44">
        <v>5000000</v>
      </c>
      <c r="D8" s="140">
        <v>0</v>
      </c>
      <c r="E8" s="122">
        <v>0</v>
      </c>
      <c r="F8" s="122">
        <v>0</v>
      </c>
      <c r="G8" s="303">
        <v>2950000</v>
      </c>
      <c r="H8" s="301" t="s">
        <v>232</v>
      </c>
      <c r="I8" s="274">
        <v>2900000</v>
      </c>
      <c r="J8" s="260">
        <v>1250000</v>
      </c>
      <c r="K8" s="274">
        <v>4880000</v>
      </c>
      <c r="L8" s="274">
        <v>4800000</v>
      </c>
      <c r="M8" s="274">
        <v>7700000</v>
      </c>
      <c r="N8" s="274">
        <v>7950000</v>
      </c>
      <c r="O8" s="220">
        <v>5000000</v>
      </c>
      <c r="P8" s="247">
        <f>SUM(G8:N8)</f>
        <v>32430000</v>
      </c>
    </row>
    <row r="9" spans="1:17" x14ac:dyDescent="0.25">
      <c r="A9" s="48" t="s">
        <v>233</v>
      </c>
      <c r="B9" s="44"/>
      <c r="C9" s="296"/>
      <c r="D9" s="297"/>
      <c r="E9" s="298"/>
      <c r="F9" s="298"/>
      <c r="G9" s="304"/>
      <c r="H9" s="301"/>
      <c r="I9" s="274"/>
      <c r="J9" s="260"/>
      <c r="K9" s="274"/>
      <c r="L9" s="274"/>
      <c r="M9" s="274">
        <v>2900000</v>
      </c>
      <c r="N9" s="273">
        <v>0</v>
      </c>
      <c r="O9" s="194">
        <v>0</v>
      </c>
      <c r="P9" s="299"/>
    </row>
    <row r="10" spans="1:17" x14ac:dyDescent="0.25">
      <c r="A10" s="81" t="s">
        <v>20</v>
      </c>
      <c r="B10" s="150"/>
      <c r="C10" s="241"/>
      <c r="D10" s="242"/>
      <c r="E10" s="243"/>
      <c r="F10" s="243"/>
      <c r="G10" s="243"/>
      <c r="H10" s="245"/>
      <c r="I10" s="245"/>
      <c r="J10" s="245"/>
      <c r="K10" s="245"/>
      <c r="L10" s="245"/>
      <c r="M10" s="245"/>
      <c r="N10" s="245"/>
      <c r="O10" s="245"/>
      <c r="P10" s="246">
        <v>0</v>
      </c>
    </row>
    <row r="11" spans="1:17" x14ac:dyDescent="0.25">
      <c r="A11" s="15" t="s">
        <v>185</v>
      </c>
      <c r="B11" s="237">
        <v>220000000</v>
      </c>
      <c r="C11" s="44">
        <v>5000000</v>
      </c>
      <c r="D11" s="30">
        <v>3250000</v>
      </c>
      <c r="E11" s="41">
        <v>2070000</v>
      </c>
      <c r="F11" s="41">
        <v>2700000</v>
      </c>
      <c r="G11" s="120">
        <v>3000000</v>
      </c>
      <c r="H11" s="120">
        <v>0</v>
      </c>
      <c r="I11" s="15">
        <v>0</v>
      </c>
      <c r="J11" s="15">
        <v>0</v>
      </c>
      <c r="K11" s="15">
        <v>0</v>
      </c>
      <c r="L11" s="15">
        <v>0</v>
      </c>
      <c r="M11" s="219">
        <v>0</v>
      </c>
      <c r="N11" s="15">
        <v>0</v>
      </c>
      <c r="O11" s="15">
        <v>0</v>
      </c>
      <c r="P11" s="89">
        <f t="shared" ref="P11:P12" si="1">SUM(D11:O11)</f>
        <v>11020000</v>
      </c>
    </row>
    <row r="12" spans="1:17" x14ac:dyDescent="0.25">
      <c r="A12" s="15" t="s">
        <v>186</v>
      </c>
      <c r="B12" s="237">
        <v>220000000</v>
      </c>
      <c r="C12" s="44">
        <v>5000000</v>
      </c>
      <c r="D12" s="30">
        <v>600000</v>
      </c>
      <c r="E12" s="21">
        <v>8230000</v>
      </c>
      <c r="F12" s="41">
        <v>1680000</v>
      </c>
      <c r="G12" s="21">
        <v>3500000</v>
      </c>
      <c r="H12" s="120">
        <v>900000</v>
      </c>
      <c r="I12" s="88">
        <v>0</v>
      </c>
      <c r="J12" s="88">
        <v>0</v>
      </c>
      <c r="K12" s="88">
        <v>0</v>
      </c>
      <c r="L12" s="219">
        <v>0</v>
      </c>
      <c r="M12" s="219">
        <v>0</v>
      </c>
      <c r="N12" s="219">
        <v>0</v>
      </c>
      <c r="O12" s="219">
        <v>0</v>
      </c>
      <c r="P12" s="89">
        <f t="shared" si="1"/>
        <v>14910000</v>
      </c>
    </row>
    <row r="13" spans="1:17" x14ac:dyDescent="0.25">
      <c r="A13" s="318" t="s">
        <v>66</v>
      </c>
      <c r="B13" s="240">
        <v>220000000</v>
      </c>
      <c r="C13" s="150">
        <v>15833333</v>
      </c>
      <c r="D13" s="15">
        <v>0</v>
      </c>
      <c r="E13" s="219">
        <v>0</v>
      </c>
      <c r="F13" s="120">
        <v>6550000</v>
      </c>
      <c r="G13" s="213">
        <v>0</v>
      </c>
      <c r="H13" s="120">
        <v>11950000</v>
      </c>
      <c r="I13" s="220">
        <v>8100760</v>
      </c>
      <c r="J13" s="41">
        <v>11770456</v>
      </c>
      <c r="K13" s="220">
        <v>15270000</v>
      </c>
      <c r="L13" s="220">
        <v>16100000</v>
      </c>
      <c r="M13" s="220">
        <v>25320000</v>
      </c>
      <c r="N13" s="220">
        <v>18060000</v>
      </c>
      <c r="O13" s="220">
        <v>16150000</v>
      </c>
      <c r="P13" s="248">
        <f>SUM(D13:O13)</f>
        <v>129271216</v>
      </c>
    </row>
    <row r="14" spans="1:17" x14ac:dyDescent="0.25">
      <c r="G14" s="201"/>
    </row>
    <row r="15" spans="1:17" ht="49.2" x14ac:dyDescent="0.85">
      <c r="A15" s="363">
        <v>2020</v>
      </c>
    </row>
    <row r="16" spans="1:17" ht="30" x14ac:dyDescent="0.5">
      <c r="A16" s="364" t="s">
        <v>234</v>
      </c>
      <c r="B16" s="366" t="s">
        <v>111</v>
      </c>
      <c r="C16" s="366" t="s">
        <v>235</v>
      </c>
      <c r="D16" s="366" t="s">
        <v>1</v>
      </c>
      <c r="E16" s="366" t="s">
        <v>2</v>
      </c>
      <c r="F16" s="366" t="s">
        <v>3</v>
      </c>
      <c r="G16" s="366" t="s">
        <v>4</v>
      </c>
      <c r="H16" s="366" t="s">
        <v>5</v>
      </c>
      <c r="I16" s="366" t="s">
        <v>6</v>
      </c>
      <c r="J16" s="366" t="s">
        <v>7</v>
      </c>
      <c r="K16" s="366" t="s">
        <v>8</v>
      </c>
      <c r="L16" s="366" t="s">
        <v>9</v>
      </c>
      <c r="M16" s="366" t="s">
        <v>10</v>
      </c>
      <c r="N16" s="366" t="s">
        <v>11</v>
      </c>
      <c r="O16" s="366" t="s">
        <v>12</v>
      </c>
      <c r="P16" s="367" t="s">
        <v>13</v>
      </c>
      <c r="Q16" s="375" t="s">
        <v>52</v>
      </c>
    </row>
    <row r="17" spans="1:17" x14ac:dyDescent="0.25">
      <c r="A17" s="8" t="s">
        <v>236</v>
      </c>
      <c r="B17" s="44">
        <v>444000000</v>
      </c>
      <c r="C17" s="44">
        <v>37000000</v>
      </c>
      <c r="D17" s="411">
        <v>26900000</v>
      </c>
      <c r="E17" s="40">
        <v>28974804</v>
      </c>
      <c r="F17" s="78" t="s">
        <v>237</v>
      </c>
      <c r="G17" s="78">
        <v>0</v>
      </c>
      <c r="H17" s="223">
        <v>1730000</v>
      </c>
      <c r="I17" s="41"/>
      <c r="J17" s="128"/>
      <c r="K17" s="41"/>
      <c r="L17" s="21"/>
      <c r="M17" s="201"/>
      <c r="N17" s="21"/>
      <c r="P17" s="374">
        <f>SUM(D17:N17)</f>
        <v>57604804</v>
      </c>
      <c r="Q17" s="376">
        <f>B17-P17</f>
        <v>386395196</v>
      </c>
    </row>
    <row r="18" spans="1:17" x14ac:dyDescent="0.25">
      <c r="A18" s="15" t="s">
        <v>147</v>
      </c>
      <c r="B18" s="44">
        <v>102000000</v>
      </c>
      <c r="C18" s="44">
        <v>8500000</v>
      </c>
      <c r="D18" s="78">
        <v>8200000</v>
      </c>
      <c r="E18" s="41">
        <v>8870000</v>
      </c>
      <c r="F18" s="41">
        <v>7320000</v>
      </c>
      <c r="G18" s="78">
        <v>0</v>
      </c>
      <c r="H18" s="422">
        <v>0</v>
      </c>
      <c r="I18" s="277"/>
      <c r="J18" s="21"/>
      <c r="K18" s="41"/>
      <c r="L18" s="21"/>
      <c r="M18" s="21"/>
      <c r="N18" s="21"/>
      <c r="O18" s="294"/>
      <c r="P18" s="331"/>
      <c r="Q18" s="376">
        <f t="shared" ref="Q18:Q26" si="2">B18-P18</f>
        <v>102000000</v>
      </c>
    </row>
    <row r="19" spans="1:17" x14ac:dyDescent="0.25">
      <c r="A19" s="204" t="s">
        <v>226</v>
      </c>
      <c r="B19" s="44">
        <v>102000000</v>
      </c>
      <c r="C19" s="44">
        <v>8500000</v>
      </c>
      <c r="D19" s="397">
        <v>4570000</v>
      </c>
      <c r="E19" s="41">
        <v>5300000</v>
      </c>
      <c r="F19" s="41">
        <v>1200000</v>
      </c>
      <c r="G19" s="78">
        <v>0</v>
      </c>
      <c r="H19" s="422">
        <v>0</v>
      </c>
      <c r="I19" s="41"/>
      <c r="J19" s="21"/>
      <c r="K19" s="21"/>
      <c r="L19" s="21"/>
      <c r="M19" s="21"/>
      <c r="N19" s="21"/>
      <c r="O19" s="310"/>
      <c r="P19" s="331"/>
      <c r="Q19" s="376">
        <f t="shared" si="2"/>
        <v>102000000</v>
      </c>
    </row>
    <row r="20" spans="1:17" x14ac:dyDescent="0.25">
      <c r="A20" s="15" t="s">
        <v>119</v>
      </c>
      <c r="B20" s="44">
        <v>102000000</v>
      </c>
      <c r="C20" s="44">
        <v>8500000</v>
      </c>
      <c r="D20" s="78">
        <v>5000000</v>
      </c>
      <c r="E20" s="284">
        <v>7600000</v>
      </c>
      <c r="F20" s="41">
        <v>3050000</v>
      </c>
      <c r="G20" s="78">
        <v>0</v>
      </c>
      <c r="H20" s="78">
        <v>930000</v>
      </c>
      <c r="I20" s="41"/>
      <c r="J20" s="21"/>
      <c r="K20" s="41"/>
      <c r="L20" s="21"/>
      <c r="M20" s="21"/>
      <c r="N20" s="294"/>
      <c r="O20" s="21"/>
      <c r="P20" s="402"/>
      <c r="Q20" s="376">
        <f t="shared" si="2"/>
        <v>102000000</v>
      </c>
    </row>
    <row r="21" spans="1:17" x14ac:dyDescent="0.25">
      <c r="A21" s="15" t="s">
        <v>238</v>
      </c>
      <c r="B21" s="44">
        <v>102000000</v>
      </c>
      <c r="C21" s="44">
        <v>8500000</v>
      </c>
      <c r="D21" s="421">
        <v>8150000</v>
      </c>
      <c r="E21" s="284">
        <v>6400000</v>
      </c>
      <c r="F21" s="284">
        <v>4560000</v>
      </c>
      <c r="G21" s="78">
        <v>0</v>
      </c>
      <c r="H21" s="423">
        <v>0</v>
      </c>
      <c r="I21" s="284"/>
      <c r="J21" s="293"/>
      <c r="K21" s="284"/>
      <c r="L21" s="293"/>
      <c r="M21" s="293"/>
      <c r="N21" s="401"/>
      <c r="O21" s="21"/>
      <c r="P21" s="402"/>
      <c r="Q21" s="399">
        <f>B21-P22</f>
        <v>102000000</v>
      </c>
    </row>
    <row r="22" spans="1:17" x14ac:dyDescent="0.25">
      <c r="A22" s="194" t="s">
        <v>239</v>
      </c>
      <c r="B22" s="44">
        <v>102000000</v>
      </c>
      <c r="C22" s="467">
        <v>8500000</v>
      </c>
      <c r="D22" s="78">
        <v>980000</v>
      </c>
      <c r="E22" s="424">
        <v>0</v>
      </c>
      <c r="F22" s="284">
        <v>0</v>
      </c>
      <c r="G22" s="78">
        <v>0</v>
      </c>
      <c r="H22" s="444">
        <v>0</v>
      </c>
      <c r="I22" s="284"/>
      <c r="J22" s="284"/>
      <c r="K22" s="284"/>
      <c r="L22" s="293"/>
      <c r="M22" s="293"/>
      <c r="N22" s="401"/>
      <c r="O22" s="220"/>
      <c r="P22" s="403"/>
      <c r="Q22" s="194"/>
    </row>
    <row r="23" spans="1:17" x14ac:dyDescent="0.25">
      <c r="A23" s="448" t="s">
        <v>240</v>
      </c>
      <c r="B23" s="44">
        <v>102000000</v>
      </c>
      <c r="C23" s="467">
        <v>8500000</v>
      </c>
      <c r="D23" s="78">
        <v>0</v>
      </c>
      <c r="E23" s="449">
        <v>0</v>
      </c>
      <c r="F23" s="417">
        <v>1100000</v>
      </c>
      <c r="G23" s="78">
        <v>0</v>
      </c>
      <c r="H23" s="452">
        <v>0</v>
      </c>
      <c r="I23" s="417"/>
      <c r="J23" s="417"/>
      <c r="K23" s="417"/>
      <c r="L23" s="281"/>
      <c r="M23" s="281"/>
      <c r="N23" s="450"/>
      <c r="O23" s="279"/>
      <c r="P23" s="451"/>
      <c r="Q23" s="448"/>
    </row>
    <row r="24" spans="1:17" x14ac:dyDescent="0.25">
      <c r="A24" s="390" t="s">
        <v>208</v>
      </c>
      <c r="B24" s="391" t="s">
        <v>111</v>
      </c>
      <c r="C24" s="468" t="s">
        <v>50</v>
      </c>
      <c r="D24" s="466"/>
      <c r="E24" s="243"/>
      <c r="F24" s="243"/>
      <c r="G24" s="455"/>
      <c r="H24" s="453"/>
      <c r="I24" s="243"/>
      <c r="J24" s="243"/>
      <c r="K24" s="243"/>
      <c r="L24" s="243"/>
      <c r="M24" s="243"/>
      <c r="N24" s="243"/>
      <c r="O24" s="392"/>
      <c r="P24" s="394"/>
      <c r="Q24" s="400"/>
    </row>
    <row r="25" spans="1:17" x14ac:dyDescent="0.25">
      <c r="A25" s="204" t="s">
        <v>241</v>
      </c>
      <c r="B25" s="503">
        <v>170000000</v>
      </c>
      <c r="C25" s="469">
        <v>15000000</v>
      </c>
      <c r="D25" s="330">
        <v>16150000</v>
      </c>
      <c r="E25" s="452">
        <v>16242804</v>
      </c>
      <c r="F25" s="199">
        <v>6750000</v>
      </c>
      <c r="G25" s="78">
        <v>0</v>
      </c>
      <c r="H25" s="454">
        <v>0</v>
      </c>
      <c r="I25" s="249"/>
      <c r="J25" s="249"/>
      <c r="K25" s="199"/>
      <c r="L25" s="249"/>
      <c r="M25" s="249"/>
      <c r="N25" s="249">
        <v>9650000</v>
      </c>
      <c r="O25" s="249"/>
      <c r="P25" s="404"/>
      <c r="Q25" s="399">
        <f t="shared" si="2"/>
        <v>170000000</v>
      </c>
    </row>
    <row r="26" spans="1:17" x14ac:dyDescent="0.25">
      <c r="A26" s="86" t="s">
        <v>242</v>
      </c>
      <c r="B26" s="405">
        <v>170000000</v>
      </c>
      <c r="C26" s="129">
        <v>15000000</v>
      </c>
      <c r="D26" s="470">
        <v>0</v>
      </c>
      <c r="E26" s="78">
        <v>9600000</v>
      </c>
      <c r="F26" s="406">
        <v>10570000</v>
      </c>
      <c r="G26" s="78">
        <v>0</v>
      </c>
      <c r="H26" s="78">
        <v>1730000</v>
      </c>
      <c r="I26" s="407"/>
      <c r="J26" s="407"/>
      <c r="K26" s="407"/>
      <c r="L26" s="407"/>
      <c r="M26" s="407"/>
      <c r="N26" s="407"/>
      <c r="O26" s="407"/>
      <c r="P26" s="408"/>
      <c r="Q26" s="409">
        <f t="shared" si="2"/>
        <v>170000000</v>
      </c>
    </row>
    <row r="27" spans="1:17" x14ac:dyDescent="0.25">
      <c r="A27" s="341" t="s">
        <v>243</v>
      </c>
      <c r="B27" s="410">
        <v>0</v>
      </c>
      <c r="C27" s="410">
        <v>0</v>
      </c>
      <c r="D27" s="330">
        <v>6980000</v>
      </c>
      <c r="E27" s="232">
        <v>0</v>
      </c>
      <c r="F27" s="232">
        <v>0</v>
      </c>
      <c r="G27" s="41">
        <v>0</v>
      </c>
      <c r="H27" s="232">
        <v>0</v>
      </c>
      <c r="I27" s="341"/>
      <c r="J27" s="341"/>
      <c r="K27" s="341"/>
      <c r="L27" s="341"/>
      <c r="M27" s="341"/>
      <c r="N27" s="341"/>
      <c r="O27" s="341"/>
      <c r="P27" s="341"/>
      <c r="Q27" s="341"/>
    </row>
    <row r="30" spans="1:17" ht="49.2" x14ac:dyDescent="0.85">
      <c r="A30" s="363">
        <v>2022</v>
      </c>
    </row>
    <row r="31" spans="1:17" ht="30" x14ac:dyDescent="0.5">
      <c r="A31" s="364" t="s">
        <v>234</v>
      </c>
      <c r="B31" s="367" t="s">
        <v>235</v>
      </c>
      <c r="C31" s="367" t="s">
        <v>1</v>
      </c>
      <c r="D31" s="367" t="s">
        <v>2</v>
      </c>
      <c r="E31" s="367" t="s">
        <v>3</v>
      </c>
      <c r="F31" s="367" t="s">
        <v>4</v>
      </c>
      <c r="G31" s="367" t="s">
        <v>5</v>
      </c>
      <c r="H31" s="367" t="s">
        <v>6</v>
      </c>
      <c r="I31" s="367" t="s">
        <v>7</v>
      </c>
      <c r="J31" s="367" t="s">
        <v>8</v>
      </c>
      <c r="K31" s="367" t="s">
        <v>9</v>
      </c>
      <c r="L31" s="367" t="s">
        <v>10</v>
      </c>
      <c r="M31" s="367" t="s">
        <v>11</v>
      </c>
      <c r="N31" s="367" t="s">
        <v>12</v>
      </c>
      <c r="O31" s="367" t="s">
        <v>13</v>
      </c>
    </row>
    <row r="32" spans="1:17" ht="13.8" x14ac:dyDescent="0.25">
      <c r="A32" s="630" t="s">
        <v>244</v>
      </c>
      <c r="B32" s="631">
        <v>50000000</v>
      </c>
      <c r="C32" s="632">
        <v>52250000</v>
      </c>
      <c r="D32" s="632">
        <v>55927845</v>
      </c>
      <c r="E32" s="658">
        <v>46500000</v>
      </c>
      <c r="F32" s="658">
        <v>46500000</v>
      </c>
      <c r="G32" s="659">
        <v>47650000</v>
      </c>
      <c r="H32" s="535">
        <v>62750000</v>
      </c>
      <c r="I32" s="535">
        <v>80120000</v>
      </c>
      <c r="J32" s="194"/>
      <c r="K32" s="194"/>
      <c r="L32" s="194"/>
      <c r="M32" s="194"/>
      <c r="N32" s="194"/>
      <c r="O32" s="220">
        <f>H32+I32+G32+F32+E32+D32+C32</f>
        <v>391697845</v>
      </c>
    </row>
    <row r="33" spans="1:15" ht="13.8" x14ac:dyDescent="0.25">
      <c r="A33" s="634" t="s">
        <v>238</v>
      </c>
      <c r="B33" s="631">
        <v>14000000</v>
      </c>
      <c r="C33" s="635">
        <v>22500000</v>
      </c>
      <c r="D33" s="635">
        <v>19400000</v>
      </c>
      <c r="E33" s="635">
        <v>12300000</v>
      </c>
      <c r="F33" s="433">
        <v>14800000</v>
      </c>
      <c r="G33" s="194">
        <v>0</v>
      </c>
      <c r="H33" s="194">
        <v>0</v>
      </c>
      <c r="I33" s="194">
        <v>0</v>
      </c>
      <c r="J33" s="194"/>
      <c r="K33" s="194"/>
      <c r="L33" s="194"/>
      <c r="M33" s="194"/>
      <c r="N33" s="194"/>
      <c r="O33" s="220">
        <f t="shared" ref="O33:O42" si="3">H33+I33+G33+F33+E33+D33+C33</f>
        <v>69000000</v>
      </c>
    </row>
    <row r="34" spans="1:15" ht="13.8" x14ac:dyDescent="0.25">
      <c r="A34" s="634" t="s">
        <v>245</v>
      </c>
      <c r="B34" s="631">
        <v>12000000</v>
      </c>
      <c r="C34" s="635">
        <v>13950000</v>
      </c>
      <c r="D34" s="635">
        <v>20250000</v>
      </c>
      <c r="E34" s="635">
        <v>21800000</v>
      </c>
      <c r="F34" s="433">
        <v>22850000</v>
      </c>
      <c r="G34" s="220">
        <v>16700000</v>
      </c>
      <c r="H34" s="220">
        <v>22250000</v>
      </c>
      <c r="I34" s="220">
        <v>23950000</v>
      </c>
      <c r="J34" s="194"/>
      <c r="K34" s="194"/>
      <c r="L34" s="194"/>
      <c r="M34" s="194"/>
      <c r="N34" s="194"/>
      <c r="O34" s="220">
        <f t="shared" si="3"/>
        <v>141750000</v>
      </c>
    </row>
    <row r="35" spans="1:15" ht="13.8" x14ac:dyDescent="0.25">
      <c r="A35" s="634" t="s">
        <v>246</v>
      </c>
      <c r="B35" s="631">
        <v>12000000</v>
      </c>
      <c r="C35" s="636">
        <v>9850000</v>
      </c>
      <c r="D35" s="636">
        <v>4180000</v>
      </c>
      <c r="E35" s="639">
        <v>0</v>
      </c>
      <c r="F35" s="633">
        <v>0</v>
      </c>
      <c r="G35" s="194">
        <v>0</v>
      </c>
      <c r="H35" s="194"/>
      <c r="I35" s="194"/>
      <c r="J35" s="194"/>
      <c r="K35" s="194"/>
      <c r="L35" s="194"/>
      <c r="M35" s="194"/>
      <c r="N35" s="194"/>
      <c r="O35" s="220">
        <f t="shared" si="3"/>
        <v>14030000</v>
      </c>
    </row>
    <row r="36" spans="1:15" ht="13.8" x14ac:dyDescent="0.25">
      <c r="A36" s="637" t="s">
        <v>247</v>
      </c>
      <c r="B36" s="631">
        <v>12000000</v>
      </c>
      <c r="C36" s="636">
        <v>5950000</v>
      </c>
      <c r="D36" s="636">
        <v>10810000</v>
      </c>
      <c r="E36" s="635">
        <v>9900000</v>
      </c>
      <c r="F36" s="433">
        <v>10000000</v>
      </c>
      <c r="G36" s="220">
        <v>11650000</v>
      </c>
      <c r="H36" s="220">
        <v>22550000</v>
      </c>
      <c r="I36" s="220">
        <v>12700000</v>
      </c>
      <c r="J36" s="194"/>
      <c r="K36" s="194"/>
      <c r="L36" s="194"/>
      <c r="M36" s="194"/>
      <c r="N36" s="194"/>
      <c r="O36" s="220">
        <f t="shared" si="3"/>
        <v>83560000</v>
      </c>
    </row>
    <row r="37" spans="1:15" ht="13.8" x14ac:dyDescent="0.25">
      <c r="A37" s="637" t="s">
        <v>213</v>
      </c>
      <c r="B37" s="631">
        <v>12000000</v>
      </c>
      <c r="C37" s="636"/>
      <c r="D37" s="636"/>
      <c r="E37" s="635"/>
      <c r="F37" s="433"/>
      <c r="G37" s="220"/>
      <c r="H37" s="220">
        <v>8150000</v>
      </c>
      <c r="I37" s="220">
        <v>8650000</v>
      </c>
      <c r="J37" s="194"/>
      <c r="K37" s="194"/>
      <c r="L37" s="194"/>
      <c r="M37" s="194"/>
      <c r="N37" s="194"/>
      <c r="O37" s="220">
        <f t="shared" si="3"/>
        <v>16800000</v>
      </c>
    </row>
    <row r="38" spans="1:15" ht="13.8" x14ac:dyDescent="0.25">
      <c r="A38" s="637" t="s">
        <v>248</v>
      </c>
      <c r="B38" s="631">
        <v>12000000</v>
      </c>
      <c r="C38" s="636"/>
      <c r="D38" s="636"/>
      <c r="E38" s="635"/>
      <c r="F38" s="433"/>
      <c r="G38" s="220"/>
      <c r="H38" s="220">
        <v>4450000</v>
      </c>
      <c r="I38" s="220">
        <v>11550000</v>
      </c>
      <c r="J38" s="194"/>
      <c r="K38" s="194"/>
      <c r="L38" s="194"/>
      <c r="M38" s="194"/>
      <c r="N38" s="194"/>
      <c r="O38" s="220">
        <f t="shared" si="3"/>
        <v>16000000</v>
      </c>
    </row>
    <row r="39" spans="1:15" ht="13.8" x14ac:dyDescent="0.25">
      <c r="A39" s="637" t="s">
        <v>249</v>
      </c>
      <c r="B39" s="631">
        <v>12000000</v>
      </c>
      <c r="C39" s="636">
        <v>0</v>
      </c>
      <c r="D39" s="636">
        <v>0</v>
      </c>
      <c r="E39" s="635">
        <v>0</v>
      </c>
      <c r="F39" s="433">
        <v>0</v>
      </c>
      <c r="G39" s="220">
        <v>0</v>
      </c>
      <c r="H39" s="220">
        <v>900000</v>
      </c>
      <c r="I39" s="194">
        <v>0</v>
      </c>
      <c r="J39" s="194"/>
      <c r="K39" s="194"/>
      <c r="L39" s="194"/>
      <c r="M39" s="194"/>
      <c r="N39" s="194"/>
      <c r="O39" s="220">
        <f t="shared" si="3"/>
        <v>900000</v>
      </c>
    </row>
    <row r="40" spans="1:15" ht="13.8" x14ac:dyDescent="0.25">
      <c r="A40" s="637" t="s">
        <v>250</v>
      </c>
      <c r="B40" s="631">
        <v>12000000</v>
      </c>
      <c r="C40" s="636"/>
      <c r="D40" s="636"/>
      <c r="E40" s="635"/>
      <c r="F40" s="433"/>
      <c r="G40" s="220"/>
      <c r="H40" s="220">
        <v>3450000</v>
      </c>
      <c r="I40" s="220">
        <v>2570000</v>
      </c>
      <c r="J40" s="194"/>
      <c r="K40" s="194"/>
      <c r="L40" s="194"/>
      <c r="M40" s="194"/>
      <c r="N40" s="194"/>
      <c r="O40" s="220">
        <f t="shared" si="3"/>
        <v>6020000</v>
      </c>
    </row>
    <row r="41" spans="1:15" ht="13.8" x14ac:dyDescent="0.25">
      <c r="A41" s="637" t="s">
        <v>251</v>
      </c>
      <c r="B41" s="631">
        <v>12000000</v>
      </c>
      <c r="C41" s="636"/>
      <c r="D41" s="636"/>
      <c r="E41" s="635"/>
      <c r="F41" s="433"/>
      <c r="G41" s="220"/>
      <c r="H41" s="220">
        <v>5100000</v>
      </c>
      <c r="I41" s="220">
        <v>19500000</v>
      </c>
      <c r="J41" s="194"/>
      <c r="K41" s="194"/>
      <c r="L41" s="194"/>
      <c r="M41" s="194"/>
      <c r="N41" s="194"/>
      <c r="O41" s="220">
        <f t="shared" si="3"/>
        <v>24600000</v>
      </c>
    </row>
    <row r="42" spans="1:15" ht="13.8" x14ac:dyDescent="0.25">
      <c r="A42" s="637" t="s">
        <v>252</v>
      </c>
      <c r="B42" s="631">
        <v>12000000</v>
      </c>
      <c r="C42" s="636">
        <v>0</v>
      </c>
      <c r="D42" s="636">
        <v>0</v>
      </c>
      <c r="E42" s="635">
        <v>2500000</v>
      </c>
      <c r="F42" s="633">
        <v>0</v>
      </c>
      <c r="G42" s="194">
        <v>0</v>
      </c>
      <c r="H42" s="194">
        <v>0</v>
      </c>
      <c r="I42" s="194">
        <v>0</v>
      </c>
      <c r="J42" s="194"/>
      <c r="K42" s="194"/>
      <c r="L42" s="194"/>
      <c r="M42" s="194"/>
      <c r="N42" s="194"/>
      <c r="O42" s="220">
        <f t="shared" si="3"/>
        <v>2500000</v>
      </c>
    </row>
    <row r="43" spans="1:15" ht="13.8" x14ac:dyDescent="0.25">
      <c r="A43" s="638" t="s">
        <v>134</v>
      </c>
      <c r="B43" s="687"/>
      <c r="C43" s="688"/>
      <c r="D43" s="688"/>
      <c r="E43" s="688"/>
      <c r="F43" s="689"/>
      <c r="G43" s="679"/>
      <c r="H43" s="679"/>
      <c r="I43" s="679"/>
      <c r="J43" s="679"/>
      <c r="K43" s="679"/>
      <c r="L43" s="679"/>
      <c r="M43" s="690"/>
      <c r="N43" s="679"/>
      <c r="O43" s="691"/>
    </row>
    <row r="44" spans="1:15" ht="13.8" x14ac:dyDescent="0.25">
      <c r="A44" s="634" t="s">
        <v>253</v>
      </c>
      <c r="B44" s="640">
        <v>16000000</v>
      </c>
      <c r="C44" s="641">
        <v>12400000</v>
      </c>
      <c r="D44" s="642">
        <v>0</v>
      </c>
      <c r="E44" s="642">
        <v>0</v>
      </c>
      <c r="F44" s="643">
        <v>0</v>
      </c>
      <c r="G44" s="354">
        <v>0</v>
      </c>
      <c r="H44" s="271">
        <v>0</v>
      </c>
      <c r="I44" s="354">
        <v>0</v>
      </c>
      <c r="J44" s="354"/>
      <c r="K44" s="354"/>
      <c r="L44" s="354"/>
      <c r="M44" s="355"/>
      <c r="N44" s="354"/>
      <c r="O44" s="532">
        <v>12400000</v>
      </c>
    </row>
    <row r="45" spans="1:15" ht="13.8" x14ac:dyDescent="0.25">
      <c r="A45" s="634" t="s">
        <v>122</v>
      </c>
      <c r="B45" s="640">
        <v>16000000</v>
      </c>
      <c r="C45" s="635">
        <v>16750000</v>
      </c>
      <c r="D45" s="635">
        <v>26660000</v>
      </c>
      <c r="E45" s="635">
        <v>25400000</v>
      </c>
      <c r="F45" s="635">
        <v>22250000</v>
      </c>
      <c r="G45" s="272">
        <v>13886200</v>
      </c>
      <c r="H45" s="272">
        <v>18150000</v>
      </c>
      <c r="I45" s="272">
        <v>22150000</v>
      </c>
      <c r="J45" s="205"/>
      <c r="K45" s="205"/>
      <c r="L45" s="205"/>
      <c r="M45" s="599"/>
      <c r="N45" s="194"/>
      <c r="O45" s="600">
        <f>SUM(C45:M45)</f>
        <v>145246200</v>
      </c>
    </row>
    <row r="46" spans="1:15" ht="13.8" x14ac:dyDescent="0.25">
      <c r="A46" s="660" t="s">
        <v>254</v>
      </c>
      <c r="B46" s="640">
        <v>16000000</v>
      </c>
      <c r="C46" s="641">
        <v>23100000</v>
      </c>
      <c r="D46" s="641">
        <v>27980000</v>
      </c>
      <c r="E46" s="641">
        <v>21100000</v>
      </c>
      <c r="F46" s="641">
        <v>25400000</v>
      </c>
      <c r="G46" s="353">
        <v>19200000</v>
      </c>
      <c r="H46" s="271">
        <v>30350000</v>
      </c>
      <c r="I46" s="353">
        <v>31100000</v>
      </c>
      <c r="J46" s="236"/>
      <c r="K46" s="236"/>
      <c r="L46" s="236"/>
      <c r="M46" s="662"/>
      <c r="N46" s="205"/>
      <c r="O46" s="600">
        <f t="shared" ref="O46:O47" si="4">SUM(C46:M46)</f>
        <v>178230000</v>
      </c>
    </row>
    <row r="47" spans="1:15" ht="13.8" x14ac:dyDescent="0.25">
      <c r="A47" s="661" t="s">
        <v>255</v>
      </c>
      <c r="B47" s="631">
        <v>16000000</v>
      </c>
      <c r="C47" s="601">
        <v>0</v>
      </c>
      <c r="D47" s="205">
        <v>0</v>
      </c>
      <c r="E47" s="205">
        <v>0</v>
      </c>
      <c r="F47" s="205">
        <v>0</v>
      </c>
      <c r="G47" s="342">
        <v>12400000</v>
      </c>
      <c r="H47" s="220">
        <v>17000000</v>
      </c>
      <c r="I47" s="220">
        <v>26870000</v>
      </c>
      <c r="J47" s="194"/>
      <c r="K47" s="194"/>
      <c r="L47" s="194"/>
      <c r="M47" s="252"/>
      <c r="N47" s="194"/>
      <c r="O47" s="600">
        <f t="shared" si="4"/>
        <v>56270000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68"/>
  <sheetViews>
    <sheetView topLeftCell="A34" workbookViewId="0">
      <selection activeCell="F43" sqref="F43"/>
    </sheetView>
  </sheetViews>
  <sheetFormatPr baseColWidth="10" defaultColWidth="14.44140625" defaultRowHeight="15.75" customHeight="1" x14ac:dyDescent="0.25"/>
  <cols>
    <col min="1" max="1" width="26.88671875" customWidth="1"/>
    <col min="2" max="2" width="24.6640625" customWidth="1"/>
    <col min="3" max="3" width="24.5546875" customWidth="1"/>
    <col min="6" max="6" width="17.88671875" customWidth="1"/>
    <col min="7" max="7" width="10.6640625" customWidth="1"/>
    <col min="8" max="8" width="12.6640625" customWidth="1"/>
    <col min="10" max="10" width="12.88671875" hidden="1" customWidth="1"/>
    <col min="11" max="11" width="15.109375" hidden="1" customWidth="1"/>
    <col min="12" max="14" width="0" hidden="1" customWidth="1"/>
    <col min="15" max="15" width="16.109375" customWidth="1"/>
    <col min="16" max="16" width="20.88671875" customWidth="1"/>
    <col min="17" max="17" width="18.109375" bestFit="1" customWidth="1"/>
    <col min="18" max="18" width="13.109375" customWidth="1"/>
    <col min="21" max="21" width="18.33203125" bestFit="1" customWidth="1"/>
    <col min="22" max="22" width="18.109375" bestFit="1" customWidth="1"/>
  </cols>
  <sheetData>
    <row r="1" spans="1:16" ht="39.75" customHeight="1" x14ac:dyDescent="0.85">
      <c r="A1" s="211">
        <v>2018</v>
      </c>
      <c r="B1" s="4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31.5" customHeight="1" x14ac:dyDescent="0.5">
      <c r="A2" s="3" t="s">
        <v>256</v>
      </c>
      <c r="B2" s="5" t="s">
        <v>141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</row>
    <row r="3" spans="1:16" ht="13.2" x14ac:dyDescent="0.25">
      <c r="A3" s="60" t="s">
        <v>257</v>
      </c>
      <c r="B3" s="150">
        <v>42500000</v>
      </c>
      <c r="C3" s="62">
        <v>28650000</v>
      </c>
      <c r="D3" s="62">
        <v>24250000</v>
      </c>
      <c r="E3" s="64">
        <v>17450000</v>
      </c>
      <c r="F3" s="260">
        <v>28800000</v>
      </c>
      <c r="G3" s="260">
        <v>34820000</v>
      </c>
      <c r="H3" s="15"/>
      <c r="I3" s="15"/>
      <c r="J3" s="15"/>
      <c r="K3" s="15"/>
      <c r="L3" s="15"/>
      <c r="M3" s="15"/>
      <c r="N3" s="15"/>
      <c r="O3" s="22">
        <f t="shared" ref="O3:O7" si="0">SUM(C3:N3)</f>
        <v>133970000</v>
      </c>
    </row>
    <row r="4" spans="1:16" ht="13.2" x14ac:dyDescent="0.25">
      <c r="A4" s="15" t="s">
        <v>258</v>
      </c>
      <c r="B4" s="150">
        <v>10500000</v>
      </c>
      <c r="C4" s="161">
        <v>12250000</v>
      </c>
      <c r="D4" s="62">
        <v>6200000</v>
      </c>
      <c r="E4" s="64">
        <v>6150000</v>
      </c>
      <c r="F4" s="21">
        <v>12450000</v>
      </c>
      <c r="G4" s="21">
        <v>17020000</v>
      </c>
      <c r="H4" s="21"/>
      <c r="I4" s="15"/>
      <c r="J4" s="15"/>
      <c r="K4" s="15"/>
      <c r="L4" s="15"/>
      <c r="M4" s="15"/>
      <c r="N4" s="15"/>
      <c r="O4" s="22">
        <f t="shared" si="0"/>
        <v>54070000</v>
      </c>
    </row>
    <row r="5" spans="1:16" ht="13.2" x14ac:dyDescent="0.25">
      <c r="A5" s="15" t="s">
        <v>259</v>
      </c>
      <c r="B5" s="150">
        <v>10500000</v>
      </c>
      <c r="C5" s="62">
        <v>9550000</v>
      </c>
      <c r="D5" s="62">
        <v>5600000</v>
      </c>
      <c r="E5" s="64">
        <v>4300000</v>
      </c>
      <c r="F5" s="21">
        <v>8900000</v>
      </c>
      <c r="G5" s="21">
        <v>9300000</v>
      </c>
      <c r="H5" s="15"/>
      <c r="I5" s="15"/>
      <c r="J5" s="15"/>
      <c r="K5" s="15"/>
      <c r="L5" s="15"/>
      <c r="M5" s="15"/>
      <c r="N5" s="15"/>
      <c r="O5" s="22">
        <f t="shared" si="0"/>
        <v>37650000</v>
      </c>
    </row>
    <row r="6" spans="1:16" ht="13.2" x14ac:dyDescent="0.25">
      <c r="A6" s="15" t="s">
        <v>160</v>
      </c>
      <c r="B6" s="150">
        <v>10500000</v>
      </c>
      <c r="C6" s="62">
        <v>3850000</v>
      </c>
      <c r="D6" s="161">
        <v>12450000</v>
      </c>
      <c r="E6" s="64" t="s">
        <v>260</v>
      </c>
      <c r="F6" s="21">
        <v>7450000</v>
      </c>
      <c r="G6" s="21">
        <v>8500000</v>
      </c>
      <c r="H6" s="15"/>
      <c r="I6" s="15"/>
      <c r="J6" s="15"/>
      <c r="K6" s="15"/>
      <c r="L6" s="15"/>
      <c r="M6" s="15"/>
      <c r="N6" s="15"/>
      <c r="O6" s="22">
        <f t="shared" si="0"/>
        <v>32250000</v>
      </c>
    </row>
    <row r="7" spans="1:16" ht="13.2" x14ac:dyDescent="0.25">
      <c r="A7" s="48"/>
      <c r="B7" s="136"/>
      <c r="C7" s="140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22">
        <f t="shared" si="0"/>
        <v>0</v>
      </c>
    </row>
    <row r="8" spans="1:16" ht="13.2" x14ac:dyDescent="0.25">
      <c r="A8" s="60" t="s">
        <v>20</v>
      </c>
      <c r="B8" s="150"/>
      <c r="C8" s="147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5"/>
    </row>
    <row r="9" spans="1:16" ht="13.2" x14ac:dyDescent="0.25">
      <c r="A9" s="15" t="s">
        <v>261</v>
      </c>
      <c r="B9" s="51">
        <v>0</v>
      </c>
      <c r="C9" s="144" t="s">
        <v>36</v>
      </c>
      <c r="D9" s="504" t="s">
        <v>36</v>
      </c>
      <c r="E9" s="504" t="s">
        <v>36</v>
      </c>
      <c r="F9" s="504" t="s">
        <v>36</v>
      </c>
      <c r="G9" s="504" t="s">
        <v>36</v>
      </c>
      <c r="H9" s="504"/>
      <c r="I9" s="504"/>
      <c r="J9" s="504"/>
      <c r="K9" s="504"/>
      <c r="L9" s="504"/>
      <c r="M9" s="504"/>
      <c r="N9" s="504"/>
      <c r="O9" s="145">
        <f t="shared" ref="O9:O10" si="1">SUM(C9:N9)</f>
        <v>0</v>
      </c>
    </row>
    <row r="10" spans="1:16" ht="13.2" x14ac:dyDescent="0.25">
      <c r="A10" s="15" t="s">
        <v>108</v>
      </c>
      <c r="B10" s="51">
        <v>13500000</v>
      </c>
      <c r="C10" s="162">
        <v>12650000</v>
      </c>
      <c r="D10" s="135">
        <v>17530000</v>
      </c>
      <c r="E10" s="132">
        <v>13500000</v>
      </c>
      <c r="F10" s="132">
        <v>18239730</v>
      </c>
      <c r="G10" s="132">
        <v>25220000</v>
      </c>
      <c r="H10" s="504"/>
      <c r="I10" s="504"/>
      <c r="J10" s="504"/>
      <c r="K10" s="504"/>
      <c r="L10" s="504"/>
      <c r="M10" s="504"/>
      <c r="N10" s="504"/>
      <c r="O10" s="145">
        <f t="shared" si="1"/>
        <v>87139730</v>
      </c>
    </row>
    <row r="11" spans="1:16" ht="13.2" x14ac:dyDescent="0.25">
      <c r="C11" s="99"/>
      <c r="D11" s="99"/>
    </row>
    <row r="12" spans="1:16" ht="37.5" customHeight="1" x14ac:dyDescent="0.85">
      <c r="A12" s="212">
        <v>2019</v>
      </c>
      <c r="B12" s="4"/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33" customHeight="1" x14ac:dyDescent="0.5">
      <c r="A13" s="3" t="s">
        <v>256</v>
      </c>
      <c r="B13" s="6" t="s">
        <v>149</v>
      </c>
      <c r="C13" s="5" t="s">
        <v>25</v>
      </c>
      <c r="D13" s="6" t="s">
        <v>1</v>
      </c>
      <c r="E13" s="6" t="s">
        <v>2</v>
      </c>
      <c r="F13" s="6" t="s">
        <v>3</v>
      </c>
      <c r="G13" s="6" t="s">
        <v>4</v>
      </c>
      <c r="H13" s="6" t="s">
        <v>5</v>
      </c>
      <c r="I13" s="6" t="s">
        <v>6</v>
      </c>
      <c r="J13" s="6" t="s">
        <v>7</v>
      </c>
      <c r="K13" s="6" t="s">
        <v>8</v>
      </c>
      <c r="L13" s="6" t="s">
        <v>9</v>
      </c>
      <c r="M13" s="6" t="s">
        <v>10</v>
      </c>
      <c r="N13" s="6" t="s">
        <v>11</v>
      </c>
      <c r="O13" s="6" t="s">
        <v>12</v>
      </c>
      <c r="P13" s="6" t="s">
        <v>13</v>
      </c>
    </row>
    <row r="14" spans="1:16" ht="13.2" x14ac:dyDescent="0.25">
      <c r="A14" s="60" t="s">
        <v>257</v>
      </c>
      <c r="B14" s="150">
        <v>700000000</v>
      </c>
      <c r="C14" s="150">
        <v>42500000</v>
      </c>
      <c r="D14" s="30">
        <v>41090000</v>
      </c>
      <c r="E14" s="78">
        <v>31850000</v>
      </c>
      <c r="F14" s="79">
        <v>43498700</v>
      </c>
      <c r="G14" s="173">
        <v>20900000</v>
      </c>
      <c r="H14" s="239">
        <v>35000000</v>
      </c>
      <c r="I14" s="128">
        <v>46000000</v>
      </c>
      <c r="J14" s="21">
        <v>46850000</v>
      </c>
      <c r="K14" s="41">
        <v>33850000</v>
      </c>
      <c r="L14" s="21">
        <v>23550000</v>
      </c>
      <c r="M14" s="21">
        <v>29000000</v>
      </c>
      <c r="N14" s="21">
        <v>37050000</v>
      </c>
      <c r="O14" s="21">
        <v>30560000</v>
      </c>
      <c r="P14" s="22">
        <f t="shared" ref="P14:P18" si="2">SUM(D14:O14)</f>
        <v>419198700</v>
      </c>
    </row>
    <row r="15" spans="1:16" ht="18" customHeight="1" x14ac:dyDescent="0.25">
      <c r="A15" s="15" t="s">
        <v>258</v>
      </c>
      <c r="B15" s="150">
        <v>140000000</v>
      </c>
      <c r="C15" s="150">
        <v>9166667</v>
      </c>
      <c r="D15" s="22">
        <v>20120000</v>
      </c>
      <c r="E15" s="78">
        <v>5550000</v>
      </c>
      <c r="F15" s="120">
        <v>17198700</v>
      </c>
      <c r="G15" s="79">
        <v>11300000</v>
      </c>
      <c r="H15" s="85">
        <v>11500000</v>
      </c>
      <c r="I15" s="128">
        <v>16300000</v>
      </c>
      <c r="J15" s="21">
        <v>16050000</v>
      </c>
      <c r="K15" s="21">
        <v>9300000</v>
      </c>
      <c r="L15" s="21">
        <v>12200000</v>
      </c>
      <c r="M15" s="21">
        <v>6300000</v>
      </c>
      <c r="N15" s="21">
        <v>14800000</v>
      </c>
      <c r="O15" s="21">
        <v>5660000</v>
      </c>
      <c r="P15" s="22">
        <f t="shared" si="2"/>
        <v>146278700</v>
      </c>
    </row>
    <row r="16" spans="1:16" ht="13.2" x14ac:dyDescent="0.25">
      <c r="A16" s="15" t="s">
        <v>259</v>
      </c>
      <c r="B16" s="150">
        <v>140000000</v>
      </c>
      <c r="C16" s="150">
        <v>9166667</v>
      </c>
      <c r="D16" s="30">
        <v>0</v>
      </c>
      <c r="E16" s="120">
        <v>11050000</v>
      </c>
      <c r="F16" s="78">
        <v>6400000</v>
      </c>
      <c r="G16" s="173">
        <v>7000000</v>
      </c>
      <c r="H16" s="85">
        <v>14900000</v>
      </c>
      <c r="I16" s="21">
        <v>15970000</v>
      </c>
      <c r="J16" s="21">
        <v>25030000</v>
      </c>
      <c r="K16" s="283">
        <v>12950000</v>
      </c>
      <c r="L16" s="21">
        <v>10555000</v>
      </c>
      <c r="M16" s="21">
        <v>15200000</v>
      </c>
      <c r="N16" s="21">
        <v>12350000</v>
      </c>
      <c r="O16" s="21">
        <v>17900000</v>
      </c>
      <c r="P16" s="22">
        <f t="shared" si="2"/>
        <v>149305000</v>
      </c>
    </row>
    <row r="17" spans="1:17" ht="13.2" x14ac:dyDescent="0.25">
      <c r="A17" s="48" t="s">
        <v>246</v>
      </c>
      <c r="B17" s="150">
        <v>140000000</v>
      </c>
      <c r="C17" s="150">
        <v>7500000</v>
      </c>
      <c r="D17" s="140">
        <v>8470500</v>
      </c>
      <c r="E17" s="280">
        <v>5650000</v>
      </c>
      <c r="F17" s="280">
        <v>5600000</v>
      </c>
      <c r="G17" s="173">
        <v>2600000</v>
      </c>
      <c r="H17" s="85" t="s">
        <v>262</v>
      </c>
      <c r="I17" s="153">
        <v>12080000</v>
      </c>
      <c r="J17" s="153">
        <v>5770000</v>
      </c>
      <c r="K17" s="153">
        <v>11600000</v>
      </c>
      <c r="L17" s="122">
        <v>0</v>
      </c>
      <c r="M17" s="153">
        <v>7500000</v>
      </c>
      <c r="N17" s="153">
        <v>7900000</v>
      </c>
      <c r="O17" s="153">
        <v>7000000</v>
      </c>
      <c r="P17" s="22">
        <f t="shared" si="2"/>
        <v>74170500</v>
      </c>
    </row>
    <row r="18" spans="1:17" ht="13.2" x14ac:dyDescent="0.25">
      <c r="A18" s="48" t="s">
        <v>263</v>
      </c>
      <c r="B18" s="150">
        <v>140000000</v>
      </c>
      <c r="C18" s="150">
        <v>7500000</v>
      </c>
      <c r="D18" s="152">
        <v>5600000</v>
      </c>
      <c r="E18" s="123">
        <v>0</v>
      </c>
      <c r="F18" s="215">
        <v>6300000</v>
      </c>
      <c r="G18" s="79">
        <v>0</v>
      </c>
      <c r="H18" s="85">
        <v>20900000</v>
      </c>
      <c r="I18" s="122">
        <v>0</v>
      </c>
      <c r="J18" s="122">
        <v>0</v>
      </c>
      <c r="K18" s="122">
        <v>0</v>
      </c>
      <c r="L18" s="122">
        <v>0</v>
      </c>
      <c r="M18" s="122">
        <v>0</v>
      </c>
      <c r="N18" s="122">
        <v>0</v>
      </c>
      <c r="O18" s="122">
        <v>0</v>
      </c>
      <c r="P18" s="22">
        <f t="shared" si="2"/>
        <v>32800000</v>
      </c>
    </row>
    <row r="19" spans="1:17" ht="13.2" x14ac:dyDescent="0.25">
      <c r="A19" s="60" t="s">
        <v>20</v>
      </c>
      <c r="B19" s="150"/>
      <c r="C19" s="150"/>
      <c r="D19" s="147"/>
      <c r="E19" s="125"/>
      <c r="F19" s="125"/>
      <c r="G19" s="210"/>
      <c r="H19" s="124"/>
      <c r="I19" s="124"/>
      <c r="J19" s="124"/>
      <c r="K19" s="124"/>
      <c r="L19" s="124"/>
      <c r="M19" s="124"/>
      <c r="N19" s="124"/>
      <c r="O19" s="124"/>
      <c r="P19" s="125"/>
    </row>
    <row r="20" spans="1:17" ht="13.2" x14ac:dyDescent="0.25">
      <c r="A20" s="15" t="s">
        <v>261</v>
      </c>
      <c r="B20" s="51">
        <v>220000000</v>
      </c>
      <c r="C20" s="51">
        <v>15833333</v>
      </c>
      <c r="D20" s="144">
        <v>12870000</v>
      </c>
      <c r="E20" s="216">
        <v>17850000</v>
      </c>
      <c r="F20" s="216">
        <v>26548700</v>
      </c>
      <c r="G20" s="226">
        <v>13200000</v>
      </c>
      <c r="H20" s="209" t="s">
        <v>264</v>
      </c>
      <c r="I20" s="132">
        <v>17680000</v>
      </c>
      <c r="J20" s="132">
        <v>25550000</v>
      </c>
      <c r="K20" s="132">
        <v>17250000</v>
      </c>
      <c r="L20" s="132">
        <v>8950000</v>
      </c>
      <c r="M20" s="132">
        <v>7150000</v>
      </c>
      <c r="N20" s="132">
        <v>14900000</v>
      </c>
      <c r="O20" s="198">
        <v>17710000</v>
      </c>
      <c r="P20" s="145">
        <f>SUM(D20:O20)</f>
        <v>179658700</v>
      </c>
    </row>
    <row r="21" spans="1:17" ht="13.2" x14ac:dyDescent="0.25">
      <c r="A21" s="15" t="s">
        <v>108</v>
      </c>
      <c r="B21" s="51">
        <v>220000000</v>
      </c>
      <c r="C21" s="51">
        <v>15833333</v>
      </c>
      <c r="D21" s="214">
        <v>28220500</v>
      </c>
      <c r="E21" s="78">
        <v>14000000</v>
      </c>
      <c r="F21" s="120">
        <v>7500000</v>
      </c>
      <c r="G21" s="213">
        <v>7700000</v>
      </c>
      <c r="H21" s="209">
        <v>0</v>
      </c>
      <c r="I21" s="504" t="s">
        <v>36</v>
      </c>
      <c r="J21" s="504" t="s">
        <v>36</v>
      </c>
      <c r="K21" s="504" t="s">
        <v>36</v>
      </c>
      <c r="L21" s="504" t="s">
        <v>36</v>
      </c>
      <c r="M21" s="504" t="s">
        <v>36</v>
      </c>
      <c r="N21" s="505" t="s">
        <v>36</v>
      </c>
      <c r="O21" s="15">
        <v>0</v>
      </c>
      <c r="P21" s="145">
        <f t="shared" ref="P21:P23" si="3">SUM(D21:O21)</f>
        <v>57420500</v>
      </c>
    </row>
    <row r="22" spans="1:17" ht="13.2" x14ac:dyDescent="0.25">
      <c r="A22" s="318" t="s">
        <v>265</v>
      </c>
      <c r="B22" s="51">
        <v>142000000</v>
      </c>
      <c r="C22" s="51">
        <v>15833333</v>
      </c>
      <c r="D22" s="214">
        <v>0</v>
      </c>
      <c r="E22" s="217">
        <v>0</v>
      </c>
      <c r="F22" s="218">
        <v>0</v>
      </c>
      <c r="G22" s="78">
        <v>7700000</v>
      </c>
      <c r="H22" s="209" t="s">
        <v>266</v>
      </c>
      <c r="I22" s="132">
        <v>21820000</v>
      </c>
      <c r="J22" s="132">
        <v>21350000</v>
      </c>
      <c r="K22" s="132">
        <v>13100000</v>
      </c>
      <c r="L22" s="132">
        <v>8900000</v>
      </c>
      <c r="M22" s="132">
        <v>21850000</v>
      </c>
      <c r="N22" s="165">
        <v>20150000</v>
      </c>
      <c r="O22" s="220">
        <v>12850000</v>
      </c>
      <c r="P22" s="146">
        <f>SUM(D22:N22)</f>
        <v>114870000</v>
      </c>
    </row>
    <row r="23" spans="1:17" ht="13.2" x14ac:dyDescent="0.25">
      <c r="A23" s="234" t="s">
        <v>267</v>
      </c>
      <c r="B23" s="288">
        <v>220000000</v>
      </c>
      <c r="C23" s="288">
        <v>15833333</v>
      </c>
      <c r="D23" s="57">
        <v>0</v>
      </c>
      <c r="E23" s="289">
        <v>0</v>
      </c>
      <c r="F23" s="290">
        <v>6550000</v>
      </c>
      <c r="G23" s="291">
        <v>0</v>
      </c>
      <c r="H23" s="238" t="s">
        <v>36</v>
      </c>
      <c r="I23" s="317" t="s">
        <v>36</v>
      </c>
      <c r="J23" s="317" t="s">
        <v>36</v>
      </c>
      <c r="K23" s="317" t="s">
        <v>36</v>
      </c>
      <c r="L23" s="317"/>
      <c r="M23" s="317" t="s">
        <v>36</v>
      </c>
      <c r="N23" s="317"/>
      <c r="O23" s="317">
        <v>0</v>
      </c>
      <c r="P23" s="292">
        <f t="shared" si="3"/>
        <v>6550000</v>
      </c>
    </row>
    <row r="24" spans="1:17" ht="15.75" customHeight="1" x14ac:dyDescent="0.25">
      <c r="A24" s="194" t="s">
        <v>268</v>
      </c>
      <c r="B24" s="194"/>
      <c r="C24" s="194"/>
      <c r="D24" s="194"/>
      <c r="E24" s="194"/>
      <c r="F24" s="194"/>
      <c r="G24" s="194"/>
      <c r="H24" s="194"/>
      <c r="I24" s="194"/>
      <c r="J24" s="194"/>
      <c r="K24" s="220">
        <v>4800000</v>
      </c>
      <c r="L24" s="194">
        <v>0</v>
      </c>
      <c r="M24" s="194">
        <v>0</v>
      </c>
      <c r="N24" s="194">
        <v>0</v>
      </c>
      <c r="O24" s="194">
        <v>0</v>
      </c>
      <c r="P24" s="194">
        <v>0</v>
      </c>
    </row>
    <row r="25" spans="1:17" ht="13.2" x14ac:dyDescent="0.25">
      <c r="A25" s="57"/>
      <c r="B25" s="57"/>
      <c r="C25" s="96"/>
      <c r="D25" s="166"/>
      <c r="E25" s="96"/>
      <c r="F25" s="57"/>
      <c r="G25" s="96"/>
      <c r="H25" s="57"/>
      <c r="I25" s="57"/>
      <c r="J25" s="57"/>
      <c r="K25" s="57"/>
      <c r="L25" s="57"/>
      <c r="M25" s="57"/>
      <c r="N25" s="57"/>
      <c r="O25" s="96"/>
    </row>
    <row r="26" spans="1:17" ht="49.2" x14ac:dyDescent="0.85">
      <c r="A26" s="363">
        <v>2020</v>
      </c>
    </row>
    <row r="27" spans="1:17" ht="30" x14ac:dyDescent="0.5">
      <c r="A27" s="364" t="s">
        <v>256</v>
      </c>
      <c r="B27" s="366" t="s">
        <v>111</v>
      </c>
      <c r="C27" s="365" t="s">
        <v>269</v>
      </c>
      <c r="D27" s="366" t="s">
        <v>1</v>
      </c>
      <c r="E27" s="366" t="s">
        <v>2</v>
      </c>
      <c r="F27" s="366" t="s">
        <v>3</v>
      </c>
      <c r="G27" s="366" t="s">
        <v>4</v>
      </c>
      <c r="H27" s="366" t="s">
        <v>5</v>
      </c>
      <c r="I27" s="366" t="s">
        <v>6</v>
      </c>
      <c r="J27" s="366" t="s">
        <v>7</v>
      </c>
      <c r="K27" s="366" t="s">
        <v>8</v>
      </c>
      <c r="L27" s="366" t="s">
        <v>9</v>
      </c>
      <c r="M27" s="366" t="s">
        <v>10</v>
      </c>
      <c r="N27" s="366" t="s">
        <v>11</v>
      </c>
      <c r="O27" s="366" t="s">
        <v>12</v>
      </c>
      <c r="P27" s="367" t="s">
        <v>13</v>
      </c>
      <c r="Q27" s="375" t="s">
        <v>52</v>
      </c>
    </row>
    <row r="28" spans="1:17" ht="15.75" customHeight="1" x14ac:dyDescent="0.25">
      <c r="A28" s="8" t="s">
        <v>270</v>
      </c>
      <c r="B28" s="44">
        <v>540000000</v>
      </c>
      <c r="C28" s="44" t="s">
        <v>271</v>
      </c>
      <c r="D28" s="396">
        <v>36750000</v>
      </c>
      <c r="E28" s="40">
        <v>29110000</v>
      </c>
      <c r="F28" s="41">
        <v>28516000</v>
      </c>
      <c r="G28" s="78">
        <v>0</v>
      </c>
      <c r="H28" s="78">
        <v>6960000</v>
      </c>
      <c r="I28" s="41">
        <v>35820000</v>
      </c>
      <c r="J28" s="220">
        <v>47310000</v>
      </c>
      <c r="K28" s="41"/>
      <c r="L28" s="21"/>
      <c r="M28" s="201"/>
      <c r="N28" s="21"/>
      <c r="P28" s="374">
        <f>SUM(D28:N28)</f>
        <v>184466000</v>
      </c>
      <c r="Q28" s="376">
        <f>B28-P28</f>
        <v>355534000</v>
      </c>
    </row>
    <row r="29" spans="1:17" ht="15.75" customHeight="1" x14ac:dyDescent="0.25">
      <c r="A29" s="15" t="s">
        <v>258</v>
      </c>
      <c r="B29" s="44">
        <v>150000000</v>
      </c>
      <c r="C29" s="44">
        <v>13000000</v>
      </c>
      <c r="D29" s="330">
        <v>13300000</v>
      </c>
      <c r="E29" s="220">
        <v>14130000</v>
      </c>
      <c r="F29" s="41">
        <v>15150000</v>
      </c>
      <c r="G29" s="78">
        <v>0</v>
      </c>
      <c r="H29" s="422">
        <v>0</v>
      </c>
      <c r="I29" s="277">
        <v>12330000</v>
      </c>
      <c r="J29" s="21">
        <v>14160000</v>
      </c>
      <c r="K29" s="41">
        <v>11600000</v>
      </c>
      <c r="L29" s="21">
        <v>20740000</v>
      </c>
      <c r="M29" s="21">
        <v>13250000</v>
      </c>
      <c r="N29" s="21">
        <v>23600000</v>
      </c>
      <c r="O29" s="294"/>
      <c r="P29" s="374">
        <f t="shared" ref="P29:P36" si="4">SUM(D29:N29)</f>
        <v>138260000</v>
      </c>
      <c r="Q29" s="376">
        <f t="shared" ref="Q29:Q36" si="5">B29-P29</f>
        <v>11740000</v>
      </c>
    </row>
    <row r="30" spans="1:17" ht="15.75" customHeight="1" x14ac:dyDescent="0.25">
      <c r="A30" s="204" t="s">
        <v>259</v>
      </c>
      <c r="B30" s="44">
        <v>150000000</v>
      </c>
      <c r="C30" s="44">
        <v>13000000</v>
      </c>
      <c r="D30" s="398">
        <v>14950000</v>
      </c>
      <c r="E30" s="41">
        <v>10330000</v>
      </c>
      <c r="F30" s="41">
        <v>6650000</v>
      </c>
      <c r="G30" s="78">
        <v>0</v>
      </c>
      <c r="H30" s="78">
        <v>5300000</v>
      </c>
      <c r="I30" s="220">
        <v>15700000</v>
      </c>
      <c r="J30" s="21">
        <v>21850000</v>
      </c>
      <c r="K30" s="21"/>
      <c r="L30" s="21"/>
      <c r="M30" s="21"/>
      <c r="N30" s="21"/>
      <c r="O30" s="310"/>
      <c r="P30" s="374">
        <f t="shared" si="4"/>
        <v>74780000</v>
      </c>
      <c r="Q30" s="376">
        <f t="shared" si="5"/>
        <v>75220000</v>
      </c>
    </row>
    <row r="31" spans="1:17" ht="15.75" customHeight="1" x14ac:dyDescent="0.25">
      <c r="A31" s="15" t="s">
        <v>246</v>
      </c>
      <c r="B31" s="44">
        <v>150000000</v>
      </c>
      <c r="C31" s="44">
        <v>9000000</v>
      </c>
      <c r="D31" s="78">
        <v>6850000</v>
      </c>
      <c r="E31" s="284">
        <v>4650000</v>
      </c>
      <c r="F31" s="41">
        <v>3700000</v>
      </c>
      <c r="G31" s="78">
        <v>0</v>
      </c>
      <c r="H31" s="422">
        <v>0</v>
      </c>
      <c r="I31" s="41">
        <v>3720000</v>
      </c>
      <c r="J31" s="21">
        <v>5300000</v>
      </c>
      <c r="K31" s="41"/>
      <c r="L31" s="21"/>
      <c r="M31" s="21"/>
      <c r="N31" s="294"/>
      <c r="O31" s="21"/>
      <c r="P31" s="374">
        <f t="shared" si="4"/>
        <v>24220000</v>
      </c>
      <c r="Q31" s="376">
        <f t="shared" si="5"/>
        <v>125780000</v>
      </c>
    </row>
    <row r="32" spans="1:17" ht="15.75" customHeight="1" x14ac:dyDescent="0.25">
      <c r="A32" s="15" t="s">
        <v>272</v>
      </c>
      <c r="B32" s="44">
        <v>150000000</v>
      </c>
      <c r="C32" s="44">
        <v>13000000</v>
      </c>
      <c r="D32" s="30">
        <v>1650000</v>
      </c>
      <c r="E32" s="284">
        <v>0</v>
      </c>
      <c r="F32" s="284">
        <v>0</v>
      </c>
      <c r="G32" s="444">
        <v>0</v>
      </c>
      <c r="H32" s="423">
        <v>0</v>
      </c>
      <c r="I32" s="284">
        <v>2200000</v>
      </c>
      <c r="J32" s="293">
        <v>4000000</v>
      </c>
      <c r="K32" s="284"/>
      <c r="L32" s="293"/>
      <c r="M32" s="293"/>
      <c r="N32" s="401"/>
      <c r="O32" s="21"/>
      <c r="P32" s="374">
        <f t="shared" si="4"/>
        <v>7850000</v>
      </c>
      <c r="Q32" s="376">
        <f t="shared" si="5"/>
        <v>142150000</v>
      </c>
    </row>
    <row r="33" spans="1:17" ht="15.75" customHeight="1" x14ac:dyDescent="0.25">
      <c r="A33" s="390" t="s">
        <v>208</v>
      </c>
      <c r="B33" s="391" t="s">
        <v>111</v>
      </c>
      <c r="C33" s="391" t="s">
        <v>50</v>
      </c>
      <c r="D33" s="392"/>
      <c r="E33" s="243"/>
      <c r="F33" s="243"/>
      <c r="G33" s="394"/>
      <c r="H33" s="394"/>
      <c r="I33" s="243"/>
      <c r="J33" s="243"/>
      <c r="K33" s="243"/>
      <c r="L33" s="243"/>
      <c r="M33" s="243"/>
      <c r="N33" s="243"/>
      <c r="O33" s="392"/>
      <c r="P33" s="446"/>
      <c r="Q33" s="400"/>
    </row>
    <row r="34" spans="1:17" ht="15.75" customHeight="1" x14ac:dyDescent="0.25">
      <c r="A34" s="15" t="s">
        <v>261</v>
      </c>
      <c r="B34" s="44">
        <v>170000000</v>
      </c>
      <c r="C34" s="129">
        <v>15000000</v>
      </c>
      <c r="D34" s="330">
        <v>16900000</v>
      </c>
      <c r="E34" s="41">
        <v>20530000</v>
      </c>
      <c r="F34" s="41">
        <v>8750000</v>
      </c>
      <c r="G34" s="78">
        <v>0</v>
      </c>
      <c r="H34" s="422">
        <v>0</v>
      </c>
      <c r="I34" s="21" t="s">
        <v>36</v>
      </c>
      <c r="J34" s="21" t="s">
        <v>36</v>
      </c>
      <c r="K34" s="41"/>
      <c r="L34" s="21"/>
      <c r="M34" s="21"/>
      <c r="N34" s="21"/>
      <c r="O34" s="21"/>
      <c r="P34" s="374">
        <f t="shared" si="4"/>
        <v>46180000</v>
      </c>
      <c r="Q34" s="376">
        <f t="shared" si="5"/>
        <v>123820000</v>
      </c>
    </row>
    <row r="35" spans="1:17" ht="15.75" customHeight="1" x14ac:dyDescent="0.25">
      <c r="A35" s="15" t="s">
        <v>265</v>
      </c>
      <c r="B35" s="44">
        <v>170000000</v>
      </c>
      <c r="C35" s="129">
        <v>15000000</v>
      </c>
      <c r="D35" s="330">
        <v>19850000</v>
      </c>
      <c r="E35" s="41">
        <v>4300000</v>
      </c>
      <c r="F35" s="41">
        <v>11500000</v>
      </c>
      <c r="G35" s="78">
        <v>0</v>
      </c>
      <c r="H35" s="78">
        <v>6960000</v>
      </c>
      <c r="I35" s="21">
        <v>16620000</v>
      </c>
      <c r="J35" s="21">
        <v>32150000</v>
      </c>
      <c r="K35" s="21"/>
      <c r="L35" s="21"/>
      <c r="M35" s="21"/>
      <c r="N35" s="21"/>
      <c r="O35" s="21"/>
      <c r="P35" s="374">
        <f t="shared" si="4"/>
        <v>91380000</v>
      </c>
      <c r="Q35" s="376">
        <f t="shared" si="5"/>
        <v>78620000</v>
      </c>
    </row>
    <row r="36" spans="1:17" ht="15.75" customHeight="1" x14ac:dyDescent="0.25">
      <c r="A36" s="194" t="s">
        <v>273</v>
      </c>
      <c r="B36" s="44">
        <v>170000000</v>
      </c>
      <c r="C36" s="129">
        <v>15000000</v>
      </c>
      <c r="D36" s="194">
        <v>0</v>
      </c>
      <c r="E36" s="41">
        <v>4280000</v>
      </c>
      <c r="F36" s="41">
        <v>4550000</v>
      </c>
      <c r="G36" s="422">
        <v>0</v>
      </c>
      <c r="H36" s="422">
        <v>0</v>
      </c>
      <c r="I36" s="41">
        <v>14200000</v>
      </c>
      <c r="J36" s="220">
        <v>15160000</v>
      </c>
      <c r="K36" s="194"/>
      <c r="L36" s="194"/>
      <c r="M36" s="194"/>
      <c r="N36" s="194"/>
      <c r="O36" s="194"/>
      <c r="P36" s="374">
        <f t="shared" si="4"/>
        <v>38190000</v>
      </c>
      <c r="Q36" s="376">
        <f t="shared" si="5"/>
        <v>131810000</v>
      </c>
    </row>
    <row r="38" spans="1:17" ht="51" customHeight="1" x14ac:dyDescent="0.85">
      <c r="A38" s="582">
        <v>2021</v>
      </c>
    </row>
    <row r="39" spans="1:17" ht="28.5" customHeight="1" x14ac:dyDescent="0.5">
      <c r="A39" s="584" t="s">
        <v>256</v>
      </c>
      <c r="B39" s="370" t="s">
        <v>269</v>
      </c>
      <c r="C39" s="370" t="s">
        <v>1</v>
      </c>
      <c r="D39" s="370" t="s">
        <v>2</v>
      </c>
      <c r="E39" s="370" t="s">
        <v>3</v>
      </c>
      <c r="F39" s="370" t="s">
        <v>4</v>
      </c>
      <c r="G39" s="370" t="s">
        <v>5</v>
      </c>
      <c r="H39" s="370" t="s">
        <v>6</v>
      </c>
      <c r="I39" s="370" t="s">
        <v>7</v>
      </c>
      <c r="J39" s="370" t="s">
        <v>8</v>
      </c>
      <c r="K39" s="370" t="s">
        <v>9</v>
      </c>
      <c r="L39" s="370" t="s">
        <v>10</v>
      </c>
      <c r="M39" s="370" t="s">
        <v>11</v>
      </c>
      <c r="N39" s="370" t="s">
        <v>12</v>
      </c>
      <c r="O39" s="370" t="s">
        <v>13</v>
      </c>
    </row>
    <row r="40" spans="1:17" ht="15.75" customHeight="1" x14ac:dyDescent="0.25">
      <c r="A40" s="586" t="s">
        <v>270</v>
      </c>
      <c r="B40" s="583">
        <v>50000000</v>
      </c>
      <c r="C40" s="583">
        <v>31750000</v>
      </c>
      <c r="D40" s="583">
        <v>43360000</v>
      </c>
      <c r="E40" s="583">
        <v>45920000</v>
      </c>
      <c r="F40" s="583">
        <v>32700000</v>
      </c>
      <c r="G40" s="583">
        <v>48700000</v>
      </c>
      <c r="H40" s="583">
        <v>35700000</v>
      </c>
      <c r="I40" s="583">
        <v>45556000</v>
      </c>
      <c r="J40" s="583">
        <v>63440000</v>
      </c>
      <c r="K40" s="583">
        <v>79300000</v>
      </c>
      <c r="L40" s="583">
        <v>43380000</v>
      </c>
      <c r="M40" s="583">
        <v>67107000</v>
      </c>
      <c r="N40" s="583">
        <v>62645000</v>
      </c>
      <c r="O40" s="583">
        <f>SUM(C40:N40)</f>
        <v>599558000</v>
      </c>
    </row>
    <row r="41" spans="1:17" ht="15.75" customHeight="1" x14ac:dyDescent="0.25">
      <c r="A41" s="341" t="s">
        <v>274</v>
      </c>
      <c r="B41" s="205"/>
      <c r="C41" s="272">
        <v>10550000</v>
      </c>
      <c r="D41" s="272">
        <v>25700000</v>
      </c>
      <c r="E41" s="272">
        <v>19200000</v>
      </c>
      <c r="F41" s="272">
        <v>12300000</v>
      </c>
      <c r="G41" s="272">
        <v>13900000</v>
      </c>
      <c r="H41" s="272">
        <v>16450000</v>
      </c>
      <c r="I41" s="272">
        <v>2500000</v>
      </c>
      <c r="J41" s="272">
        <v>26200000</v>
      </c>
      <c r="K41" s="272">
        <v>17900000</v>
      </c>
      <c r="L41" s="272">
        <v>4350000</v>
      </c>
      <c r="M41" s="272">
        <v>17050000</v>
      </c>
      <c r="N41" s="272">
        <v>14550000</v>
      </c>
      <c r="O41" s="272">
        <f t="shared" ref="O41:O53" si="6">SUM(C41:N41)</f>
        <v>180650000</v>
      </c>
    </row>
    <row r="42" spans="1:17" ht="15.75" customHeight="1" x14ac:dyDescent="0.25">
      <c r="A42" s="341" t="s">
        <v>275</v>
      </c>
      <c r="B42" s="205"/>
      <c r="C42" s="272">
        <v>17700000</v>
      </c>
      <c r="D42" s="272">
        <v>17660000</v>
      </c>
      <c r="E42" s="272">
        <v>21870000</v>
      </c>
      <c r="F42" s="272">
        <v>14200000</v>
      </c>
      <c r="G42" s="272">
        <v>25800000</v>
      </c>
      <c r="H42" s="272">
        <v>11050000</v>
      </c>
      <c r="I42" s="272">
        <v>18850000</v>
      </c>
      <c r="J42" s="272">
        <v>8370000</v>
      </c>
      <c r="K42" s="272">
        <v>29600000</v>
      </c>
      <c r="L42" s="272">
        <v>14000000</v>
      </c>
      <c r="M42" s="272">
        <v>17130000</v>
      </c>
      <c r="N42" s="272">
        <v>18870000</v>
      </c>
      <c r="O42" s="272">
        <f t="shared" si="6"/>
        <v>215100000</v>
      </c>
    </row>
    <row r="43" spans="1:17" ht="15.75" customHeight="1" x14ac:dyDescent="0.25">
      <c r="A43" s="341" t="s">
        <v>276</v>
      </c>
      <c r="B43" s="205"/>
      <c r="C43" s="272">
        <v>3500000</v>
      </c>
      <c r="D43" s="205">
        <v>0</v>
      </c>
      <c r="E43" s="272">
        <v>1400000</v>
      </c>
      <c r="F43" s="205">
        <v>0</v>
      </c>
      <c r="G43" s="205">
        <v>0</v>
      </c>
      <c r="H43" s="205">
        <v>0</v>
      </c>
      <c r="I43" s="205">
        <v>0</v>
      </c>
      <c r="J43" s="205">
        <v>0</v>
      </c>
      <c r="K43" s="205">
        <v>0</v>
      </c>
      <c r="L43" s="205">
        <v>0</v>
      </c>
      <c r="M43" s="205">
        <v>0</v>
      </c>
      <c r="N43" s="205">
        <v>0</v>
      </c>
      <c r="O43" s="272">
        <f t="shared" si="6"/>
        <v>4900000</v>
      </c>
    </row>
    <row r="44" spans="1:17" ht="15.75" customHeight="1" x14ac:dyDescent="0.25">
      <c r="A44" s="663" t="s">
        <v>160</v>
      </c>
      <c r="B44" s="460" t="s">
        <v>277</v>
      </c>
      <c r="C44" s="56">
        <v>6600000</v>
      </c>
      <c r="D44" s="220">
        <v>10650000</v>
      </c>
      <c r="E44" s="41">
        <v>1570000</v>
      </c>
      <c r="F44" s="272">
        <v>4300000</v>
      </c>
      <c r="G44" s="272">
        <v>9000000</v>
      </c>
      <c r="H44" s="272">
        <v>8200000</v>
      </c>
      <c r="I44" s="272">
        <v>1050000</v>
      </c>
      <c r="J44" s="272">
        <v>6300000</v>
      </c>
      <c r="K44" s="272">
        <v>14700000</v>
      </c>
      <c r="L44" s="272">
        <v>14700000</v>
      </c>
      <c r="M44" s="272">
        <v>12700000</v>
      </c>
      <c r="N44" s="272">
        <v>4600000</v>
      </c>
      <c r="O44" s="272">
        <f t="shared" si="6"/>
        <v>94370000</v>
      </c>
    </row>
    <row r="45" spans="1:17" ht="15.75" customHeight="1" x14ac:dyDescent="0.25">
      <c r="A45" s="341" t="s">
        <v>278</v>
      </c>
      <c r="B45" s="205"/>
      <c r="C45" s="205">
        <v>0</v>
      </c>
      <c r="D45" s="205">
        <v>0</v>
      </c>
      <c r="E45" s="272">
        <v>0</v>
      </c>
      <c r="F45" s="272">
        <v>0</v>
      </c>
      <c r="G45" s="272">
        <v>0</v>
      </c>
      <c r="H45" s="272">
        <v>0</v>
      </c>
      <c r="I45" s="272">
        <v>12506000</v>
      </c>
      <c r="J45" s="272">
        <v>22570000</v>
      </c>
      <c r="K45" s="272">
        <v>17100000</v>
      </c>
      <c r="L45" s="272">
        <v>15330000</v>
      </c>
      <c r="M45" s="272">
        <v>16027000</v>
      </c>
      <c r="N45" s="272">
        <v>22275000</v>
      </c>
      <c r="O45" s="272">
        <f t="shared" si="6"/>
        <v>105808000</v>
      </c>
    </row>
    <row r="46" spans="1:17" ht="15.75" customHeight="1" x14ac:dyDescent="0.25">
      <c r="A46" s="572" t="s">
        <v>20</v>
      </c>
      <c r="B46" s="585"/>
      <c r="C46" s="585"/>
      <c r="D46" s="585"/>
      <c r="E46" s="585"/>
      <c r="F46" s="585"/>
      <c r="G46" s="585"/>
      <c r="H46" s="585"/>
      <c r="I46" s="585"/>
      <c r="J46" s="585"/>
      <c r="K46" s="585"/>
      <c r="L46" s="585"/>
      <c r="M46" s="585"/>
      <c r="N46" s="585"/>
      <c r="O46" s="587"/>
    </row>
    <row r="47" spans="1:17" ht="15.75" customHeight="1" x14ac:dyDescent="0.25">
      <c r="A47" s="341" t="s">
        <v>279</v>
      </c>
      <c r="B47" s="205"/>
      <c r="C47" s="272">
        <v>13950000</v>
      </c>
      <c r="D47" s="272">
        <v>19950000</v>
      </c>
      <c r="E47" s="272">
        <v>28970000</v>
      </c>
      <c r="F47" s="272">
        <v>2100000</v>
      </c>
      <c r="G47" s="272">
        <v>17700000</v>
      </c>
      <c r="H47" s="272">
        <v>18100000</v>
      </c>
      <c r="I47" s="272">
        <v>29456000</v>
      </c>
      <c r="J47" s="272">
        <v>33400000</v>
      </c>
      <c r="K47" s="272">
        <v>30750000</v>
      </c>
      <c r="L47" s="272">
        <v>12100000</v>
      </c>
      <c r="M47" s="272">
        <v>30627000</v>
      </c>
      <c r="N47" s="272">
        <v>19350000</v>
      </c>
      <c r="O47" s="272">
        <f t="shared" si="6"/>
        <v>256453000</v>
      </c>
    </row>
    <row r="48" spans="1:17" ht="15.75" customHeight="1" x14ac:dyDescent="0.25">
      <c r="A48" s="341" t="s">
        <v>265</v>
      </c>
      <c r="B48" s="205"/>
      <c r="C48" s="272">
        <v>10800000</v>
      </c>
      <c r="D48" s="205">
        <v>0</v>
      </c>
      <c r="E48" s="205">
        <v>0</v>
      </c>
      <c r="F48" s="205">
        <v>0</v>
      </c>
      <c r="G48" s="205">
        <v>0</v>
      </c>
      <c r="H48" s="205">
        <v>0</v>
      </c>
      <c r="I48" s="205">
        <v>0</v>
      </c>
      <c r="J48" s="205">
        <v>0</v>
      </c>
      <c r="K48" s="205">
        <v>0</v>
      </c>
      <c r="L48" s="205">
        <v>0</v>
      </c>
      <c r="M48" s="205">
        <v>0</v>
      </c>
      <c r="N48" s="205">
        <v>0</v>
      </c>
      <c r="O48" s="272">
        <f t="shared" si="6"/>
        <v>10800000</v>
      </c>
    </row>
    <row r="49" spans="1:16" ht="15.75" customHeight="1" x14ac:dyDescent="0.25">
      <c r="A49" s="341" t="s">
        <v>240</v>
      </c>
      <c r="B49" s="205"/>
      <c r="C49" s="205">
        <v>0</v>
      </c>
      <c r="D49" s="272">
        <v>6910000</v>
      </c>
      <c r="E49" s="205">
        <v>0</v>
      </c>
      <c r="F49" s="205">
        <v>0</v>
      </c>
      <c r="G49" s="205">
        <v>0</v>
      </c>
      <c r="H49" s="205">
        <v>0</v>
      </c>
      <c r="I49" s="205">
        <v>0</v>
      </c>
      <c r="J49" s="205">
        <v>0</v>
      </c>
      <c r="K49" s="205">
        <v>0</v>
      </c>
      <c r="L49" s="205">
        <v>0</v>
      </c>
      <c r="M49" s="205">
        <v>0</v>
      </c>
      <c r="N49" s="205">
        <v>0</v>
      </c>
      <c r="O49" s="272">
        <f t="shared" si="6"/>
        <v>6910000</v>
      </c>
    </row>
    <row r="50" spans="1:16" ht="15.75" customHeight="1" x14ac:dyDescent="0.25">
      <c r="A50" s="341" t="s">
        <v>71</v>
      </c>
      <c r="B50" s="205"/>
      <c r="C50" s="205">
        <v>0</v>
      </c>
      <c r="D50" s="205">
        <v>0</v>
      </c>
      <c r="E50" s="272">
        <v>4550000</v>
      </c>
      <c r="F50" s="272">
        <v>14950000</v>
      </c>
      <c r="G50" s="205">
        <v>0</v>
      </c>
      <c r="H50" s="205">
        <v>0</v>
      </c>
      <c r="I50" s="205">
        <v>0</v>
      </c>
      <c r="J50" s="205">
        <v>0</v>
      </c>
      <c r="K50" s="205">
        <v>0</v>
      </c>
      <c r="L50" s="205"/>
      <c r="M50" s="205"/>
      <c r="N50" s="205"/>
      <c r="O50" s="272">
        <f t="shared" si="6"/>
        <v>19500000</v>
      </c>
    </row>
    <row r="51" spans="1:16" ht="15.75" customHeight="1" x14ac:dyDescent="0.25">
      <c r="A51" s="515" t="s">
        <v>178</v>
      </c>
      <c r="B51" s="236"/>
      <c r="C51" s="236">
        <v>0</v>
      </c>
      <c r="D51" s="236">
        <v>0</v>
      </c>
      <c r="E51" s="236">
        <v>0</v>
      </c>
      <c r="F51" s="236">
        <v>0</v>
      </c>
      <c r="G51" s="353">
        <v>14600000</v>
      </c>
      <c r="H51" s="353">
        <v>17600000</v>
      </c>
      <c r="I51" s="353">
        <v>8800000</v>
      </c>
      <c r="J51" s="353">
        <v>30040000</v>
      </c>
      <c r="K51" s="353">
        <v>25050000</v>
      </c>
      <c r="L51" s="353">
        <v>31180000</v>
      </c>
      <c r="M51" s="353">
        <v>22530000</v>
      </c>
      <c r="N51" s="353">
        <v>29125000</v>
      </c>
      <c r="O51" s="272">
        <f t="shared" si="6"/>
        <v>178925000</v>
      </c>
    </row>
    <row r="52" spans="1:16" ht="15.75" customHeight="1" x14ac:dyDescent="0.25">
      <c r="A52" s="354" t="s">
        <v>280</v>
      </c>
      <c r="B52" s="354"/>
      <c r="C52" s="354"/>
      <c r="D52" s="354"/>
      <c r="E52" s="354"/>
      <c r="F52" s="354"/>
      <c r="G52" s="354"/>
      <c r="H52" s="354"/>
      <c r="I52" s="354"/>
      <c r="J52" s="354"/>
      <c r="K52" s="353">
        <v>23500000</v>
      </c>
      <c r="L52" s="353">
        <v>5100000</v>
      </c>
      <c r="M52" s="236"/>
      <c r="N52" s="236">
        <v>0</v>
      </c>
      <c r="O52" s="272">
        <f t="shared" si="6"/>
        <v>28600000</v>
      </c>
    </row>
    <row r="53" spans="1:16" ht="15.75" customHeight="1" x14ac:dyDescent="0.25">
      <c r="A53" s="194" t="s">
        <v>281</v>
      </c>
      <c r="B53" s="194"/>
      <c r="C53" s="194"/>
      <c r="D53" s="194">
        <v>0</v>
      </c>
      <c r="E53" s="194">
        <v>0</v>
      </c>
      <c r="F53" s="194">
        <v>0</v>
      </c>
      <c r="G53" s="194">
        <v>0</v>
      </c>
      <c r="H53" s="194">
        <v>0</v>
      </c>
      <c r="I53" s="194">
        <v>0</v>
      </c>
      <c r="J53" s="194">
        <v>0</v>
      </c>
      <c r="K53" s="194">
        <v>0</v>
      </c>
      <c r="L53" s="194">
        <v>0</v>
      </c>
      <c r="M53" s="272">
        <v>9750000</v>
      </c>
      <c r="N53" s="220">
        <v>11820000</v>
      </c>
      <c r="O53" s="272">
        <f t="shared" si="6"/>
        <v>21570000</v>
      </c>
    </row>
    <row r="55" spans="1:16" ht="45" customHeight="1" x14ac:dyDescent="0.85">
      <c r="A55" s="607">
        <v>2022</v>
      </c>
    </row>
    <row r="56" spans="1:16" ht="39" customHeight="1" x14ac:dyDescent="0.5">
      <c r="A56" s="608" t="s">
        <v>256</v>
      </c>
      <c r="B56" s="621" t="s">
        <v>50</v>
      </c>
      <c r="C56" s="609" t="s">
        <v>1</v>
      </c>
      <c r="D56" s="609" t="s">
        <v>2</v>
      </c>
      <c r="E56" s="609" t="s">
        <v>3</v>
      </c>
      <c r="F56" s="609" t="s">
        <v>4</v>
      </c>
      <c r="G56" s="609" t="s">
        <v>5</v>
      </c>
      <c r="H56" s="609" t="s">
        <v>6</v>
      </c>
      <c r="I56" s="609" t="s">
        <v>7</v>
      </c>
      <c r="J56" s="609" t="s">
        <v>8</v>
      </c>
      <c r="K56" s="609" t="s">
        <v>9</v>
      </c>
      <c r="L56" s="609" t="s">
        <v>51</v>
      </c>
      <c r="M56" s="609" t="s">
        <v>11</v>
      </c>
      <c r="N56" s="609" t="s">
        <v>12</v>
      </c>
      <c r="O56" s="609" t="s">
        <v>13</v>
      </c>
      <c r="P56" s="375" t="s">
        <v>52</v>
      </c>
    </row>
    <row r="57" spans="1:16" ht="15.75" customHeight="1" x14ac:dyDescent="0.3">
      <c r="A57" s="619" t="s">
        <v>282</v>
      </c>
      <c r="B57" s="629">
        <v>60000000</v>
      </c>
      <c r="C57" s="614">
        <v>71000000</v>
      </c>
      <c r="D57" s="614">
        <v>80680000</v>
      </c>
      <c r="E57" s="614">
        <v>75247175</v>
      </c>
      <c r="F57" s="686">
        <v>37600000</v>
      </c>
      <c r="G57" s="535">
        <v>65764300</v>
      </c>
      <c r="H57" s="535">
        <v>60800000</v>
      </c>
      <c r="I57" s="614">
        <v>76850000</v>
      </c>
      <c r="J57" s="194"/>
      <c r="K57" s="194"/>
      <c r="L57" s="194"/>
      <c r="M57" s="194"/>
      <c r="N57" s="194"/>
      <c r="O57" s="220">
        <f>SUM(C57:N57)</f>
        <v>467941475</v>
      </c>
      <c r="P57" s="194"/>
    </row>
    <row r="58" spans="1:16" ht="15.75" customHeight="1" x14ac:dyDescent="0.25">
      <c r="A58" s="610" t="s">
        <v>258</v>
      </c>
      <c r="B58" s="583">
        <v>16000000</v>
      </c>
      <c r="C58" s="272">
        <v>32250000</v>
      </c>
      <c r="D58" s="272">
        <v>20150000</v>
      </c>
      <c r="E58" s="272">
        <v>14650000</v>
      </c>
      <c r="F58" s="272">
        <v>6600000</v>
      </c>
      <c r="G58" s="220">
        <v>23450000</v>
      </c>
      <c r="H58" s="628">
        <v>29800000</v>
      </c>
      <c r="I58" s="272">
        <v>23800000</v>
      </c>
      <c r="J58" s="194"/>
      <c r="K58" s="194"/>
      <c r="L58" s="194"/>
      <c r="M58" s="194"/>
      <c r="N58" s="194"/>
      <c r="O58" s="220">
        <f t="shared" ref="O58:O67" si="7">SUM(C58:N58)</f>
        <v>150700000</v>
      </c>
      <c r="P58" s="220">
        <f>SUM(C58:O58)</f>
        <v>301400000</v>
      </c>
    </row>
    <row r="59" spans="1:16" ht="15.75" customHeight="1" x14ac:dyDescent="0.25">
      <c r="A59" s="610" t="s">
        <v>275</v>
      </c>
      <c r="B59" s="583">
        <v>16000000</v>
      </c>
      <c r="C59" s="64">
        <v>3450000</v>
      </c>
      <c r="D59" s="272">
        <v>28220000</v>
      </c>
      <c r="E59" s="272">
        <v>20004000</v>
      </c>
      <c r="F59" s="272">
        <v>15750000</v>
      </c>
      <c r="G59" s="220">
        <v>18220000</v>
      </c>
      <c r="H59" s="628">
        <v>16100000</v>
      </c>
      <c r="I59" s="272">
        <v>26850000</v>
      </c>
      <c r="J59" s="194"/>
      <c r="K59" s="194"/>
      <c r="L59" s="194"/>
      <c r="M59" s="194"/>
      <c r="N59" s="194"/>
      <c r="O59" s="220">
        <f>SUM(C59:I59)</f>
        <v>128594000</v>
      </c>
      <c r="P59" s="220">
        <f t="shared" ref="P59:P68" si="8">SUM(C59:O59)</f>
        <v>257188000</v>
      </c>
    </row>
    <row r="60" spans="1:16" ht="15.75" customHeight="1" x14ac:dyDescent="0.25">
      <c r="A60" s="610" t="s">
        <v>283</v>
      </c>
      <c r="B60" s="583">
        <v>16000000</v>
      </c>
      <c r="C60" s="64">
        <v>0</v>
      </c>
      <c r="D60" s="272">
        <v>0</v>
      </c>
      <c r="E60" s="272">
        <v>0</v>
      </c>
      <c r="F60" s="272">
        <v>0</v>
      </c>
      <c r="G60" s="220">
        <v>0</v>
      </c>
      <c r="H60" s="628">
        <v>0</v>
      </c>
      <c r="I60" s="272">
        <v>8500000</v>
      </c>
      <c r="J60" s="194"/>
      <c r="K60" s="194"/>
      <c r="L60" s="194"/>
      <c r="M60" s="194"/>
      <c r="N60" s="194"/>
      <c r="O60" s="220">
        <v>8500000</v>
      </c>
      <c r="P60" s="220"/>
    </row>
    <row r="61" spans="1:16" ht="15.75" customHeight="1" x14ac:dyDescent="0.25">
      <c r="A61" s="610" t="s">
        <v>160</v>
      </c>
      <c r="B61" s="583">
        <v>13000000</v>
      </c>
      <c r="C61" s="64">
        <v>5900000</v>
      </c>
      <c r="D61" s="272">
        <v>13400000</v>
      </c>
      <c r="E61" s="272">
        <v>7580000</v>
      </c>
      <c r="F61" s="205">
        <v>0</v>
      </c>
      <c r="G61" s="220">
        <v>2300000</v>
      </c>
      <c r="H61" s="628">
        <v>4650000</v>
      </c>
      <c r="I61" s="205">
        <v>0</v>
      </c>
      <c r="J61" s="194"/>
      <c r="K61" s="194"/>
      <c r="L61" s="194"/>
      <c r="M61" s="194"/>
      <c r="N61" s="194"/>
      <c r="O61" s="220">
        <f t="shared" si="7"/>
        <v>33830000</v>
      </c>
      <c r="P61" s="220">
        <f t="shared" si="8"/>
        <v>67660000</v>
      </c>
    </row>
    <row r="62" spans="1:16" ht="15.75" customHeight="1" x14ac:dyDescent="0.25">
      <c r="A62" s="620" t="s">
        <v>87</v>
      </c>
      <c r="B62" s="583">
        <v>13000000</v>
      </c>
      <c r="C62" s="64"/>
      <c r="D62" s="272"/>
      <c r="E62" s="272"/>
      <c r="F62" s="205"/>
      <c r="G62" s="220"/>
      <c r="H62" s="628"/>
      <c r="I62" s="272">
        <v>11400000</v>
      </c>
      <c r="J62" s="194"/>
      <c r="K62" s="194"/>
      <c r="L62" s="194"/>
      <c r="M62" s="194"/>
      <c r="N62" s="194"/>
      <c r="O62" s="220">
        <v>11400000</v>
      </c>
      <c r="P62" s="220"/>
    </row>
    <row r="63" spans="1:16" ht="15.75" customHeight="1" x14ac:dyDescent="0.25">
      <c r="A63" s="620" t="s">
        <v>278</v>
      </c>
      <c r="B63" s="583">
        <v>13000000</v>
      </c>
      <c r="C63" s="272">
        <v>29400000</v>
      </c>
      <c r="D63" s="272">
        <v>17300000</v>
      </c>
      <c r="E63" s="272">
        <v>29450000</v>
      </c>
      <c r="F63" s="272">
        <v>13050000</v>
      </c>
      <c r="G63" s="220">
        <v>21795300</v>
      </c>
      <c r="H63" s="628">
        <v>4200000</v>
      </c>
      <c r="I63" s="205">
        <v>0</v>
      </c>
      <c r="J63" s="194"/>
      <c r="K63" s="194"/>
      <c r="L63" s="194"/>
      <c r="M63" s="194"/>
      <c r="N63" s="194"/>
      <c r="O63" s="220">
        <f t="shared" si="7"/>
        <v>115195300</v>
      </c>
      <c r="P63" s="220">
        <f t="shared" si="8"/>
        <v>230390600</v>
      </c>
    </row>
    <row r="64" spans="1:16" ht="15.75" customHeight="1" x14ac:dyDescent="0.25">
      <c r="A64" s="611" t="s">
        <v>134</v>
      </c>
      <c r="B64" s="681"/>
      <c r="C64" s="682"/>
      <c r="D64" s="682"/>
      <c r="E64" s="682"/>
      <c r="F64" s="682"/>
      <c r="G64" s="683"/>
      <c r="H64" s="683"/>
      <c r="I64" s="682"/>
      <c r="J64" s="683"/>
      <c r="K64" s="683"/>
      <c r="L64" s="683"/>
      <c r="M64" s="683"/>
      <c r="N64" s="683"/>
      <c r="O64" s="684"/>
      <c r="P64" s="220"/>
    </row>
    <row r="65" spans="1:16" ht="15.75" customHeight="1" x14ac:dyDescent="0.25">
      <c r="A65" s="610" t="s">
        <v>279</v>
      </c>
      <c r="B65" s="583">
        <v>18000000</v>
      </c>
      <c r="C65" s="272">
        <v>31750000</v>
      </c>
      <c r="D65" s="272">
        <v>27100000</v>
      </c>
      <c r="E65" s="272">
        <v>20334000</v>
      </c>
      <c r="F65" s="205">
        <v>0</v>
      </c>
      <c r="G65" s="220">
        <v>23450000</v>
      </c>
      <c r="H65" s="272">
        <v>24600000</v>
      </c>
      <c r="I65" s="272">
        <v>27900000</v>
      </c>
      <c r="J65" s="194"/>
      <c r="K65" s="194"/>
      <c r="L65" s="194"/>
      <c r="M65" s="194"/>
      <c r="N65" s="194"/>
      <c r="O65" s="330">
        <f t="shared" si="7"/>
        <v>155134000</v>
      </c>
      <c r="P65" s="220">
        <f t="shared" si="8"/>
        <v>310268000</v>
      </c>
    </row>
    <row r="66" spans="1:16" ht="15.75" customHeight="1" x14ac:dyDescent="0.25">
      <c r="A66" s="610" t="s">
        <v>178</v>
      </c>
      <c r="B66" s="583">
        <v>18000000</v>
      </c>
      <c r="C66" s="272">
        <v>31750000</v>
      </c>
      <c r="D66" s="272">
        <v>26750000</v>
      </c>
      <c r="E66" s="272">
        <v>25513175</v>
      </c>
      <c r="F66" s="272">
        <v>16800000</v>
      </c>
      <c r="G66" s="194"/>
      <c r="H66" s="272">
        <v>0</v>
      </c>
      <c r="I66" s="205">
        <v>0</v>
      </c>
      <c r="J66" s="194"/>
      <c r="K66" s="194"/>
      <c r="L66" s="194"/>
      <c r="M66" s="194"/>
      <c r="N66" s="194"/>
      <c r="O66" s="330">
        <f t="shared" si="7"/>
        <v>100813175</v>
      </c>
      <c r="P66" s="220">
        <f t="shared" si="8"/>
        <v>201626350</v>
      </c>
    </row>
    <row r="67" spans="1:16" ht="15.75" customHeight="1" x14ac:dyDescent="0.25">
      <c r="A67" s="675" t="s">
        <v>281</v>
      </c>
      <c r="B67" s="622">
        <v>18000000</v>
      </c>
      <c r="C67" s="685">
        <v>7500000</v>
      </c>
      <c r="D67" s="353">
        <v>25220000</v>
      </c>
      <c r="E67" s="353">
        <v>29400000</v>
      </c>
      <c r="F67" s="353">
        <v>20800000</v>
      </c>
      <c r="G67" s="271">
        <v>25220000</v>
      </c>
      <c r="H67" s="353">
        <v>20600000</v>
      </c>
      <c r="I67" s="353">
        <v>29850000</v>
      </c>
      <c r="J67" s="354"/>
      <c r="K67" s="354"/>
      <c r="L67" s="354"/>
      <c r="M67" s="354"/>
      <c r="N67" s="354"/>
      <c r="O67" s="398">
        <f t="shared" si="7"/>
        <v>158590000</v>
      </c>
      <c r="P67" s="220">
        <f t="shared" si="8"/>
        <v>317180000</v>
      </c>
    </row>
    <row r="68" spans="1:16" ht="15.75" customHeight="1" x14ac:dyDescent="0.25">
      <c r="A68" s="661" t="s">
        <v>177</v>
      </c>
      <c r="B68" s="583">
        <v>18000000</v>
      </c>
      <c r="C68" s="601"/>
      <c r="D68" s="205"/>
      <c r="E68" s="205"/>
      <c r="F68" s="205"/>
      <c r="G68" s="205"/>
      <c r="H68" s="272">
        <v>13950000</v>
      </c>
      <c r="I68" s="272">
        <v>14300000</v>
      </c>
      <c r="J68" s="272">
        <f>SUM(H68:I68)</f>
        <v>28250000</v>
      </c>
      <c r="K68" s="205"/>
      <c r="L68" s="205"/>
      <c r="M68" s="205"/>
      <c r="N68" s="205"/>
      <c r="O68" s="330">
        <f>SUM(J68)</f>
        <v>28250000</v>
      </c>
      <c r="P68" s="220">
        <f t="shared" si="8"/>
        <v>84750000</v>
      </c>
    </row>
  </sheetData>
  <pageMargins left="0" right="0" top="0" bottom="0" header="0" footer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60"/>
  <sheetViews>
    <sheetView workbookViewId="0">
      <selection activeCell="D11" sqref="D11"/>
    </sheetView>
  </sheetViews>
  <sheetFormatPr baseColWidth="10" defaultColWidth="14.44140625" defaultRowHeight="15.75" customHeight="1" x14ac:dyDescent="0.25"/>
  <cols>
    <col min="1" max="1" width="26.6640625" customWidth="1"/>
    <col min="2" max="2" width="18.5546875" customWidth="1"/>
    <col min="3" max="3" width="17.109375" bestFit="1" customWidth="1"/>
    <col min="4" max="4" width="25.88671875" customWidth="1"/>
    <col min="5" max="5" width="15.88671875" customWidth="1"/>
    <col min="6" max="6" width="17" bestFit="1" customWidth="1"/>
    <col min="7" max="7" width="21.33203125" customWidth="1"/>
    <col min="8" max="8" width="18" customWidth="1"/>
    <col min="9" max="9" width="16.33203125" customWidth="1"/>
    <col min="10" max="10" width="27.44140625" customWidth="1"/>
    <col min="11" max="11" width="15.33203125" customWidth="1"/>
    <col min="14" max="14" width="23.44140625" customWidth="1"/>
    <col min="15" max="15" width="16.33203125" customWidth="1"/>
    <col min="16" max="16" width="21.109375" customWidth="1"/>
    <col min="17" max="17" width="17.44140625" customWidth="1"/>
    <col min="20" max="20" width="22.88671875" customWidth="1"/>
    <col min="21" max="21" width="17.6640625" customWidth="1"/>
    <col min="22" max="22" width="17.88671875" customWidth="1"/>
    <col min="23" max="23" width="28.5546875" customWidth="1"/>
    <col min="25" max="25" width="17.33203125" customWidth="1"/>
    <col min="26" max="26" width="15.5546875" customWidth="1"/>
    <col min="27" max="27" width="16.44140625" customWidth="1"/>
    <col min="28" max="28" width="18.6640625" bestFit="1" customWidth="1"/>
    <col min="29" max="29" width="16.109375" customWidth="1"/>
    <col min="30" max="30" width="31.6640625" customWidth="1"/>
  </cols>
  <sheetData>
    <row r="1" spans="1:30" ht="22.8" x14ac:dyDescent="0.4">
      <c r="A1" s="710" t="s">
        <v>284</v>
      </c>
      <c r="B1" s="711"/>
      <c r="C1" s="711"/>
      <c r="D1" s="711"/>
      <c r="E1" s="711"/>
      <c r="F1" s="711"/>
      <c r="G1" s="711"/>
      <c r="H1" s="711"/>
      <c r="I1" s="711"/>
      <c r="J1" s="57"/>
    </row>
    <row r="2" spans="1:30" ht="13.2" x14ac:dyDescent="0.25">
      <c r="A2" s="505"/>
      <c r="B2" s="505"/>
      <c r="C2" s="505"/>
      <c r="D2" s="505"/>
      <c r="E2" s="505"/>
      <c r="F2" s="57"/>
      <c r="G2" s="57"/>
      <c r="H2" s="57"/>
      <c r="I2" s="57"/>
      <c r="J2" s="57"/>
    </row>
    <row r="3" spans="1:30" ht="21" x14ac:dyDescent="0.4">
      <c r="A3" s="714" t="s">
        <v>285</v>
      </c>
      <c r="B3" s="715"/>
      <c r="C3" s="713"/>
      <c r="D3" s="712" t="s">
        <v>286</v>
      </c>
      <c r="E3" s="713"/>
      <c r="F3" s="57"/>
      <c r="G3" s="714" t="s">
        <v>287</v>
      </c>
      <c r="H3" s="715"/>
      <c r="I3" s="713"/>
      <c r="J3" s="712" t="s">
        <v>288</v>
      </c>
      <c r="K3" s="713"/>
      <c r="M3" s="716" t="s">
        <v>289</v>
      </c>
      <c r="N3" s="717"/>
      <c r="O3" s="709"/>
      <c r="P3" s="716" t="s">
        <v>290</v>
      </c>
      <c r="Q3" s="709"/>
      <c r="S3" s="716" t="s">
        <v>291</v>
      </c>
      <c r="T3" s="717"/>
      <c r="U3" s="709"/>
      <c r="V3" s="716" t="s">
        <v>292</v>
      </c>
      <c r="W3" s="709"/>
      <c r="Y3" s="716" t="s">
        <v>293</v>
      </c>
      <c r="Z3" s="717"/>
      <c r="AA3" s="709"/>
      <c r="AB3" s="716" t="s">
        <v>294</v>
      </c>
      <c r="AC3" s="709"/>
    </row>
    <row r="4" spans="1:30" ht="15" x14ac:dyDescent="0.25">
      <c r="A4" s="94" t="s">
        <v>295</v>
      </c>
      <c r="B4" s="145">
        <v>47160000</v>
      </c>
      <c r="C4" s="504"/>
      <c r="D4" s="95" t="s">
        <v>295</v>
      </c>
      <c r="E4" s="145" t="s">
        <v>296</v>
      </c>
      <c r="F4" s="57"/>
      <c r="G4" s="94" t="s">
        <v>295</v>
      </c>
      <c r="H4" s="145">
        <v>30270000</v>
      </c>
      <c r="I4" s="504"/>
      <c r="J4" s="95" t="s">
        <v>295</v>
      </c>
      <c r="K4" s="145">
        <v>49440000</v>
      </c>
      <c r="M4" s="94" t="s">
        <v>295</v>
      </c>
      <c r="N4" s="145">
        <v>37350000</v>
      </c>
      <c r="O4" s="504"/>
      <c r="P4" s="95" t="s">
        <v>295</v>
      </c>
      <c r="Q4" s="145">
        <v>45770000</v>
      </c>
      <c r="S4" s="94" t="s">
        <v>295</v>
      </c>
      <c r="T4" s="145">
        <v>41115000</v>
      </c>
      <c r="U4" s="504"/>
      <c r="V4" s="95" t="s">
        <v>295</v>
      </c>
      <c r="W4" s="145">
        <v>40950000</v>
      </c>
      <c r="Y4" s="94" t="s">
        <v>295</v>
      </c>
      <c r="Z4" s="145">
        <v>31990000</v>
      </c>
      <c r="AA4" s="504"/>
      <c r="AB4" s="95" t="s">
        <v>295</v>
      </c>
      <c r="AC4" s="190">
        <v>50875000</v>
      </c>
    </row>
    <row r="5" spans="1:30" ht="15" x14ac:dyDescent="0.25">
      <c r="A5" s="94" t="s">
        <v>125</v>
      </c>
      <c r="B5" s="145">
        <v>22970000</v>
      </c>
      <c r="C5" s="504"/>
      <c r="D5" s="95" t="s">
        <v>125</v>
      </c>
      <c r="E5" s="145">
        <v>28600000</v>
      </c>
      <c r="F5" s="57"/>
      <c r="G5" s="94" t="s">
        <v>125</v>
      </c>
      <c r="H5" s="145">
        <v>38565000</v>
      </c>
      <c r="I5" s="504"/>
      <c r="J5" s="95" t="s">
        <v>125</v>
      </c>
      <c r="K5" s="145">
        <v>39540000</v>
      </c>
      <c r="M5" s="94" t="s">
        <v>125</v>
      </c>
      <c r="N5" s="89">
        <v>25245000</v>
      </c>
      <c r="O5" s="504"/>
      <c r="P5" s="95" t="s">
        <v>125</v>
      </c>
      <c r="Q5" s="145">
        <v>36751000</v>
      </c>
      <c r="S5" s="94" t="s">
        <v>125</v>
      </c>
      <c r="T5" s="89">
        <v>31350600</v>
      </c>
      <c r="U5" s="504"/>
      <c r="V5" s="95" t="s">
        <v>125</v>
      </c>
      <c r="W5" s="145">
        <v>22140000</v>
      </c>
      <c r="Y5" s="94" t="s">
        <v>125</v>
      </c>
      <c r="Z5" s="89">
        <v>21968000</v>
      </c>
      <c r="AA5" s="504"/>
      <c r="AB5" s="95" t="s">
        <v>125</v>
      </c>
      <c r="AC5" s="190">
        <v>39840000</v>
      </c>
    </row>
    <row r="6" spans="1:30" ht="15" x14ac:dyDescent="0.25">
      <c r="A6" s="94" t="s">
        <v>140</v>
      </c>
      <c r="B6" s="145">
        <v>11950000</v>
      </c>
      <c r="C6" s="504"/>
      <c r="D6" s="95" t="s">
        <v>140</v>
      </c>
      <c r="E6" s="145">
        <v>21975000</v>
      </c>
      <c r="F6" s="57"/>
      <c r="G6" s="94" t="s">
        <v>140</v>
      </c>
      <c r="H6" s="145">
        <v>16680000</v>
      </c>
      <c r="I6" s="504"/>
      <c r="J6" s="95" t="s">
        <v>140</v>
      </c>
      <c r="K6" s="145">
        <v>16670000</v>
      </c>
      <c r="M6" s="94" t="s">
        <v>140</v>
      </c>
      <c r="N6" s="89">
        <v>20430000</v>
      </c>
      <c r="O6" s="504"/>
      <c r="P6" s="95" t="s">
        <v>140</v>
      </c>
      <c r="Q6" s="145">
        <v>27420000</v>
      </c>
      <c r="S6" s="94" t="s">
        <v>140</v>
      </c>
      <c r="T6" s="89">
        <v>24705000</v>
      </c>
      <c r="U6" s="504"/>
      <c r="V6" s="95" t="s">
        <v>140</v>
      </c>
      <c r="W6" s="145">
        <v>32816600</v>
      </c>
      <c r="Y6" s="94" t="s">
        <v>140</v>
      </c>
      <c r="Z6" s="89">
        <v>21970000</v>
      </c>
      <c r="AA6" s="504"/>
      <c r="AB6" s="95" t="s">
        <v>140</v>
      </c>
      <c r="AC6" s="190">
        <v>32816000</v>
      </c>
    </row>
    <row r="7" spans="1:30" ht="15" x14ac:dyDescent="0.25">
      <c r="A7" s="94" t="s">
        <v>297</v>
      </c>
      <c r="B7" s="145">
        <v>6640000</v>
      </c>
      <c r="C7" s="504"/>
      <c r="D7" s="95" t="s">
        <v>297</v>
      </c>
      <c r="E7" s="145">
        <v>6600000</v>
      </c>
      <c r="F7" s="57"/>
      <c r="G7" s="94" t="s">
        <v>297</v>
      </c>
      <c r="H7" s="96">
        <v>9800000</v>
      </c>
      <c r="I7" s="504"/>
      <c r="J7" s="95" t="s">
        <v>297</v>
      </c>
      <c r="K7" s="145">
        <v>13200000</v>
      </c>
      <c r="M7" s="94" t="s">
        <v>297</v>
      </c>
      <c r="N7" s="21">
        <v>10980000</v>
      </c>
      <c r="O7" s="504"/>
      <c r="P7" s="95" t="s">
        <v>297</v>
      </c>
      <c r="Q7" s="145">
        <v>17750000</v>
      </c>
      <c r="S7" s="94" t="s">
        <v>297</v>
      </c>
      <c r="T7" s="21">
        <v>0</v>
      </c>
      <c r="U7" s="504"/>
      <c r="V7" s="95" t="s">
        <v>298</v>
      </c>
      <c r="W7" s="145">
        <v>14960000</v>
      </c>
      <c r="Y7" s="94" t="s">
        <v>298</v>
      </c>
      <c r="Z7" s="21">
        <v>6730000</v>
      </c>
      <c r="AA7" s="504"/>
      <c r="AB7" s="95" t="s">
        <v>297</v>
      </c>
      <c r="AC7" s="261">
        <v>19070000</v>
      </c>
    </row>
    <row r="8" spans="1:30" ht="15" x14ac:dyDescent="0.25">
      <c r="A8" s="94" t="s">
        <v>180</v>
      </c>
      <c r="B8" s="145">
        <v>9620000</v>
      </c>
      <c r="C8" s="504"/>
      <c r="D8" s="95" t="s">
        <v>180</v>
      </c>
      <c r="E8" s="145">
        <v>29175000</v>
      </c>
      <c r="F8" s="57"/>
      <c r="G8" s="94" t="s">
        <v>180</v>
      </c>
      <c r="H8" s="145">
        <v>18550000</v>
      </c>
      <c r="I8" s="504"/>
      <c r="J8" s="95" t="s">
        <v>180</v>
      </c>
      <c r="K8" s="145">
        <v>30246509</v>
      </c>
      <c r="M8" s="94" t="s">
        <v>180</v>
      </c>
      <c r="N8" s="89">
        <v>5093000</v>
      </c>
      <c r="O8" s="504"/>
      <c r="P8" s="95" t="s">
        <v>180</v>
      </c>
      <c r="Q8" s="145">
        <v>15750000</v>
      </c>
      <c r="S8" s="94" t="s">
        <v>180</v>
      </c>
      <c r="T8" s="89">
        <v>18319736</v>
      </c>
      <c r="U8" s="504"/>
      <c r="V8" s="95" t="s">
        <v>180</v>
      </c>
      <c r="W8" s="145">
        <v>21880000</v>
      </c>
      <c r="Y8" s="94" t="s">
        <v>180</v>
      </c>
      <c r="Z8" s="89">
        <v>6950000</v>
      </c>
      <c r="AA8" s="504"/>
      <c r="AB8" s="95" t="s">
        <v>180</v>
      </c>
      <c r="AC8" s="190">
        <v>29070000</v>
      </c>
      <c r="AD8" t="s">
        <v>299</v>
      </c>
    </row>
    <row r="9" spans="1:30" ht="15" x14ac:dyDescent="0.25">
      <c r="A9" s="94" t="s">
        <v>300</v>
      </c>
      <c r="B9" s="145">
        <v>28650000</v>
      </c>
      <c r="C9" s="504"/>
      <c r="D9" s="95" t="s">
        <v>300</v>
      </c>
      <c r="E9" s="145">
        <v>41090000</v>
      </c>
      <c r="F9" s="57"/>
      <c r="G9" s="94" t="s">
        <v>300</v>
      </c>
      <c r="H9" s="145">
        <v>24250000</v>
      </c>
      <c r="I9" s="504"/>
      <c r="J9" s="95" t="s">
        <v>300</v>
      </c>
      <c r="K9" s="145">
        <v>31850000</v>
      </c>
      <c r="M9" s="94" t="s">
        <v>300</v>
      </c>
      <c r="N9" s="89">
        <v>17450000</v>
      </c>
      <c r="O9" s="504"/>
      <c r="P9" s="95" t="s">
        <v>300</v>
      </c>
      <c r="Q9" s="145">
        <v>43498700</v>
      </c>
      <c r="S9" s="94" t="s">
        <v>300</v>
      </c>
      <c r="T9" s="89">
        <v>28800000</v>
      </c>
      <c r="U9" s="504"/>
      <c r="V9" s="95" t="s">
        <v>300</v>
      </c>
      <c r="W9" s="145">
        <v>20900000</v>
      </c>
      <c r="Y9" s="94" t="s">
        <v>300</v>
      </c>
      <c r="Z9" s="89">
        <v>34820000</v>
      </c>
      <c r="AA9" s="504"/>
      <c r="AB9" s="95" t="s">
        <v>300</v>
      </c>
      <c r="AC9" s="190">
        <v>35000000</v>
      </c>
    </row>
    <row r="10" spans="1:30" ht="13.2" x14ac:dyDescent="0.25">
      <c r="A10" s="318"/>
      <c r="B10" s="180">
        <f>SUM(B4:B9)</f>
        <v>126990000</v>
      </c>
      <c r="C10" s="504"/>
      <c r="D10" s="504"/>
      <c r="E10" s="180">
        <f>SUM(E4:E9)</f>
        <v>127440000</v>
      </c>
      <c r="F10" s="181">
        <f>(E10-B10)/E10</f>
        <v>3.5310734463276836E-3</v>
      </c>
      <c r="G10" s="318"/>
      <c r="H10" s="180">
        <f>SUM(H4:H9)</f>
        <v>138115000</v>
      </c>
      <c r="I10" s="504"/>
      <c r="J10" s="504"/>
      <c r="K10" s="180">
        <f>SUM(K4:K9)</f>
        <v>180946509</v>
      </c>
      <c r="L10" s="97">
        <f>(K10-H10)/K10</f>
        <v>0.23670812571465527</v>
      </c>
      <c r="M10" s="318"/>
      <c r="N10" s="180">
        <f>SUM(N4:N9)</f>
        <v>116548000</v>
      </c>
      <c r="O10" s="504"/>
      <c r="P10" s="504"/>
      <c r="Q10" s="180">
        <f>SUM(Q4:Q9)</f>
        <v>186939700</v>
      </c>
      <c r="S10" s="318"/>
      <c r="T10" s="180">
        <f>SUM(T4:T9)</f>
        <v>144290336</v>
      </c>
      <c r="U10" s="504"/>
      <c r="V10" s="504"/>
      <c r="W10" s="180">
        <f>SUM(W4:W9)</f>
        <v>153646600</v>
      </c>
      <c r="Y10" s="318"/>
      <c r="Z10" s="180">
        <f>SUM(Z4:Z9)</f>
        <v>124428000</v>
      </c>
      <c r="AA10" s="504"/>
      <c r="AB10" s="504"/>
      <c r="AC10" s="180">
        <f>SUM(AC4:AC9)</f>
        <v>206671000</v>
      </c>
    </row>
    <row r="11" spans="1:30" ht="13.2" x14ac:dyDescent="0.25">
      <c r="A11" s="57"/>
      <c r="B11" s="57"/>
      <c r="C11" s="57"/>
      <c r="D11" s="57"/>
      <c r="E11" s="57"/>
      <c r="F11" s="57"/>
    </row>
    <row r="12" spans="1:30" ht="13.2" x14ac:dyDescent="0.25">
      <c r="A12" s="505"/>
      <c r="B12" s="505"/>
      <c r="C12" s="57"/>
      <c r="D12" s="505"/>
      <c r="E12" s="505"/>
      <c r="F12" s="57"/>
    </row>
    <row r="13" spans="1:30" ht="13.2" x14ac:dyDescent="0.25">
      <c r="A13" s="724" t="s">
        <v>301</v>
      </c>
      <c r="B13" s="709"/>
      <c r="C13" s="57"/>
      <c r="D13" s="725" t="s">
        <v>302</v>
      </c>
      <c r="E13" s="713"/>
      <c r="F13" s="57"/>
      <c r="G13" s="724" t="s">
        <v>303</v>
      </c>
      <c r="H13" s="709"/>
      <c r="I13" s="57"/>
      <c r="J13" s="708" t="s">
        <v>304</v>
      </c>
      <c r="K13" s="709"/>
      <c r="M13" s="708" t="s">
        <v>305</v>
      </c>
      <c r="N13" s="709"/>
      <c r="O13" s="57"/>
      <c r="P13" s="708" t="s">
        <v>306</v>
      </c>
      <c r="Q13" s="709"/>
      <c r="S13" s="708" t="s">
        <v>307</v>
      </c>
      <c r="T13" s="709"/>
      <c r="U13" s="57"/>
      <c r="V13" s="708" t="s">
        <v>308</v>
      </c>
      <c r="W13" s="709"/>
      <c r="Y13" s="708" t="s">
        <v>309</v>
      </c>
      <c r="Z13" s="709"/>
      <c r="AA13" s="57"/>
      <c r="AB13" s="708" t="s">
        <v>308</v>
      </c>
      <c r="AC13" s="709"/>
    </row>
    <row r="14" spans="1:30" ht="13.2" x14ac:dyDescent="0.25">
      <c r="A14" s="504" t="s">
        <v>310</v>
      </c>
      <c r="B14" s="145">
        <v>20500000</v>
      </c>
      <c r="C14" s="57"/>
      <c r="D14" s="318" t="s">
        <v>311</v>
      </c>
      <c r="E14" s="119">
        <v>28410000</v>
      </c>
      <c r="F14" s="57"/>
      <c r="G14" s="318" t="s">
        <v>18</v>
      </c>
      <c r="H14" s="119">
        <v>19350000</v>
      </c>
      <c r="I14" s="57"/>
      <c r="J14" s="318" t="s">
        <v>115</v>
      </c>
      <c r="K14" s="119">
        <v>21970000</v>
      </c>
      <c r="M14" s="318" t="s">
        <v>312</v>
      </c>
      <c r="N14" s="119">
        <v>17198700</v>
      </c>
      <c r="O14" s="57"/>
      <c r="P14" s="318" t="s">
        <v>261</v>
      </c>
      <c r="Q14" s="119">
        <v>26548700</v>
      </c>
      <c r="S14" s="318" t="s">
        <v>145</v>
      </c>
      <c r="T14" s="119">
        <v>15900000</v>
      </c>
      <c r="U14" s="57"/>
      <c r="V14" s="318" t="s">
        <v>197</v>
      </c>
      <c r="W14" s="119">
        <v>20410000</v>
      </c>
      <c r="Y14" s="318"/>
      <c r="Z14" s="119"/>
      <c r="AA14" s="57"/>
      <c r="AB14" s="318"/>
      <c r="AC14" s="119"/>
    </row>
    <row r="15" spans="1:30" ht="13.2" x14ac:dyDescent="0.25">
      <c r="A15" s="57"/>
      <c r="B15" s="57"/>
      <c r="C15" s="57"/>
      <c r="D15" s="57"/>
      <c r="E15" s="57"/>
      <c r="F15" s="57"/>
    </row>
    <row r="16" spans="1:30" ht="13.2" x14ac:dyDescent="0.25">
      <c r="F16" s="57"/>
    </row>
    <row r="17" spans="1:28" ht="13.2" x14ac:dyDescent="0.25">
      <c r="A17" s="718" t="s">
        <v>313</v>
      </c>
      <c r="B17" s="719"/>
      <c r="C17" s="719"/>
      <c r="D17" s="720"/>
      <c r="F17" s="57"/>
      <c r="G17" s="718" t="s">
        <v>2</v>
      </c>
      <c r="H17" s="719"/>
      <c r="I17" s="719"/>
      <c r="J17" s="720"/>
      <c r="M17" s="718" t="s">
        <v>314</v>
      </c>
      <c r="N17" s="719"/>
      <c r="O17" s="719"/>
      <c r="P17" s="720"/>
      <c r="S17" s="718" t="s">
        <v>4</v>
      </c>
      <c r="T17" s="719"/>
      <c r="U17" s="719"/>
      <c r="V17" s="720"/>
      <c r="Y17" s="718" t="s">
        <v>5</v>
      </c>
      <c r="Z17" s="719"/>
      <c r="AA17" s="719"/>
      <c r="AB17" s="720"/>
    </row>
    <row r="18" spans="1:28" ht="13.2" x14ac:dyDescent="0.25">
      <c r="A18" s="721"/>
      <c r="B18" s="715"/>
      <c r="C18" s="715"/>
      <c r="D18" s="713"/>
      <c r="F18" s="57"/>
      <c r="G18" s="721"/>
      <c r="H18" s="715"/>
      <c r="I18" s="715"/>
      <c r="J18" s="713"/>
      <c r="M18" s="721"/>
      <c r="N18" s="715"/>
      <c r="O18" s="715"/>
      <c r="P18" s="713"/>
      <c r="S18" s="721"/>
      <c r="T18" s="715"/>
      <c r="U18" s="715"/>
      <c r="V18" s="713"/>
      <c r="Y18" s="721"/>
      <c r="Z18" s="715"/>
      <c r="AA18" s="715"/>
      <c r="AB18" s="713"/>
    </row>
    <row r="19" spans="1:28" ht="17.399999999999999" x14ac:dyDescent="0.3">
      <c r="A19" s="726" t="s">
        <v>315</v>
      </c>
      <c r="B19" s="709"/>
      <c r="C19" s="98" t="s">
        <v>316</v>
      </c>
      <c r="D19" s="98" t="s">
        <v>317</v>
      </c>
      <c r="F19" s="57"/>
      <c r="G19" s="726" t="s">
        <v>315</v>
      </c>
      <c r="H19" s="709"/>
      <c r="I19" s="98" t="s">
        <v>316</v>
      </c>
      <c r="J19" s="98" t="s">
        <v>317</v>
      </c>
      <c r="M19" s="726" t="s">
        <v>315</v>
      </c>
      <c r="N19" s="709"/>
      <c r="O19" s="98" t="s">
        <v>316</v>
      </c>
      <c r="P19" s="98" t="s">
        <v>317</v>
      </c>
      <c r="S19" s="726" t="s">
        <v>315</v>
      </c>
      <c r="T19" s="709"/>
      <c r="U19" s="98" t="s">
        <v>316</v>
      </c>
      <c r="V19" s="98" t="s">
        <v>317</v>
      </c>
      <c r="Y19" s="726" t="s">
        <v>315</v>
      </c>
      <c r="Z19" s="709"/>
      <c r="AA19" s="98" t="s">
        <v>316</v>
      </c>
      <c r="AB19" s="98" t="s">
        <v>317</v>
      </c>
    </row>
    <row r="20" spans="1:28" ht="13.8" x14ac:dyDescent="0.25">
      <c r="A20" s="182" t="s">
        <v>318</v>
      </c>
      <c r="B20" s="183" t="s">
        <v>313</v>
      </c>
      <c r="C20" s="184">
        <v>9</v>
      </c>
      <c r="D20" s="137">
        <v>3</v>
      </c>
      <c r="F20" s="57"/>
      <c r="G20" s="182" t="s">
        <v>318</v>
      </c>
      <c r="H20" s="183" t="s">
        <v>319</v>
      </c>
      <c r="I20" s="99">
        <v>20</v>
      </c>
      <c r="J20" s="137">
        <v>6</v>
      </c>
      <c r="M20" s="182" t="s">
        <v>318</v>
      </c>
      <c r="N20" s="183" t="s">
        <v>320</v>
      </c>
      <c r="O20" s="99">
        <v>11</v>
      </c>
      <c r="P20" s="137">
        <v>2</v>
      </c>
      <c r="S20" s="182" t="s">
        <v>318</v>
      </c>
      <c r="T20" s="183" t="s">
        <v>4</v>
      </c>
      <c r="U20" s="99">
        <v>10</v>
      </c>
      <c r="V20" s="137">
        <v>4</v>
      </c>
      <c r="Y20" s="182" t="s">
        <v>318</v>
      </c>
      <c r="Z20" s="183" t="s">
        <v>5</v>
      </c>
      <c r="AA20" s="99"/>
      <c r="AB20" s="137"/>
    </row>
    <row r="21" spans="1:28" ht="13.8" x14ac:dyDescent="0.25">
      <c r="A21" s="100" t="s">
        <v>295</v>
      </c>
      <c r="B21" s="101">
        <v>3770093</v>
      </c>
      <c r="C21" s="185">
        <v>12786897</v>
      </c>
      <c r="D21" s="15"/>
      <c r="E21" s="57"/>
      <c r="F21" s="57"/>
      <c r="G21" s="100" t="s">
        <v>295</v>
      </c>
      <c r="H21" s="101">
        <v>0</v>
      </c>
      <c r="I21" s="185">
        <v>34599894</v>
      </c>
      <c r="M21" s="100" t="s">
        <v>295</v>
      </c>
      <c r="N21" s="101">
        <v>2355000</v>
      </c>
      <c r="O21" s="102">
        <v>16942920</v>
      </c>
      <c r="S21" s="100" t="s">
        <v>295</v>
      </c>
      <c r="T21" s="101">
        <v>0</v>
      </c>
      <c r="U21" s="102">
        <v>18101793</v>
      </c>
      <c r="Y21" s="100" t="s">
        <v>295</v>
      </c>
      <c r="Z21" s="101">
        <v>0</v>
      </c>
      <c r="AA21" s="102"/>
    </row>
    <row r="22" spans="1:28" ht="13.8" x14ac:dyDescent="0.25">
      <c r="A22" s="100" t="s">
        <v>125</v>
      </c>
      <c r="B22" s="101">
        <v>3837765</v>
      </c>
      <c r="C22" s="57"/>
      <c r="E22" s="57"/>
      <c r="F22" s="57"/>
      <c r="G22" s="100" t="s">
        <v>125</v>
      </c>
      <c r="H22" s="101">
        <v>0</v>
      </c>
      <c r="I22" s="57"/>
      <c r="M22" s="100" t="s">
        <v>125</v>
      </c>
      <c r="N22" s="101">
        <v>2194817</v>
      </c>
      <c r="O22" s="57"/>
      <c r="S22" s="100" t="s">
        <v>125</v>
      </c>
      <c r="T22" s="101">
        <v>4130402</v>
      </c>
      <c r="U22" s="57"/>
      <c r="Y22" s="100" t="s">
        <v>125</v>
      </c>
      <c r="Z22" s="101">
        <v>0</v>
      </c>
      <c r="AA22" s="57"/>
    </row>
    <row r="23" spans="1:28" ht="13.8" x14ac:dyDescent="0.25">
      <c r="A23" s="100" t="s">
        <v>321</v>
      </c>
      <c r="B23" s="101">
        <v>3278835</v>
      </c>
      <c r="E23" s="57"/>
      <c r="F23" s="57"/>
      <c r="G23" s="100" t="s">
        <v>321</v>
      </c>
      <c r="H23" s="101">
        <v>0</v>
      </c>
      <c r="M23" s="100" t="s">
        <v>321</v>
      </c>
      <c r="N23" s="101">
        <v>0</v>
      </c>
      <c r="S23" s="100" t="s">
        <v>321</v>
      </c>
      <c r="T23" s="101">
        <v>3000000</v>
      </c>
      <c r="Y23" s="100" t="s">
        <v>321</v>
      </c>
      <c r="Z23" s="101">
        <v>0</v>
      </c>
    </row>
    <row r="24" spans="1:28" ht="13.8" x14ac:dyDescent="0.25">
      <c r="A24" s="100" t="s">
        <v>180</v>
      </c>
      <c r="B24" s="101">
        <v>0</v>
      </c>
      <c r="C24" s="57"/>
      <c r="E24" s="57"/>
      <c r="F24" s="57"/>
      <c r="G24" s="100" t="s">
        <v>180</v>
      </c>
      <c r="H24" s="101">
        <v>0</v>
      </c>
      <c r="I24" s="57"/>
      <c r="M24" s="100" t="s">
        <v>180</v>
      </c>
      <c r="N24" s="101">
        <v>3864876</v>
      </c>
      <c r="O24" s="57"/>
      <c r="S24" s="100" t="s">
        <v>180</v>
      </c>
      <c r="T24" s="101">
        <v>0</v>
      </c>
      <c r="U24" s="57"/>
      <c r="Y24" s="100" t="s">
        <v>180</v>
      </c>
      <c r="Z24" s="101">
        <v>0</v>
      </c>
      <c r="AA24" s="57"/>
    </row>
    <row r="25" spans="1:28" ht="13.8" x14ac:dyDescent="0.25">
      <c r="A25" s="100" t="s">
        <v>297</v>
      </c>
      <c r="B25" s="101">
        <v>0</v>
      </c>
      <c r="C25" s="57"/>
      <c r="E25" s="57"/>
      <c r="F25" s="57"/>
      <c r="G25" s="100" t="s">
        <v>297</v>
      </c>
      <c r="H25" s="101">
        <v>0</v>
      </c>
      <c r="I25" s="57"/>
      <c r="M25" s="100" t="s">
        <v>297</v>
      </c>
      <c r="N25" s="101">
        <v>0</v>
      </c>
      <c r="O25" s="57"/>
      <c r="S25" s="100" t="s">
        <v>297</v>
      </c>
      <c r="T25" s="101">
        <v>0</v>
      </c>
      <c r="U25" s="57"/>
      <c r="Y25" s="100" t="s">
        <v>297</v>
      </c>
      <c r="Z25" s="101">
        <v>0</v>
      </c>
      <c r="AA25" s="57"/>
    </row>
    <row r="26" spans="1:28" ht="15.6" x14ac:dyDescent="0.3">
      <c r="A26" s="100" t="s">
        <v>300</v>
      </c>
      <c r="B26" s="101">
        <v>4606688</v>
      </c>
      <c r="E26" s="57"/>
      <c r="F26" s="57"/>
      <c r="G26" s="100" t="s">
        <v>300</v>
      </c>
      <c r="H26" s="103">
        <v>0</v>
      </c>
      <c r="I26" s="186" t="s">
        <v>322</v>
      </c>
      <c r="J26" s="187">
        <f>H27+I21</f>
        <v>34599894</v>
      </c>
      <c r="M26" s="100" t="s">
        <v>300</v>
      </c>
      <c r="N26" s="104">
        <v>0</v>
      </c>
      <c r="S26" s="100" t="s">
        <v>300</v>
      </c>
      <c r="T26" s="104">
        <v>0</v>
      </c>
      <c r="Y26" s="100" t="s">
        <v>300</v>
      </c>
      <c r="Z26" s="104">
        <v>0</v>
      </c>
    </row>
    <row r="27" spans="1:28" ht="15.6" x14ac:dyDescent="0.3">
      <c r="B27" s="105">
        <f>SUM(B21:B26)</f>
        <v>15493381</v>
      </c>
      <c r="C27" s="188" t="s">
        <v>322</v>
      </c>
      <c r="D27" s="187">
        <f>B27+C21</f>
        <v>28280278</v>
      </c>
      <c r="E27" s="57"/>
      <c r="F27" s="57"/>
      <c r="N27" s="189">
        <f>SUM(N21:N26)</f>
        <v>8414693</v>
      </c>
      <c r="O27" s="186" t="s">
        <v>322</v>
      </c>
      <c r="P27" s="187">
        <f>N27+O21</f>
        <v>25357613</v>
      </c>
      <c r="T27" s="189">
        <f>SUM(T21:T26)</f>
        <v>7130402</v>
      </c>
      <c r="U27" s="186" t="s">
        <v>322</v>
      </c>
      <c r="V27" s="187">
        <f>T27+U21</f>
        <v>25232195</v>
      </c>
      <c r="Z27" s="189">
        <f>SUM(Z21:Z26)</f>
        <v>0</v>
      </c>
      <c r="AA27" s="186" t="s">
        <v>322</v>
      </c>
      <c r="AB27" s="187">
        <f>Z27+AA21</f>
        <v>0</v>
      </c>
    </row>
    <row r="28" spans="1:28" ht="13.2" x14ac:dyDescent="0.25"/>
    <row r="29" spans="1:28" ht="13.2" x14ac:dyDescent="0.25"/>
    <row r="30" spans="1:28" ht="13.2" x14ac:dyDescent="0.25"/>
    <row r="31" spans="1:28" ht="22.8" hidden="1" x14ac:dyDescent="0.4">
      <c r="A31" s="727" t="s">
        <v>323</v>
      </c>
      <c r="B31" s="711"/>
      <c r="C31" s="711"/>
      <c r="D31" s="711"/>
      <c r="G31" s="15"/>
      <c r="H31" s="15"/>
      <c r="I31" s="15"/>
      <c r="J31" s="15"/>
    </row>
    <row r="32" spans="1:28" ht="13.2" hidden="1" x14ac:dyDescent="0.25">
      <c r="A32" s="505"/>
      <c r="B32" s="505"/>
      <c r="C32" s="505"/>
      <c r="D32" s="57"/>
      <c r="E32" s="15"/>
      <c r="G32" s="15"/>
      <c r="H32" s="15"/>
      <c r="I32" s="15"/>
      <c r="J32" s="15"/>
    </row>
    <row r="33" spans="1:14" ht="13.2" hidden="1" x14ac:dyDescent="0.25">
      <c r="A33" s="106" t="s">
        <v>324</v>
      </c>
      <c r="B33" s="106" t="s">
        <v>325</v>
      </c>
      <c r="C33" s="106" t="s">
        <v>326</v>
      </c>
      <c r="D33" s="15" t="s">
        <v>2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13.2" hidden="1" x14ac:dyDescent="0.25">
      <c r="A34" s="504" t="s">
        <v>327</v>
      </c>
      <c r="B34" s="504" t="s">
        <v>328</v>
      </c>
      <c r="C34" s="190">
        <v>6830000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13.2" hidden="1" x14ac:dyDescent="0.25">
      <c r="A35" s="504" t="s">
        <v>329</v>
      </c>
      <c r="B35" s="504" t="s">
        <v>330</v>
      </c>
      <c r="C35" s="190">
        <v>5400000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ht="13.2" hidden="1" x14ac:dyDescent="0.25">
      <c r="A36" s="504" t="s">
        <v>329</v>
      </c>
      <c r="B36" s="504" t="s">
        <v>331</v>
      </c>
      <c r="C36" s="190">
        <v>6970000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13.2" hidden="1" x14ac:dyDescent="0.25">
      <c r="A37" s="504" t="s">
        <v>329</v>
      </c>
      <c r="B37" s="504" t="s">
        <v>332</v>
      </c>
      <c r="C37" s="190">
        <v>5180000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13.2" hidden="1" x14ac:dyDescent="0.25">
      <c r="A38" s="504" t="s">
        <v>333</v>
      </c>
      <c r="B38" s="504" t="s">
        <v>334</v>
      </c>
      <c r="C38" s="190">
        <v>5350000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13.2" hidden="1" x14ac:dyDescent="0.25">
      <c r="A39" s="504" t="s">
        <v>333</v>
      </c>
      <c r="B39" s="504" t="s">
        <v>335</v>
      </c>
      <c r="C39" s="190">
        <v>780000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13.2" hidden="1" x14ac:dyDescent="0.25">
      <c r="A40" s="504" t="s">
        <v>333</v>
      </c>
      <c r="B40" s="504" t="s">
        <v>336</v>
      </c>
      <c r="C40" s="191"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ht="13.2" hidden="1" x14ac:dyDescent="0.25">
      <c r="A41" s="504" t="s">
        <v>337</v>
      </c>
      <c r="B41" s="504" t="s">
        <v>338</v>
      </c>
      <c r="C41" s="190">
        <v>850000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13.2" hidden="1" x14ac:dyDescent="0.25">
      <c r="A42" s="504" t="s">
        <v>337</v>
      </c>
      <c r="B42" s="504" t="s">
        <v>339</v>
      </c>
      <c r="C42" s="190">
        <v>3600000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ht="13.2" hidden="1" x14ac:dyDescent="0.25">
      <c r="A43" s="504" t="s">
        <v>337</v>
      </c>
      <c r="B43" s="504" t="s">
        <v>340</v>
      </c>
      <c r="C43" s="170">
        <v>1300000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ht="13.2" hidden="1" x14ac:dyDescent="0.25">
      <c r="A44" s="504" t="s">
        <v>341</v>
      </c>
      <c r="B44" s="504" t="s">
        <v>342</v>
      </c>
      <c r="C44" s="190">
        <v>5175000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13.2" hidden="1" x14ac:dyDescent="0.25">
      <c r="A45" s="504" t="s">
        <v>341</v>
      </c>
      <c r="B45" s="504" t="s">
        <v>343</v>
      </c>
      <c r="C45" s="170">
        <v>8200000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13.2" hidden="1" x14ac:dyDescent="0.25">
      <c r="A46" s="504" t="s">
        <v>344</v>
      </c>
      <c r="B46" s="107" t="s">
        <v>345</v>
      </c>
      <c r="C46" s="190"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ht="13.2" hidden="1" x14ac:dyDescent="0.25">
      <c r="A47" s="504" t="s">
        <v>344</v>
      </c>
      <c r="B47" s="107" t="s">
        <v>346</v>
      </c>
      <c r="C47" s="190">
        <v>6900000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13.2" hidden="1" x14ac:dyDescent="0.25">
      <c r="A48" s="504" t="s">
        <v>344</v>
      </c>
      <c r="B48" s="504" t="s">
        <v>347</v>
      </c>
      <c r="C48" s="192">
        <v>5600000</v>
      </c>
      <c r="D48" s="15"/>
      <c r="E48" s="15"/>
      <c r="F48" s="15"/>
      <c r="K48" s="15"/>
      <c r="L48" s="15"/>
      <c r="M48" s="15"/>
      <c r="N48" s="15"/>
    </row>
    <row r="49" spans="1:14" ht="13.2" hidden="1" x14ac:dyDescent="0.25">
      <c r="A49" s="15" t="s">
        <v>344</v>
      </c>
      <c r="B49" s="15" t="s">
        <v>348</v>
      </c>
      <c r="C49" s="21"/>
      <c r="D49" s="41">
        <v>5550000</v>
      </c>
      <c r="F49" s="15"/>
      <c r="K49" s="15"/>
      <c r="L49" s="15"/>
      <c r="M49" s="15"/>
      <c r="N49" s="15"/>
    </row>
    <row r="52" spans="1:14" ht="26.25" customHeight="1" x14ac:dyDescent="0.4">
      <c r="A52" s="722" t="s">
        <v>349</v>
      </c>
      <c r="B52" s="723"/>
    </row>
    <row r="53" spans="1:14" ht="17.399999999999999" x14ac:dyDescent="0.3">
      <c r="A53" s="108" t="s">
        <v>318</v>
      </c>
      <c r="B53" s="193" t="s">
        <v>313</v>
      </c>
      <c r="C53" s="109" t="s">
        <v>350</v>
      </c>
      <c r="D53" s="110" t="s">
        <v>3</v>
      </c>
      <c r="E53" s="110" t="s">
        <v>351</v>
      </c>
      <c r="F53" s="110" t="s">
        <v>352</v>
      </c>
      <c r="G53" s="110" t="s">
        <v>6</v>
      </c>
      <c r="H53" s="110" t="s">
        <v>6</v>
      </c>
    </row>
    <row r="54" spans="1:14" ht="17.399999999999999" x14ac:dyDescent="0.3">
      <c r="A54" s="111" t="s">
        <v>295</v>
      </c>
      <c r="B54" s="112">
        <v>3298000</v>
      </c>
      <c r="C54" s="113">
        <v>3988000</v>
      </c>
      <c r="D54" s="113">
        <v>1878000</v>
      </c>
      <c r="E54" s="113">
        <v>1150000</v>
      </c>
      <c r="F54" s="113">
        <v>2835500</v>
      </c>
      <c r="G54" s="113">
        <v>2009000</v>
      </c>
      <c r="H54" s="113"/>
    </row>
    <row r="55" spans="1:14" ht="17.399999999999999" x14ac:dyDescent="0.3">
      <c r="A55" s="111" t="s">
        <v>125</v>
      </c>
      <c r="B55" s="114">
        <v>1437000</v>
      </c>
      <c r="C55" s="115">
        <v>860000</v>
      </c>
      <c r="D55" s="113">
        <v>977000</v>
      </c>
      <c r="E55" s="113">
        <v>1089000</v>
      </c>
      <c r="F55" s="113">
        <v>1543000</v>
      </c>
      <c r="G55" s="113">
        <v>760000</v>
      </c>
      <c r="H55" s="113"/>
    </row>
    <row r="56" spans="1:14" ht="17.399999999999999" x14ac:dyDescent="0.3">
      <c r="A56" s="111" t="s">
        <v>321</v>
      </c>
      <c r="B56" s="114">
        <v>158000</v>
      </c>
      <c r="C56" s="115">
        <v>740000</v>
      </c>
      <c r="D56" s="113">
        <v>995000</v>
      </c>
      <c r="E56" s="113">
        <v>2125000</v>
      </c>
      <c r="F56" s="113">
        <v>1560000</v>
      </c>
      <c r="G56" s="113">
        <v>1465000</v>
      </c>
      <c r="H56" s="113"/>
    </row>
    <row r="57" spans="1:14" ht="17.399999999999999" x14ac:dyDescent="0.3">
      <c r="A57" s="111" t="s">
        <v>180</v>
      </c>
      <c r="B57" s="114">
        <v>2012500</v>
      </c>
      <c r="C57" s="115">
        <v>2570000</v>
      </c>
      <c r="D57" s="113">
        <v>1403000</v>
      </c>
      <c r="E57" s="113">
        <v>2036000</v>
      </c>
      <c r="F57" s="113">
        <v>1932000</v>
      </c>
      <c r="G57" s="113">
        <v>482000</v>
      </c>
      <c r="H57" s="113"/>
    </row>
    <row r="58" spans="1:14" ht="17.399999999999999" x14ac:dyDescent="0.3">
      <c r="A58" s="256" t="s">
        <v>300</v>
      </c>
      <c r="B58" s="257">
        <v>2074000</v>
      </c>
      <c r="C58" s="258">
        <v>2200000</v>
      </c>
      <c r="D58" s="253">
        <v>1845000</v>
      </c>
      <c r="E58" s="253">
        <v>2765000</v>
      </c>
      <c r="F58" s="253">
        <v>2235000</v>
      </c>
      <c r="G58" s="253">
        <v>2220000</v>
      </c>
      <c r="H58" s="253"/>
    </row>
    <row r="59" spans="1:14" ht="17.399999999999999" x14ac:dyDescent="0.3">
      <c r="A59" s="98" t="s">
        <v>353</v>
      </c>
      <c r="B59" s="205" t="s">
        <v>36</v>
      </c>
      <c r="C59" s="205" t="s">
        <v>36</v>
      </c>
      <c r="D59" s="205" t="s">
        <v>36</v>
      </c>
      <c r="E59" s="205" t="s">
        <v>36</v>
      </c>
      <c r="F59" s="205" t="s">
        <v>36</v>
      </c>
      <c r="G59" s="254">
        <v>737000</v>
      </c>
      <c r="H59" s="254"/>
    </row>
    <row r="60" spans="1:14" ht="17.399999999999999" x14ac:dyDescent="0.3">
      <c r="A60" s="259" t="s">
        <v>210</v>
      </c>
      <c r="B60" s="255">
        <f>SUM(B54:B58)</f>
        <v>8979500</v>
      </c>
      <c r="C60" s="116">
        <v>10358000</v>
      </c>
      <c r="D60" s="116">
        <f>SUM(D54:D58)</f>
        <v>7098000</v>
      </c>
      <c r="E60" s="116">
        <f>SUM(E54:E58)</f>
        <v>9165000</v>
      </c>
      <c r="F60" s="116">
        <f>SUM(F54:F58)</f>
        <v>10105500</v>
      </c>
      <c r="G60" s="116">
        <f>SUM(G54:G59)</f>
        <v>7673000</v>
      </c>
      <c r="H60" s="116">
        <f>SUM(H54:H59)</f>
        <v>0</v>
      </c>
    </row>
  </sheetData>
  <mergeCells count="33">
    <mergeCell ref="Y19:Z19"/>
    <mergeCell ref="Y3:AA3"/>
    <mergeCell ref="AB3:AC3"/>
    <mergeCell ref="Y13:Z13"/>
    <mergeCell ref="AB13:AC13"/>
    <mergeCell ref="Y17:AB18"/>
    <mergeCell ref="S19:T19"/>
    <mergeCell ref="S3:U3"/>
    <mergeCell ref="V3:W3"/>
    <mergeCell ref="S13:T13"/>
    <mergeCell ref="V13:W13"/>
    <mergeCell ref="S17:V18"/>
    <mergeCell ref="M17:P18"/>
    <mergeCell ref="G3:I3"/>
    <mergeCell ref="J3:K3"/>
    <mergeCell ref="A52:B52"/>
    <mergeCell ref="G17:J18"/>
    <mergeCell ref="A17:D18"/>
    <mergeCell ref="G13:H13"/>
    <mergeCell ref="A13:B13"/>
    <mergeCell ref="D13:E13"/>
    <mergeCell ref="J13:K13"/>
    <mergeCell ref="M19:N19"/>
    <mergeCell ref="A19:B19"/>
    <mergeCell ref="A31:D31"/>
    <mergeCell ref="G19:H19"/>
    <mergeCell ref="P3:Q3"/>
    <mergeCell ref="P13:Q13"/>
    <mergeCell ref="M13:N13"/>
    <mergeCell ref="A1:I1"/>
    <mergeCell ref="D3:E3"/>
    <mergeCell ref="A3:C3"/>
    <mergeCell ref="M3:O3"/>
  </mergeCells>
  <pageMargins left="0" right="0" top="0" bottom="0" header="0" footer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22"/>
  <sheetViews>
    <sheetView topLeftCell="A14" workbookViewId="0">
      <selection activeCell="E21" sqref="E21"/>
    </sheetView>
  </sheetViews>
  <sheetFormatPr baseColWidth="10" defaultColWidth="14.44140625" defaultRowHeight="15.75" customHeight="1" x14ac:dyDescent="0.25"/>
  <cols>
    <col min="1" max="1" width="30.44140625" customWidth="1"/>
    <col min="2" max="2" width="24.88671875" customWidth="1"/>
    <col min="9" max="9" width="13.88671875" customWidth="1"/>
    <col min="15" max="15" width="16.44140625" customWidth="1"/>
  </cols>
  <sheetData>
    <row r="1" spans="1:15" ht="45" x14ac:dyDescent="0.75">
      <c r="A1" s="61">
        <v>2018</v>
      </c>
      <c r="B1" s="63"/>
      <c r="C1" s="63"/>
      <c r="D1" s="63"/>
      <c r="E1" s="63"/>
      <c r="F1" s="63"/>
      <c r="G1" s="63"/>
      <c r="H1" s="63"/>
      <c r="I1" s="63"/>
      <c r="J1" s="57"/>
      <c r="K1" s="57"/>
      <c r="L1" s="57"/>
      <c r="M1" s="57"/>
      <c r="N1" s="57"/>
    </row>
    <row r="2" spans="1:15" ht="22.8" x14ac:dyDescent="0.4">
      <c r="A2" s="728" t="s">
        <v>354</v>
      </c>
      <c r="B2" s="715"/>
      <c r="C2" s="715"/>
      <c r="D2" s="715"/>
      <c r="E2" s="715"/>
      <c r="F2" s="715"/>
      <c r="G2" s="715"/>
      <c r="H2" s="715"/>
      <c r="I2" s="715"/>
      <c r="J2" s="505"/>
      <c r="K2" s="505"/>
      <c r="L2" s="505"/>
      <c r="M2" s="505"/>
      <c r="N2" s="57"/>
    </row>
    <row r="3" spans="1:15" ht="15.6" x14ac:dyDescent="0.3">
      <c r="A3" s="167" t="s">
        <v>355</v>
      </c>
      <c r="B3" s="168" t="s">
        <v>1</v>
      </c>
      <c r="C3" s="65" t="s">
        <v>2</v>
      </c>
      <c r="D3" s="67" t="s">
        <v>3</v>
      </c>
      <c r="E3" s="68" t="s">
        <v>4</v>
      </c>
      <c r="F3" s="70" t="s">
        <v>5</v>
      </c>
      <c r="G3" s="71" t="s">
        <v>6</v>
      </c>
      <c r="H3" s="72" t="s">
        <v>356</v>
      </c>
      <c r="I3" s="67" t="s">
        <v>8</v>
      </c>
      <c r="J3" s="70" t="s">
        <v>9</v>
      </c>
      <c r="K3" s="73" t="s">
        <v>51</v>
      </c>
      <c r="L3" s="74" t="s">
        <v>11</v>
      </c>
      <c r="M3" s="72" t="s">
        <v>12</v>
      </c>
      <c r="N3" s="169" t="s">
        <v>13</v>
      </c>
    </row>
    <row r="4" spans="1:15" ht="13.2" x14ac:dyDescent="0.25">
      <c r="A4" s="318" t="s">
        <v>128</v>
      </c>
      <c r="B4" s="119">
        <v>6728445</v>
      </c>
      <c r="C4" s="119">
        <v>1654816</v>
      </c>
      <c r="D4" s="151">
        <v>0</v>
      </c>
      <c r="E4" s="151">
        <v>0</v>
      </c>
      <c r="F4" s="151">
        <v>0</v>
      </c>
      <c r="G4" s="151">
        <v>0</v>
      </c>
      <c r="H4" s="151">
        <v>0</v>
      </c>
      <c r="I4" s="151">
        <v>0</v>
      </c>
      <c r="J4" s="151">
        <v>0</v>
      </c>
      <c r="K4" s="151">
        <v>0</v>
      </c>
      <c r="L4" s="151">
        <v>0</v>
      </c>
      <c r="M4" s="151">
        <v>0</v>
      </c>
      <c r="N4" s="76">
        <f t="shared" ref="N4:N10" si="0">SUM(A4:M4)</f>
        <v>8383261</v>
      </c>
    </row>
    <row r="5" spans="1:15" ht="13.2" x14ac:dyDescent="0.25">
      <c r="A5" s="318" t="s">
        <v>357</v>
      </c>
      <c r="B5" s="151">
        <v>0</v>
      </c>
      <c r="C5" s="119">
        <v>1172800</v>
      </c>
      <c r="D5" s="119">
        <v>7740337</v>
      </c>
      <c r="E5" s="119">
        <v>980168</v>
      </c>
      <c r="F5" s="119">
        <v>72896</v>
      </c>
      <c r="G5" s="151">
        <v>0</v>
      </c>
      <c r="H5" s="119">
        <v>72800</v>
      </c>
      <c r="I5" s="151">
        <v>0</v>
      </c>
      <c r="J5" s="119">
        <v>3310000</v>
      </c>
      <c r="K5" s="151">
        <v>0</v>
      </c>
      <c r="L5" s="119">
        <v>238000</v>
      </c>
      <c r="M5" s="504"/>
      <c r="N5" s="76">
        <f t="shared" si="0"/>
        <v>13587001</v>
      </c>
    </row>
    <row r="6" spans="1:15" ht="13.2" x14ac:dyDescent="0.25">
      <c r="A6" s="318" t="s">
        <v>358</v>
      </c>
      <c r="B6" s="170">
        <v>6984243</v>
      </c>
      <c r="C6" s="170">
        <v>5109118</v>
      </c>
      <c r="D6" s="170">
        <v>6043844</v>
      </c>
      <c r="E6" s="119">
        <v>4306982</v>
      </c>
      <c r="F6" s="151">
        <v>0</v>
      </c>
      <c r="G6" s="151">
        <v>0</v>
      </c>
      <c r="H6" s="151">
        <v>0</v>
      </c>
      <c r="I6" s="151">
        <v>0</v>
      </c>
      <c r="J6" s="151">
        <v>0</v>
      </c>
      <c r="K6" s="151">
        <v>0</v>
      </c>
      <c r="L6" s="151">
        <v>0</v>
      </c>
      <c r="M6" s="151">
        <v>0</v>
      </c>
      <c r="N6" s="76">
        <f t="shared" si="0"/>
        <v>22444187</v>
      </c>
    </row>
    <row r="7" spans="1:15" ht="13.2" x14ac:dyDescent="0.25">
      <c r="A7" s="318" t="s">
        <v>359</v>
      </c>
      <c r="B7" s="119">
        <v>7508227</v>
      </c>
      <c r="C7" s="119">
        <v>6533409</v>
      </c>
      <c r="D7" s="119">
        <v>11720860</v>
      </c>
      <c r="E7" s="119">
        <v>3554241</v>
      </c>
      <c r="F7" s="151">
        <v>0</v>
      </c>
      <c r="G7" s="151">
        <v>0</v>
      </c>
      <c r="H7" s="151">
        <v>0</v>
      </c>
      <c r="I7" s="151">
        <v>0</v>
      </c>
      <c r="J7" s="151">
        <v>0</v>
      </c>
      <c r="K7" s="151">
        <v>0</v>
      </c>
      <c r="L7" s="151">
        <v>0</v>
      </c>
      <c r="M7" s="151">
        <v>0</v>
      </c>
      <c r="N7" s="76">
        <f t="shared" si="0"/>
        <v>29316737</v>
      </c>
    </row>
    <row r="8" spans="1:15" ht="13.2" x14ac:dyDescent="0.25">
      <c r="A8" s="318" t="s">
        <v>122</v>
      </c>
      <c r="B8" s="119">
        <v>8568860</v>
      </c>
      <c r="C8" s="119">
        <v>15672077</v>
      </c>
      <c r="D8" s="119">
        <v>5478808</v>
      </c>
      <c r="E8" s="119">
        <v>8788442</v>
      </c>
      <c r="F8" s="119">
        <v>11829810</v>
      </c>
      <c r="G8" s="119">
        <v>16539293</v>
      </c>
      <c r="H8" s="119">
        <v>10958082</v>
      </c>
      <c r="I8" s="119">
        <v>11214878</v>
      </c>
      <c r="J8" s="119">
        <v>5063259</v>
      </c>
      <c r="K8" s="119">
        <v>11066783</v>
      </c>
      <c r="L8" s="119">
        <v>8012560</v>
      </c>
      <c r="M8" s="119">
        <v>11511960</v>
      </c>
      <c r="N8" s="76">
        <f t="shared" si="0"/>
        <v>124704812</v>
      </c>
    </row>
    <row r="9" spans="1:15" ht="13.2" x14ac:dyDescent="0.25">
      <c r="A9" s="318" t="s">
        <v>280</v>
      </c>
      <c r="B9" s="119">
        <v>11141338</v>
      </c>
      <c r="C9" s="119">
        <v>15672200</v>
      </c>
      <c r="D9" s="119">
        <v>18860570</v>
      </c>
      <c r="E9" s="119">
        <v>11963616</v>
      </c>
      <c r="F9" s="119">
        <v>8810227</v>
      </c>
      <c r="G9" s="119">
        <v>16953196</v>
      </c>
      <c r="H9" s="119">
        <v>12114669</v>
      </c>
      <c r="I9" s="119">
        <v>5953794</v>
      </c>
      <c r="J9" s="119">
        <v>11181162</v>
      </c>
      <c r="K9" s="119">
        <v>12329137</v>
      </c>
      <c r="L9" s="119">
        <v>11637834</v>
      </c>
      <c r="M9" s="119">
        <v>11574690</v>
      </c>
      <c r="N9" s="76">
        <f t="shared" si="0"/>
        <v>148192433</v>
      </c>
    </row>
    <row r="10" spans="1:15" ht="13.2" x14ac:dyDescent="0.25">
      <c r="A10" s="318" t="s">
        <v>360</v>
      </c>
      <c r="B10" s="151">
        <v>0</v>
      </c>
      <c r="C10" s="151">
        <v>0</v>
      </c>
      <c r="D10" s="132"/>
      <c r="E10" s="119">
        <v>15880194</v>
      </c>
      <c r="F10" s="119">
        <v>6661899</v>
      </c>
      <c r="G10" s="119">
        <v>10627199</v>
      </c>
      <c r="H10" s="119">
        <v>17582677</v>
      </c>
      <c r="I10" s="119">
        <v>23518642</v>
      </c>
      <c r="J10" s="119">
        <v>9454632</v>
      </c>
      <c r="K10" s="119">
        <v>12743732</v>
      </c>
      <c r="L10" s="119">
        <v>8524640</v>
      </c>
      <c r="M10" s="119">
        <v>833000</v>
      </c>
      <c r="N10" s="76">
        <f t="shared" si="0"/>
        <v>105826615</v>
      </c>
    </row>
    <row r="11" spans="1:15" ht="13.2" x14ac:dyDescent="0.25">
      <c r="A11" s="318" t="s">
        <v>361</v>
      </c>
      <c r="B11" s="151">
        <v>0</v>
      </c>
      <c r="C11" s="151">
        <v>0</v>
      </c>
      <c r="D11" s="151">
        <v>0</v>
      </c>
      <c r="E11" s="151">
        <v>0</v>
      </c>
      <c r="F11" s="151">
        <v>0</v>
      </c>
      <c r="G11" s="151">
        <v>0</v>
      </c>
      <c r="H11" s="151">
        <v>0</v>
      </c>
      <c r="I11" s="151">
        <v>0</v>
      </c>
      <c r="J11" s="151">
        <v>0</v>
      </c>
      <c r="K11" s="119">
        <v>5227000</v>
      </c>
      <c r="L11" s="119">
        <v>2487680</v>
      </c>
      <c r="M11" s="151">
        <v>0</v>
      </c>
      <c r="N11" s="76">
        <f>SUM(N4:N10)</f>
        <v>452455046</v>
      </c>
    </row>
    <row r="12" spans="1:15" ht="13.2" x14ac:dyDescent="0.25">
      <c r="A12" s="318" t="s">
        <v>362</v>
      </c>
      <c r="B12" s="151">
        <v>0</v>
      </c>
      <c r="C12" s="151">
        <v>0</v>
      </c>
      <c r="D12" s="151">
        <v>0</v>
      </c>
      <c r="E12" s="151">
        <v>0</v>
      </c>
      <c r="F12" s="151">
        <v>0</v>
      </c>
      <c r="G12" s="151">
        <v>0</v>
      </c>
      <c r="H12" s="151">
        <v>0</v>
      </c>
      <c r="I12" s="151">
        <v>0</v>
      </c>
      <c r="J12" s="151">
        <v>0</v>
      </c>
      <c r="K12" s="119">
        <v>4555440</v>
      </c>
      <c r="L12" s="119">
        <v>13448015</v>
      </c>
      <c r="M12" s="119">
        <f>SUM(M4:M11)</f>
        <v>23919650</v>
      </c>
      <c r="N12" s="76">
        <f>SUM(B12:M12)</f>
        <v>41923105</v>
      </c>
    </row>
    <row r="13" spans="1:15" ht="13.2" x14ac:dyDescent="0.25">
      <c r="A13" s="318" t="s">
        <v>363</v>
      </c>
      <c r="B13" s="79">
        <f t="shared" ref="B13:E13" si="1">SUM(B4:B12)</f>
        <v>40931113</v>
      </c>
      <c r="C13" s="79">
        <f t="shared" si="1"/>
        <v>45814420</v>
      </c>
      <c r="D13" s="80">
        <f t="shared" si="1"/>
        <v>49844419</v>
      </c>
      <c r="E13" s="80">
        <f t="shared" si="1"/>
        <v>45473643</v>
      </c>
      <c r="F13" s="80">
        <f>SUM(F4:F10)</f>
        <v>27374832</v>
      </c>
      <c r="G13" s="80">
        <f t="shared" ref="G13:H13" si="2">SUM(G4:G12)</f>
        <v>44119688</v>
      </c>
      <c r="H13" s="80">
        <f t="shared" si="2"/>
        <v>40728228</v>
      </c>
      <c r="I13" s="80">
        <f>SUM(I7:I12)</f>
        <v>40687314</v>
      </c>
      <c r="J13" s="80">
        <f>SUM(J4:J12)</f>
        <v>29009053</v>
      </c>
      <c r="K13" s="79">
        <f>SUM(K8:K12)</f>
        <v>45922092</v>
      </c>
      <c r="L13" s="80">
        <f>SUM(L4:L12)</f>
        <v>44348729</v>
      </c>
      <c r="M13" s="80">
        <f>AVERAGE(M4:M12)</f>
        <v>5979912.5</v>
      </c>
      <c r="N13" s="82">
        <f>SUM(N4:N12)</f>
        <v>946833197</v>
      </c>
    </row>
    <row r="14" spans="1:15" ht="45" x14ac:dyDescent="0.75">
      <c r="A14" s="61">
        <v>2019</v>
      </c>
      <c r="B14" s="79"/>
      <c r="C14" s="79"/>
      <c r="D14" s="80"/>
      <c r="E14" s="80"/>
      <c r="F14" s="80"/>
      <c r="G14" s="80"/>
      <c r="H14" s="80"/>
      <c r="I14" s="80"/>
      <c r="J14" s="80"/>
      <c r="K14" s="79"/>
      <c r="L14" s="80"/>
      <c r="M14" s="80"/>
      <c r="N14" s="82"/>
    </row>
    <row r="15" spans="1:15" ht="30" customHeight="1" x14ac:dyDescent="0.4">
      <c r="A15" s="83" t="s">
        <v>364</v>
      </c>
      <c r="B15" s="5" t="s">
        <v>25</v>
      </c>
      <c r="C15" s="6" t="s">
        <v>1</v>
      </c>
      <c r="D15" s="6" t="s">
        <v>2</v>
      </c>
      <c r="E15" s="6" t="s">
        <v>3</v>
      </c>
      <c r="F15" s="6" t="s">
        <v>4</v>
      </c>
      <c r="G15" s="6" t="s">
        <v>5</v>
      </c>
      <c r="H15" s="6" t="s">
        <v>6</v>
      </c>
      <c r="I15" s="6" t="s">
        <v>7</v>
      </c>
      <c r="J15" s="6" t="s">
        <v>8</v>
      </c>
      <c r="K15" s="6" t="s">
        <v>9</v>
      </c>
      <c r="L15" s="6" t="s">
        <v>10</v>
      </c>
      <c r="M15" s="6" t="s">
        <v>11</v>
      </c>
      <c r="N15" s="6" t="s">
        <v>12</v>
      </c>
      <c r="O15" s="6" t="s">
        <v>13</v>
      </c>
    </row>
    <row r="16" spans="1:15" ht="13.2" x14ac:dyDescent="0.25">
      <c r="A16" s="8" t="s">
        <v>365</v>
      </c>
      <c r="B16" s="44">
        <v>55000000</v>
      </c>
      <c r="C16" s="84">
        <v>34420900</v>
      </c>
      <c r="D16" s="54">
        <v>55776895</v>
      </c>
      <c r="E16" s="138">
        <v>64184989</v>
      </c>
      <c r="F16" s="15"/>
      <c r="G16" s="15"/>
      <c r="H16" s="15"/>
      <c r="I16" s="15"/>
      <c r="J16" s="15"/>
      <c r="K16" s="15"/>
      <c r="L16" s="15"/>
      <c r="M16" s="15"/>
      <c r="N16" s="15"/>
      <c r="O16" s="89">
        <f t="shared" ref="O16:O21" si="3">SUM(C16:N16)</f>
        <v>154382784</v>
      </c>
    </row>
    <row r="17" spans="1:15" ht="13.2" x14ac:dyDescent="0.25">
      <c r="A17" s="318" t="s">
        <v>280</v>
      </c>
      <c r="B17" s="50">
        <v>11000000</v>
      </c>
      <c r="C17" s="146">
        <v>11259590</v>
      </c>
      <c r="D17" s="135">
        <v>12380325</v>
      </c>
      <c r="E17" s="135">
        <v>12877382</v>
      </c>
      <c r="F17" s="504"/>
      <c r="G17" s="504"/>
      <c r="H17" s="504"/>
      <c r="I17" s="504"/>
      <c r="J17" s="504"/>
      <c r="K17" s="504"/>
      <c r="L17" s="504"/>
      <c r="M17" s="504"/>
      <c r="N17" s="504"/>
      <c r="O17" s="145">
        <f t="shared" si="3"/>
        <v>36517297</v>
      </c>
    </row>
    <row r="18" spans="1:15" ht="13.2" x14ac:dyDescent="0.25">
      <c r="A18" s="318" t="s">
        <v>366</v>
      </c>
      <c r="B18" s="50">
        <v>11000000</v>
      </c>
      <c r="C18" s="144">
        <v>8917680</v>
      </c>
      <c r="D18" s="148">
        <v>8336440</v>
      </c>
      <c r="E18" s="135">
        <v>12514432</v>
      </c>
      <c r="F18" s="504"/>
      <c r="G18" s="504"/>
      <c r="H18" s="504"/>
      <c r="I18" s="504"/>
      <c r="J18" s="504"/>
      <c r="K18" s="504"/>
      <c r="L18" s="504"/>
      <c r="M18" s="504"/>
      <c r="N18" s="504"/>
      <c r="O18" s="145">
        <f t="shared" si="3"/>
        <v>29768552</v>
      </c>
    </row>
    <row r="19" spans="1:15" ht="13.2" x14ac:dyDescent="0.25">
      <c r="A19" s="90" t="s">
        <v>367</v>
      </c>
      <c r="B19" s="50">
        <v>11000000</v>
      </c>
      <c r="C19" s="87">
        <v>1663550</v>
      </c>
      <c r="D19" s="56">
        <v>11336280</v>
      </c>
      <c r="E19" s="56">
        <v>11253829</v>
      </c>
      <c r="F19" s="88"/>
      <c r="G19" s="88"/>
      <c r="H19" s="88"/>
      <c r="I19" s="88"/>
      <c r="J19" s="88"/>
      <c r="K19" s="88"/>
      <c r="L19" s="88"/>
      <c r="M19" s="88"/>
      <c r="N19" s="88"/>
      <c r="O19" s="89">
        <f t="shared" si="3"/>
        <v>24253659</v>
      </c>
    </row>
    <row r="20" spans="1:15" ht="13.2" x14ac:dyDescent="0.25">
      <c r="A20" s="86" t="s">
        <v>122</v>
      </c>
      <c r="B20" s="50">
        <v>11000000</v>
      </c>
      <c r="C20" s="87">
        <v>266560</v>
      </c>
      <c r="D20" s="56">
        <v>12474290</v>
      </c>
      <c r="E20" s="56">
        <v>13349975</v>
      </c>
      <c r="F20" s="88"/>
      <c r="G20" s="88"/>
      <c r="H20" s="88"/>
      <c r="I20" s="88"/>
      <c r="J20" s="88"/>
      <c r="K20" s="88"/>
      <c r="L20" s="88"/>
      <c r="M20" s="88"/>
      <c r="N20" s="88"/>
      <c r="O20" s="89">
        <f t="shared" si="3"/>
        <v>26090825</v>
      </c>
    </row>
    <row r="21" spans="1:15" ht="13.2" x14ac:dyDescent="0.25">
      <c r="A21" s="86" t="s">
        <v>362</v>
      </c>
      <c r="B21" s="50">
        <v>11000000</v>
      </c>
      <c r="C21" s="89">
        <v>12313520</v>
      </c>
      <c r="D21" s="56">
        <v>11249560</v>
      </c>
      <c r="E21" s="56">
        <v>12789371</v>
      </c>
      <c r="F21" s="88"/>
      <c r="G21" s="88"/>
      <c r="H21" s="88"/>
      <c r="I21" s="88"/>
      <c r="J21" s="88"/>
      <c r="K21" s="88"/>
      <c r="L21" s="88"/>
      <c r="M21" s="88"/>
      <c r="N21" s="88"/>
      <c r="O21" s="89">
        <f t="shared" si="3"/>
        <v>36352451</v>
      </c>
    </row>
    <row r="22" spans="1:15" ht="15.75" customHeight="1" x14ac:dyDescent="0.25">
      <c r="A22" s="90" t="s">
        <v>368</v>
      </c>
      <c r="B22" s="24"/>
      <c r="C22" s="207"/>
      <c r="D22" s="54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91">
        <f>SUM(O17:O21)</f>
        <v>152982784</v>
      </c>
    </row>
  </sheetData>
  <mergeCells count="1">
    <mergeCell ref="A2:I2"/>
  </mergeCells>
  <pageMargins left="0" right="0" top="0" bottom="0" header="0" footer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12F5-F367-42AC-B4DC-E819776CF2C9}">
  <dimension ref="A1:O14"/>
  <sheetViews>
    <sheetView workbookViewId="0">
      <selection activeCell="H19" sqref="H19"/>
    </sheetView>
  </sheetViews>
  <sheetFormatPr baseColWidth="10" defaultColWidth="8.88671875" defaultRowHeight="13.2" x14ac:dyDescent="0.25"/>
  <cols>
    <col min="1" max="1" width="27.6640625" customWidth="1"/>
    <col min="2" max="2" width="20.5546875" customWidth="1"/>
    <col min="3" max="3" width="11.109375" customWidth="1"/>
    <col min="4" max="4" width="15.33203125" customWidth="1"/>
    <col min="5" max="6" width="10.44140625" bestFit="1" customWidth="1"/>
    <col min="7" max="7" width="12.5546875" customWidth="1"/>
    <col min="8" max="8" width="11.88671875" customWidth="1"/>
    <col min="9" max="9" width="10.44140625" bestFit="1" customWidth="1"/>
    <col min="10" max="13" width="0" hidden="1" customWidth="1"/>
    <col min="14" max="14" width="0.109375" customWidth="1"/>
    <col min="15" max="15" width="16.109375" customWidth="1"/>
  </cols>
  <sheetData>
    <row r="1" spans="1:15" ht="49.2" x14ac:dyDescent="0.85">
      <c r="A1" s="625">
        <v>2022</v>
      </c>
    </row>
    <row r="2" spans="1:15" ht="30" x14ac:dyDescent="0.5">
      <c r="A2" s="623" t="s">
        <v>369</v>
      </c>
      <c r="B2" s="624" t="s">
        <v>235</v>
      </c>
      <c r="C2" s="624" t="s">
        <v>1</v>
      </c>
      <c r="D2" s="624" t="s">
        <v>2</v>
      </c>
      <c r="E2" s="624" t="s">
        <v>3</v>
      </c>
      <c r="F2" s="624" t="s">
        <v>4</v>
      </c>
      <c r="G2" s="624" t="s">
        <v>5</v>
      </c>
      <c r="H2" s="624" t="s">
        <v>6</v>
      </c>
      <c r="I2" s="624" t="s">
        <v>7</v>
      </c>
      <c r="J2" s="624" t="s">
        <v>8</v>
      </c>
      <c r="K2" s="624" t="s">
        <v>9</v>
      </c>
      <c r="L2" s="624" t="s">
        <v>10</v>
      </c>
      <c r="M2" s="624" t="s">
        <v>11</v>
      </c>
      <c r="N2" s="624" t="s">
        <v>12</v>
      </c>
      <c r="O2" s="705" t="s">
        <v>13</v>
      </c>
    </row>
    <row r="3" spans="1:15" x14ac:dyDescent="0.25">
      <c r="A3" s="619" t="s">
        <v>370</v>
      </c>
      <c r="B3" s="583">
        <v>45000000</v>
      </c>
      <c r="C3" s="614">
        <f t="shared" ref="C3:N3" si="0">SUM(B3)</f>
        <v>45000000</v>
      </c>
      <c r="D3" s="614">
        <f t="shared" si="0"/>
        <v>45000000</v>
      </c>
      <c r="E3" s="333">
        <v>53400000</v>
      </c>
      <c r="F3" s="333">
        <v>45580000</v>
      </c>
      <c r="G3" s="706">
        <v>33250000</v>
      </c>
      <c r="H3" s="40">
        <v>29966177</v>
      </c>
      <c r="I3" s="535">
        <v>50710000</v>
      </c>
      <c r="J3" s="220">
        <f t="shared" si="0"/>
        <v>50710000</v>
      </c>
      <c r="K3" s="220">
        <f t="shared" si="0"/>
        <v>50710000</v>
      </c>
      <c r="L3" s="220">
        <f t="shared" si="0"/>
        <v>50710000</v>
      </c>
      <c r="M3" s="220">
        <f t="shared" si="0"/>
        <v>50710000</v>
      </c>
      <c r="N3" s="220">
        <f t="shared" si="0"/>
        <v>50710000</v>
      </c>
      <c r="O3" s="220">
        <f>C3+D3+E3+F3+G3+H3+I3</f>
        <v>302906177</v>
      </c>
    </row>
    <row r="4" spans="1:15" x14ac:dyDescent="0.25">
      <c r="A4" s="610" t="s">
        <v>207</v>
      </c>
      <c r="B4" s="583">
        <v>10000000</v>
      </c>
      <c r="C4" s="701">
        <v>9850000</v>
      </c>
      <c r="D4" s="701">
        <v>13000000</v>
      </c>
      <c r="E4" s="220">
        <v>18750000</v>
      </c>
      <c r="F4" s="220">
        <v>7500000</v>
      </c>
      <c r="G4" s="220">
        <v>2950000</v>
      </c>
      <c r="H4" s="194">
        <v>0</v>
      </c>
      <c r="I4" s="194">
        <v>0</v>
      </c>
      <c r="J4" s="194"/>
      <c r="K4" s="194"/>
      <c r="L4" s="194"/>
      <c r="M4" s="194"/>
      <c r="N4" s="194"/>
      <c r="O4" s="220">
        <f t="shared" ref="O4:O12" si="1">C4+D4+E4+F4+G4+H4+I4</f>
        <v>52050000</v>
      </c>
    </row>
    <row r="5" spans="1:15" x14ac:dyDescent="0.25">
      <c r="A5" s="610" t="s">
        <v>371</v>
      </c>
      <c r="B5" s="583">
        <v>10000000</v>
      </c>
      <c r="C5" s="272">
        <v>9130000</v>
      </c>
      <c r="D5" s="272">
        <v>9800000</v>
      </c>
      <c r="E5" s="220">
        <v>6450000</v>
      </c>
      <c r="F5" s="220">
        <v>16360000</v>
      </c>
      <c r="G5" s="220">
        <v>5150000</v>
      </c>
      <c r="H5" s="220">
        <v>12925000</v>
      </c>
      <c r="I5" s="220">
        <v>18800000</v>
      </c>
      <c r="J5" s="194"/>
      <c r="K5" s="194"/>
      <c r="L5" s="194"/>
      <c r="M5" s="194"/>
      <c r="N5" s="194"/>
      <c r="O5" s="220">
        <f t="shared" si="1"/>
        <v>78615000</v>
      </c>
    </row>
    <row r="6" spans="1:15" x14ac:dyDescent="0.25">
      <c r="A6" s="610" t="s">
        <v>372</v>
      </c>
      <c r="B6" s="583">
        <v>10000000</v>
      </c>
      <c r="C6" s="272">
        <v>11800000</v>
      </c>
      <c r="D6" s="272">
        <v>10100000</v>
      </c>
      <c r="E6" s="220">
        <v>11550000</v>
      </c>
      <c r="F6" s="220">
        <v>10120000</v>
      </c>
      <c r="G6" s="220">
        <v>15250000</v>
      </c>
      <c r="H6" s="220">
        <v>7600000</v>
      </c>
      <c r="I6" s="220">
        <v>9000000</v>
      </c>
      <c r="J6" s="194"/>
      <c r="K6" s="194"/>
      <c r="L6" s="194"/>
      <c r="M6" s="194"/>
      <c r="N6" s="194"/>
      <c r="O6" s="220">
        <f t="shared" si="1"/>
        <v>75420000</v>
      </c>
    </row>
    <row r="7" spans="1:15" x14ac:dyDescent="0.25">
      <c r="A7" s="620" t="s">
        <v>373</v>
      </c>
      <c r="B7" s="583">
        <v>10000000</v>
      </c>
      <c r="C7" s="272">
        <v>14100000</v>
      </c>
      <c r="D7" s="272">
        <v>6550000</v>
      </c>
      <c r="E7" s="220">
        <v>11800000</v>
      </c>
      <c r="F7" s="220">
        <v>14600000</v>
      </c>
      <c r="G7" s="220">
        <v>9900000</v>
      </c>
      <c r="H7" s="220">
        <v>9441177</v>
      </c>
      <c r="I7" s="220">
        <v>16910000</v>
      </c>
      <c r="J7" s="220">
        <f>SUM(C7:I7)</f>
        <v>83301177</v>
      </c>
      <c r="K7" s="194"/>
      <c r="L7" s="194"/>
      <c r="M7" s="194"/>
      <c r="N7" s="194"/>
      <c r="O7" s="220">
        <f t="shared" si="1"/>
        <v>83301177</v>
      </c>
    </row>
    <row r="8" spans="1:15" x14ac:dyDescent="0.25">
      <c r="A8" s="620" t="s">
        <v>374</v>
      </c>
      <c r="B8" s="583">
        <v>10000000</v>
      </c>
      <c r="C8" s="272"/>
      <c r="D8" s="272"/>
      <c r="E8" s="220"/>
      <c r="F8" s="220"/>
      <c r="G8" s="220"/>
      <c r="H8" s="220"/>
      <c r="I8" s="220"/>
      <c r="J8" s="220">
        <f>SUM(C8:I8)</f>
        <v>0</v>
      </c>
      <c r="K8" s="194"/>
      <c r="L8" s="194"/>
      <c r="M8" s="194"/>
      <c r="N8" s="194"/>
      <c r="O8" s="220">
        <f t="shared" si="1"/>
        <v>0</v>
      </c>
    </row>
    <row r="9" spans="1:15" x14ac:dyDescent="0.25">
      <c r="A9" s="619" t="s">
        <v>134</v>
      </c>
      <c r="B9" s="702"/>
      <c r="C9" s="703"/>
      <c r="D9" s="703"/>
      <c r="E9" s="704"/>
      <c r="F9" s="704"/>
      <c r="G9" s="704"/>
      <c r="H9" s="704"/>
      <c r="I9" s="704"/>
      <c r="J9" s="704"/>
      <c r="K9" s="704"/>
      <c r="L9" s="704"/>
      <c r="M9" s="704"/>
      <c r="N9" s="704"/>
      <c r="O9" s="220">
        <f t="shared" si="1"/>
        <v>0</v>
      </c>
    </row>
    <row r="10" spans="1:15" x14ac:dyDescent="0.25">
      <c r="A10" s="551" t="s">
        <v>375</v>
      </c>
      <c r="B10" s="583">
        <v>13000000</v>
      </c>
      <c r="C10" s="272">
        <v>18800000</v>
      </c>
      <c r="D10" s="272">
        <v>21290000</v>
      </c>
      <c r="E10" s="220">
        <v>21000000</v>
      </c>
      <c r="F10" s="220">
        <v>18800000</v>
      </c>
      <c r="G10" s="220">
        <v>18800000</v>
      </c>
      <c r="H10" s="220">
        <v>23136177</v>
      </c>
      <c r="I10" s="220">
        <v>32500000</v>
      </c>
      <c r="J10" s="194"/>
      <c r="K10" s="194"/>
      <c r="L10" s="194"/>
      <c r="M10" s="194"/>
      <c r="N10" s="194"/>
      <c r="O10" s="220">
        <f t="shared" si="1"/>
        <v>154326177</v>
      </c>
    </row>
    <row r="11" spans="1:15" x14ac:dyDescent="0.25">
      <c r="A11" s="551" t="s">
        <v>99</v>
      </c>
      <c r="B11" s="583">
        <v>13000000</v>
      </c>
      <c r="C11" s="272"/>
      <c r="D11" s="205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220">
        <f t="shared" si="1"/>
        <v>0</v>
      </c>
    </row>
    <row r="12" spans="1:15" x14ac:dyDescent="0.25">
      <c r="A12" s="551" t="s">
        <v>124</v>
      </c>
      <c r="B12" s="583">
        <v>13000000</v>
      </c>
      <c r="C12" s="272"/>
      <c r="D12" s="272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20">
        <f t="shared" si="1"/>
        <v>0</v>
      </c>
    </row>
    <row r="13" spans="1:15" x14ac:dyDescent="0.25">
      <c r="A13" s="194"/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220">
        <f t="shared" ref="O13" si="2">SUM(C13:N13)</f>
        <v>0</v>
      </c>
    </row>
    <row r="14" spans="1:15" x14ac:dyDescent="0.25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87"/>
  <sheetViews>
    <sheetView workbookViewId="0">
      <selection activeCell="F37" sqref="F37"/>
    </sheetView>
  </sheetViews>
  <sheetFormatPr baseColWidth="10" defaultColWidth="14.44140625" defaultRowHeight="15.75" customHeight="1" x14ac:dyDescent="0.25"/>
  <cols>
    <col min="1" max="1" width="17.109375" customWidth="1"/>
    <col min="2" max="2" width="24.109375" customWidth="1"/>
    <col min="3" max="3" width="20.33203125" customWidth="1"/>
    <col min="4" max="4" width="19.5546875" customWidth="1"/>
    <col min="5" max="5" width="19.44140625" customWidth="1"/>
    <col min="6" max="6" width="34.77734375" customWidth="1"/>
    <col min="7" max="7" width="17.6640625" customWidth="1"/>
    <col min="8" max="8" width="17.44140625" customWidth="1"/>
    <col min="9" max="9" width="16.6640625" customWidth="1"/>
    <col min="10" max="10" width="19" customWidth="1"/>
    <col min="15" max="15" width="17.44140625" customWidth="1"/>
  </cols>
  <sheetData>
    <row r="1" spans="1:9" ht="13.2" x14ac:dyDescent="0.25">
      <c r="I1" s="57"/>
    </row>
    <row r="2" spans="1:9" ht="33" customHeight="1" x14ac:dyDescent="0.4">
      <c r="A2" s="733" t="s">
        <v>376</v>
      </c>
      <c r="B2" s="734"/>
      <c r="C2" s="505"/>
      <c r="D2" s="505"/>
      <c r="E2" s="505"/>
      <c r="F2" s="505"/>
      <c r="G2" s="505"/>
      <c r="H2" s="505"/>
      <c r="I2" s="57"/>
    </row>
    <row r="3" spans="1:9" ht="15.6" x14ac:dyDescent="0.3">
      <c r="A3" s="318" t="s">
        <v>377</v>
      </c>
      <c r="B3" s="359" t="s">
        <v>295</v>
      </c>
      <c r="C3" s="359" t="s">
        <v>125</v>
      </c>
      <c r="D3" s="359" t="s">
        <v>321</v>
      </c>
      <c r="E3" s="359" t="s">
        <v>180</v>
      </c>
      <c r="F3" s="360" t="s">
        <v>378</v>
      </c>
      <c r="G3" s="359" t="s">
        <v>256</v>
      </c>
      <c r="H3" s="171" t="s">
        <v>379</v>
      </c>
      <c r="I3" s="57"/>
    </row>
    <row r="4" spans="1:9" ht="15.6" x14ac:dyDescent="0.3">
      <c r="A4" s="172" t="s">
        <v>313</v>
      </c>
      <c r="B4" s="79">
        <v>47160000</v>
      </c>
      <c r="C4" s="170">
        <v>22970000</v>
      </c>
      <c r="D4" s="170">
        <v>11950000</v>
      </c>
      <c r="E4" s="170">
        <v>9620000</v>
      </c>
      <c r="F4" s="79">
        <v>6640000</v>
      </c>
      <c r="G4" s="79">
        <v>28650000</v>
      </c>
      <c r="H4" s="92">
        <f t="shared" ref="H4:H15" si="0">SUM(B4:G4)</f>
        <v>126990000</v>
      </c>
      <c r="I4" s="57"/>
    </row>
    <row r="5" spans="1:9" ht="15.6" x14ac:dyDescent="0.3">
      <c r="A5" s="167" t="s">
        <v>350</v>
      </c>
      <c r="B5" s="79">
        <v>30270000</v>
      </c>
      <c r="C5" s="79">
        <v>38565000</v>
      </c>
      <c r="D5" s="79">
        <v>16680000</v>
      </c>
      <c r="E5" s="79">
        <v>18550000</v>
      </c>
      <c r="F5" s="79">
        <v>9800000</v>
      </c>
      <c r="G5" s="119">
        <v>24250000</v>
      </c>
      <c r="H5" s="92">
        <f t="shared" si="0"/>
        <v>138115000</v>
      </c>
      <c r="I5" s="57"/>
    </row>
    <row r="6" spans="1:9" ht="15.6" x14ac:dyDescent="0.3">
      <c r="A6" s="167" t="s">
        <v>314</v>
      </c>
      <c r="B6" s="79">
        <v>37350000</v>
      </c>
      <c r="C6" s="79">
        <v>25245000</v>
      </c>
      <c r="D6" s="79">
        <v>20430030</v>
      </c>
      <c r="E6" s="173">
        <v>10980000</v>
      </c>
      <c r="F6" s="79">
        <v>5093000</v>
      </c>
      <c r="G6" s="173">
        <v>17450000</v>
      </c>
      <c r="H6" s="92">
        <f t="shared" si="0"/>
        <v>116548030</v>
      </c>
      <c r="I6" s="57"/>
    </row>
    <row r="7" spans="1:9" ht="15.6" x14ac:dyDescent="0.3">
      <c r="A7" s="167" t="s">
        <v>351</v>
      </c>
      <c r="B7" s="79">
        <v>41115000</v>
      </c>
      <c r="C7" s="174">
        <v>31350600</v>
      </c>
      <c r="D7" s="79">
        <v>24705000</v>
      </c>
      <c r="E7" s="79">
        <v>18319736</v>
      </c>
      <c r="F7" s="173">
        <v>0</v>
      </c>
      <c r="G7" s="79">
        <v>28800000</v>
      </c>
      <c r="H7" s="92">
        <f t="shared" si="0"/>
        <v>144290336</v>
      </c>
      <c r="I7" s="57"/>
    </row>
    <row r="8" spans="1:9" ht="15.6" x14ac:dyDescent="0.3">
      <c r="A8" s="167" t="s">
        <v>352</v>
      </c>
      <c r="B8" s="79">
        <v>31990000</v>
      </c>
      <c r="C8" s="79">
        <v>21968300</v>
      </c>
      <c r="D8" s="79">
        <v>21970000</v>
      </c>
      <c r="E8" s="173">
        <v>6950000</v>
      </c>
      <c r="F8" s="79">
        <v>6730000</v>
      </c>
      <c r="G8" s="79">
        <v>34820000</v>
      </c>
      <c r="H8" s="92">
        <f t="shared" si="0"/>
        <v>124428300</v>
      </c>
      <c r="I8" s="57"/>
    </row>
    <row r="9" spans="1:9" ht="15.6" x14ac:dyDescent="0.3">
      <c r="A9" s="167" t="s">
        <v>380</v>
      </c>
      <c r="B9" s="79">
        <v>31370000</v>
      </c>
      <c r="C9" s="79">
        <v>32676240</v>
      </c>
      <c r="D9" s="79">
        <v>18070000</v>
      </c>
      <c r="E9" s="79">
        <v>20609913</v>
      </c>
      <c r="F9" s="79">
        <v>7470000</v>
      </c>
      <c r="G9" s="79">
        <v>21380000</v>
      </c>
      <c r="H9" s="92">
        <f t="shared" si="0"/>
        <v>131576153</v>
      </c>
      <c r="I9" s="57"/>
    </row>
    <row r="10" spans="1:9" ht="15.6" x14ac:dyDescent="0.3">
      <c r="A10" s="167" t="s">
        <v>7</v>
      </c>
      <c r="B10" s="79">
        <v>42050000</v>
      </c>
      <c r="C10" s="79">
        <v>26780000</v>
      </c>
      <c r="D10" s="79">
        <v>17550000</v>
      </c>
      <c r="E10" s="173">
        <v>12750000</v>
      </c>
      <c r="F10" s="79">
        <v>6210000</v>
      </c>
      <c r="G10" s="79">
        <v>27200000</v>
      </c>
      <c r="H10" s="92">
        <f t="shared" si="0"/>
        <v>132540000</v>
      </c>
      <c r="I10" s="57"/>
    </row>
    <row r="11" spans="1:9" ht="15.6" x14ac:dyDescent="0.3">
      <c r="A11" s="167" t="s">
        <v>381</v>
      </c>
      <c r="B11" s="79">
        <v>41580000</v>
      </c>
      <c r="C11" s="79">
        <v>43910000</v>
      </c>
      <c r="D11" s="79">
        <v>23109076</v>
      </c>
      <c r="E11" s="79">
        <v>16730000</v>
      </c>
      <c r="F11" s="79">
        <v>8408000</v>
      </c>
      <c r="G11" s="173">
        <v>18780000</v>
      </c>
      <c r="H11" s="92">
        <f t="shared" si="0"/>
        <v>152517076</v>
      </c>
      <c r="I11" s="57"/>
    </row>
    <row r="12" spans="1:9" ht="15.6" x14ac:dyDescent="0.3">
      <c r="A12" s="167" t="s">
        <v>382</v>
      </c>
      <c r="B12" s="79">
        <v>28950000</v>
      </c>
      <c r="C12" s="79">
        <v>33140000</v>
      </c>
      <c r="D12" s="173">
        <v>11100000</v>
      </c>
      <c r="E12" s="79">
        <v>23450000</v>
      </c>
      <c r="F12" s="173">
        <v>3180000</v>
      </c>
      <c r="G12" s="79">
        <v>21570000</v>
      </c>
      <c r="H12" s="92">
        <f t="shared" si="0"/>
        <v>121390000</v>
      </c>
      <c r="I12" s="57"/>
    </row>
    <row r="13" spans="1:9" ht="15.6" x14ac:dyDescent="0.3">
      <c r="A13" s="167" t="s">
        <v>383</v>
      </c>
      <c r="B13" s="79">
        <v>45972040</v>
      </c>
      <c r="C13" s="79">
        <v>32632000</v>
      </c>
      <c r="D13" s="79">
        <v>21530000</v>
      </c>
      <c r="E13" s="79">
        <v>27200000</v>
      </c>
      <c r="F13" s="173">
        <v>3050000</v>
      </c>
      <c r="G13" s="79">
        <v>21070000</v>
      </c>
      <c r="H13" s="92">
        <f t="shared" si="0"/>
        <v>151454040</v>
      </c>
      <c r="I13" s="57"/>
    </row>
    <row r="14" spans="1:9" ht="15.6" x14ac:dyDescent="0.3">
      <c r="A14" s="167" t="s">
        <v>384</v>
      </c>
      <c r="B14" s="79">
        <v>53860000</v>
      </c>
      <c r="C14" s="79">
        <v>24136000</v>
      </c>
      <c r="D14" s="79">
        <v>22270000</v>
      </c>
      <c r="E14" s="79">
        <v>25593000</v>
      </c>
      <c r="F14" s="173">
        <v>3600000</v>
      </c>
      <c r="G14" s="79">
        <v>30197400</v>
      </c>
      <c r="H14" s="92">
        <f t="shared" si="0"/>
        <v>159656400</v>
      </c>
      <c r="I14" s="57"/>
    </row>
    <row r="15" spans="1:9" ht="15.6" x14ac:dyDescent="0.3">
      <c r="A15" s="167" t="s">
        <v>385</v>
      </c>
      <c r="B15" s="79">
        <v>24250000</v>
      </c>
      <c r="C15" s="79">
        <v>22026000</v>
      </c>
      <c r="D15" s="173">
        <v>7800000</v>
      </c>
      <c r="E15" s="79">
        <v>20400000</v>
      </c>
      <c r="F15" s="119">
        <v>44880000</v>
      </c>
      <c r="G15" s="79">
        <v>20130000</v>
      </c>
      <c r="H15" s="92">
        <f t="shared" si="0"/>
        <v>139486000</v>
      </c>
      <c r="I15" s="57"/>
    </row>
    <row r="16" spans="1:9" ht="15" x14ac:dyDescent="0.25">
      <c r="A16" s="94" t="s">
        <v>13</v>
      </c>
      <c r="B16" s="334">
        <f t="shared" ref="B16:G16" si="1">SUM(B4:B15)</f>
        <v>455917040</v>
      </c>
      <c r="C16" s="334">
        <f t="shared" si="1"/>
        <v>355399140</v>
      </c>
      <c r="D16" s="334">
        <f t="shared" si="1"/>
        <v>217164106</v>
      </c>
      <c r="E16" s="334">
        <f t="shared" si="1"/>
        <v>211152649</v>
      </c>
      <c r="F16" s="334">
        <f t="shared" si="1"/>
        <v>105061000</v>
      </c>
      <c r="G16" s="334">
        <f t="shared" si="1"/>
        <v>294297400</v>
      </c>
      <c r="H16" s="175"/>
      <c r="I16" s="57"/>
    </row>
    <row r="17" spans="1:16" ht="17.25" customHeight="1" x14ac:dyDescent="0.25">
      <c r="A17" s="478" t="s">
        <v>386</v>
      </c>
      <c r="B17" s="479">
        <f t="shared" ref="B17:G17" si="2">AVERAGE(B4:B15)</f>
        <v>37993086.666666664</v>
      </c>
      <c r="C17" s="479">
        <f t="shared" si="2"/>
        <v>29616595</v>
      </c>
      <c r="D17" s="479">
        <f t="shared" si="2"/>
        <v>18097008.833333332</v>
      </c>
      <c r="E17" s="479">
        <f t="shared" si="2"/>
        <v>17596054.083333332</v>
      </c>
      <c r="F17" s="479">
        <f t="shared" si="2"/>
        <v>8755083.333333334</v>
      </c>
      <c r="G17" s="479">
        <f t="shared" si="2"/>
        <v>24524783.333333332</v>
      </c>
      <c r="H17" s="92">
        <f>SUM(H4:H16)</f>
        <v>1638991335</v>
      </c>
    </row>
    <row r="18" spans="1:16" ht="15.6" x14ac:dyDescent="0.3">
      <c r="A18" s="57"/>
      <c r="B18" s="5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6" ht="15.6" x14ac:dyDescent="0.3">
      <c r="A19" s="17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6" ht="24.75" customHeight="1" x14ac:dyDescent="0.5">
      <c r="A20" s="732" t="s">
        <v>387</v>
      </c>
      <c r="B20" s="732"/>
      <c r="C20" s="732"/>
      <c r="D20" s="505"/>
      <c r="E20" s="505"/>
      <c r="F20" s="505"/>
      <c r="G20" s="505"/>
      <c r="H20" s="505"/>
      <c r="I20" s="93"/>
      <c r="J20" s="93"/>
      <c r="K20" s="93"/>
      <c r="L20" s="93"/>
      <c r="M20" s="93"/>
      <c r="N20" s="93"/>
      <c r="O20" s="55"/>
    </row>
    <row r="21" spans="1:16" ht="15.6" x14ac:dyDescent="0.3">
      <c r="A21" s="318"/>
      <c r="B21" s="359" t="s">
        <v>388</v>
      </c>
      <c r="C21" s="359" t="s">
        <v>389</v>
      </c>
      <c r="D21" s="359" t="s">
        <v>390</v>
      </c>
      <c r="E21" s="359" t="s">
        <v>391</v>
      </c>
      <c r="F21" s="360" t="s">
        <v>392</v>
      </c>
      <c r="G21" s="359" t="s">
        <v>393</v>
      </c>
      <c r="H21" s="177" t="s">
        <v>379</v>
      </c>
      <c r="I21" s="166"/>
      <c r="J21" s="166"/>
      <c r="K21" s="166"/>
      <c r="L21" s="178"/>
      <c r="M21" s="166"/>
      <c r="N21" s="166"/>
    </row>
    <row r="22" spans="1:16" ht="15.6" x14ac:dyDescent="0.3">
      <c r="A22" s="172" t="s">
        <v>313</v>
      </c>
      <c r="B22" s="79">
        <v>64310000</v>
      </c>
      <c r="C22" s="170">
        <v>28600000</v>
      </c>
      <c r="D22" s="170">
        <v>21975000</v>
      </c>
      <c r="E22" s="170">
        <v>29175000</v>
      </c>
      <c r="F22" s="173">
        <v>6600000</v>
      </c>
      <c r="G22" s="79">
        <v>41090000</v>
      </c>
      <c r="H22" s="244">
        <f t="shared" ref="H22:H24" si="3">SUM(B22:G22)</f>
        <v>191750000</v>
      </c>
      <c r="I22" s="166"/>
      <c r="J22" s="166"/>
      <c r="K22" s="166"/>
      <c r="L22" s="166"/>
      <c r="M22" s="166"/>
      <c r="N22" s="166"/>
    </row>
    <row r="23" spans="1:16" ht="15.6" x14ac:dyDescent="0.3">
      <c r="A23" s="167" t="s">
        <v>350</v>
      </c>
      <c r="B23" s="79">
        <v>49440000</v>
      </c>
      <c r="C23" s="173">
        <v>39540000</v>
      </c>
      <c r="D23" s="173">
        <v>16670000</v>
      </c>
      <c r="E23" s="79">
        <v>30246509</v>
      </c>
      <c r="F23" s="173">
        <v>13200000</v>
      </c>
      <c r="G23" s="170">
        <v>31850000</v>
      </c>
      <c r="H23" s="244">
        <f t="shared" si="3"/>
        <v>180946509</v>
      </c>
      <c r="O23" s="55"/>
      <c r="P23" s="179"/>
    </row>
    <row r="24" spans="1:16" ht="15.6" x14ac:dyDescent="0.3">
      <c r="A24" s="167" t="s">
        <v>314</v>
      </c>
      <c r="B24" s="173">
        <v>45770000</v>
      </c>
      <c r="C24" s="173">
        <v>36751000</v>
      </c>
      <c r="D24" s="79">
        <v>27420000</v>
      </c>
      <c r="E24" s="79">
        <v>17750000</v>
      </c>
      <c r="F24" s="226">
        <v>15750000</v>
      </c>
      <c r="G24" s="79">
        <v>43498700</v>
      </c>
      <c r="H24" s="244">
        <f t="shared" si="3"/>
        <v>186939700</v>
      </c>
      <c r="O24" s="55"/>
      <c r="P24" s="179"/>
    </row>
    <row r="25" spans="1:16" ht="15.6" x14ac:dyDescent="0.3">
      <c r="A25" s="167" t="s">
        <v>351</v>
      </c>
      <c r="B25" s="173">
        <v>40950000</v>
      </c>
      <c r="C25" s="173">
        <v>22140000</v>
      </c>
      <c r="D25" s="79">
        <v>32816600</v>
      </c>
      <c r="E25" s="224">
        <v>21880000</v>
      </c>
      <c r="F25" s="223">
        <v>14960000</v>
      </c>
      <c r="G25" s="173">
        <v>20900000</v>
      </c>
      <c r="H25" s="244">
        <f>SUM(B25:G25)</f>
        <v>153646600</v>
      </c>
      <c r="O25" s="179"/>
    </row>
    <row r="26" spans="1:16" ht="15.6" x14ac:dyDescent="0.3">
      <c r="A26" s="167" t="s">
        <v>352</v>
      </c>
      <c r="B26" s="174">
        <v>50875000</v>
      </c>
      <c r="C26" s="173">
        <v>39840000</v>
      </c>
      <c r="D26" s="79">
        <v>14100000</v>
      </c>
      <c r="E26" s="224">
        <v>29070000</v>
      </c>
      <c r="F26" s="223">
        <v>19070000</v>
      </c>
      <c r="G26" s="173">
        <v>35000000</v>
      </c>
      <c r="H26" s="244">
        <v>187955000</v>
      </c>
      <c r="O26" s="55"/>
    </row>
    <row r="27" spans="1:16" ht="15.6" x14ac:dyDescent="0.3">
      <c r="A27" s="167" t="s">
        <v>380</v>
      </c>
      <c r="B27" s="79">
        <v>35610000</v>
      </c>
      <c r="C27" s="79">
        <v>35070000</v>
      </c>
      <c r="D27" s="79">
        <v>26900000</v>
      </c>
      <c r="E27" s="225">
        <v>13448700</v>
      </c>
      <c r="F27" s="213">
        <v>20642496</v>
      </c>
      <c r="G27" s="79">
        <v>46000000</v>
      </c>
      <c r="H27" s="244">
        <f t="shared" ref="H27:H32" si="4">SUM(B27:G27)</f>
        <v>177671196</v>
      </c>
      <c r="O27" s="179"/>
    </row>
    <row r="28" spans="1:16" ht="15.6" x14ac:dyDescent="0.3">
      <c r="A28" s="167" t="s">
        <v>7</v>
      </c>
      <c r="B28" s="79">
        <v>69320000</v>
      </c>
      <c r="C28" s="79">
        <v>37770000</v>
      </c>
      <c r="D28" s="79">
        <v>9100000</v>
      </c>
      <c r="E28" s="225">
        <v>43240000</v>
      </c>
      <c r="F28" s="213">
        <v>19020000</v>
      </c>
      <c r="G28" s="79">
        <v>46850000</v>
      </c>
      <c r="H28" s="244">
        <f t="shared" si="4"/>
        <v>225300000</v>
      </c>
      <c r="O28" s="55"/>
    </row>
    <row r="29" spans="1:16" ht="15.6" x14ac:dyDescent="0.3">
      <c r="A29" s="167" t="s">
        <v>381</v>
      </c>
      <c r="B29" s="79">
        <v>36694680</v>
      </c>
      <c r="C29" s="79">
        <v>34340000</v>
      </c>
      <c r="D29" s="79">
        <v>18960000</v>
      </c>
      <c r="E29" s="225">
        <v>13000500</v>
      </c>
      <c r="F29" s="213">
        <v>21880000</v>
      </c>
      <c r="G29" s="79">
        <v>33850000</v>
      </c>
      <c r="H29" s="244">
        <f t="shared" si="4"/>
        <v>158725180</v>
      </c>
    </row>
    <row r="30" spans="1:16" ht="15.6" x14ac:dyDescent="0.3">
      <c r="A30" s="167" t="s">
        <v>382</v>
      </c>
      <c r="B30" s="213">
        <v>49830000</v>
      </c>
      <c r="C30" s="79">
        <v>39513000</v>
      </c>
      <c r="D30" s="79">
        <v>20235000</v>
      </c>
      <c r="E30" s="225">
        <v>23060000</v>
      </c>
      <c r="F30" s="79">
        <v>27070000</v>
      </c>
      <c r="G30" s="79">
        <v>23550000</v>
      </c>
      <c r="H30" s="244">
        <f t="shared" si="4"/>
        <v>183258000</v>
      </c>
    </row>
    <row r="31" spans="1:16" ht="15.6" x14ac:dyDescent="0.3">
      <c r="A31" s="167" t="s">
        <v>383</v>
      </c>
      <c r="B31" s="314">
        <v>51500000</v>
      </c>
      <c r="C31" s="79">
        <v>35700000</v>
      </c>
      <c r="D31" s="79">
        <v>13600000</v>
      </c>
      <c r="E31" s="79">
        <v>21350000</v>
      </c>
      <c r="F31" s="313">
        <v>24130000</v>
      </c>
      <c r="G31" s="79">
        <v>29000000</v>
      </c>
      <c r="H31" s="244">
        <f t="shared" si="4"/>
        <v>175280000</v>
      </c>
    </row>
    <row r="32" spans="1:16" ht="15.6" x14ac:dyDescent="0.3">
      <c r="A32" s="167" t="s">
        <v>384</v>
      </c>
      <c r="B32" s="213">
        <v>33750000</v>
      </c>
      <c r="C32" s="79">
        <v>29761000</v>
      </c>
      <c r="D32" s="79">
        <v>13900000</v>
      </c>
      <c r="E32" s="79">
        <v>30430000</v>
      </c>
      <c r="F32" s="79">
        <v>32080000</v>
      </c>
      <c r="G32" s="79">
        <v>37050000</v>
      </c>
      <c r="H32" s="244">
        <f t="shared" si="4"/>
        <v>176971000</v>
      </c>
    </row>
    <row r="33" spans="1:8" ht="15.6" x14ac:dyDescent="0.3">
      <c r="A33" s="167" t="s">
        <v>385</v>
      </c>
      <c r="B33" s="79">
        <v>35310000</v>
      </c>
      <c r="C33" s="79">
        <v>25880000</v>
      </c>
      <c r="D33" s="79">
        <v>10118908</v>
      </c>
      <c r="E33" s="79">
        <v>14080000</v>
      </c>
      <c r="F33" s="119">
        <v>26900000</v>
      </c>
      <c r="G33" s="79">
        <v>30560000</v>
      </c>
      <c r="H33" s="244">
        <f>SUM(B33:G33)</f>
        <v>142848908</v>
      </c>
    </row>
    <row r="34" spans="1:8" ht="13.2" x14ac:dyDescent="0.25">
      <c r="A34" s="318"/>
      <c r="B34" s="119"/>
      <c r="C34" s="119"/>
      <c r="D34" s="119"/>
      <c r="E34" s="119"/>
      <c r="F34" s="119"/>
      <c r="G34" s="119"/>
    </row>
    <row r="35" spans="1:8" ht="20.399999999999999" x14ac:dyDescent="0.35">
      <c r="A35" s="412" t="s">
        <v>13</v>
      </c>
      <c r="B35" s="480">
        <f t="shared" ref="B35:G35" si="5">SUM(B22:B34)</f>
        <v>563359680</v>
      </c>
      <c r="C35" s="480">
        <f t="shared" si="5"/>
        <v>404905000</v>
      </c>
      <c r="D35" s="480">
        <f t="shared" si="5"/>
        <v>225795508</v>
      </c>
      <c r="E35" s="480">
        <f t="shared" si="5"/>
        <v>286730709</v>
      </c>
      <c r="F35" s="480">
        <f t="shared" si="5"/>
        <v>241302496</v>
      </c>
      <c r="G35" s="480">
        <f t="shared" si="5"/>
        <v>419198700</v>
      </c>
      <c r="H35" s="316">
        <f>SUM(H22:H33)</f>
        <v>2141292093</v>
      </c>
    </row>
    <row r="36" spans="1:8" ht="15.75" customHeight="1" x14ac:dyDescent="0.25">
      <c r="A36" s="474" t="s">
        <v>386</v>
      </c>
      <c r="B36" s="477">
        <f t="shared" ref="B36:G36" si="6">AVERAGE(B22:B33)</f>
        <v>46946640</v>
      </c>
      <c r="C36" s="477">
        <f t="shared" si="6"/>
        <v>33742083.333333336</v>
      </c>
      <c r="D36" s="477">
        <f t="shared" si="6"/>
        <v>18816292.333333332</v>
      </c>
      <c r="E36" s="477">
        <f t="shared" si="6"/>
        <v>23894225.75</v>
      </c>
      <c r="F36" s="477">
        <f t="shared" si="6"/>
        <v>20108541.333333332</v>
      </c>
      <c r="G36" s="477">
        <f t="shared" si="6"/>
        <v>34933225</v>
      </c>
    </row>
    <row r="37" spans="1:8" ht="27.75" customHeight="1" x14ac:dyDescent="0.25"/>
    <row r="38" spans="1:8" ht="2.25" customHeight="1" x14ac:dyDescent="0.25"/>
    <row r="39" spans="1:8" ht="30" customHeight="1" x14ac:dyDescent="0.5">
      <c r="A39" s="729" t="s">
        <v>394</v>
      </c>
      <c r="B39" s="730"/>
      <c r="C39" s="731"/>
      <c r="D39" s="505"/>
      <c r="E39" s="505"/>
      <c r="F39" s="505"/>
      <c r="G39" s="505"/>
      <c r="H39" s="505"/>
    </row>
    <row r="40" spans="1:8" ht="15.75" customHeight="1" x14ac:dyDescent="0.3">
      <c r="A40" s="361" t="s">
        <v>377</v>
      </c>
      <c r="B40" s="359" t="s">
        <v>395</v>
      </c>
      <c r="C40" s="359" t="s">
        <v>389</v>
      </c>
      <c r="D40" s="359" t="s">
        <v>390</v>
      </c>
      <c r="E40" s="359" t="s">
        <v>391</v>
      </c>
      <c r="F40" s="360" t="s">
        <v>396</v>
      </c>
      <c r="G40" s="359" t="s">
        <v>397</v>
      </c>
      <c r="H40" s="413" t="s">
        <v>379</v>
      </c>
    </row>
    <row r="41" spans="1:8" ht="15.75" customHeight="1" x14ac:dyDescent="0.3">
      <c r="A41" s="172" t="s">
        <v>313</v>
      </c>
      <c r="B41" s="79">
        <v>61209750</v>
      </c>
      <c r="C41" s="174">
        <v>61209570000</v>
      </c>
      <c r="D41" s="173">
        <v>15030000</v>
      </c>
      <c r="E41" s="173">
        <v>28270000</v>
      </c>
      <c r="F41" s="173">
        <v>26900000</v>
      </c>
      <c r="G41" s="173">
        <v>36750000</v>
      </c>
      <c r="H41" s="414">
        <f>SUM(B41:G41)</f>
        <v>61377729750</v>
      </c>
    </row>
    <row r="42" spans="1:8" ht="15.75" customHeight="1" x14ac:dyDescent="0.3">
      <c r="A42" s="167" t="s">
        <v>350</v>
      </c>
      <c r="B42" s="174">
        <v>81890000</v>
      </c>
      <c r="C42" s="174">
        <v>50835000</v>
      </c>
      <c r="D42" s="173">
        <v>16350000</v>
      </c>
      <c r="E42" s="79">
        <v>37820000</v>
      </c>
      <c r="F42" s="173">
        <v>28974804</v>
      </c>
      <c r="G42" s="173">
        <v>29110000</v>
      </c>
      <c r="H42" s="414">
        <f t="shared" ref="H42:H45" si="7">SUM(B42:G42)</f>
        <v>244979804</v>
      </c>
    </row>
    <row r="43" spans="1:8" ht="15.75" customHeight="1" x14ac:dyDescent="0.3">
      <c r="A43" s="167" t="s">
        <v>314</v>
      </c>
      <c r="B43" s="173">
        <v>30020000</v>
      </c>
      <c r="C43" s="173">
        <v>22877000</v>
      </c>
      <c r="D43" s="173">
        <v>13050000</v>
      </c>
      <c r="E43" s="173">
        <v>14120000</v>
      </c>
      <c r="F43" s="226">
        <v>17320000</v>
      </c>
      <c r="G43" s="173">
        <v>28516000</v>
      </c>
      <c r="H43" s="414">
        <f t="shared" si="7"/>
        <v>125903000</v>
      </c>
    </row>
    <row r="44" spans="1:8" ht="15.75" customHeight="1" x14ac:dyDescent="0.3">
      <c r="A44" s="167" t="s">
        <v>351</v>
      </c>
      <c r="B44" s="173">
        <v>0</v>
      </c>
      <c r="C44" s="173">
        <v>0</v>
      </c>
      <c r="D44" s="173">
        <v>0</v>
      </c>
      <c r="E44" s="224">
        <v>0</v>
      </c>
      <c r="F44" s="223">
        <v>0</v>
      </c>
      <c r="G44" s="173">
        <v>0</v>
      </c>
      <c r="H44" s="414">
        <f t="shared" si="7"/>
        <v>0</v>
      </c>
    </row>
    <row r="45" spans="1:8" ht="15.75" customHeight="1" x14ac:dyDescent="0.3">
      <c r="A45" s="167" t="s">
        <v>352</v>
      </c>
      <c r="B45" s="173">
        <v>6200000</v>
      </c>
      <c r="C45" s="226">
        <v>0</v>
      </c>
      <c r="D45" s="226">
        <v>0</v>
      </c>
      <c r="E45" s="473">
        <v>2500000</v>
      </c>
      <c r="F45" s="315">
        <v>1730000</v>
      </c>
      <c r="G45" s="173">
        <v>6960000</v>
      </c>
      <c r="H45" s="414">
        <f t="shared" si="7"/>
        <v>17390000</v>
      </c>
    </row>
    <row r="46" spans="1:8" ht="15.75" customHeight="1" x14ac:dyDescent="0.3">
      <c r="A46" s="167" t="s">
        <v>380</v>
      </c>
      <c r="B46" s="224">
        <v>18270000</v>
      </c>
      <c r="C46" s="482">
        <v>21650000</v>
      </c>
      <c r="D46" s="223">
        <v>15266680</v>
      </c>
      <c r="E46" s="41">
        <v>22100000</v>
      </c>
      <c r="F46" s="475">
        <v>3300000</v>
      </c>
      <c r="G46" s="415">
        <v>35820000</v>
      </c>
      <c r="H46" s="414">
        <f t="shared" ref="H46:H51" si="8">SUM(B46:G46)</f>
        <v>116406680</v>
      </c>
    </row>
    <row r="47" spans="1:8" ht="15.75" customHeight="1" x14ac:dyDescent="0.3">
      <c r="A47" s="167" t="s">
        <v>7</v>
      </c>
      <c r="B47" s="224">
        <v>35933600</v>
      </c>
      <c r="C47" s="482">
        <v>47398760</v>
      </c>
      <c r="D47" s="223">
        <v>18200000</v>
      </c>
      <c r="E47" s="223">
        <v>28391000</v>
      </c>
      <c r="F47" s="464">
        <v>13910000</v>
      </c>
      <c r="G47" s="213">
        <v>47310000</v>
      </c>
      <c r="H47" s="414">
        <f t="shared" si="8"/>
        <v>191143360</v>
      </c>
    </row>
    <row r="48" spans="1:8" ht="15.75" customHeight="1" x14ac:dyDescent="0.3">
      <c r="A48" s="167" t="s">
        <v>381</v>
      </c>
      <c r="B48" s="224">
        <v>44010000</v>
      </c>
      <c r="C48" s="471">
        <v>1700500</v>
      </c>
      <c r="D48" s="40">
        <v>19460000</v>
      </c>
      <c r="E48" s="223">
        <v>11030000</v>
      </c>
      <c r="F48" s="464">
        <v>7010000</v>
      </c>
      <c r="G48" s="213">
        <v>27620000</v>
      </c>
      <c r="H48" s="414">
        <f t="shared" si="8"/>
        <v>110830500</v>
      </c>
    </row>
    <row r="49" spans="1:8" ht="15.75" customHeight="1" x14ac:dyDescent="0.3">
      <c r="A49" s="167" t="s">
        <v>382</v>
      </c>
      <c r="B49" s="471">
        <v>60045000</v>
      </c>
      <c r="C49" s="471">
        <v>31960980</v>
      </c>
      <c r="D49" s="223">
        <v>18400000</v>
      </c>
      <c r="E49" s="213">
        <v>36650000</v>
      </c>
      <c r="F49" s="464">
        <v>24490000</v>
      </c>
      <c r="G49" s="213">
        <v>41920000</v>
      </c>
      <c r="H49" s="414">
        <f t="shared" si="8"/>
        <v>213465980</v>
      </c>
    </row>
    <row r="50" spans="1:8" ht="21" customHeight="1" x14ac:dyDescent="0.3">
      <c r="A50" s="167" t="s">
        <v>383</v>
      </c>
      <c r="B50" s="40">
        <v>29320000</v>
      </c>
      <c r="C50" s="225">
        <v>30350980</v>
      </c>
      <c r="D50" s="223">
        <v>5200000</v>
      </c>
      <c r="E50" s="223">
        <v>13280000</v>
      </c>
      <c r="F50" s="476">
        <v>18820000</v>
      </c>
      <c r="G50" s="213">
        <v>29050000</v>
      </c>
      <c r="H50" s="414">
        <f t="shared" si="8"/>
        <v>126020980</v>
      </c>
    </row>
    <row r="51" spans="1:8" ht="15.75" customHeight="1" x14ac:dyDescent="0.3">
      <c r="A51" s="167" t="s">
        <v>384</v>
      </c>
      <c r="B51" s="291">
        <v>60410000</v>
      </c>
      <c r="C51" s="49">
        <v>37440000</v>
      </c>
      <c r="D51" s="213">
        <v>32750000</v>
      </c>
      <c r="E51" s="223">
        <v>29333144</v>
      </c>
      <c r="F51" s="464">
        <v>14080000</v>
      </c>
      <c r="G51" s="213">
        <v>35100000</v>
      </c>
      <c r="H51" s="414">
        <f t="shared" si="8"/>
        <v>209113144</v>
      </c>
    </row>
    <row r="52" spans="1:8" ht="15.75" customHeight="1" x14ac:dyDescent="0.3">
      <c r="A52" s="472" t="s">
        <v>385</v>
      </c>
      <c r="B52" s="194"/>
      <c r="C52" s="384"/>
      <c r="D52" s="459"/>
      <c r="E52" s="225"/>
      <c r="F52" s="120"/>
      <c r="H52" s="414"/>
    </row>
    <row r="53" spans="1:8" ht="15.75" customHeight="1" x14ac:dyDescent="0.4">
      <c r="A53" s="358" t="s">
        <v>13</v>
      </c>
      <c r="B53" s="244">
        <f>SUM(B41:B51)</f>
        <v>427308350</v>
      </c>
      <c r="C53" s="244">
        <f>SUM(C41:C51)</f>
        <v>61453783220</v>
      </c>
      <c r="D53" s="244">
        <f>SUM(D41:D51)</f>
        <v>153706680</v>
      </c>
      <c r="E53" s="447">
        <f>SUM(E41:E52)</f>
        <v>223494144</v>
      </c>
      <c r="F53" s="447">
        <f>SUM(F41:F52)</f>
        <v>156534804</v>
      </c>
      <c r="G53" s="447">
        <f>SUM(G41:G51)</f>
        <v>318156000</v>
      </c>
      <c r="H53" s="316"/>
    </row>
    <row r="54" spans="1:8" ht="15.75" customHeight="1" x14ac:dyDescent="0.25">
      <c r="A54" s="474" t="s">
        <v>398</v>
      </c>
      <c r="B54" s="201">
        <f>AVERAGE(B41:B51)</f>
        <v>38846213.636363633</v>
      </c>
      <c r="D54" s="201">
        <f>AVERAGE(D41:D51)</f>
        <v>13973334.545454545</v>
      </c>
      <c r="E54" s="201">
        <f>AVERAGE(E41:E51)</f>
        <v>20317649.454545453</v>
      </c>
      <c r="F54" s="201">
        <f>AVERAGE(F41:F51)</f>
        <v>14230436.727272727</v>
      </c>
      <c r="G54" s="201">
        <f>AVERAGE(G42:G43,G41:G51)</f>
        <v>28906307.692307692</v>
      </c>
    </row>
    <row r="55" spans="1:8" ht="15.75" customHeight="1" x14ac:dyDescent="0.25">
      <c r="A55" s="474" t="s">
        <v>399</v>
      </c>
      <c r="B55" s="201">
        <f>AVERAGE(B41:B43,B45:B51)</f>
        <v>42730835</v>
      </c>
      <c r="D55" s="201">
        <f>AVERAGE(D41:D44,D46:D51)</f>
        <v>15370668</v>
      </c>
      <c r="E55" s="201">
        <f>AVERAGE(E41:E43,E45:E51)</f>
        <v>22349414.399999999</v>
      </c>
      <c r="F55" s="201">
        <f>AVERAGE(F41:F43,F45:F51)</f>
        <v>15653480.4</v>
      </c>
      <c r="G55" s="201">
        <f>AVERAGE(G41:G43,G45:G51)</f>
        <v>31815600</v>
      </c>
    </row>
    <row r="58" spans="1:8" ht="21" customHeight="1" x14ac:dyDescent="0.4">
      <c r="A58" s="735" t="s">
        <v>400</v>
      </c>
      <c r="B58" s="736"/>
      <c r="C58" s="736"/>
      <c r="D58" s="736"/>
      <c r="E58" s="736"/>
      <c r="F58" s="736"/>
      <c r="G58" s="737"/>
    </row>
    <row r="59" spans="1:8" ht="22.5" customHeight="1" x14ac:dyDescent="0.4">
      <c r="A59" s="481" t="s">
        <v>377</v>
      </c>
      <c r="B59" s="483" t="s">
        <v>295</v>
      </c>
      <c r="C59" s="483" t="s">
        <v>125</v>
      </c>
      <c r="D59" s="483" t="s">
        <v>321</v>
      </c>
      <c r="E59" s="483" t="s">
        <v>180</v>
      </c>
      <c r="F59" s="483" t="s">
        <v>234</v>
      </c>
      <c r="G59" s="484" t="s">
        <v>300</v>
      </c>
      <c r="H59" s="375" t="s">
        <v>379</v>
      </c>
    </row>
    <row r="60" spans="1:8" ht="15.75" customHeight="1" x14ac:dyDescent="0.3">
      <c r="A60" s="172" t="s">
        <v>313</v>
      </c>
      <c r="B60" s="220">
        <f>(B4+B22+B41)/3</f>
        <v>57559916.666666664</v>
      </c>
      <c r="C60" s="220">
        <v>20420380</v>
      </c>
      <c r="D60" s="220">
        <f t="shared" ref="C60:G61" si="9">(D4+D22+D41)/3</f>
        <v>16318333.333333334</v>
      </c>
      <c r="E60" s="220">
        <f t="shared" si="9"/>
        <v>22355000</v>
      </c>
      <c r="F60" s="220">
        <f t="shared" si="9"/>
        <v>13380000</v>
      </c>
      <c r="G60" s="311">
        <f t="shared" si="9"/>
        <v>35496666.666666664</v>
      </c>
      <c r="H60" s="314">
        <f>B60+C60+D60+E60+F60+G60</f>
        <v>165530296.66666666</v>
      </c>
    </row>
    <row r="61" spans="1:8" ht="15.75" customHeight="1" x14ac:dyDescent="0.3">
      <c r="A61" s="167" t="s">
        <v>350</v>
      </c>
      <c r="B61" s="220">
        <f t="shared" ref="B61:G71" si="10">(B5+B23+B42)/3</f>
        <v>53866666.666666664</v>
      </c>
      <c r="C61" s="220">
        <f t="shared" si="9"/>
        <v>42980000</v>
      </c>
      <c r="D61" s="220">
        <f t="shared" si="9"/>
        <v>16566666.666666666</v>
      </c>
      <c r="E61" s="220">
        <f t="shared" si="9"/>
        <v>28872169.666666668</v>
      </c>
      <c r="F61" s="220">
        <f t="shared" si="9"/>
        <v>17324934.666666668</v>
      </c>
      <c r="G61" s="311">
        <f t="shared" si="9"/>
        <v>28403333.333333332</v>
      </c>
      <c r="H61" s="314">
        <f t="shared" ref="H61:H71" si="11">B61+C61+D61+E61+F61+G61</f>
        <v>188013771</v>
      </c>
    </row>
    <row r="62" spans="1:8" ht="15.75" customHeight="1" x14ac:dyDescent="0.3">
      <c r="A62" s="167" t="s">
        <v>314</v>
      </c>
      <c r="B62" s="220">
        <f t="shared" si="10"/>
        <v>37713333.333333336</v>
      </c>
      <c r="C62" s="220">
        <f t="shared" si="10"/>
        <v>28291000</v>
      </c>
      <c r="D62" s="220">
        <f t="shared" si="10"/>
        <v>20300010</v>
      </c>
      <c r="E62" s="220">
        <f t="shared" si="10"/>
        <v>14283333.333333334</v>
      </c>
      <c r="F62" s="220">
        <f t="shared" si="10"/>
        <v>12721000</v>
      </c>
      <c r="G62" s="311">
        <f t="shared" si="10"/>
        <v>29821566.666666668</v>
      </c>
      <c r="H62" s="314">
        <f t="shared" si="11"/>
        <v>143130243.33333334</v>
      </c>
    </row>
    <row r="63" spans="1:8" ht="15.75" customHeight="1" x14ac:dyDescent="0.3">
      <c r="A63" s="167" t="s">
        <v>351</v>
      </c>
      <c r="B63" s="220">
        <f t="shared" si="10"/>
        <v>27355000</v>
      </c>
      <c r="C63" s="220">
        <f t="shared" si="10"/>
        <v>17830200</v>
      </c>
      <c r="D63" s="220">
        <f t="shared" si="10"/>
        <v>19173866.666666668</v>
      </c>
      <c r="E63" s="220">
        <f t="shared" si="10"/>
        <v>13399912</v>
      </c>
      <c r="F63" s="220">
        <f t="shared" si="10"/>
        <v>4986666.666666667</v>
      </c>
      <c r="G63" s="311">
        <f t="shared" si="10"/>
        <v>16566666.666666666</v>
      </c>
      <c r="H63" s="314">
        <f t="shared" si="11"/>
        <v>99312312.000000015</v>
      </c>
    </row>
    <row r="64" spans="1:8" ht="15.75" customHeight="1" x14ac:dyDescent="0.3">
      <c r="A64" s="167" t="s">
        <v>352</v>
      </c>
      <c r="B64" s="220">
        <f>(B8+B26+B45)/3</f>
        <v>29688333.333333332</v>
      </c>
      <c r="C64" s="220">
        <f t="shared" ref="C64:G64" si="12">(C8+C26+C45)/3</f>
        <v>20602766.666666668</v>
      </c>
      <c r="D64" s="220">
        <f t="shared" si="12"/>
        <v>12023333.333333334</v>
      </c>
      <c r="E64" s="220">
        <f t="shared" si="12"/>
        <v>12840000</v>
      </c>
      <c r="F64" s="220">
        <f t="shared" si="12"/>
        <v>9176666.666666666</v>
      </c>
      <c r="G64" s="311">
        <f t="shared" si="12"/>
        <v>25593333.333333332</v>
      </c>
      <c r="H64" s="314">
        <f t="shared" si="11"/>
        <v>109924433.33333334</v>
      </c>
    </row>
    <row r="65" spans="1:10" ht="15.75" customHeight="1" x14ac:dyDescent="0.3">
      <c r="A65" s="167" t="s">
        <v>380</v>
      </c>
      <c r="B65" s="220">
        <f t="shared" si="10"/>
        <v>28416666.666666668</v>
      </c>
      <c r="C65" s="220">
        <f t="shared" si="10"/>
        <v>29798746.666666668</v>
      </c>
      <c r="D65" s="220">
        <f t="shared" si="10"/>
        <v>20078893.333333332</v>
      </c>
      <c r="E65" s="220">
        <f t="shared" si="10"/>
        <v>18719537.666666668</v>
      </c>
      <c r="F65" s="220">
        <f t="shared" si="10"/>
        <v>10470832</v>
      </c>
      <c r="G65" s="311">
        <f t="shared" si="10"/>
        <v>34400000</v>
      </c>
      <c r="H65" s="314">
        <f t="shared" si="11"/>
        <v>141884676.33333334</v>
      </c>
    </row>
    <row r="66" spans="1:10" ht="15.75" customHeight="1" x14ac:dyDescent="0.3">
      <c r="A66" s="167" t="s">
        <v>7</v>
      </c>
      <c r="B66" s="220">
        <f t="shared" si="10"/>
        <v>49101200</v>
      </c>
      <c r="C66" s="220">
        <f t="shared" si="10"/>
        <v>37316253.333333336</v>
      </c>
      <c r="D66" s="220">
        <f t="shared" si="10"/>
        <v>14950000</v>
      </c>
      <c r="E66" s="220">
        <f t="shared" si="10"/>
        <v>28127000</v>
      </c>
      <c r="F66" s="220">
        <f t="shared" si="10"/>
        <v>13046666.666666666</v>
      </c>
      <c r="G66" s="311">
        <f t="shared" si="10"/>
        <v>40453333.333333336</v>
      </c>
      <c r="H66" s="314">
        <f t="shared" si="11"/>
        <v>182994453.33333334</v>
      </c>
    </row>
    <row r="67" spans="1:10" ht="15.75" customHeight="1" x14ac:dyDescent="0.3">
      <c r="A67" s="167" t="s">
        <v>381</v>
      </c>
      <c r="B67" s="220">
        <f t="shared" si="10"/>
        <v>40761560</v>
      </c>
      <c r="C67" s="220">
        <f t="shared" si="10"/>
        <v>26650166.666666668</v>
      </c>
      <c r="D67" s="220">
        <f t="shared" si="10"/>
        <v>20509692</v>
      </c>
      <c r="E67" s="220">
        <f t="shared" si="10"/>
        <v>13586833.333333334</v>
      </c>
      <c r="F67" s="220">
        <f t="shared" si="10"/>
        <v>12432666.666666666</v>
      </c>
      <c r="G67" s="311">
        <f t="shared" si="10"/>
        <v>26750000</v>
      </c>
      <c r="H67" s="314">
        <f t="shared" si="11"/>
        <v>140690918.66666669</v>
      </c>
    </row>
    <row r="68" spans="1:10" ht="15.75" customHeight="1" x14ac:dyDescent="0.3">
      <c r="A68" s="167" t="s">
        <v>382</v>
      </c>
      <c r="B68" s="220">
        <f t="shared" si="10"/>
        <v>46275000</v>
      </c>
      <c r="C68" s="220">
        <f t="shared" si="10"/>
        <v>34871326.666666664</v>
      </c>
      <c r="D68" s="220">
        <f t="shared" si="10"/>
        <v>16578333.333333334</v>
      </c>
      <c r="E68" s="220">
        <f t="shared" si="10"/>
        <v>27720000</v>
      </c>
      <c r="F68" s="220">
        <f t="shared" si="10"/>
        <v>18246666.666666668</v>
      </c>
      <c r="G68" s="311">
        <f t="shared" si="10"/>
        <v>29013333.333333332</v>
      </c>
      <c r="H68" s="314">
        <f t="shared" si="11"/>
        <v>172704660</v>
      </c>
    </row>
    <row r="69" spans="1:10" ht="15.75" customHeight="1" x14ac:dyDescent="0.3">
      <c r="A69" s="167" t="s">
        <v>383</v>
      </c>
      <c r="B69" s="220">
        <f t="shared" si="10"/>
        <v>42264013.333333336</v>
      </c>
      <c r="C69" s="220">
        <f t="shared" si="10"/>
        <v>32894326.666666668</v>
      </c>
      <c r="D69" s="220">
        <f t="shared" si="10"/>
        <v>13443333.333333334</v>
      </c>
      <c r="E69" s="220">
        <f t="shared" si="10"/>
        <v>20610000</v>
      </c>
      <c r="F69" s="220">
        <f t="shared" si="10"/>
        <v>15333333.333333334</v>
      </c>
      <c r="G69" s="311">
        <f t="shared" si="10"/>
        <v>26373333.333333332</v>
      </c>
      <c r="H69" s="314">
        <f t="shared" si="11"/>
        <v>150918340</v>
      </c>
    </row>
    <row r="70" spans="1:10" ht="15.75" customHeight="1" x14ac:dyDescent="0.3">
      <c r="A70" s="167" t="s">
        <v>384</v>
      </c>
      <c r="B70" s="220">
        <f t="shared" si="10"/>
        <v>49340000</v>
      </c>
      <c r="C70" s="220">
        <f t="shared" si="10"/>
        <v>30445666.666666668</v>
      </c>
      <c r="D70" s="220">
        <f t="shared" si="10"/>
        <v>22973333.333333332</v>
      </c>
      <c r="E70" s="220">
        <f t="shared" si="10"/>
        <v>28452048</v>
      </c>
      <c r="F70" s="220">
        <f t="shared" si="10"/>
        <v>16586666.666666666</v>
      </c>
      <c r="G70" s="311">
        <f t="shared" si="10"/>
        <v>34115800</v>
      </c>
      <c r="H70" s="314">
        <f t="shared" si="11"/>
        <v>181913514.66666666</v>
      </c>
    </row>
    <row r="71" spans="1:10" ht="15.75" customHeight="1" x14ac:dyDescent="0.3">
      <c r="A71" s="546" t="s">
        <v>385</v>
      </c>
      <c r="B71" s="271">
        <f t="shared" si="10"/>
        <v>19853333.333333332</v>
      </c>
      <c r="C71" s="271">
        <f t="shared" si="10"/>
        <v>15968666.666666666</v>
      </c>
      <c r="D71" s="271">
        <f t="shared" si="10"/>
        <v>5972969.333333333</v>
      </c>
      <c r="E71" s="271">
        <f t="shared" si="10"/>
        <v>11493333.333333334</v>
      </c>
      <c r="F71" s="271">
        <f t="shared" si="10"/>
        <v>23926666.666666668</v>
      </c>
      <c r="G71" s="312">
        <f t="shared" si="10"/>
        <v>16896666.666666668</v>
      </c>
      <c r="H71" s="314">
        <f t="shared" si="11"/>
        <v>94111636.000000015</v>
      </c>
    </row>
    <row r="72" spans="1:10" ht="9.75" customHeight="1" x14ac:dyDescent="0.25"/>
    <row r="73" spans="1:10" ht="23.25" customHeight="1" x14ac:dyDescent="0.4">
      <c r="A73" s="738" t="s">
        <v>401</v>
      </c>
      <c r="B73" s="739"/>
      <c r="C73" s="739"/>
      <c r="D73" s="739"/>
      <c r="E73" s="739"/>
      <c r="F73" s="739"/>
      <c r="G73" s="739"/>
      <c r="H73" s="549"/>
      <c r="I73" s="549"/>
    </row>
    <row r="74" spans="1:10" ht="30" customHeight="1" x14ac:dyDescent="0.4">
      <c r="A74" s="481" t="s">
        <v>377</v>
      </c>
      <c r="B74" s="544" t="s">
        <v>295</v>
      </c>
      <c r="C74" s="544" t="s">
        <v>402</v>
      </c>
      <c r="D74" s="544" t="s">
        <v>125</v>
      </c>
      <c r="E74" s="544" t="s">
        <v>321</v>
      </c>
      <c r="F74" s="544" t="s">
        <v>180</v>
      </c>
      <c r="G74" s="544" t="s">
        <v>300</v>
      </c>
      <c r="H74" s="545" t="s">
        <v>234</v>
      </c>
      <c r="I74" s="552" t="s">
        <v>403</v>
      </c>
      <c r="J74" s="652" t="s">
        <v>210</v>
      </c>
    </row>
    <row r="75" spans="1:10" ht="15.75" customHeight="1" x14ac:dyDescent="0.3">
      <c r="A75" s="543" t="s">
        <v>313</v>
      </c>
      <c r="B75" s="548">
        <v>69380000</v>
      </c>
      <c r="C75" s="548">
        <v>31792730</v>
      </c>
      <c r="D75" s="548">
        <v>26050000</v>
      </c>
      <c r="E75" s="548">
        <v>18730000</v>
      </c>
      <c r="F75" s="548">
        <v>42000000</v>
      </c>
      <c r="G75" s="548">
        <v>71000000</v>
      </c>
      <c r="H75" s="548">
        <v>52250000</v>
      </c>
      <c r="I75" s="553">
        <v>48880000</v>
      </c>
      <c r="J75" s="550">
        <f>SUM(B75:I75)</f>
        <v>360082730</v>
      </c>
    </row>
    <row r="76" spans="1:10" ht="15.75" customHeight="1" x14ac:dyDescent="0.3">
      <c r="A76" s="472" t="s">
        <v>350</v>
      </c>
      <c r="B76" s="548">
        <v>75170000</v>
      </c>
      <c r="C76" s="548">
        <v>29920000</v>
      </c>
      <c r="D76" s="548">
        <v>73200000</v>
      </c>
      <c r="E76" s="548">
        <v>22030000</v>
      </c>
      <c r="F76" s="627">
        <v>53940000</v>
      </c>
      <c r="G76" s="548">
        <v>80680000</v>
      </c>
      <c r="H76" s="548">
        <v>55927845</v>
      </c>
      <c r="I76" s="653">
        <v>40960000</v>
      </c>
      <c r="J76" s="550">
        <f>SUM(B76:I76)</f>
        <v>431827845</v>
      </c>
    </row>
    <row r="77" spans="1:10" ht="15.75" customHeight="1" x14ac:dyDescent="0.3">
      <c r="A77" s="472" t="s">
        <v>314</v>
      </c>
      <c r="B77" s="548">
        <v>58160000</v>
      </c>
      <c r="C77" s="548">
        <v>33500000</v>
      </c>
      <c r="D77" s="548">
        <v>42380000</v>
      </c>
      <c r="E77" s="548">
        <v>21225000</v>
      </c>
      <c r="F77" s="548">
        <v>72810000</v>
      </c>
      <c r="G77" s="647">
        <v>75247175</v>
      </c>
      <c r="H77" s="548">
        <v>46500000</v>
      </c>
      <c r="I77" s="553">
        <v>53400000</v>
      </c>
      <c r="J77" s="550">
        <f>SUM(B77:I77)</f>
        <v>403222175</v>
      </c>
    </row>
    <row r="78" spans="1:10" ht="15.75" customHeight="1" x14ac:dyDescent="0.3">
      <c r="A78" s="472" t="s">
        <v>351</v>
      </c>
      <c r="B78" s="548">
        <v>40900000</v>
      </c>
      <c r="C78" s="548">
        <v>26520000</v>
      </c>
      <c r="D78" s="548">
        <v>41150000</v>
      </c>
      <c r="E78" s="548">
        <v>28798350</v>
      </c>
      <c r="F78" s="548">
        <v>65380000</v>
      </c>
      <c r="G78" s="548">
        <v>37600000</v>
      </c>
      <c r="H78" s="548">
        <v>46500000</v>
      </c>
      <c r="I78" s="553">
        <v>48580000</v>
      </c>
      <c r="J78" s="550">
        <f>SUM(B78:I78)</f>
        <v>335428350</v>
      </c>
    </row>
    <row r="79" spans="1:10" ht="15.75" customHeight="1" x14ac:dyDescent="0.3">
      <c r="A79" s="472" t="s">
        <v>352</v>
      </c>
      <c r="B79" s="548">
        <v>58480000</v>
      </c>
      <c r="C79" s="548">
        <v>40780000</v>
      </c>
      <c r="D79" s="548">
        <v>50260000</v>
      </c>
      <c r="E79" s="548">
        <v>61163000</v>
      </c>
      <c r="F79" s="548">
        <v>73000000</v>
      </c>
      <c r="G79" s="548">
        <v>65764300</v>
      </c>
      <c r="H79" s="548">
        <v>47650000</v>
      </c>
      <c r="I79" s="553">
        <v>33250000</v>
      </c>
      <c r="J79" s="550">
        <f>SUM(B79:I79)</f>
        <v>430347300</v>
      </c>
    </row>
    <row r="80" spans="1:10" ht="15.75" customHeight="1" x14ac:dyDescent="0.3">
      <c r="A80" s="472" t="s">
        <v>380</v>
      </c>
      <c r="B80" s="547"/>
      <c r="C80" s="547"/>
      <c r="D80" s="547"/>
      <c r="E80" s="547"/>
      <c r="F80" s="547"/>
      <c r="G80" s="547"/>
      <c r="H80" s="548"/>
      <c r="I80" s="644"/>
      <c r="J80" s="550">
        <f t="shared" ref="J80:J82" si="13">SUM(B80:H80)</f>
        <v>0</v>
      </c>
    </row>
    <row r="81" spans="1:10" ht="15.75" customHeight="1" x14ac:dyDescent="0.3">
      <c r="A81" s="472" t="s">
        <v>7</v>
      </c>
      <c r="B81" s="547"/>
      <c r="C81" s="547"/>
      <c r="D81" s="547"/>
      <c r="E81" s="547"/>
      <c r="F81" s="547"/>
      <c r="G81" s="547"/>
      <c r="H81" s="547"/>
      <c r="I81" s="644"/>
      <c r="J81" s="550">
        <f t="shared" si="13"/>
        <v>0</v>
      </c>
    </row>
    <row r="82" spans="1:10" ht="15.75" customHeight="1" x14ac:dyDescent="0.3">
      <c r="A82" s="472" t="s">
        <v>381</v>
      </c>
      <c r="B82" s="547"/>
      <c r="C82" s="547"/>
      <c r="D82" s="547"/>
      <c r="E82" s="547"/>
      <c r="F82" s="547"/>
      <c r="G82" s="547"/>
      <c r="H82" s="547"/>
      <c r="I82" s="644"/>
      <c r="J82" s="550">
        <f t="shared" si="13"/>
        <v>0</v>
      </c>
    </row>
    <row r="83" spans="1:10" ht="15.75" customHeight="1" x14ac:dyDescent="0.3">
      <c r="A83" s="472" t="s">
        <v>382</v>
      </c>
      <c r="B83" s="547"/>
      <c r="C83" s="547"/>
      <c r="D83" s="547"/>
      <c r="E83" s="547"/>
      <c r="F83" s="547"/>
      <c r="G83" s="547"/>
      <c r="H83" s="645"/>
      <c r="I83" s="646"/>
      <c r="J83" s="654"/>
    </row>
    <row r="84" spans="1:10" ht="15.75" customHeight="1" x14ac:dyDescent="0.3">
      <c r="A84" s="472" t="s">
        <v>383</v>
      </c>
      <c r="B84" s="547"/>
      <c r="C84" s="547"/>
      <c r="D84" s="547"/>
      <c r="E84" s="547"/>
      <c r="F84" s="547"/>
      <c r="G84" s="644"/>
      <c r="H84" s="547"/>
      <c r="I84" s="644"/>
      <c r="J84" s="657"/>
    </row>
    <row r="85" spans="1:10" ht="15.75" customHeight="1" x14ac:dyDescent="0.3">
      <c r="A85" s="472" t="s">
        <v>384</v>
      </c>
      <c r="B85" s="547"/>
      <c r="C85" s="547"/>
      <c r="D85" s="547"/>
      <c r="E85" s="547"/>
      <c r="F85" s="547"/>
      <c r="G85" s="644"/>
      <c r="H85" s="547"/>
      <c r="I85" s="644"/>
      <c r="J85" s="654"/>
    </row>
    <row r="86" spans="1:10" ht="15.75" customHeight="1" x14ac:dyDescent="0.3">
      <c r="A86" s="546" t="s">
        <v>385</v>
      </c>
      <c r="B86" s="645"/>
      <c r="C86" s="645"/>
      <c r="D86" s="645"/>
      <c r="E86" s="645"/>
      <c r="F86" s="645"/>
      <c r="G86" s="651"/>
      <c r="H86" s="194"/>
      <c r="I86" s="252"/>
      <c r="J86" s="194"/>
    </row>
    <row r="87" spans="1:10" ht="15.75" customHeight="1" x14ac:dyDescent="0.3">
      <c r="A87" s="547" t="s">
        <v>13</v>
      </c>
      <c r="B87" s="655">
        <f t="shared" ref="B87:G87" si="14">SUM(B75:B86)</f>
        <v>302090000</v>
      </c>
      <c r="C87" s="655">
        <f t="shared" si="14"/>
        <v>162512730</v>
      </c>
      <c r="D87" s="655">
        <f t="shared" si="14"/>
        <v>233040000</v>
      </c>
      <c r="E87" s="655">
        <f t="shared" si="14"/>
        <v>151946350</v>
      </c>
      <c r="F87" s="655">
        <f t="shared" si="14"/>
        <v>307130000</v>
      </c>
      <c r="G87" s="656">
        <f t="shared" si="14"/>
        <v>330291475</v>
      </c>
      <c r="H87" s="655">
        <f>SUM(H75:H85)</f>
        <v>248827845</v>
      </c>
      <c r="I87" s="656">
        <f>SUM(I75:I85)</f>
        <v>225070000</v>
      </c>
      <c r="J87" s="550">
        <f>SUM(J75:J85)</f>
        <v>1960908400</v>
      </c>
    </row>
  </sheetData>
  <mergeCells count="5">
    <mergeCell ref="A39:C39"/>
    <mergeCell ref="A20:C20"/>
    <mergeCell ref="A2:B2"/>
    <mergeCell ref="A58:G58"/>
    <mergeCell ref="A73:G73"/>
  </mergeCells>
  <pageMargins left="0" right="0" top="0" bottom="0" header="0" footer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B3B8095E610F46997987F627BA2050" ma:contentTypeVersion="10" ma:contentTypeDescription="Create a new document." ma:contentTypeScope="" ma:versionID="b3bbc42fd73bed8b4972cfac315545d1">
  <xsd:schema xmlns:xsd="http://www.w3.org/2001/XMLSchema" xmlns:xs="http://www.w3.org/2001/XMLSchema" xmlns:p="http://schemas.microsoft.com/office/2006/metadata/properties" xmlns:ns2="e7be84e2-caba-498a-9078-d8746d97147d" xmlns:ns3="364b9ec1-f1ed-4c2d-8f06-e465d44f7fe6" targetNamespace="http://schemas.microsoft.com/office/2006/metadata/properties" ma:root="true" ma:fieldsID="9231a099640da205526a21db75d4eba4" ns2:_="" ns3:_="">
    <xsd:import namespace="e7be84e2-caba-498a-9078-d8746d97147d"/>
    <xsd:import namespace="364b9ec1-f1ed-4c2d-8f06-e465d44f7f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be84e2-caba-498a-9078-d8746d971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a31d128-36c8-48a1-b877-06626d8c01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b9ec1-f1ed-4c2d-8f06-e465d44f7fe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7885a4d-7bf0-40a2-bf99-a0ad98738be2}" ma:internalName="TaxCatchAll" ma:showField="CatchAllData" ma:web="364b9ec1-f1ed-4c2d-8f06-e465d44f7f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4b9ec1-f1ed-4c2d-8f06-e465d44f7fe6" xsi:nil="true"/>
    <lcf76f155ced4ddcb4097134ff3c332f xmlns="e7be84e2-caba-498a-9078-d8746d9714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143046-DCAF-400F-AAF8-4BBC718C1B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9372E9-4A50-440A-97BA-AD99D95CD3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be84e2-caba-498a-9078-d8746d97147d"/>
    <ds:schemaRef ds:uri="364b9ec1-f1ed-4c2d-8f06-e465d44f7f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22CD36-AFB1-4957-9C99-E2B7FFF10FAB}">
  <ds:schemaRefs>
    <ds:schemaRef ds:uri="http://schemas.microsoft.com/office/2006/metadata/properties"/>
    <ds:schemaRef ds:uri="http://schemas.microsoft.com/office/infopath/2007/PartnerControls"/>
    <ds:schemaRef ds:uri="364b9ec1-f1ed-4c2d-8f06-e465d44f7fe6"/>
    <ds:schemaRef ds:uri="e7be84e2-caba-498a-9078-d8746d9714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COLORES </vt:lpstr>
      <vt:lpstr>CALASANZ </vt:lpstr>
      <vt:lpstr>LAURELES </vt:lpstr>
      <vt:lpstr>POBLADO </vt:lpstr>
      <vt:lpstr>SABANETA </vt:lpstr>
      <vt:lpstr>ESTRELLA </vt:lpstr>
      <vt:lpstr>ENVIGADO</vt:lpstr>
      <vt:lpstr>REUNION </vt:lpstr>
      <vt:lpstr>MANTENIMIENTOS </vt:lpstr>
      <vt:lpstr>BELLO </vt:lpstr>
      <vt:lpstr>GLOBAL SEDES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ESTADISTA</cp:lastModifiedBy>
  <cp:revision/>
  <dcterms:created xsi:type="dcterms:W3CDTF">2019-05-10T20:56:12Z</dcterms:created>
  <dcterms:modified xsi:type="dcterms:W3CDTF">2022-09-17T16:15:58Z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0x01010096B3B8095E610F46997987F627BA2050</vt:lpwstr>
  </property>
</Properties>
</file>